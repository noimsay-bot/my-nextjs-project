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4년12월" sheetId="1" r:id="rId5"/>
    <sheet state="hidden" name="25년01월" sheetId="2" r:id="rId6"/>
    <sheet state="hidden" name="25년02월" sheetId="3" r:id="rId7"/>
    <sheet state="hidden" name="25년03월" sheetId="4" r:id="rId8"/>
    <sheet state="hidden" name="25년04월" sheetId="5" r:id="rId9"/>
    <sheet state="hidden" name="25년05월" sheetId="6" r:id="rId10"/>
    <sheet state="hidden" name="25년06월" sheetId="7" r:id="rId11"/>
    <sheet state="hidden" name="25년07월" sheetId="8" r:id="rId12"/>
    <sheet state="hidden" name="25년08월" sheetId="9" r:id="rId13"/>
    <sheet state="hidden" name="25년09월" sheetId="10" r:id="rId14"/>
    <sheet state="visible" name="26년03월" sheetId="11" r:id="rId15"/>
    <sheet state="visible" name="26년04월" sheetId="12" r:id="rId16"/>
    <sheet state="visible" name="26년02월" sheetId="13" r:id="rId17"/>
    <sheet state="visible" name="26년01월" sheetId="14" r:id="rId18"/>
    <sheet state="hidden" name="25년10월" sheetId="15" r:id="rId19"/>
    <sheet state="hidden" name="25년11월" sheetId="16" r:id="rId20"/>
    <sheet state="visible" name="25년일정통계" sheetId="17" r:id="rId21"/>
    <sheet state="visible" name="25년12월" sheetId="18" r:id="rId22"/>
  </sheets>
  <definedNames>
    <definedName hidden="1" localSheetId="0" name="_xlnm._FilterDatabase">'24년12월'!$B$1:$I$838</definedName>
    <definedName hidden="1" localSheetId="1" name="_xlnm._FilterDatabase">'25년01월'!$B$1:$I$864</definedName>
    <definedName hidden="1" localSheetId="2" name="_xlnm._FilterDatabase">'25년02월'!$B$1:$I$864</definedName>
    <definedName hidden="1" localSheetId="3" name="_xlnm._FilterDatabase">'25년03월'!$B$1:$I$864</definedName>
    <definedName hidden="1" localSheetId="4" name="_xlnm._FilterDatabase">'25년04월'!$B$1:$I$864</definedName>
    <definedName hidden="1" localSheetId="5" name="_xlnm._FilterDatabase">'25년05월'!$B$1:$I$864</definedName>
    <definedName hidden="1" localSheetId="6" name="_xlnm._FilterDatabase">'25년06월'!$B$1:$I$864</definedName>
    <definedName hidden="1" localSheetId="7" name="_xlnm._FilterDatabase">'25년07월'!$B$1:$I$864</definedName>
    <definedName hidden="1" localSheetId="8" name="_xlnm._FilterDatabase">'25년08월'!$B$1:$I$864</definedName>
    <definedName hidden="1" localSheetId="9" name="_xlnm._FilterDatabase">'25년09월'!$B$1:$I$864</definedName>
    <definedName hidden="1" localSheetId="10" name="_xlnm._FilterDatabase">'26년03월'!$B$1:$I$838</definedName>
    <definedName hidden="1" localSheetId="11" name="_xlnm._FilterDatabase">'26년04월'!$B$1:$I$838</definedName>
    <definedName hidden="1" localSheetId="12" name="_xlnm._FilterDatabase">'26년02월'!$B$1:$I$838</definedName>
    <definedName hidden="1" localSheetId="13" name="_xlnm._FilterDatabase">'26년01월'!$B$1:$I$763</definedName>
    <definedName hidden="1" localSheetId="14" name="_xlnm._FilterDatabase">'25년10월'!$B$1:$I$864</definedName>
    <definedName hidden="1" localSheetId="15" name="_xlnm._FilterDatabase">'25년11월'!$B$1:$I$864</definedName>
    <definedName hidden="1" localSheetId="17" name="_xlnm._FilterDatabase">'25년12월'!$B$1:$I$864</definedName>
  </definedNames>
  <calcPr/>
</workbook>
</file>

<file path=xl/sharedStrings.xml><?xml version="1.0" encoding="utf-8"?>
<sst xmlns="http://schemas.openxmlformats.org/spreadsheetml/2006/main" count="34036" uniqueCount="5391">
  <si>
    <t>No</t>
  </si>
  <si>
    <t>이름</t>
  </si>
  <si>
    <t>근무</t>
  </si>
  <si>
    <t>출근</t>
  </si>
  <si>
    <t>퇴근</t>
  </si>
  <si>
    <t>일정</t>
  </si>
  <si>
    <t>일정수</t>
  </si>
  <si>
    <t>출장</t>
  </si>
  <si>
    <t>영상 단독</t>
  </si>
  <si>
    <t>지각
연한빨간색2</t>
  </si>
  <si>
    <t>이른출근
하늘색2</t>
  </si>
  <si>
    <t>늦은퇴근
연한 노란색2</t>
  </si>
  <si>
    <t>이동현</t>
  </si>
  <si>
    <t>휴무</t>
  </si>
  <si>
    <t>12월</t>
  </si>
  <si>
    <t>1일</t>
  </si>
  <si>
    <t>반일훈</t>
  </si>
  <si>
    <t>신동환</t>
  </si>
  <si>
    <t>(출장 창원) 28(금)~5(목) / 명태균 관련 취재
/ 뉴스룸 MNG (임예은)</t>
  </si>
  <si>
    <t>(일)</t>
  </si>
  <si>
    <t>이주현</t>
  </si>
  <si>
    <t>구본준</t>
  </si>
  <si>
    <t>이학진</t>
  </si>
  <si>
    <t>황현우</t>
  </si>
  <si>
    <t>김미란</t>
  </si>
  <si>
    <t>유규열</t>
  </si>
  <si>
    <t>김준택</t>
  </si>
  <si>
    <t>야근</t>
  </si>
  <si>
    <t>피겨 이해인 선수 인터뷰 (단독)</t>
  </si>
  <si>
    <t>방극철</t>
  </si>
  <si>
    <t>홍승재</t>
  </si>
  <si>
    <t>이   경</t>
  </si>
  <si>
    <t>정상원</t>
  </si>
  <si>
    <t>신승규</t>
  </si>
  <si>
    <t>공영수</t>
  </si>
  <si>
    <t>최무룡</t>
  </si>
  <si>
    <t>정철원</t>
  </si>
  <si>
    <t>금천구청 열차-승용차 충돌 사고 (박준우)</t>
  </si>
  <si>
    <t>김진광</t>
  </si>
  <si>
    <t>조근</t>
  </si>
  <si>
    <t>프로야구 리얼글러브 어워드 &amp;
프로야구선수협회 13대 회장 취임식 (단독)</t>
  </si>
  <si>
    <t>조용희</t>
  </si>
  <si>
    <t>이완근</t>
  </si>
  <si>
    <t>박대권</t>
  </si>
  <si>
    <t>야퇴</t>
  </si>
  <si>
    <t>김대호</t>
  </si>
  <si>
    <t>이현일</t>
  </si>
  <si>
    <t>유연경</t>
  </si>
  <si>
    <t>정재우</t>
  </si>
  <si>
    <t>대기</t>
  </si>
  <si>
    <t>경제부 물가 관련 시민 인터뷰 (정아람)
2024 한국프로야구 은퇴선수의 날 시상식 (단독)</t>
  </si>
  <si>
    <t>방첩사, 군무원 처우 개선 국회 청원인 색출,
탄압 수사 관련 (심가은)</t>
  </si>
  <si>
    <t>2일</t>
  </si>
  <si>
    <t>학교비정규직노동자 총파업 선포 기자간담회 (이희령x)</t>
  </si>
  <si>
    <t>연장</t>
  </si>
  <si>
    <t>(출장 창원) 11.28(금)~12.5(목) / 명태균 관련 취재</t>
  </si>
  <si>
    <t>(월)</t>
  </si>
  <si>
    <t>안성 18중 추돌사고 현장 (이세현)</t>
  </si>
  <si>
    <t>휴가</t>
  </si>
  <si>
    <t>건강검진</t>
  </si>
  <si>
    <t>종로학원 대표 인터뷰+학원가 취재 (심가은)</t>
  </si>
  <si>
    <t>익일 날씨 라이브 / 아침앤 연결</t>
  </si>
  <si>
    <t>국방부</t>
  </si>
  <si>
    <t>대통령실</t>
  </si>
  <si>
    <t>검찰</t>
  </si>
  <si>
    <t>(시청) ‘희망2025나눔캠페인’ 사랑의열매 전달식 취재</t>
  </si>
  <si>
    <t>제크</t>
  </si>
  <si>
    <t>이주원</t>
  </si>
  <si>
    <t>디지털 교과서 관련 교사 인터뷰 (성화선)</t>
  </si>
  <si>
    <t>석근</t>
  </si>
  <si>
    <t>강아지유치원에서 강아지 실명사고 있었던 것 관련 (김지윤)</t>
  </si>
  <si>
    <t>김도영 등 동아스포츠대상 (오선민)</t>
  </si>
  <si>
    <t>경기 안성 눈 피해 (이은진)</t>
  </si>
  <si>
    <t>시위 근조화환 화훼농가 취재 (함민정)</t>
  </si>
  <si>
    <t>3일</t>
  </si>
  <si>
    <t>계엄</t>
  </si>
  <si>
    <t>민생사법경찰국 관계자 인터뷰 (이은진)
비상계엄선포 후 출근</t>
  </si>
  <si>
    <t>(화)</t>
  </si>
  <si>
    <t xml:space="preserve">관악구 음주단속 야간 동행취재 (수습 양빈현) </t>
  </si>
  <si>
    <t>버스기사, 사고담당처리자 인터뷰 /
상암 차고지 (신진) 비상계엄선포 후 출근</t>
  </si>
  <si>
    <t>야퇴.</t>
  </si>
  <si>
    <t>[아침&amp;MNG] 날씨 관련 현장 연결 (조보경)야퇴
비상계엄선포 후 출근</t>
  </si>
  <si>
    <t>전교조 위원장 공공범죄수사대 출석 (심가은)
비상계엄선포 후 출근</t>
  </si>
  <si>
    <t>(시청) 아시아평화와역사연구소 인터뷰</t>
  </si>
  <si>
    <t>08:40출발 유승민 대한체육회장 공식 출마선언 (오선민)
비상계엄선포 후 출근</t>
  </si>
  <si>
    <t>메디스태프, 의사 블로그, 국민청원 화면 스케치 (함민정)
비상계엄선포 후 출근</t>
  </si>
  <si>
    <t>아침 추위 출근길 스케치 (단독) 비상계엄선포 후 출근</t>
  </si>
  <si>
    <t>오세훈 서울시장 기자 설명회 /
명태균-지하철파업 등 관련 (이은진x)
비상계엄선포 후 출근</t>
  </si>
  <si>
    <t>교사노조 국교위 관련 토론회 (이희령)
비상계엄선포 후 출근</t>
  </si>
  <si>
    <t>압수수색 / 서울의 소리 (심가은)
비상계엄선포 후 출근</t>
  </si>
  <si>
    <t>휴가.</t>
  </si>
  <si>
    <r>
      <rPr>
        <rFont val="Malgun Gothic"/>
        <b/>
        <color theme="1"/>
        <sz val="11.0"/>
      </rPr>
      <t>비상계엄선포 후 출근</t>
    </r>
    <r>
      <rPr>
        <rFont val="Malgun Gothic"/>
        <b/>
        <color rgb="FFFF0000"/>
        <sz val="11.0"/>
      </rPr>
      <t>(휴가중)</t>
    </r>
  </si>
  <si>
    <r>
      <rPr>
        <rFont val="Malgun Gothic"/>
        <b/>
        <color theme="1"/>
        <sz val="11.0"/>
      </rPr>
      <t>비상계엄선포 후 출근</t>
    </r>
    <r>
      <rPr>
        <rFont val="Malgun Gothic"/>
        <b/>
        <color rgb="FFFF0000"/>
        <sz val="11.0"/>
      </rPr>
      <t>(휴가중)</t>
    </r>
  </si>
  <si>
    <t>조아제약 프로야구 시상식 (오선민)
비상계엄선포 후 출근</t>
  </si>
  <si>
    <t>4일</t>
  </si>
  <si>
    <t>(수)</t>
  </si>
  <si>
    <t>야퇴 06:00퇴근</t>
  </si>
  <si>
    <t>1.비상계엄선포 후 전날부터 근무 특보연결
2.국회라이브</t>
  </si>
  <si>
    <t>민주노총 파업 선포 기자회견 (조보경) 및 광화문 집회
한국노총 기자회견</t>
  </si>
  <si>
    <t>비상계엄선포 후 전날부터 근무 특보연결</t>
  </si>
  <si>
    <t>(시청) 1.학부모 불안 관련 인터뷰 (이희령)
2.용산외각라이브</t>
  </si>
  <si>
    <t>(해외출장 스웨덴 스톡홀름) 4(수)~13(금) /
노벨상 시상식 (채승기)</t>
  </si>
  <si>
    <t xml:space="preserve">비상계엄선포 후 전날부터 근무 ➜ 추가 오후반차 </t>
  </si>
  <si>
    <t>비상계엄선포 후 전날부터 근무 용산 앞 취재</t>
  </si>
  <si>
    <t>비상계엄선포 후 전날부터 근무</t>
  </si>
  <si>
    <t>비상계엄선포 후 전날부터 근무 인제스트실 송출 캐처</t>
  </si>
  <si>
    <t>비상계엄선포 후 전날부터 근무 특보 후 추가야근</t>
  </si>
  <si>
    <t>비상계엄선포 후 전날부터 근무
박종우 통화정책·시장 담당 부총재보의 브리핑</t>
  </si>
  <si>
    <t>비상계엄선포 후 전날부터 근무
민주노총 광화문 집회 (김휘란)</t>
  </si>
  <si>
    <t>5일</t>
  </si>
  <si>
    <t>대학가 시국선언, 홍대-숙대 (조보경)</t>
  </si>
  <si>
    <t>(목)</t>
  </si>
  <si>
    <t>(수원) 철도파업 출근길 취재</t>
  </si>
  <si>
    <t>민주노총 기자회견 (함민정)</t>
  </si>
  <si>
    <t>민주노총, 윤석렬 퇴지 집회 (함민정)</t>
  </si>
  <si>
    <t>서울대 계엄규탄 학생총회 (김휘란)</t>
  </si>
  <si>
    <t>김재식</t>
  </si>
  <si>
    <t>① &lt;특보 / MNG / 국회&gt; 
② 국회 계엄군 마지막 저항장소 / 본청 221호 (김필준)</t>
  </si>
  <si>
    <t>야퇴. 아침뉴스 연결 / 지하철 파업 (정아람)</t>
  </si>
  <si>
    <t>(시청) 중앙선관위 (김지윤)</t>
  </si>
  <si>
    <t>김경수 전 지사 귀국 (단독)</t>
  </si>
  <si>
    <t>(출장 창원) 5(목)~12(목) / 명태균 관련 취재</t>
  </si>
  <si>
    <t>계엄 후폭풍 상권 반응 (공다솜)</t>
  </si>
  <si>
    <t>① 추가출근 서울역 철도노조 파업 관련 출근길 (정인아)
② 의협 11시 브리핑 (이예원)</t>
  </si>
  <si>
    <t>추가 야근 후 퇴근</t>
  </si>
  <si>
    <t>&lt;뉴스룸 라이브&gt; 광화문, 민주노총 집회 (함미정)</t>
  </si>
  <si>
    <t>① 08:30출근 철도노조 총파업 결의대회 (정인아)
② 김용현 국방부 전 장관 자택 뻗치기 / 홍은동 (김안수)</t>
  </si>
  <si>
    <t>① 군인권센터 기자회견 (심가은)
② 김용현 전 국방부장관 자택 대기 / 홍은동 (단독)</t>
  </si>
  <si>
    <t>6일</t>
  </si>
  <si>
    <t>&lt;뉴스룸 라이브&gt; 검찰</t>
  </si>
  <si>
    <t>특보 + &lt;뉴스룸 라이브&gt; 국회 (류정화)</t>
  </si>
  <si>
    <t>(금)</t>
  </si>
  <si>
    <t>(수원)전국교육공무직총파업 경기교육청 파업대회sk</t>
  </si>
  <si>
    <t>학교 교육공무직원 총파업 급식대용품 제공 현장 (성화선)
용산 집회 상황 대기 (단독)</t>
  </si>
  <si>
    <t>특보 / 국회</t>
  </si>
  <si>
    <t>&lt;뉴스룸 라이브&gt; 국회 앞 집회 (이은진)</t>
  </si>
  <si>
    <t>국민의힘 시도지사협의회 (이은진)</t>
  </si>
  <si>
    <t>심우정 검찰총장 퇴근길</t>
  </si>
  <si>
    <t>(의정부) 경기북부경찰청 주차장 (오원석)</t>
  </si>
  <si>
    <t>종가 스케치
특보 + 뉴스룸 라이브 / 국회</t>
  </si>
  <si>
    <t>국회지원 (이지수)</t>
  </si>
  <si>
    <t xml:space="preserve">① [아침&amp; 중계] 강수현 양주시장 중계 인터뷰
② 계엄 회의록 관련, 전 대통령기록관장 인터뷰 / 국회 (신진) </t>
  </si>
  <si>
    <t>① 계엄당시 시민들 반응 (김휘란)
② 대통령 관저 취재 및 특보 라이브 (함민정)</t>
  </si>
  <si>
    <t>국회 앞 집회 취재 (이은진)</t>
  </si>
  <si>
    <t>① 전국교육공무직본부 총파업 대회 (이희령)
② 충암고등학교 이슈 취재 (성화선)</t>
  </si>
  <si>
    <t>추가</t>
  </si>
  <si>
    <t>특보 연결 / 여의도 집회 (이자연)</t>
  </si>
  <si>
    <t>7일</t>
  </si>
  <si>
    <t>광화문 대통령 탄핵 반대 집회 (강나윤)</t>
  </si>
  <si>
    <t>(토)</t>
  </si>
  <si>
    <t>여의도 외곽</t>
  </si>
  <si>
    <t>장</t>
  </si>
  <si>
    <t>후</t>
  </si>
  <si>
    <t>총리 공관 (광화문)
특보 연결 / 국민의힘 당사 (정인아)</t>
  </si>
  <si>
    <t>원</t>
  </si>
  <si>
    <t>국방부 (용산) 대기 및 국힘 당사 특보라이브</t>
  </si>
  <si>
    <t>국회 기자연결</t>
  </si>
  <si>
    <t>용산 14:00집회</t>
  </si>
  <si>
    <t>특보 국회 연결</t>
  </si>
  <si>
    <t>대통령실 관저 (함민정)</t>
  </si>
  <si>
    <t>여의도 / 집회 날씨 취재 (조보경)</t>
  </si>
  <si>
    <t>대통령실 인근 집회</t>
  </si>
  <si>
    <t>서울고등검찰청,
특수본이 꾸려져 오늘 군검찰 등이 합류</t>
  </si>
  <si>
    <t>8일</t>
  </si>
  <si>
    <t>서울대병원 전공의협의회 비대위 '의료계엄 규탄' 집회
뉴스룸 대통령 관저 MNG연결</t>
  </si>
  <si>
    <t>김</t>
  </si>
  <si>
    <t>상</t>
  </si>
  <si>
    <t>현</t>
  </si>
  <si>
    <t>뉴스특보 국회집회 스케치뉴스룸 국회집회 MNG연결</t>
  </si>
  <si>
    <t>(01:30~08:30)김용현 검찰 출두 취재</t>
  </si>
  <si>
    <t>뉴스특보 국힘당사 MNG연결</t>
  </si>
  <si>
    <t>뉴스특보 국회 MNG연결</t>
  </si>
  <si>
    <t>뉴스특보 중앙지검 MNG연결</t>
  </si>
  <si>
    <t>국방부 압수수색 취재
뉴스룸 중앙지검 MNG연결</t>
  </si>
  <si>
    <t>특수본 특보 및 뉴스룸 라이브</t>
  </si>
  <si>
    <t>9일</t>
  </si>
  <si>
    <t>특보 연결 / 국회</t>
  </si>
  <si>
    <t>이상민 행안부 장관 집 앞 뻗치기 (임예은)</t>
  </si>
  <si>
    <t>(수원) 아리셀 대표 공준기일 및 유족 취재 (이세현)</t>
  </si>
  <si>
    <t>①군인권센터 기자회견 (수습 양빈현)
②국방부 대기</t>
  </si>
  <si>
    <t>민주노총, 국민의힘 규탄 기자회견 (조보경)</t>
  </si>
  <si>
    <t>여의도 집회 취재 / 연결 밑그림 (함민정)</t>
  </si>
  <si>
    <t xml:space="preserve">건강검진 마치면 대통령실 근무 </t>
  </si>
  <si>
    <t>(시청) 환율 sk / 하나은행 딜릴룸</t>
  </si>
  <si>
    <t>특보 연결 / 특수본</t>
  </si>
  <si>
    <t>① 비상계엄 수사 관련 국수본부장 브리핑 (박준우)
② 특보연결 (박준우)
③ 민주당의원, 조태용 고발 / 경찰청 미원실 (이서준)</t>
  </si>
  <si>
    <t xml:space="preserve">① 문서 스케치 - 과거 계엄 공고문 
② 이상민 행안부 장관 자택 취재 (임예은) </t>
  </si>
  <si>
    <t>뉴스룸 라이브 / 여의도 집회 (함민정)</t>
  </si>
  <si>
    <t>① 특보 연결 대비 / 공수처
② 공수처 고발장 제출
③ 방청사렵부 입구 현판 sk / 과천</t>
  </si>
  <si>
    <t>관저 뻗치기 (김휘란)</t>
  </si>
  <si>
    <t>한남동 관저 뻗치기 및 뉴스룸 라이브 (김휘란)</t>
  </si>
  <si>
    <t>국회 / 곽종근 특수전사령관 인터뷰 대비</t>
  </si>
  <si>
    <t>10일</t>
  </si>
  <si>
    <t>박선영 신임 진화위원장 출근저지투쟁+취임식 (김휘란)</t>
  </si>
  <si>
    <t>민주주의와 인권의 후퇴를 막는
청소년 시국선언 발표 기자회견 (조보경)</t>
  </si>
  <si>
    <t>일구상 시상식 (오선민)</t>
  </si>
  <si>
    <t>대통령실 관저 뻗치기 / 오디오맨x (김휘란)</t>
  </si>
  <si>
    <t>① 국회 특보연결
② 의원 인터뷰 2건</t>
  </si>
  <si>
    <t>대통령실 (구본준 부상)
대체휴가 취소</t>
  </si>
  <si>
    <t>(시청) 여야 원로들 성명 발표 (이희정x)</t>
  </si>
  <si>
    <t>특보 및 뉴스룸 라이브 / 국회</t>
  </si>
  <si>
    <t>뉴스룸 라이브 / 여의도 집회</t>
  </si>
  <si>
    <t>① 이마트 신촌점 팜유 급등 취재 (정해성)
② 고용부진 관련 건설사 인터뷰 (공다솜)</t>
  </si>
  <si>
    <t>① 개포동  의혹 당사자 취재 (김필준)
② 대검 상황 대기</t>
  </si>
  <si>
    <t>09:15출근(지각) 용리단길 취재 (정아람) 19:30퇴근</t>
  </si>
  <si>
    <t>특보연결 및 뉴스룸 연결</t>
  </si>
  <si>
    <t>① 검찰 여인형 출석 대기 및 아침뉴스 MNG 대비 (단독)
② 검찰 상황대기</t>
  </si>
  <si>
    <t>08:37출근(지각) 군인권센터 기자회견 / 검찰 내란 수사관련 (심가은) kill
대통령실 관저 뻗치기 / 오디오맨x (김휘란)
제크데이 취소</t>
  </si>
  <si>
    <t>12.12 총격전 당사자 인터뷰 (김민관)</t>
  </si>
  <si>
    <t>11일</t>
  </si>
  <si>
    <t>①여의도 집회 스케치
②특보 국회 대기 20:40퇴근</t>
  </si>
  <si>
    <t>(수원) 특전사령부 압수수색 / 이천 (이한길)</t>
  </si>
  <si>
    <t>①계엄 선포 관련 장애인 취재 (강나현)
②특보 연결 / 국수본 (이자연)</t>
  </si>
  <si>
    <t>한남동 대통령 관저앞 뻗치기 (이주원과 함께)</t>
  </si>
  <si>
    <t>①뉴스룸 라이브 / 여의도 집회 (함민정)
②경찰청 압수수색</t>
  </si>
  <si>
    <t>①명일여고 대자보 sk
②사건사고 사망건 (김지윤)</t>
  </si>
  <si>
    <t>(시청) 국수본 상황대기 (이자연)</t>
  </si>
  <si>
    <t>①뉴스룸 라이브 / 관저 (김휘란)
②20시 특보 라이브 / 특수본 (박현주)</t>
  </si>
  <si>
    <t>①한남동 대통령 관저앞 뻗치기 (황현우와 함께)
②국민의힘 당사 앞 화환 문구 취재 (오원석)</t>
  </si>
  <si>
    <t>①곽종근 자택 압수수색 / 안양 (이희정x) 20:40퇴근
②특보 연결 / 특수본 20:40퇴근</t>
  </si>
  <si>
    <t>서울시청 인근 대기
특보 라이브</t>
  </si>
  <si>
    <t>①서울청 압수수색
②국회 상황대기 (조근 박대권과 교대)</t>
  </si>
  <si>
    <r>
      <rPr>
        <rFont val="Malgun Gothic"/>
        <b/>
        <color rgb="FFFF0000"/>
        <sz val="11.0"/>
      </rPr>
      <t>제크데이 취소</t>
    </r>
    <r>
      <rPr>
        <rFont val="Malgun Gothic"/>
        <b/>
        <color theme="1"/>
        <sz val="11.0"/>
      </rPr>
      <t xml:space="preserve"> / 종묘 내외부 스케치 (최규진)</t>
    </r>
  </si>
  <si>
    <t>특보 대비 국회 기자연결</t>
  </si>
  <si>
    <t>①윤석열퇴진 비상국민행동 발족 기자회견 (강나윤)
②쇼트트랙 국가대표 미디어데이</t>
  </si>
  <si>
    <t xml:space="preserve">①경찰청 압수수색 대비 등 인근 일정
②농식품부 장관 뻗치기
③(국수본)계엄 기록 폐기 금지 촉구, 고발장 접수 기자회견 </t>
  </si>
  <si>
    <t>특보 대비 검찰 법원 기자연결</t>
  </si>
  <si>
    <t>대휴반납 근무 / ①국수본 연결
②김동연 지사 1인 시위</t>
  </si>
  <si>
    <t>12일</t>
  </si>
  <si>
    <t xml:space="preserve">①국회 앞 집회 무료커피나눔 까페 (황예린)
②오대영 라이브 연결 / 관저 </t>
  </si>
  <si>
    <t>(수원) 양평 시민단체 탄핵 촉구 기자회견 (이세현)</t>
  </si>
  <si>
    <t>①민주노총 집회 행진
②특보 20시 연결 / 관저</t>
  </si>
  <si>
    <t>①여의도 집회
②특보 20시 연결 / 국회</t>
  </si>
  <si>
    <t>탐사 일정 / 비상계엄선포 관련</t>
  </si>
  <si>
    <t>①군사반란 유가족 인터뷰 (심가은)
②관저 대기 (박대권과 함께)</t>
  </si>
  <si>
    <t>①국방부조사본부 수사관,
12.3. 내란 국회 출동 제보 관련 긴급 기자회견 (최연수)
②날씨 스케치 + 시민 인터뷰 (정아람)</t>
  </si>
  <si>
    <t>뉴스룸 라이브 / 여의도 집회
국민의힘 당사 앞 행진 및 현수막 찢기 퍼포먼스</t>
  </si>
  <si>
    <t>①종묘 후속 인터뷰 / 전날 취재 이어서 (최규진)
②삼청동 대통령 안가 스케치 및 스탠덥</t>
  </si>
  <si>
    <t>대통령 관저 대기 및 연결</t>
  </si>
  <si>
    <t>①대법원, 조국 선고 진보 집회 및 라이브
②여의도 국힘당사 서울대 교수들 3차 시국선언
③주식 종가 sk</t>
  </si>
  <si>
    <t>①날씨 스케치 / 강남
②조국 대법원 선고 연결 및 특수본 연결</t>
  </si>
  <si>
    <t>①계엄 관련 청각장애인 인터뷰 (강나현)
②국수본 취재</t>
  </si>
  <si>
    <t>①조국 자택 취재 (단독)
②특수본 연결 등 / 이현일과 함께</t>
  </si>
  <si>
    <t>&lt;특보 연결&gt; 국회 (VC300)</t>
  </si>
  <si>
    <t>13일</t>
  </si>
  <si>
    <t>특보 및 뉴스룸 라이브 / 관저</t>
  </si>
  <si>
    <t>국힘 조정훈 의원 사무소 탄핵동참 촉구 집회 (함민정)</t>
  </si>
  <si>
    <t>(수원) 경기 남부청 압수수색 (이세현)</t>
  </si>
  <si>
    <t>(탐사)여의도 집회</t>
  </si>
  <si>
    <t>국민의힘 당사 앞 민주노총 탄핵 동참 촉구 집회
(수습 강나윤)</t>
  </si>
  <si>
    <t>특보 및 뉴스룸 라이브 / 연세로, 학생 집회</t>
  </si>
  <si>
    <t>국힘 배현진 의원 사무소 탄핵동참 촉구 집회 (함민정x)</t>
  </si>
  <si>
    <t>특보 및 뉴스룸 라이브 / 여의도 집회</t>
  </si>
  <si>
    <t>KBO 골든글러브 시상식 (오선민)</t>
  </si>
  <si>
    <t>디지털교과서 수업 시연 (성화선)</t>
  </si>
  <si>
    <t>연세로 집회</t>
  </si>
  <si>
    <t>&lt;특보 연결&gt; 대통령 관저</t>
  </si>
  <si>
    <t>&lt;특보 연결&gt; 국수본</t>
  </si>
  <si>
    <t>&lt;특보 연결&gt; 특수본</t>
  </si>
  <si>
    <t>2차 탄핵 소추</t>
  </si>
  <si>
    <t>14일</t>
  </si>
  <si>
    <t>변경태</t>
  </si>
  <si>
    <t>손</t>
  </si>
  <si>
    <t>박재현</t>
  </si>
  <si>
    <t>준</t>
  </si>
  <si>
    <t>수</t>
  </si>
  <si>
    <t>김영묵</t>
  </si>
  <si>
    <t>이지수</t>
  </si>
  <si>
    <t>주수영</t>
  </si>
  <si>
    <t>15일</t>
  </si>
  <si>
    <t>2차 탄핵 소추 2일째</t>
  </si>
  <si>
    <t>청사</t>
  </si>
  <si>
    <t>국회</t>
  </si>
  <si>
    <t>한남동 관저 취재 1</t>
  </si>
  <si>
    <t>16일</t>
  </si>
  <si>
    <t>1.경찰 국수본(홍제동)
2.이상민 전 행안부 장관 피의자 신분 소환</t>
  </si>
  <si>
    <t>①특보 기자회견 연결 대비 / 국회
②보수단체, 탄핵무효촉구 집회 / 여의도 (김지윤x)</t>
  </si>
  <si>
    <t>헌법재판소</t>
  </si>
  <si>
    <t>헌재탄핵 심리</t>
  </si>
  <si>
    <t>주식 종가 sk (이상화x)</t>
  </si>
  <si>
    <t>이주호 규탄 기자회견 (조보경x) kill
여의도 선결제 카페, 국밥집 후일담 (조소희)</t>
  </si>
  <si>
    <t>①(시청) 비상경제회의(건설분야 간담회)
②특보 연결 / 국수본</t>
  </si>
  <si>
    <t>특수본 대기 (단독)
뉴스룸 라이브</t>
  </si>
  <si>
    <t>탄핵 반대 보수 집회 / 광화문 (김지윤)
골키퍼 출신 유연수, 장애인 사격선수 변신 기자회견 (홍지용x)</t>
  </si>
  <si>
    <t>양민혁 출국 및 안세영 귀국 / 인천공항</t>
  </si>
  <si>
    <t>광화문 집회 (이은진)</t>
  </si>
  <si>
    <t>한국은행 풀 
ASEAN+3 Economic Cooperation and Financial Stability Forum</t>
  </si>
  <si>
    <t>뉴스룸 라이브 / 관저</t>
  </si>
  <si>
    <t>국회지원 (김영묵)</t>
  </si>
  <si>
    <t>의료개혁 관련해서 환자단체 회장 인터뷰
(성화선, 오디오맨x)</t>
  </si>
  <si>
    <t>한남동 관저 취재 2</t>
  </si>
  <si>
    <t>뉴스룸 라이브 / 광화문 집회 (이은진)</t>
  </si>
  <si>
    <t>공수처 대기 (단독)</t>
  </si>
  <si>
    <t xml:space="preserve">국수본 현장대기 </t>
  </si>
  <si>
    <t>17일</t>
  </si>
  <si>
    <t>(탐사)다큐 이명수 기자 인터뷰</t>
  </si>
  <si>
    <t>(수원) 이재명 측, '대북송금 재판' 법관 기피신청</t>
  </si>
  <si>
    <t>서울옥션 경매장 / 박경리 토지 육필원고 (조소희)</t>
  </si>
  <si>
    <t>헌법재판소 재판관 출근길</t>
  </si>
  <si>
    <t>탐사 / 다큐 '윤석열은 왜?...</t>
  </si>
  <si>
    <t>진실화해위 위원장 퇴진 촉구 집회 (윤재영)</t>
  </si>
  <si>
    <t>역도 박혜정 선수 귀국 / 인천공항 (홍지용)</t>
  </si>
  <si>
    <t>안상수 대한체육회장 후보자 기자회견 (오선민)</t>
  </si>
  <si>
    <t>가짜 스벅 텀블러 판매 일당 적발 브리핑 (강나현)</t>
  </si>
  <si>
    <t>한남동 관저 / 비상행동 기자회견 (김휘란)</t>
  </si>
  <si>
    <t>석근 근무 였으나, 지난주 못사용한 제크 사용함</t>
  </si>
  <si>
    <t>특수본 현장대기</t>
  </si>
  <si>
    <t>국수본 현장 대기
경찰청장 공관 압수수색 (경희궁길 24)</t>
  </si>
  <si>
    <t>날씨스케치 (성화선)</t>
  </si>
  <si>
    <t>18일</t>
  </si>
  <si>
    <t>법조지원</t>
  </si>
  <si>
    <t>(수원) 강용석 선고</t>
  </si>
  <si>
    <t>(탐사)다큐 윤석열은 왜</t>
  </si>
  <si>
    <t>대휴</t>
  </si>
  <si>
    <t>(시청) 한남동 관저 (김휘란)</t>
  </si>
  <si>
    <t>국힘 용인시을 당협위원장 인터뷰 (김영민)</t>
  </si>
  <si>
    <t>특수본 대기</t>
  </si>
  <si>
    <t>1.인천공항CEO간담회 / 2.한남동 관저 라이브 (김휘란)</t>
  </si>
  <si>
    <t>1.날씨스케치 / 2.특수본 대기</t>
  </si>
  <si>
    <t>문체부장관 정례브리핑 (채승기)</t>
  </si>
  <si>
    <t>(20:00~02:30)중앙지검, 김현태 707특임단장 참고인 조사 뻗치기</t>
  </si>
  <si>
    <t>시국선언 주도 시민 인터뷰 (조보경)</t>
  </si>
  <si>
    <t>땅값 명동일대 취재 (김민)</t>
  </si>
  <si>
    <t>국수본 대기</t>
  </si>
  <si>
    <t>한남동 관저</t>
  </si>
  <si>
    <t>대통령실 화환 (이은진)</t>
  </si>
  <si>
    <t>MNG 공조본 (함민정)</t>
  </si>
  <si>
    <t>노상원 집 취재(심가은)</t>
  </si>
  <si>
    <t>19일</t>
  </si>
  <si>
    <t>특수본 라이브(연지환)</t>
  </si>
  <si>
    <t>(탐사)창원 기획 출장 복귀</t>
  </si>
  <si>
    <t>장후원</t>
  </si>
  <si>
    <t>(수원)1.이화영 항소심(이세현)
2.경기도지사 경제재건 제안(김도훈)</t>
  </si>
  <si>
    <t>1.의협 전공의단체 민주당 만남(황예린)
19:30퇴근2.국회 라이브(박사라)</t>
  </si>
  <si>
    <t>1.정몽규 기자회견(홍지용)
2.국수본 압수수색(김안수)</t>
  </si>
  <si>
    <t>(시청) 관저 라이브(김휘란)</t>
  </si>
  <si>
    <t>의정부 태권도 학대 판결(오원석)</t>
  </si>
  <si>
    <t>1.남부지법(함민정)
2.마포 인터뷰(정아람)</t>
  </si>
  <si>
    <t>지각09:03 1.티메프 집단분쟁조정 결정 관련 브리핑(정아람x)
2.건진법당(김영민)</t>
  </si>
  <si>
    <t>수원 아주대 교수 진실화해위원 인터뷰(윤재영)</t>
  </si>
  <si>
    <t>이지수 국회지원</t>
  </si>
  <si>
    <t>한남동 관저(김휘란)</t>
  </si>
  <si>
    <t>과천 공수처 라이브(박현주)</t>
  </si>
  <si>
    <t>지각16:33 건진법사 보좌관(함민정)</t>
  </si>
  <si>
    <t>06:30출발 1.거시경제금융회의(이상화x)
2. 한남동 관저(김휘란)</t>
  </si>
  <si>
    <t>1.YWCA 좋은미디어컨텐츠 시상식(임지수)
2.하나은행 딜링룸(이상화x)
3.여의도 증시현황(정해성x)</t>
  </si>
  <si>
    <t>날씨(강나현)</t>
  </si>
  <si>
    <t>20일</t>
  </si>
  <si>
    <t>얼어붙은 기부 문화(이희령)kill</t>
  </si>
  <si>
    <t>(수원)1.아침앤, 화성시장 연결(이세현)
2.판교BMW화재(이세현)</t>
  </si>
  <si>
    <t>공수처 라이브(박현주)</t>
  </si>
  <si>
    <t>(탐사)윤석열은 왜 오프닝 브릿지 (김지아)</t>
  </si>
  <si>
    <t>관저2</t>
  </si>
  <si>
    <t>(시청)1.진화위 1인 시위(윤재영)
2.크리스마스 어린이제품 안전성조사결과부적합 브리핑(시청)</t>
  </si>
  <si>
    <t>1.총리공관
2.관저3</t>
  </si>
  <si>
    <t>건진법사 kill</t>
  </si>
  <si>
    <t>증시현황판(김민)</t>
  </si>
  <si>
    <t>김영묵 국회지원</t>
  </si>
  <si>
    <t>남대문서 김봉식 서울경찰청장 송치 (김안수)</t>
  </si>
  <si>
    <t>관저1(정인아)</t>
  </si>
  <si>
    <t>관저 라이브(정인아)</t>
  </si>
  <si>
    <t>메인뉴스 MNG 연결 김병주 의원 (단독)</t>
  </si>
  <si>
    <t>21일</t>
  </si>
  <si>
    <t>날씨(눈) 스케치 (이희령x)</t>
  </si>
  <si>
    <t>과천 공수처 뻗치기</t>
  </si>
  <si>
    <t>메인뉴스 MNG 연결 관저 (정인아)</t>
  </si>
  <si>
    <t>①김용군 영장실질심사 (함민정x)
②메인뉴스 MNG 연결 공수처 (박현주)</t>
  </si>
  <si>
    <t>관저 뻗치기 취재 (정인아)</t>
  </si>
  <si>
    <t>메인뉴스 MNG 연결 광화문 촛불집회 (임예은)</t>
  </si>
  <si>
    <t>22일</t>
  </si>
  <si>
    <t>14:00 1.전국의사대표자대회 / 성화선
17:50 2.정용진 입국 / 공다솜</t>
  </si>
  <si>
    <t>1.뉴스룸 공수처 기자연결 / 윤정주
19:30~20:30 2.관저 앞 트랙터 시위 취재</t>
  </si>
  <si>
    <t>한남동 대통령 관저 뻗치기 / 김안수</t>
  </si>
  <si>
    <t>9:00 1.한남동 대통령 관저 뻗치기 / 김안수
15:00 2.전국의사대표자대회 백브리핑 / 단독</t>
  </si>
  <si>
    <t>14:00 1.주말 추위 날씨 / 성화선
18:30 2.`뉴스룸 남태령 트렉터 식위 기자연결 / 심가은</t>
  </si>
  <si>
    <t>10:00 남태령 고개 전농-경찰 대치 / 심가은</t>
  </si>
  <si>
    <t>23일</t>
  </si>
  <si>
    <t>티니핑 홈플러스 가양점(박소연)</t>
  </si>
  <si>
    <t>이기흥 체육회장 출마 기자회견(오선민)</t>
  </si>
  <si>
    <t>복지시설 부당해고 관련 인터뷰(이희령)</t>
  </si>
  <si>
    <t>김건희 성형외과 촬영(김필준)</t>
  </si>
  <si>
    <t>(시청)서울시-충청북도 업무협약식</t>
  </si>
  <si>
    <t>소상공인 금융지원 간담회(공다솜)</t>
  </si>
  <si>
    <t>컬링경기(이예원)</t>
  </si>
  <si>
    <t>관저1(임예은)</t>
  </si>
  <si>
    <t>검찰지원</t>
  </si>
  <si>
    <t>(16:30~19:30)관저3</t>
  </si>
  <si>
    <t>군산 계엄비선 노상원 방문 점집 취재(오원석)</t>
  </si>
  <si>
    <t>공수처 라이브 대기</t>
  </si>
  <si>
    <t>24일</t>
  </si>
  <si>
    <t>관저2 메인라이브 (정인아)</t>
  </si>
  <si>
    <t>1.키르기스스탄 스마트시티 사업 무산 위기(박준우)
2.1공수여단 한국은행 점검(박준우)</t>
  </si>
  <si>
    <t>(수원)판교 100여단 관련(이세현)</t>
  </si>
  <si>
    <t>건진법사 취재(이자연)</t>
  </si>
  <si>
    <t>김영묵 국회 지원</t>
  </si>
  <si>
    <t>노상원 전 사령관 서울 서부서 송치</t>
  </si>
  <si>
    <t>사유화 휩싸인 안산 그리너스(양정진)</t>
  </si>
  <si>
    <t>크리스마스 이브 + 날씨 MNG (이희령)</t>
  </si>
  <si>
    <t>16:20~20:30건진 관련 취재(김영민)
20:30~01:00명동성당 구유예절 (강나현x)</t>
  </si>
  <si>
    <t>계엄이 들쑤신 밥상 물가 과자 스케치 (송승환)</t>
  </si>
  <si>
    <t>로또 명당이 상계동 (박소연)</t>
  </si>
  <si>
    <t>1.이마트 가공식품 sk 시민인터뷰(송승환)
2.건진 관련 취재(김영민)</t>
  </si>
  <si>
    <t>강태선 대한체육회장 출마 기자회견(단독)</t>
  </si>
  <si>
    <t>(13:00출근)연말 소상공인 인터뷰(공다솜)
제1공수여단, 한국은행 공문 스케치(박준우)</t>
  </si>
  <si>
    <t>검찰 지원</t>
  </si>
  <si>
    <t>건진법사 은신처 뻗치기(양빈현)</t>
  </si>
  <si>
    <t>25일</t>
  </si>
  <si>
    <t>양자컴퓨터 관련 줌 인터뷰(이지혜)</t>
  </si>
  <si>
    <t>계엄 당일 서울청 112상황실 녹취록 서류 스케치(심가은)</t>
  </si>
  <si>
    <t>관저3(김휘란)</t>
  </si>
  <si>
    <t>변</t>
  </si>
  <si>
    <t>공수처2 (드론)</t>
  </si>
  <si>
    <t>경</t>
  </si>
  <si>
    <t>태</t>
  </si>
  <si>
    <t>성탄절 스케치(이희정)</t>
  </si>
  <si>
    <t>05:30~08:30 건진법사 은신처 뻗치기(양빈현)</t>
  </si>
  <si>
    <t>건진법사 은신처 뻗치기2(양빈현)
동부구치소 김용현 화환(김산)</t>
  </si>
  <si>
    <t>안국역 촛불집회 (임예은)</t>
  </si>
  <si>
    <t>관저1(김휘란)</t>
  </si>
  <si>
    <t>공수처1(박현주) 이시각뉴스룸 라이브</t>
  </si>
  <si>
    <t>1.관저4(김휘란) 메인 라이브
2.로데리아 회동 구삼회 육군2기갑여단장 소환조사 대기</t>
  </si>
  <si>
    <t>관저2(김휘란)</t>
  </si>
  <si>
    <t>(용산) 한덕수 탄핵 집회</t>
  </si>
  <si>
    <t>26일</t>
  </si>
  <si>
    <t>1.국수본 앞 기자회견 (김휘란)
2.하나은행 딜링룸 취재(단독)</t>
  </si>
  <si>
    <t>한남동 관저 메인뉴스 라이브(임예은)</t>
  </si>
  <si>
    <t>건진 관련 장소 취재 (이자연)</t>
  </si>
  <si>
    <t>한남동 관저 뻗치기1(임예은)</t>
  </si>
  <si>
    <t>한남동 관저 뻗치기2(임예은)</t>
  </si>
  <si>
    <t>인민군복 제작업체(김민관)</t>
  </si>
  <si>
    <t>1.당뇨 관련 병원 인터뷰(이희정)
(오후) 진천선수촌 출발(양정진)</t>
  </si>
  <si>
    <t>김용현 변호인단 사무실 취재(김혜리)kill</t>
  </si>
  <si>
    <t>김용현측 변호인단 기자회견 대응 (박현주)</t>
  </si>
  <si>
    <t>오징어게임2 관련 팝업스토어(정아람)</t>
  </si>
  <si>
    <t>1.안산 축구팀 침묵시위(단독)
2.증시 현황판(단독)</t>
  </si>
  <si>
    <t>1.정몽규 축구협회장- 후보자 공약 발표
2.유승민 대한체육회장 후보 기자간담회 (오선민)</t>
  </si>
  <si>
    <t>문자 등 휴대전화 스케치(이자연)</t>
  </si>
  <si>
    <t>(용산) 한덕수 탄핵 집회(단독)-오디오맨x</t>
  </si>
  <si>
    <t>27일</t>
  </si>
  <si>
    <t>(수원)</t>
  </si>
  <si>
    <t>민주 없는 민주동덕 학생 집회(이희령)</t>
  </si>
  <si>
    <t>1.신문선 축구협회장 후보자 공약 발표(단독)
2.대통령 안가 압수수색(임예은)</t>
  </si>
  <si>
    <t>관저3 메인뉴스 라이브 (김휘란)</t>
  </si>
  <si>
    <t>1.날씨스케치(단독)
2.양경수 위원장 용산서 출석(김휘란)
3.하나은행 딜링룸 환율(단독)</t>
  </si>
  <si>
    <t>1.헌번재판소 대기2(단독)
2.건진 사업 법인 등기부등본 스케치</t>
  </si>
  <si>
    <t>26~27 진천선수촌 훈련공개(양정진)</t>
  </si>
  <si>
    <t>인민군복 업체 인터뷰(김민관)</t>
  </si>
  <si>
    <t>1.촛불행동 한덕수 고발 기자회견(임예은)
2.대통령 안가 압수수색1(임예은)</t>
  </si>
  <si>
    <t>1.신임 주한 주중대사 부임
2.인민군복 관련 국회의원 인터뷰(김민관)</t>
  </si>
  <si>
    <t>관저2(김휘란)메인뉴스 라이브 지원</t>
  </si>
  <si>
    <t>GTX-A 개통식(박준우)</t>
  </si>
  <si>
    <t>1.헌번재판소 대기1(단독)
2증권거래소 코스피 종가(단독)</t>
  </si>
  <si>
    <t>28일</t>
  </si>
  <si>
    <t>(11시)광화문 탄핵 촉구집회 범시민대행진 종편풀</t>
  </si>
  <si>
    <t>(9시)관저1</t>
  </si>
  <si>
    <t>(9시)안국역 앞 탄핵찬성 집회</t>
  </si>
  <si>
    <t>(11시)공수처 메인뉴스 라이브(이자연)</t>
  </si>
  <si>
    <t>(11시)1.광화문 탄핵 촉구집회 범시민대행진(강나현)
2.광화문 탄핵 집회 메인뉴스 라이브(임지수)</t>
  </si>
  <si>
    <t>(15:30)1.관저2 메인뉴스 라이브(오원석)
2.추경호 소환조사 국수본 별관sk</t>
  </si>
  <si>
    <t>(11시) (무안출장)무안 공항 추락사고</t>
  </si>
  <si>
    <t>29일</t>
  </si>
  <si>
    <t>(9시) (무안출장)무안 공항 추락사고 (정해성 양현빈)</t>
  </si>
  <si>
    <t>(8시) (무안출장)윤대통령 공수처 출석 대비 2 / 드론
        무안 공항 추락사고</t>
  </si>
  <si>
    <t>(8시) 1.관저 차량 팔로우 및 관저 대기
2.아산병원 이송환자 취재</t>
  </si>
  <si>
    <t>(9시) 윤대통령 공수처 출석 대비 메인뉴스 라이브</t>
  </si>
  <si>
    <t>(11:30~22:30)제주항공 기자회견 및 기자라이브</t>
  </si>
  <si>
    <t>(무안 출장)</t>
  </si>
  <si>
    <t>30일</t>
  </si>
  <si>
    <t>제주항공 사고 관련 전문가 인터뷰(이희령의 AD)</t>
  </si>
  <si>
    <t>(무안 출장)출발</t>
  </si>
  <si>
    <t>김포공항 제주항공 창구 int(송승환)</t>
  </si>
  <si>
    <t>제주항공 메이필드 호텔(정아람)</t>
  </si>
  <si>
    <t>(시청)</t>
  </si>
  <si>
    <t>공수처 메인뉴스 라이브(박현주)</t>
  </si>
  <si>
    <t xml:space="preserve">서부지법 윤통 체포영장 관련 의견서 제출 </t>
  </si>
  <si>
    <t>출산휴가(12.30~1.3)</t>
  </si>
  <si>
    <t>관저1</t>
  </si>
  <si>
    <t>31일</t>
  </si>
  <si>
    <t>(무안 출장)복귀</t>
  </si>
  <si>
    <t>안국연 메인뉴스 라이브(윤재영)</t>
  </si>
  <si>
    <t>1.제주항공 메이필드호텔(정아람)kill
2.목동 깨비시장 사고</t>
  </si>
  <si>
    <t>관저 메인뉴스 라이브(김휘란)</t>
  </si>
  <si>
    <t>(시청)서울시경 동덕여대생 기자회견(신진)</t>
  </si>
  <si>
    <t>1.종각역 메인뉴스 라이브/2.타종식 종편풀</t>
  </si>
  <si>
    <t>1.항공대 인터뷰(박소연)
2.메이필드호텔 라이브(정아람)</t>
  </si>
  <si>
    <t>검찰 인근대기</t>
  </si>
  <si>
    <t>공수처대기(박현주)</t>
  </si>
  <si>
    <t>관저2/서부지법 근조화</t>
  </si>
  <si>
    <t>관저1(조해언)</t>
  </si>
  <si>
    <t>관저3</t>
  </si>
  <si>
    <t>지각
연한 빨간색2</t>
  </si>
  <si>
    <t>1월</t>
  </si>
  <si>
    <t>(공수처 등록)검찰 대기</t>
  </si>
  <si>
    <t>하늘공원 일출 (with 김상현)</t>
  </si>
  <si>
    <t>(공수처 등록) 뉴스룸 공수처 MNG 연결 (조해언)</t>
  </si>
  <si>
    <t>관저 대기1(김지윤,이은진)</t>
  </si>
  <si>
    <t>(공수처 등록)공수처장 출근길 / 공수처 대기1</t>
  </si>
  <si>
    <t>뉴스룸 관저 MNG 기자연결 (김지윤)</t>
  </si>
  <si>
    <t>(국방부) 압수수색, 브리핑</t>
  </si>
  <si>
    <t>관저 앞 보수집회 폭력 관련 취재(오원석)</t>
  </si>
  <si>
    <t>제주항공 사고 항공시뮬레이터(박소연)</t>
  </si>
  <si>
    <t>관저5</t>
  </si>
  <si>
    <t>관저 야간상황 종편풀</t>
  </si>
  <si>
    <t>공수처2</t>
  </si>
  <si>
    <t>검찰 대기</t>
  </si>
  <si>
    <t>국회의원 인터뷰</t>
  </si>
  <si>
    <t>(시청)관저3</t>
  </si>
  <si>
    <t>관저4</t>
  </si>
  <si>
    <t>독감 영향 응급실 상황 취재</t>
  </si>
  <si>
    <t>1.제주항공 서울지사 압수수색
2.제주항공 메이필드호텔 브리핑</t>
  </si>
  <si>
    <t>공수처1</t>
  </si>
  <si>
    <t>공수처 메인뉴스 라이브</t>
  </si>
  <si>
    <t>관저 메인뉴스 풀샷</t>
  </si>
  <si>
    <t>운전면허시험장 스케치(박상욱)
증시 개장식
대한의사협회 회장 선거 문서 스케치</t>
  </si>
  <si>
    <t>국회 라이브</t>
  </si>
  <si>
    <t>관저 부감2</t>
  </si>
  <si>
    <t>16:00~익일06:30 관저 상황대기</t>
  </si>
  <si>
    <t>1.관저 부감
2.분당 야탑동 화재(김세현)kill</t>
  </si>
  <si>
    <t>관저 부감3</t>
  </si>
  <si>
    <t>허정무 축구협회 공약</t>
  </si>
  <si>
    <t>제주항공 메이필드 브리핑</t>
  </si>
  <si>
    <t>(시청) 독감 / 증시종가 / 분당 화재(kill)</t>
  </si>
  <si>
    <t>관저 메인뉴스 라이브</t>
  </si>
  <si>
    <t>(공수처 등록)공수처 메인뉴스 라이브</t>
  </si>
  <si>
    <t>관저 진보단체 메인뉴스 라이브</t>
  </si>
  <si>
    <t>녹색병원 리어카 / 관저 부감 메인뉴스</t>
  </si>
  <si>
    <t>관저 민주노총 집회 sk</t>
  </si>
  <si>
    <t>경찰청/ 경호처장,차장 소환조사 / 이예원</t>
  </si>
  <si>
    <t>야간 공수처 영장집행 종편 풀 / 관저 부감</t>
  </si>
  <si>
    <t>야탑역 상가건물 화재 추가 취재 / 이세현</t>
  </si>
  <si>
    <t>공수처 이시각 뉴스룸 기자연결 / 박현주</t>
  </si>
  <si>
    <t xml:space="preserve">조출 관저 상황 + 이시각 뉴스룸 연결 /  김안수 </t>
  </si>
  <si>
    <t>(CES출장 4(토)~12(일))</t>
  </si>
  <si>
    <t>(광화문-헌재) 탄핵 찬성 집회 MNG / 오원석</t>
  </si>
  <si>
    <t>(07:30~11:00)관저 부감</t>
  </si>
  <si>
    <t>날씨스케치</t>
  </si>
  <si>
    <t>관저 이시각 뉴스룸 라이브</t>
  </si>
  <si>
    <t>관저 부감1</t>
  </si>
  <si>
    <t>1.항공대교수인터뷰(박소연)
2.관저 메인뉴스 라이브(김휘란)
3.한남동민주당 집회(최규진x)</t>
  </si>
  <si>
    <t>1.공수처1
2.이마트 물가취재(박준우)</t>
  </si>
  <si>
    <t>(8시)1.현대차그룹 신년회(김도훈)
2.독감 유행(이희정)</t>
  </si>
  <si>
    <t>(관저 부감1)</t>
  </si>
  <si>
    <t>수원</t>
  </si>
  <si>
    <t>이재준 수원특례시장 신년 언론 브리핑</t>
  </si>
  <si>
    <t>(9시)폐지수집 리어카 동행취재(송승환)</t>
  </si>
  <si>
    <t>(공수처등록)관저 종편풀</t>
  </si>
  <si>
    <t>(8시)특수단 긴급 브리핑</t>
  </si>
  <si>
    <t>(8시)관저</t>
  </si>
  <si>
    <t>(관저 부감2)</t>
  </si>
  <si>
    <t>(관저 기자연결)</t>
  </si>
  <si>
    <t>(9시)전광훈 외신 기자회견 스케치(김영민)</t>
  </si>
  <si>
    <t>(공수처 기자연결)</t>
  </si>
  <si>
    <t xml:space="preserve">[오대영 라이브-MNG] 관저 앞 현장 </t>
  </si>
  <si>
    <t>문서sk</t>
  </si>
  <si>
    <t>(관저 입구)</t>
  </si>
  <si>
    <t>내란사태 이후 얼어붙은 내수 경제(박소연)</t>
  </si>
  <si>
    <t>(공수처 팔로우)</t>
  </si>
  <si>
    <t>(9시)25학년도 초등학생 신입생 예비소집 취재</t>
  </si>
  <si>
    <t>(관저 육교)</t>
  </si>
  <si>
    <t>(공수처 등록)</t>
  </si>
  <si>
    <t>숙명여대 제보자 인터뷰(이희정)</t>
  </si>
  <si>
    <t>(공수처등록)헌재 앞 메인뉴스 MNG</t>
  </si>
  <si>
    <t>(공수처 등록) 
1.광화문 날씨 스케치 (단독)
2.헌재 앞 헌법소원청구 기자회견 (김지윤)</t>
  </si>
  <si>
    <t>(공수처 등록)
서울시교육감 기자회견 (이희령)</t>
  </si>
  <si>
    <t>대통령실 관저 부감 종편 풀2</t>
  </si>
  <si>
    <t>[아침&amp;MNG] 날씨 관련 현장 연결 (정아람)</t>
  </si>
  <si>
    <t>헌재 앞 보수집회sk(김휘란)</t>
  </si>
  <si>
    <t>관저대기</t>
  </si>
  <si>
    <t>대통령실 관저 부감 종편 풀1</t>
  </si>
  <si>
    <t>대학가 스케치 및 인터뷰(박상욱)</t>
  </si>
  <si>
    <t>트리거 라운드 인터뷰(강나현)</t>
  </si>
  <si>
    <t>메인뉴스MNG-여의도 환승센터</t>
  </si>
  <si>
    <t>한국교총 신임 회장단 취임식(이희령x)</t>
  </si>
  <si>
    <t>(공수처 등록)망원시장 인터뷰(이상화)</t>
  </si>
  <si>
    <t>군인권센터 고발장 접수 (임예은x)</t>
  </si>
  <si>
    <t>대통령실 관저 부감 종편풀</t>
  </si>
  <si>
    <t>군인권센터 고발장 접수(임예은)</t>
  </si>
  <si>
    <t>군인권센터 기자회견(임예은)</t>
  </si>
  <si>
    <t>관저3 앞 집회(김산)</t>
  </si>
  <si>
    <t>서울시청 대기</t>
  </si>
  <si>
    <t>(공수처 등록)관저 메인뉴스 라이브(김산)</t>
  </si>
  <si>
    <t>임성근 보고서 스케치(유선의)</t>
  </si>
  <si>
    <t>1.KDI 경제동향 문서 스케치(이상화)
2.김문수여론조사(박사라)</t>
  </si>
  <si>
    <t>(공수처 등록)관저2</t>
  </si>
  <si>
    <t>연남동 시민 인터뷰(정아람)</t>
  </si>
  <si>
    <t>박정훈 대령 1심 선고(윤샘이나)</t>
  </si>
  <si>
    <t>건진법사 구속영장실질심사</t>
  </si>
  <si>
    <t>의료개혁특위 토론회(이희정)</t>
  </si>
  <si>
    <t>(공수처 등록)헌재 메인뉴스 라이브(이은진)</t>
  </si>
  <si>
    <t>수도계량기 동파 점검 취재(이희령)</t>
  </si>
  <si>
    <t>관저 입구3</t>
  </si>
  <si>
    <t>대한체육회장 선거 강신욱 후보 기자회견(채승기)</t>
  </si>
  <si>
    <t>관저 입구 1</t>
  </si>
  <si>
    <t>(공수처 등록)소비자원 브리핑</t>
  </si>
  <si>
    <t>1.대통령실 관저 부감 종편풀/2.관저 백골단 출범식</t>
  </si>
  <si>
    <t>아침뉴스 날씨 라이브(연지환)</t>
  </si>
  <si>
    <t>1.아침 날씨 sk
2.박정훈 대령 가족 인터뷰(윤샘이나)</t>
  </si>
  <si>
    <t>문저sk</t>
  </si>
  <si>
    <t>관저 입구 2</t>
  </si>
  <si>
    <t>관저 입구4</t>
  </si>
  <si>
    <t>1.축구협회 신문선(홍지용)
2.독감 유행 관련 우리아이들병원(송승환)</t>
  </si>
  <si>
    <t>김용원 인권위원 기자회견(김휘란)</t>
  </si>
  <si>
    <t>1.박종준 경호처장 마포청사 출석 대비(양빈현)
2.피겨 김채연 선수 인터뷰(이예원)</t>
  </si>
  <si>
    <t>대통령실 관저 부감 종편풀 08:00~10:30</t>
  </si>
  <si>
    <t>05:40~08:00 여의도 환승센터 날씨라이브</t>
  </si>
  <si>
    <t>1.채무조정 신청자 인터뷰(박준우)
2.전현직 인권위 규탄 기자회견(김휘란)</t>
  </si>
  <si>
    <t>(공수처 등록)공수처 대기1</t>
  </si>
  <si>
    <t>1.박종준 처장 국수본 출석(임예은)
2.박종준 처장 국수본 귀가</t>
  </si>
  <si>
    <t>1.공수처 대기2
2.김용현 측 기자회견</t>
  </si>
  <si>
    <t>(공수처 등록)박종준 경호처장 귀가 종편풀</t>
  </si>
  <si>
    <t>(공수처 등록)관저5</t>
  </si>
  <si>
    <t>1.관저3
2.박종준 처장 출석(임예은)</t>
  </si>
  <si>
    <t>공수처 체포영장 대비</t>
  </si>
  <si>
    <t>이시각뉴스룸 경찰청 국가수사본부MNG연결
경호처 경찰 출석 대비</t>
  </si>
  <si>
    <t>설 앞두고 또 '금배추, 금무' 쇼크? +주유소 13주 연속 고공행진 
추위 날씨 스케치
배승주 기자 '이문옥 밝은사회상' 수상</t>
  </si>
  <si>
    <t>광화문 윤석열 탄핵 체포 찬반 집회</t>
  </si>
  <si>
    <t>박종준 전 경호처장 및 이진하 경비안전본부장 조사 후 귀가 종편 POOL</t>
  </si>
  <si>
    <t>관저 앞 집회 sk 및 메인 연결</t>
  </si>
  <si>
    <t>13:30 망원시장 불경기 취재 / 채상병 어머니 편지 모니터 스케치</t>
  </si>
  <si>
    <t>13:00 관저 진보 집회</t>
  </si>
  <si>
    <t>관저 입구 상황 취재</t>
  </si>
  <si>
    <t>관저 입구 오후 상황 취재</t>
  </si>
  <si>
    <t>관저 부감 종편 풀</t>
  </si>
  <si>
    <t>관저입구 및 인근 상황 취재</t>
  </si>
  <si>
    <t>(CES출장 4(토)~12(일)) 복귀</t>
  </si>
  <si>
    <t>(배차 짝 공수처 등록)</t>
  </si>
  <si>
    <t>루블화 만큼 떨어진 원화 가격 인천공항 인터뷰(박소연)</t>
  </si>
  <si>
    <t>1.인권위 바로잡기 공동행동 인권위 규탄 기자회견 (이은진)
2.인권위 전원위 (김휘란)</t>
  </si>
  <si>
    <t>(배차 짝 공수처 등록)이정후 출국(오선민)</t>
  </si>
  <si>
    <t>1.관저 2 / 08:00 도착 / 관저 입구 상황
2.관저 앞 차성안 교수 기자회견</t>
  </si>
  <si>
    <t>(배차 짝 공수처 등록)문서sk</t>
  </si>
  <si>
    <t>(배차 짝 공수처 등록) 1.공수처 1 / 07시 도착 
2.디지털교과서 발행사 기자회견(이희령)</t>
  </si>
  <si>
    <t>테니스선수 정현 인터뷰(오선민)/쿠팡 배송기사 유가족 인터뷰(박상욱)</t>
  </si>
  <si>
    <t>(배차 짝 공수처 등록) 1. 공수처 2 / 07시 도착
2.대한체육회장 유승민 후보 기자회견(양정진)</t>
  </si>
  <si>
    <t>1.일본 이와야 외무상 서울 현충원 방문-종편풀(윤샘이나)</t>
  </si>
  <si>
    <t>1.은평 이마트 물가(성화선)
2.콘크리트 둔덕 공항 구글어스 스케치(박준우)</t>
  </si>
  <si>
    <t>관저 1 / 07:30 도착 / 기자연결 대비</t>
  </si>
  <si>
    <t>1.관저4
2.관저부감 종편풀</t>
  </si>
  <si>
    <t>신용회복위원회 채무조정 신청자 취재(박준우)</t>
  </si>
  <si>
    <t>구자철 은퇴 기자회견(홍지용)-사전등록</t>
  </si>
  <si>
    <t>대한체육회장 선거 (오선민)-사전등록
김민서 / 정배호 (190하 2812(카니발))</t>
  </si>
  <si>
    <t>문해력 진단검사 관련 학생들 인터뷰(이희령)</t>
  </si>
  <si>
    <t>자유로 추돌 사고(임예은)</t>
  </si>
  <si>
    <t>8:00도착/관저 부감 종편풀</t>
  </si>
  <si>
    <t>김혜성 출국인터뷰</t>
  </si>
  <si>
    <t>1.관저3
2.관저 라이브</t>
  </si>
  <si>
    <t>1.야간 관저 상황
2.마포기동대 윤통 체포 출동 대기(김영민)</t>
  </si>
  <si>
    <t>7:30도착/관저1</t>
  </si>
  <si>
    <t>헌재 드론</t>
  </si>
  <si>
    <t>상암동 날씨sk(이한길_리서처)</t>
  </si>
  <si>
    <t>7:30도착/관저2</t>
  </si>
  <si>
    <t>국수본 라이브</t>
  </si>
  <si>
    <t>국수본 출석 대비(임예은)
김민혁 선수 화상인터뷰(정수아)</t>
  </si>
  <si>
    <t>1.7:00도착/공수처1
2.한성대 경제학과 교수 인터뷰(박준우)</t>
  </si>
  <si>
    <t>1.7:00도착/공수처2
2.서울 학생 문해력 진단검사 결과 브리핑(이희령)
3.의협 회장 취임식</t>
  </si>
  <si>
    <t>관저1-기자연결</t>
  </si>
  <si>
    <t>공수처1-기자연결</t>
  </si>
  <si>
    <t>관저 예비2</t>
  </si>
  <si>
    <t>하얏트1</t>
  </si>
  <si>
    <t>1.헌재라이브
2.공수처 종편풀</t>
  </si>
  <si>
    <t>관저2-부감</t>
  </si>
  <si>
    <t>1.석동현 변호사 서울고검 문답 MNG
2.공수처 메인뉴스 라이브</t>
  </si>
  <si>
    <t>하얏트2</t>
  </si>
  <si>
    <t>관저 예비1</t>
  </si>
  <si>
    <t>관저3-육교</t>
  </si>
  <si>
    <t>1.최민정 인터뷰(이선민)
2.김선택 교수 인터뷰(성화선)</t>
  </si>
  <si>
    <t>남산 관저 부감</t>
  </si>
  <si>
    <t>관저4-입구</t>
  </si>
  <si>
    <t>공수처-팔로우</t>
  </si>
  <si>
    <t>서울구치소 라이브</t>
  </si>
  <si>
    <t>1.서울구치소 메인뉴스 라이브
2.관저 종편풀 대기
3.서울구치소 아침 라이브</t>
  </si>
  <si>
    <t>지법내부1</t>
  </si>
  <si>
    <t>김민선 선수 인터뷰 및 경기 스케치(양정진)</t>
  </si>
  <si>
    <t>정치유튜버 행태 취재(김민관)</t>
  </si>
  <si>
    <t>서울구치소2</t>
  </si>
  <si>
    <t>공수처3</t>
  </si>
  <si>
    <t>서울구치소 특보 라이브</t>
  </si>
  <si>
    <t>김택우 의협 회장 첫 기자간담회</t>
  </si>
  <si>
    <t>1.지법외부1
2.공수처 메인뉴스 라이브</t>
  </si>
  <si>
    <t>지법대기</t>
  </si>
  <si>
    <t>유승민 대한체육회장 당선 기자회견</t>
  </si>
  <si>
    <t>공수처 특보 라이브</t>
  </si>
  <si>
    <t>1.지법내부2
2.지법 외부 메인뉴스 라이브</t>
  </si>
  <si>
    <t>1.지법외부2
2.지법 내부 메인뉴스 라이브</t>
  </si>
  <si>
    <t>BYD코리아 승용브랜드 런칭 미디어 쇼케이스(김도훈)</t>
  </si>
  <si>
    <t>서울구치소 차량 팔로우</t>
  </si>
  <si>
    <t>서울 구치소 앞 취재</t>
  </si>
  <si>
    <t>유튜브 캡쳐</t>
  </si>
  <si>
    <t>서울구치소 취재1</t>
  </si>
  <si>
    <t>서울구치소 메인뉴스 라이브</t>
  </si>
  <si>
    <t>탐사일정</t>
  </si>
  <si>
    <t>서부지법 메인뉴스 라이브</t>
  </si>
  <si>
    <t>서부지법 인근1</t>
  </si>
  <si>
    <t>특보 국회 라이브</t>
  </si>
  <si>
    <t>캐리어 기사 인터뷰</t>
  </si>
  <si>
    <t>서부지법 인근2</t>
  </si>
  <si>
    <t>경호처 김성훈 차장 경찰 출석 대비</t>
  </si>
  <si>
    <t>시청 앞 날씨 및 인터뷰(성화선)</t>
  </si>
  <si>
    <t>서부지법 윤 지지집회 앞 std(김민관)</t>
  </si>
  <si>
    <t>익일3:10</t>
  </si>
  <si>
    <t>1.윤통 서부지법 영장심사 라이브1
2.윤통 영장심사 결과대기</t>
  </si>
  <si>
    <t>1.윤통 영장심사 이동동선
2.광화문 집회(김휘란)
3.윤통 영장심사 결과대기</t>
  </si>
  <si>
    <t>1.윤통 서부지법 영장심사 라이브2</t>
  </si>
  <si>
    <t>서울구치소 라이브(정인아)</t>
  </si>
  <si>
    <t>1.공수처 라이브(여도현)
2.서울구치소 상황대기(박소연)</t>
  </si>
  <si>
    <t>서부지법 부감</t>
  </si>
  <si>
    <t>1.국수본 소환조사
2.서부지법 라이브</t>
  </si>
  <si>
    <t>공수처  MNG 기자연결 및 상황대기</t>
  </si>
  <si>
    <t>뉴스룸 공수처-MNG</t>
  </si>
  <si>
    <t>서부지법 현장 취재</t>
  </si>
  <si>
    <t>뉴스룸 구치소-MNG 및 현장취재</t>
  </si>
  <si>
    <t>헌법재판소 보수단체 집회 취재</t>
  </si>
  <si>
    <t>1.뉴스룸 서울서부지법-MNG
2.헌법재판소 보수집회</t>
  </si>
  <si>
    <t>윤석열 출석 공수처 현장 대비1</t>
  </si>
  <si>
    <t>서울구치소1</t>
  </si>
  <si>
    <t>배드민턴협회장 선거 관련 김동문 후보 간담회</t>
  </si>
  <si>
    <t xml:space="preserve">봉준호 감독 미키17 기자간담회 </t>
  </si>
  <si>
    <t>안세영 귀국</t>
  </si>
  <si>
    <t>스타벅스 가격인상</t>
  </si>
  <si>
    <t>삼청동 안가 경찰 압수수색2</t>
  </si>
  <si>
    <t>1.공수처 메인뉴스 라이브(박현주)
2.윤통 강제인치 종편풀 구치소 대기</t>
  </si>
  <si>
    <t>서부지법 극우폭동·취재진 폭행 규탄 긴급 기자회견</t>
  </si>
  <si>
    <t>김연아 옛 코치 인터뷰</t>
  </si>
  <si>
    <t>삼청동 안가 경찰 압수수색1</t>
  </si>
  <si>
    <t>인권위 앞 보수집회</t>
  </si>
  <si>
    <t>윤석열 출석 공수처 현장 대비2</t>
  </si>
  <si>
    <t>국수본 김신 가족부장 소환</t>
  </si>
  <si>
    <t>독감 검사 키트 스케치</t>
  </si>
  <si>
    <t>국회 내란 국정조사특위, 합참 지휘통제실 방문 입장</t>
  </si>
  <si>
    <t>서울구치소 현장대비2</t>
  </si>
  <si>
    <t>서울구치소 현장대비1</t>
  </si>
  <si>
    <t>1.교육 본질 회복을 위한 미래 대학입시 개혁 방안 발표
2.공수처 현장대비</t>
  </si>
  <si>
    <t>피겨 차준환 귀국 인터뷰</t>
  </si>
  <si>
    <t>헌재 현장대비2</t>
  </si>
  <si>
    <t>2024 대한민국 스포츠영웅 헌액식</t>
  </si>
  <si>
    <t>배드민턴 이용대 인터뷰</t>
  </si>
  <si>
    <t>1.IPO 및 상장폐지 제도개선 세미나
2.헌재 현장대비1</t>
  </si>
  <si>
    <t>헌재 현장대비</t>
  </si>
  <si>
    <t>1.날씨 관련 시민인터뷰
2.윤통 병원 취재1</t>
  </si>
  <si>
    <t>남북하나재단 외경</t>
  </si>
  <si>
    <t>1.날씨 스케치
2.윤통 이동동선2</t>
  </si>
  <si>
    <t>헌재 현장대비3</t>
  </si>
  <si>
    <t>1.헌재 인근 집회
2.윤통 병원 취재2 라이브</t>
  </si>
  <si>
    <t>서울구치소 현장대비</t>
  </si>
  <si>
    <t>윤통 이동동선1</t>
  </si>
  <si>
    <t>Kt 노조원 자살 기자회견</t>
  </si>
  <si>
    <t xml:space="preserve">3시간도 부족한 인천공항 출국 </t>
  </si>
  <si>
    <t>서울구치소 현장 대비1</t>
  </si>
  <si>
    <t xml:space="preserve">2025 인빅터스게임 선수단 결단식 </t>
  </si>
  <si>
    <t>학교급식노동자 폐암 산재 국가배상소송 기자회견</t>
  </si>
  <si>
    <t>1.서울시 신년 기자간담회
2.관저 압수수색1</t>
  </si>
  <si>
    <t>배구인의 밤</t>
  </si>
  <si>
    <t>서울구치소 현장 대비2</t>
  </si>
  <si>
    <t>관저 압수수색2</t>
  </si>
  <si>
    <t>공수처 현장 대비1</t>
  </si>
  <si>
    <t>지하철 요금 인상 + 마트 상품 가격 인상(이상화)</t>
  </si>
  <si>
    <t>경실련 임금 미지급 건설노동자 기자회견</t>
  </si>
  <si>
    <t>제 195회 이달의 방송기자상 시상식</t>
  </si>
  <si>
    <t>공수처 현장 대비2</t>
  </si>
  <si>
    <t>인스타그램 청소년 보호  '청소년 계정' 정책 관련 인터뷰</t>
  </si>
  <si>
    <t>계엄가담 전 사령관 공판준비기일</t>
  </si>
  <si>
    <t>KIA, LG 스프링캠프 출국</t>
  </si>
  <si>
    <t>헌재 운현초등학교 돌봄교실 등교길 / 김민관</t>
  </si>
  <si>
    <t>윤통 헌재-한남동 육교 법무부 차량 이동경로1</t>
  </si>
  <si>
    <t>관저,서부지법 인근 상인 불편 취재</t>
  </si>
  <si>
    <t>신년 특수 자영업자 인터뷰</t>
  </si>
  <si>
    <t>서울청 사이버수사대 브리핑(김휘란)</t>
  </si>
  <si>
    <t>(헌법재판소) 윤통 차량 팔로우 (김산)</t>
  </si>
  <si>
    <t>서울구치소 대기</t>
  </si>
  <si>
    <t>헌법재판소 부감2</t>
  </si>
  <si>
    <t>피겨 이해인 선수 인터뷰 (이예원)</t>
  </si>
  <si>
    <t>안국 외국인 관광객 취재</t>
  </si>
  <si>
    <t>방통위 대기</t>
  </si>
  <si>
    <t>헌법재판소 부감1(오디오맨x)</t>
  </si>
  <si>
    <t>서울구치소 조지호 경찰청장 보석석방</t>
  </si>
  <si>
    <t>구치소 메인뉴스 라이브</t>
  </si>
  <si>
    <t>1.제412회 이달의 기자상 시상식
2.윤통 헌재-한남동 육교 법무부 차량 이동경로2</t>
  </si>
  <si>
    <t>1.설 명절 전통시장 환급행사
2.경기도지사 다보스포럼 관련 브리핑</t>
  </si>
  <si>
    <t xml:space="preserve">인파몰린 인천공항 MNG </t>
  </si>
  <si>
    <t>명절 전 조류독감 방역 스케치</t>
  </si>
  <si>
    <t>밀양성폭생사건 피해자 인터뷰</t>
  </si>
  <si>
    <t>질병관리청장 신종감염병 대비 방역물자 비축시설 점검</t>
  </si>
  <si>
    <t xml:space="preserve">부정선거 관련 선관위 관계자 인터뷰 </t>
  </si>
  <si>
    <t>한남동 상권 sk</t>
  </si>
  <si>
    <t>연휴 앞둔 카센터 스케치,인터뷰</t>
  </si>
  <si>
    <t>뉴스룸 팩트체크 김혜미 기자 타이툴 촬영</t>
  </si>
  <si>
    <t>전광훈 귀국 기자회견</t>
  </si>
  <si>
    <t>1.이정수 피겨 심판 인터뷰
2.김연아 자서전 스케치</t>
  </si>
  <si>
    <t>서울구치소 대기2</t>
  </si>
  <si>
    <t>1.국수본 경호처 이광우 경호본부장,김성훈 차장 출석
2.북촌한옥마을 sk</t>
  </si>
  <si>
    <t>국회지원(이지수)</t>
  </si>
  <si>
    <t>1.성동서 텔레그램 자경단 사건 총책 송치
2.서울구치소 대기1</t>
  </si>
  <si>
    <t>깨비시장 현장 스케치, 인터뷰</t>
  </si>
  <si>
    <t>하얼빈 동계아시안게임 결단식</t>
  </si>
  <si>
    <t>1.인천공항 연휴 출국 인파 취재(이상화)
2.경호처 문건 + 연휴 병원 정보 리포트 (박상욱)</t>
  </si>
  <si>
    <t xml:space="preserve">1.지법 경호 sk
2.윤갑근 윤석열 변호인 기자회견 </t>
  </si>
  <si>
    <t>전광훈 집회 취재 (홍지용)</t>
  </si>
  <si>
    <t>1.날씨 단신 sk
2.진보단체 집회 sk sync(신진)</t>
  </si>
  <si>
    <t>뉴스룸 MNG - 검찰 법원 구속기한 연장 불허 (김혜리)</t>
  </si>
  <si>
    <t>고속도로 교통량 스케치(송승환x)</t>
  </si>
  <si>
    <t>윤석열 기소 대비 서초동 집회 스케치2(심가은)</t>
  </si>
  <si>
    <t>대검 검사장회의 퇴장(조해언)</t>
  </si>
  <si>
    <t>윤석열 기소 대비 서초동 집회 스케치1(심가은)</t>
  </si>
  <si>
    <t>1.날씨스케치-하늘공원
2.정부 사칭 사이트 업체에 연락하는 스케치(박소연)
3.JTBC앞 보수집회sk</t>
  </si>
  <si>
    <t>헌법재판소 상황 뻗치기</t>
  </si>
  <si>
    <t>상앙동 인근 날씨 - 눈 sk</t>
  </si>
  <si>
    <t>1.특집다큐 진행자 오프닝 등 현장 촬영
2.서부지법 헌법재판소</t>
  </si>
  <si>
    <t>서부지법 신평 고발 관련 문서 sk (임예은)</t>
  </si>
  <si>
    <t>1.휴일 오전 하늘공원 날씨sk
2.서초동 상황 대기</t>
  </si>
  <si>
    <t>궁내동 톨게이트 오전 교통 상황, 세곡동 눈 sk</t>
  </si>
  <si>
    <t>경기남부 폭설 sk</t>
  </si>
  <si>
    <t>1.궁내동 톨게이트 sk
2.서초동 상황 대기</t>
  </si>
  <si>
    <t>딥시크 시연 sk</t>
  </si>
  <si>
    <t>뉴스룸 MNG 연결 서울역</t>
  </si>
  <si>
    <t>서울역 귀경길 분위기 및 열차지연 sk</t>
  </si>
  <si>
    <t>상암동 하늘공원 눈 sk</t>
  </si>
  <si>
    <t>신당역 화재</t>
  </si>
  <si>
    <t>서울요금소 스케치</t>
  </si>
  <si>
    <t>설맞이 경복궁 시민인터뷰(이희령)</t>
  </si>
  <si>
    <t>1.눈sk
2.대검 대기
3.윤상현 서울구치소 방문</t>
  </si>
  <si>
    <t>서울구치소,대검 대기</t>
  </si>
  <si>
    <t>서울구치소 상황 대기</t>
  </si>
  <si>
    <t xml:space="preserve">딥시크 개인정보? 중국 검열? 비용? Q&amp;A 줌인터뷰 - 박소연 </t>
  </si>
  <si>
    <t>서울톨게이트 귀경 차량 스케치 + 검찰청 특수본 수사 상황</t>
  </si>
  <si>
    <t>&lt;나라를 위해서 일한다는 거짓말&gt; 책 표지, 내용 sK 저비용으로 AI 시장 뒤흔든 딥시크 시연 스탠드업 박소연</t>
  </si>
  <si>
    <t>뉴스룸 휴게소 귀경객 인터뷰</t>
  </si>
  <si>
    <t>뉴스룸 죽전휴게소 기자연결 / 이은진</t>
  </si>
  <si>
    <t>(1/31~2/1)해군 기동함대사령부 창성 정조대왕함 첫 편승
-제주,부산</t>
  </si>
  <si>
    <t>서울시청 상황대기
날씨스케치1</t>
  </si>
  <si>
    <t>수원시장 아침앤 연결 (이세현)</t>
  </si>
  <si>
    <t>서울 구치소 상황대기2</t>
  </si>
  <si>
    <t>경찰청 압수수색</t>
  </si>
  <si>
    <t>삼성전자 프레스콜 모니터 스케치, 싱크</t>
  </si>
  <si>
    <t>관저 부감_김건희 여사 구치소 이동 대비</t>
  </si>
  <si>
    <t>증권거래소 증시종가 및 환율</t>
  </si>
  <si>
    <t>삼성전자, sk하이닉스 주가 창 모니터 스케치</t>
  </si>
  <si>
    <t>보조베터리 사고 관련 김포공항 sk와 시민인터뷰(박소연)</t>
  </si>
  <si>
    <t>서울 구치소 상황대기1</t>
  </si>
  <si>
    <t>날씨스케치2</t>
  </si>
  <si>
    <t>(1/31~2/1)해군 기동함대사령부 창성 정조대왕함 첫 편승
-제주,부산(국방부)</t>
  </si>
  <si>
    <t>2월</t>
  </si>
  <si>
    <t>MNG연결-광화문) 탄핵 찬반 집회 (김휘란)</t>
  </si>
  <si>
    <t>용산 대통령실 근무</t>
  </si>
  <si>
    <t>(지각)윤석열 국민 변호인단 준비행사 / 류정화</t>
  </si>
  <si>
    <t>한글박물관 화재</t>
  </si>
  <si>
    <t>탄핵 찬반 취재(김휘란)</t>
  </si>
  <si>
    <t>시청역 서울광장 스케이트장 sk과 인터뷰 (성화선)</t>
  </si>
  <si>
    <t>극우 물드는 학생들 관련 현직 교사 인터뷰 (이은진)</t>
  </si>
  <si>
    <t>데이비드 윌슨 안무가 화상 int (오선민)</t>
  </si>
  <si>
    <t>아침엔 날씨라이브(박상욱)</t>
  </si>
  <si>
    <t>한국거래소 시황(공다솜)</t>
  </si>
  <si>
    <t>구치소 조문 백블 대기</t>
  </si>
  <si>
    <t>딥시크&amp;챗지피티 관련 교수 인터뷰(정아람)</t>
  </si>
  <si>
    <t>국회지원-김영묵</t>
  </si>
  <si>
    <t>1.날씨스케치
2.사람 콧속 녹조(유해 남세균) 독소 검출 발표(이희령)</t>
  </si>
  <si>
    <t>강남역 날씨 MNG(송승환)</t>
  </si>
  <si>
    <t>헌법재판소 상황대기</t>
  </si>
  <si>
    <t>민주노총, 한국노총 근로기준법 개정 항의 기자회견(이희령)</t>
  </si>
  <si>
    <t>구치소 상황대기</t>
  </si>
  <si>
    <t>문서스케치(박준우)</t>
  </si>
  <si>
    <t>강남역 날씨(송승환)</t>
  </si>
  <si>
    <t>내란혐의 여인형 문상호 전사령관 공판준비기일</t>
  </si>
  <si>
    <t>헌법재판소 내부 메인뉴스 MNG</t>
  </si>
  <si>
    <t>이재용-샘 올트먼 회동(박준우)</t>
  </si>
  <si>
    <t>1.AI 생활기록부 작성 관련 교사 줌(화상) 인터뷰
2.헌법재판소 외부 메인뉴스 MNG
3.윤통 구치소 팔로우2</t>
  </si>
  <si>
    <t>1.국회 국조특위 메인뉴스 MNG
2.윤통 구치소 팔로우3</t>
  </si>
  <si>
    <t>1.공동경비구역 JSA 재상영 관련 포토월
2.헌법재판소 부감3</t>
  </si>
  <si>
    <t>국회지원-이지수
1.국회 딥시크+AI 발전 간담회(박소연)</t>
  </si>
  <si>
    <t>1.서울시장 외신기자회견
2.윤통 헌재 이동동선</t>
  </si>
  <si>
    <t>닥터헬기 운용 실태(이희정)</t>
  </si>
  <si>
    <t>헌법재판소 부감1</t>
  </si>
  <si>
    <t>날씨 아침앤 mng(황예린)</t>
  </si>
  <si>
    <t>고성희 ISU 피겨심판 인터뷰1(오선민)</t>
  </si>
  <si>
    <t>카카오 정신아 대표 AI 사업방향 발표+샘 올트먼</t>
  </si>
  <si>
    <t>고성희 ISU 피겨심판 인터뷰2(오선민)</t>
  </si>
  <si>
    <t>헌법재판소 특보 상황대기(김영민)</t>
  </si>
  <si>
    <t>1.날씨스케치-여의도
2. 금감원 24년 지주·은행 등 주요 검사결과(공다솜)</t>
  </si>
  <si>
    <t>서부지법 폭동영장실질 심사(임예은)</t>
  </si>
  <si>
    <t>경기북부 동계수난구조 훈련(이희령)</t>
  </si>
  <si>
    <t>2024-25 ACL 참가 K리그 4개팀 미디어데이</t>
  </si>
  <si>
    <t>일산대교 인근 날씨(박상욱)</t>
  </si>
  <si>
    <t>시청일정</t>
  </si>
  <si>
    <t>서울구치소 대기1</t>
  </si>
  <si>
    <t>닥터헬기 추가 촬영(이희정)</t>
  </si>
  <si>
    <t>1.날씨스케치-여의도
2.내란선동 관련 전광훈 목사 특별기자회견(양빈현)
3.서부지법 폭동 영장실질심사(임예은)</t>
  </si>
  <si>
    <t>파주운정참존교회 sk(김산)</t>
  </si>
  <si>
    <t>커피숍 &amp; 주유소 물가 취재(정아람)</t>
  </si>
  <si>
    <t>1.부영그룹 시무식(공다솜)
2.동작구 만원주택(공다솜)</t>
  </si>
  <si>
    <t>국회지원-이지수</t>
  </si>
  <si>
    <t>2025 제9회 하얼빈 동계아시아 경기대회 출장
2.5(수) 개회식 전 출발~ 2.15(토) 폐회식 후 복귀</t>
  </si>
  <si>
    <t>동덕여자대학교 학생들 인터뷰(이희령)</t>
  </si>
  <si>
    <t>1.07:30 아침 출근길 sk  
2.09:30 한국증시 활성화 토론회(공다솜)</t>
  </si>
  <si>
    <t>캐나다 인빅터스게임 (2.6(목)~2.18(화))</t>
  </si>
  <si>
    <t>헌법재판소 상황대기1(김휘란)</t>
  </si>
  <si>
    <t>1.고용노동부 전국 기관장 회의(이희령)
2.날씨스케치-광화문/(눈)</t>
  </si>
  <si>
    <t>앱 개발자 인터뷰(정아람)</t>
  </si>
  <si>
    <t>윤통 변론기일_헌법재판소 부감2</t>
  </si>
  <si>
    <t>10시 윤통 변론기일_헌법재판소 부감1</t>
  </si>
  <si>
    <t>보조배터리 진화 실험(김민관)</t>
  </si>
  <si>
    <t>마트 노동자 인터뷰(박상욱)</t>
  </si>
  <si>
    <t>메인뉴스 MNG-광화문 날씨(박상욱)</t>
  </si>
  <si>
    <t>고려대 김승주 정보보호대학원 교수 화상 인터뷰(박준우)</t>
  </si>
  <si>
    <t>날씨스케치-상암/(눈)</t>
  </si>
  <si>
    <t>방송기자대상 시상식</t>
  </si>
  <si>
    <t>헌법재판소 상황대기2(김휘란)</t>
  </si>
  <si>
    <t>6~8 제주 영상기협 트라우마 연수</t>
  </si>
  <si>
    <t>홍제폭포 스케치 및 시민 인터뷰(박상욱)</t>
  </si>
  <si>
    <t>서울구치소 윤통 접견(황예린)</t>
  </si>
  <si>
    <r>
      <rPr>
        <rFont val="Malgun Gothic"/>
        <color theme="1"/>
        <sz val="11.0"/>
      </rPr>
      <t xml:space="preserve">1.관저 화환 취재(김안수)
</t>
    </r>
    <r>
      <rPr>
        <rFont val="Malgun Gothic"/>
        <color rgb="FFFF0000"/>
        <sz val="11.0"/>
      </rPr>
      <t>2.대통령실 출입처 인수</t>
    </r>
  </si>
  <si>
    <t>대통령실 출입처 인계</t>
  </si>
  <si>
    <t>송대관 빈소</t>
  </si>
  <si>
    <t>아이스크림 가격인상(전다빈)</t>
  </si>
  <si>
    <t>1.날씨스케치 - 홍대
2.마트노조 위원장 인터뷰(박상욱)</t>
  </si>
  <si>
    <t>챗gpt 생활기록부 작성 시연(송승환)</t>
  </si>
  <si>
    <t xml:space="preserve">
전광훈 '청교도신학원'sk(이자연)</t>
  </si>
  <si>
    <t>아침앤 날씨MNG</t>
  </si>
  <si>
    <t>석유공사 예산과 신규 차입금 관련 문서 스케치(박준우)</t>
  </si>
  <si>
    <t>생활기록부 AI 작성 관련 학부모 반응 취재(송승환)</t>
  </si>
  <si>
    <t>서부지법 난동 사태 영장심사(임예은)</t>
  </si>
  <si>
    <t>광화문 탄핵 찬성 집회2</t>
  </si>
  <si>
    <t>날씨스케치-반포</t>
  </si>
  <si>
    <t>광화문 탄핵 찬성 집회1(임지수)</t>
  </si>
  <si>
    <t>한강공원 날씨 스케치</t>
  </si>
  <si>
    <t>뉴스룸 연결 한강공원 날씨 MNG</t>
  </si>
  <si>
    <t>국힘 당협위원장 기자회견</t>
  </si>
  <si>
    <t>헌법 재판관 임명 관련 공문 문서 스케치</t>
  </si>
  <si>
    <t>날씨 스케치</t>
  </si>
  <si>
    <t>철강 제조 중소기업 취재(전다빈)</t>
  </si>
  <si>
    <t xml:space="preserve">U-20 아시안컵 대표팀 출국 </t>
  </si>
  <si>
    <t>검찰지원-홍승재</t>
  </si>
  <si>
    <t>택시 흉기난동 건 스케치 및 인터뷰(김영민)</t>
  </si>
  <si>
    <t>인권위 제2차 전원위원회1</t>
  </si>
  <si>
    <t>쇼트트랙 대표팀 등 귀국(양정진)</t>
  </si>
  <si>
    <t>서부지법 녹색점퍼남 관련 스케치(심가은)</t>
  </si>
  <si>
    <t>서울구치소 상황대기</t>
  </si>
  <si>
    <t>인권위 제2차 전원위원회2</t>
  </si>
  <si>
    <t>인권위 제2차 전원위원회3</t>
  </si>
  <si>
    <t>여의도 눈썰매장+한강대교 sk</t>
  </si>
  <si>
    <t>(오후반차)</t>
  </si>
  <si>
    <t>미셸콴 화상 인터뷰(오선민)</t>
  </si>
  <si>
    <t>북부지법 흡연장살인 입장표명(김지윤)</t>
  </si>
  <si>
    <t>부당선거의혹관련 문서 스케치</t>
  </si>
  <si>
    <t>명태균 특검법안 문서sk</t>
  </si>
  <si>
    <t>뉴스룸 MNG연결 헌법재판소</t>
  </si>
  <si>
    <t>대전 초등생 사망사건 현장취재(박상욱)</t>
  </si>
  <si>
    <t>인권위 기자회견(이은진)</t>
  </si>
  <si>
    <t>헌재 부감1</t>
  </si>
  <si>
    <t>헌재 부감2</t>
  </si>
  <si>
    <t>1.미국 수출 중소기업 인터뷰(전다빈)
2.미국 수출 중소기업 스케치</t>
  </si>
  <si>
    <t>국회지원-신승규</t>
  </si>
  <si>
    <t>대전 초등생 사망사건 현장취재(김산)</t>
  </si>
  <si>
    <t>교사 휴복직 관련 문서 스케치</t>
  </si>
  <si>
    <t>글로벌 컨퍼런스 'AI SEOUL 2025'(정아람)</t>
  </si>
  <si>
    <t>정몽규 축구협회장 후보 기자간담회(홍지용)</t>
  </si>
  <si>
    <t>대전 살해 사건 관련 논문sk</t>
  </si>
  <si>
    <t>인력사무소 인터뷰(이상화)</t>
  </si>
  <si>
    <t>금 사재기 열풍 취재(정아람)</t>
  </si>
  <si>
    <t>군인권센터 기자회견(심가은)</t>
  </si>
  <si>
    <t>방통위 회의</t>
  </si>
  <si>
    <t>중등임용 발표 오류 관련 경기교육청 브리핑(이세현)</t>
  </si>
  <si>
    <t>아침엔 날씨라이브(김휘란)</t>
  </si>
  <si>
    <t>로잔 발레 콩쿠르 한국인 최초 우승자 박윤재(조소희)</t>
  </si>
  <si>
    <t>1.날씨스케치-시청앞
2.대통령실 화환(김안수)</t>
  </si>
  <si>
    <t>중기부 중소기업 지원 간담회(전다빈)</t>
  </si>
  <si>
    <t>밀착-중증외상센터 전문의(정희윤)</t>
  </si>
  <si>
    <t>아시안게임 스피드스케이팅 선수단 귀국</t>
  </si>
  <si>
    <t>의사 집단행동 피해 사례 인터뷰(송승환)</t>
  </si>
  <si>
    <t>대전 사건 관련, 교사노조 인터뷰(박상욱)</t>
  </si>
  <si>
    <t>이미지 모형 촬영(성화선)</t>
  </si>
  <si>
    <t>철강업체 인근 지역 상권 분위기(박소연)</t>
  </si>
  <si>
    <t>국회지원-박재현</t>
  </si>
  <si>
    <t>(한남동 관저) 대통령 '황제밥차' 추적 / 오원석</t>
  </si>
  <si>
    <t>1.헌재 앞 집회
2.헌재 부감 종편풀2</t>
  </si>
  <si>
    <t>1.K리그1 개막 미디어데이(홍지용)
2.인권위 윤대통령 방어권 보장안건 sk(김지윤)</t>
  </si>
  <si>
    <t>서울청 마약수사대 브리핑(김안수)</t>
  </si>
  <si>
    <t>윤통 국민변호인단 출범식</t>
  </si>
  <si>
    <t>(한남동 관저) 윤통 스탭 &amp; 밥차 차량 팔로우</t>
  </si>
  <si>
    <t xml:space="preserve">(헌재 정문) 도시락-코디 차량 도착 sk 및 윤통 경호차량 sk </t>
  </si>
  <si>
    <t>토허제 해제 관련 잠실 부동산(공다솜)</t>
  </si>
  <si>
    <t>청계광장 메인뉴스 라이브(이은진)</t>
  </si>
  <si>
    <t>구치소 출발 경호 차량 내부</t>
  </si>
  <si>
    <t>(헌재 부감 풀) 윤통 8차 변론기일 부감</t>
  </si>
  <si>
    <t>국군외상센터(김민관)</t>
  </si>
  <si>
    <t>1.(헌재 부감 풀) 윤통 8차 변론기일 부감
2.중소기업 홈페이지 모니터 스케치(전다빈)</t>
  </si>
  <si>
    <t>차량 테러 피해자 인터뷰/공항 주차장 스케치(양빈현)</t>
  </si>
  <si>
    <t>탁구선수 전지희 은퇴식(홍지용)</t>
  </si>
  <si>
    <t>코인노래방 절도범 강남서 송치(정인아)</t>
  </si>
  <si>
    <t>김채연 차준환 등 아시안게임 피겨 선수단 귀국</t>
  </si>
  <si>
    <t>대전 사건 관련 브릿지 및 문서 스케치(박상욱)</t>
  </si>
  <si>
    <t>AI 스타트업체 대표 인터뷰(정아람)</t>
  </si>
  <si>
    <t>대사관 차량 뺑소니 피해자 int(김지윤)</t>
  </si>
  <si>
    <t>아침&amp; 이원중계-부천시장 (이세현)</t>
  </si>
  <si>
    <t>서울청사</t>
  </si>
  <si>
    <t>정부청사 총리 행사 대비 및 광화문 집회 행진 부감</t>
  </si>
  <si>
    <t>장정원</t>
  </si>
  <si>
    <t>광주</t>
  </si>
  <si>
    <t>1.무안공항 여객기 참사 49재
2.광주 - 탄핵 찬반 집회</t>
  </si>
  <si>
    <t>짐 로저스 투자협약식 및 JTBC 단독 인터뷰-정아람</t>
  </si>
  <si>
    <t>대통령실 압수수색 대비 및 헌재 앞 탄핵 반대 집회</t>
  </si>
  <si>
    <t>1.윤대 탄핵 반대 집회(서부지법, 헌재)/국힘 - 함민정
2.무학중학교 화재</t>
  </si>
  <si>
    <t>아시안게임 본진 귀국 환영행사 - 홍지용</t>
  </si>
  <si>
    <t>1.윤통 탄핵 반대 집회(공수처)/국힘-함민정
2.서울대 윤통 탄핵 찬반 집회</t>
  </si>
  <si>
    <t>광화문 탄핵 찬성 집회 15시 17시</t>
  </si>
  <si>
    <t>김영철</t>
  </si>
  <si>
    <t>경남</t>
  </si>
  <si>
    <t>부산 호텔 화재 감식(배승주)</t>
  </si>
  <si>
    <t>울산 K리그 개막식(양정진)</t>
  </si>
  <si>
    <t>탄핵 집회 사진전(조소희)</t>
  </si>
  <si>
    <t>통상 업무 및 경호처 압수수색 대비</t>
  </si>
  <si>
    <t>날씨스케치-미세먼지</t>
  </si>
  <si>
    <t>518유족 트라우마 피해자 인터뷰(김산)</t>
  </si>
  <si>
    <t>카페 매출 감소 관련 카페 인터뷰(이상화)-조용희</t>
  </si>
  <si>
    <t>충북대 의대 현장취재(이희령)</t>
  </si>
  <si>
    <t>극우 서적 교보문고 및 도서관 외경(임예은)</t>
  </si>
  <si>
    <t>무학여고 화재 합동감식(정인아)</t>
  </si>
  <si>
    <t>헌재 국힘의원 방문</t>
  </si>
  <si>
    <t>엣지파운드리-한화인텔리전스 기업합병설명회</t>
  </si>
  <si>
    <t>공덕역 화재</t>
  </si>
  <si>
    <t>서울대 찬반집회(김영민)</t>
  </si>
  <si>
    <t>카페 매출 감소 관련 카페 인터뷰(이상화)-신동환</t>
  </si>
  <si>
    <t>의정갈등 인터뷰(이희정)</t>
  </si>
  <si>
    <t>문형배 집 앞 출근길 시위(이은진)</t>
  </si>
  <si>
    <t>유치원 철거현장(이상화)</t>
  </si>
  <si>
    <t>의료파업 피해 관련 문서, 화면 스케치(성화선)</t>
  </si>
  <si>
    <t>골드바, 순금 제품 생산 공장 촬영 - 공다솜</t>
  </si>
  <si>
    <t>사대륙 피겨스케이팅 선수권대회 미디어데이(이예원)</t>
  </si>
  <si>
    <t>헌법재판소 - 윤통 변론기일 헌재 부감1</t>
  </si>
  <si>
    <t>이상민 압색 관련 자택 스케치(임예은)</t>
  </si>
  <si>
    <t>헌법재판소 - 윤통 변론기일 외곽 취재-김휘란</t>
  </si>
  <si>
    <t>문형배 헌재소장 집 앞 집회장소 - 오원석</t>
  </si>
  <si>
    <t>1.헌법재판소 - 윤통 변론기일 헌재 부감2
2.유아인 서울구치소 석방(kill)</t>
  </si>
  <si>
    <t>서울구치소 - 윤통 변론기일 헌재로 출발하는 차량 sk</t>
  </si>
  <si>
    <t>인권위-사령관 4인 긴급구제 임시 군인권소위원회 / 김지윤</t>
  </si>
  <si>
    <t>청주공항 사진촬영 기준 문서 스케치(박준우)</t>
  </si>
  <si>
    <t>반려견 학대 사건 - 김안수</t>
  </si>
  <si>
    <t>화성 장난감 공장(전다빈)</t>
  </si>
  <si>
    <t>원정도박 관련 제보자 익명 인터뷰-임예은</t>
  </si>
  <si>
    <t>이상민 자택 압수수색 종편 풀</t>
  </si>
  <si>
    <t>로보락 등 중국제품 촬영 및 소비자거리인터뷰(전다빈)</t>
  </si>
  <si>
    <t>수원지법 이상식 1심 선고(이세현)</t>
  </si>
  <si>
    <t>최태원 방미 전 김포공항 인터뷰(박소연)</t>
  </si>
  <si>
    <t>K리그2 개막 미디어데이(양정진)</t>
  </si>
  <si>
    <t>평택 화양지구 취재(정아람)</t>
  </si>
  <si>
    <t>문형배 퇴근 자택 집회</t>
  </si>
  <si>
    <t>하남 파티룸 철거현장(이상화)</t>
  </si>
  <si>
    <t>보이스피싱 피해자 스케치-여의도 콘레드(김영민)</t>
  </si>
  <si>
    <t>1.열린포럼 미팅(중식)11:30~13:00
2.성산 검사소 운수종사자 자격유지시험(이상화)</t>
  </si>
  <si>
    <t>금감원-은행장 간담회(공다솜)</t>
  </si>
  <si>
    <t>의대증원 논의 문서sk(이희정)</t>
  </si>
  <si>
    <t>보이스피싱 피해자 인터뷰</t>
  </si>
  <si>
    <t>[아침&amp;-중계] 날씨 여의도 환승센터 (송승환)</t>
  </si>
  <si>
    <t>김연아 다큐 인터뷰1(오선민)</t>
  </si>
  <si>
    <t>1.[윤통] 헌재 변론기일-메인뉴스 MNG(여도현)
2.[윤통] 헌재 변론기일-뉴스특보 MNG(여도현)</t>
  </si>
  <si>
    <t>1.[윤통] 중앙지법 구속취소 심문-서초대로 부감
2.[윤통] 헌재 변론기일-헌재 부감1</t>
  </si>
  <si>
    <t>1.보이스피싱 피해자 인터뷰(이세현)
2.쯔양 유튜버 협박 선고(이세현)
3.안부수 아태평화교류협회 회장 항소심 선고(이세현)</t>
  </si>
  <si>
    <t>[윤통] 헌재 변론기일-헌재 부감3</t>
  </si>
  <si>
    <t>증시인프라 관련 토론회(공다솜)</t>
  </si>
  <si>
    <t>1.문형배 자택 앞 출근길(이은진)
2.차범근 축구상 시상식(채승기)</t>
  </si>
  <si>
    <t>1.[윤통] 중앙지법 구속취소 심문-관저 입구
2.[윤통] 헌재 변론기일-헌재 부감2</t>
  </si>
  <si>
    <t>[윤통] 중앙지법 구속취소 심문-지법 삼거리(김산)</t>
  </si>
  <si>
    <t>아침 날씨 스케치</t>
  </si>
  <si>
    <t>김상현</t>
  </si>
  <si>
    <t>김연아 다큐 인터뷰2(오선민)</t>
  </si>
  <si>
    <t>[윤통] 중앙지법 구속취소 심문-지법 기자연결(여도현)</t>
  </si>
  <si>
    <t>의원 + 학부모 인터뷰(이희령)</t>
  </si>
  <si>
    <t>[윤통] 중앙지법 구속취소 심문-관저 부감</t>
  </si>
  <si>
    <t>반도체 노동자 '자녀 산재' 기자회견(이희령)</t>
  </si>
  <si>
    <t>[윤통] 중앙지법 구속취소 심문-지법 내부</t>
  </si>
  <si>
    <t>국군수도병원(김민관)</t>
  </si>
  <si>
    <t>[윤통] 중앙지법 구속취소 심문-지법동문 부감</t>
  </si>
  <si>
    <t>[윤통] 헌재 변론기일-특보연결 대비</t>
  </si>
  <si>
    <t>피겨 사대륙 대회/ 남자 쇼트-차준환(이예원)</t>
  </si>
  <si>
    <t>경기도 경제부지사 브리핑(이세현)</t>
  </si>
  <si>
    <t>원정 도박 관련 외경 취재(임예은)</t>
  </si>
  <si>
    <t>은평 이마트 냉동과일 코너(이상화)</t>
  </si>
  <si>
    <t>1.군 휴양시설 VIP사용_을왕리 군 휴양시설 스케치(김재현)
2.군 휴양시설 VIP사용_문서sk(김재현)</t>
  </si>
  <si>
    <t>ott 계정 공유 사이트 등 모니터 스케치(전다빈)</t>
  </si>
  <si>
    <t>피겨 사대륙 대회/ 여자 쇼트-김채연(이예원)</t>
  </si>
  <si>
    <t>한국기자상 시상식</t>
  </si>
  <si>
    <t xml:space="preserve">테무 화면 캡쳐 </t>
  </si>
  <si>
    <t>테무 한국지사 오피스 
서울 월드컵 경기장 sk 및 인터뷰</t>
  </si>
  <si>
    <t>군미필 사직 전공의 집회</t>
  </si>
  <si>
    <t>2/19~2/23 4대륙 피겨대회 (오디오:황준모)
피겨 사대륙 대회/남자 프리+시상식</t>
  </si>
  <si>
    <t>전광훈 알뜰폰 취재
탄핵 찬반집회 취재</t>
  </si>
  <si>
    <t>수원(광교) 경기 남부 사무실 사건사고 - 화재</t>
  </si>
  <si>
    <t>주말 날씨 sk</t>
  </si>
  <si>
    <t>반도체 기술력 평가 문서 자료 스케치 - 박준우</t>
  </si>
  <si>
    <t>2/19~2/23 4대륙 피겨대회 (오디오:황준모)
피겨 사대륙 대회/여자 프리+시상식</t>
  </si>
  <si>
    <t>변협 신임 회장 취임식 - 김혜리</t>
  </si>
  <si>
    <t>용산구의회 의원 도박 관련 취재 - 임예은</t>
  </si>
  <si>
    <t>14:00 박성재 법무부장관 탄핵심판
16:00 이창수 서울중앙지검장, 조상원 4차장,
        최재운 반부패부장 탄핵 2차 변론</t>
  </si>
  <si>
    <t>대형 사교육업체 기숙학원 취재-이희령</t>
  </si>
  <si>
    <t>한국교회총연합 성명서 모니터 sk</t>
  </si>
  <si>
    <t>안산 만안구 무속인 인터뷰- 오원석</t>
  </si>
  <si>
    <t>서울시 교통수단 통합 GO SEOUL 기자설명회</t>
  </si>
  <si>
    <t xml:space="preserve">12.3 계엄 트라우마 </t>
  </si>
  <si>
    <t>뉴스룸 구치소 MNG(김산)</t>
  </si>
  <si>
    <t>숭실대 탄핵반대 회견, 집회</t>
  </si>
  <si>
    <t>스카이데일리 취재</t>
  </si>
  <si>
    <t>연세대학교 졸업식 및 날씨 sk-이한길</t>
  </si>
  <si>
    <t>추가 대휴</t>
  </si>
  <si>
    <t>뉴스룸 구치소 상황대기</t>
  </si>
  <si>
    <t xml:space="preserve">정례 브리핑 / 브리핑룸 </t>
  </si>
  <si>
    <t>대한체육회, 동계체전 종합 시상식 - 양정진</t>
  </si>
  <si>
    <t>세종고속도로 붕괴사고 - 김산</t>
  </si>
  <si>
    <t>윤통 탄핵 최후변론 / 서울구치소 - 차량 탑승 sk 1</t>
  </si>
  <si>
    <t>삼송동 식당 살해사건 피의자 영장실질심사 - 김안수</t>
  </si>
  <si>
    <t>윤석열 대통령 탄핵 심판 11차 변론</t>
  </si>
  <si>
    <t xml:space="preserve">윤상현 의원 법원 앞 1인 시위 외 다수 </t>
  </si>
  <si>
    <t>1.오새훈 시장 팔로우 및 백블
2.한은 금통위 브리핑 실시간 라이브</t>
  </si>
  <si>
    <t>헌재 부감 풀</t>
  </si>
  <si>
    <t>(전남 광양) 넷째 출산 가정 취재(정아람)</t>
  </si>
  <si>
    <t>윤통 탄핵 최후변론 / 서울구치소 - 차량 탑승 sk 2</t>
  </si>
  <si>
    <t>헌재 기자연결 및 상황대비 1</t>
  </si>
  <si>
    <t>헌재 밖 메인뉴스 기자연결</t>
  </si>
  <si>
    <t>검찰, 오세훈 후원자 압수수색 사무실(연지환)</t>
  </si>
  <si>
    <t>중기부 AI 초격차 챌린지 / 박준우</t>
  </si>
  <si>
    <t>저출산고령사회위원회 간담회 / 이희정</t>
  </si>
  <si>
    <t>(시청) 안보포럼 트럼프 2기, 한반도 안보의 길을 묻다</t>
  </si>
  <si>
    <t>IOC선수위원 후보자 인터뷰(정수아)</t>
  </si>
  <si>
    <t>다이소 건강기능식품 판매 관련(송승환)</t>
  </si>
  <si>
    <t>안덕근 산자부 장관 미국 출국 / 박준우</t>
  </si>
  <si>
    <t>청년 고용 관련 전문가 인터뷰 / 송승환</t>
  </si>
  <si>
    <t>키즈카페 사장님 및 이용자 인터뷰 / 공다솜</t>
  </si>
  <si>
    <t>보이스피싱 수거책 지인 인터뷰(양빈현)</t>
  </si>
  <si>
    <t>계엄 트라우마 인터뷰(이희정)</t>
  </si>
  <si>
    <t>검찰, 오세훈 후원자 압수수색 자택(연지환)</t>
  </si>
  <si>
    <t>대한축구협회장 선거(홍지용)</t>
  </si>
  <si>
    <t>육군사관학교 졸업 및 임관식</t>
  </si>
  <si>
    <t>마약수사단 브리핑(심가은)</t>
  </si>
  <si>
    <t>청년고용 관련 취준생 인터뷰(송승환)</t>
  </si>
  <si>
    <t>1.종교계 전광훈 구속수사 촉구 기자회견(강나현)
2.GS리테일 개인정보 유출(박준우)</t>
  </si>
  <si>
    <t>민주노총 신년 기자간담회(박상욱)</t>
  </si>
  <si>
    <t>경복궁 선원전 편액 언론공개회(조소희)</t>
  </si>
  <si>
    <t>극우주의와 한국교회 토론회(강나현)</t>
  </si>
  <si>
    <t>남부지검 가상자산범죄합동수사부 출범식(양빈현)</t>
  </si>
  <si>
    <t>대교 개인정보 유출 관련 촬영(이희령)</t>
  </si>
  <si>
    <t>남대문서 양경수 출석(김지윤)</t>
  </si>
  <si>
    <t>U20 대표팀 귀국 인터뷰(양정진)</t>
  </si>
  <si>
    <t>1.계엄트라우마 관련 문건 스케치(이희정)
2.아동살해 태권도장 관장 반성문 문서sk(김지윤)
3.북한군 침투설부터 "전두환 다시 부활" 주장 문서 (정해성)</t>
  </si>
  <si>
    <t>청년고용 관련 취업준비생 인터뷰(송승환)</t>
  </si>
  <si>
    <t>장르가 머니' 현장체험아이템</t>
  </si>
  <si>
    <t>한강버스 승선 일정(이은진)</t>
  </si>
  <si>
    <t>창원지검 명태균 조사(윤정주)</t>
  </si>
  <si>
    <t>서강대 탄핵찬반 집회(임예은)</t>
  </si>
  <si>
    <t>환율 스케치(공다솜)</t>
  </si>
  <si>
    <t>연금 ‘받는 돈’ 1%p 차이 뭐길래_피규어 (이지은)</t>
  </si>
  <si>
    <t>현대엔지니어링 사고현장 감식(이세현)</t>
  </si>
  <si>
    <t>경찰청 인터뷰(정혜성)</t>
  </si>
  <si>
    <t>1.취업 준비생 인터뷰(이상화)
2.외국어대 탄핵 찬반집회(김안수)</t>
  </si>
  <si>
    <t>증시종가(공다솜)</t>
  </si>
  <si>
    <t>현대엔지니어링 사고 브리핑(공다솜)</t>
  </si>
  <si>
    <t>1.헌재 앞 초등학교 학부모 길거리 인터뷰(심가은)
2.대체거래소 상황실 스케치(이상화)</t>
  </si>
  <si>
    <t>인천 빌라 화재(이자연)</t>
  </si>
  <si>
    <t>현대 엔지니어링 압수수색</t>
  </si>
  <si>
    <t>이철규 의원 아들 마약 적발 장소(정인아)</t>
  </si>
  <si>
    <t>홍대 연남동 날씨 sk(이한길)</t>
  </si>
  <si>
    <t>신세계 강남점 마켓 오픈(박준우)</t>
  </si>
  <si>
    <t>대한체육회 정기대의원총회(양정진)</t>
  </si>
  <si>
    <t>관악구청 공무원 부적절 방송(김영민)</t>
  </si>
  <si>
    <t>오디오맨</t>
  </si>
  <si>
    <t>3월</t>
  </si>
  <si>
    <t>안국역 진보 집회</t>
  </si>
  <si>
    <t>이상빈</t>
  </si>
  <si>
    <t>통상 업무 및 탄핵 반대 집회 대비</t>
  </si>
  <si>
    <t>대학생탄핵반대집회(이윤석)</t>
  </si>
  <si>
    <t>구병욱</t>
  </si>
  <si>
    <t>1.날씨스케치(이희정)
2.여의도 집회 상황대기</t>
  </si>
  <si>
    <t>오유성</t>
  </si>
  <si>
    <t>광화문 탄핵찬성 집회 종편풀</t>
  </si>
  <si>
    <t>김영웅</t>
  </si>
  <si>
    <t xml:space="preserve">안국역 탄핵 찬성 집회 및 메인뉴스MNG(김산) </t>
  </si>
  <si>
    <t>김민서</t>
  </si>
  <si>
    <t>광화문 전광훈 탄핵 반대집회 메인뉴스MNG(연지환)</t>
  </si>
  <si>
    <t>김민재</t>
  </si>
  <si>
    <t>대학생 탄핵반대집회 + 광화문 현장 std(김민관)</t>
  </si>
  <si>
    <t>이동혁</t>
  </si>
  <si>
    <t>명태정</t>
  </si>
  <si>
    <t>날씨 sk</t>
  </si>
  <si>
    <t>박동현</t>
  </si>
  <si>
    <t>중앙대 외경 sk (이은진)</t>
  </si>
  <si>
    <t>김민수</t>
  </si>
  <si>
    <t>백화점 체험형 프로그램 취재 (박준우)</t>
  </si>
  <si>
    <t>최민우</t>
  </si>
  <si>
    <t>국민의 힘 박수영 의원 단식농성</t>
  </si>
  <si>
    <t>손민호</t>
  </si>
  <si>
    <t>국회일정</t>
  </si>
  <si>
    <t>장민혁</t>
  </si>
  <si>
    <t>청사 통상일정</t>
  </si>
  <si>
    <t>김상희</t>
  </si>
  <si>
    <t>대법원 앞 사회복무요원 기자회견(조보경)</t>
  </si>
  <si>
    <t>탄핵 정국 속 먹거리 물가 급등 저가제품 인기(박소연)</t>
  </si>
  <si>
    <t>김광준</t>
  </si>
  <si>
    <t>김용현</t>
  </si>
  <si>
    <t>중앙대 탄핵반대 시국선언&amp;재학생 인터뷰(이자연)</t>
  </si>
  <si>
    <t>정찬희</t>
  </si>
  <si>
    <t>1.주한파나마대사관 직원 사내인터뷰(정인아)
2.주식 대체거래소 출범 시민인터뷰(공다솜)
3.청년 고용 관련 정책자료, 피규어 sk(송승환)</t>
  </si>
  <si>
    <t>지법 앞, 윤 대통령 석방 요구 집회(김필준,박현주)</t>
  </si>
  <si>
    <t>&lt;윤석열 대통령 군 골프장 이용내역&gt; 문서 (박현주)</t>
  </si>
  <si>
    <t>이재원</t>
  </si>
  <si>
    <t>가톨릭대병원, 의과대학 외경 촬영(이희령)</t>
  </si>
  <si>
    <t>23개월 아기 방치 사망 현장 취재(김휘란)</t>
  </si>
  <si>
    <t>주한파나마대사관 외경스케치 및 반론취재(정인아)</t>
  </si>
  <si>
    <t>10대사이 유행하는 극우 유투버 관련 학부모 int(이은진)</t>
  </si>
  <si>
    <t>(국회지원-박재현)</t>
  </si>
  <si>
    <t>홈플러스 기업회생신청 관련 외경(박소연)</t>
  </si>
  <si>
    <t>당출-개강 미룬 강원대의대 상황(이희령)</t>
  </si>
  <si>
    <t>오세훈-이명박 면담 전송</t>
  </si>
  <si>
    <t>(시청)1.서울아현초 입학식 취재-종편풀
2.날씨 스케치(박상욱)</t>
  </si>
  <si>
    <t>날씨 스케치(박상욱)</t>
  </si>
  <si>
    <t>그래픽카드 품귀 현장 취재(박준우)</t>
  </si>
  <si>
    <t>영화 로비 제작보고회(강나현)</t>
  </si>
  <si>
    <t>두산 한화이글스 스프링캠프 귀국(이예원)</t>
  </si>
  <si>
    <t>다이소 영양제 판매 논란(이희정)</t>
  </si>
  <si>
    <t>아침돌봄 서비스 현장 취재(박상욱)</t>
  </si>
  <si>
    <t>1.노량진수산시장, 식당 취재(송승환)
2.그래픽카드 관련 홈페이지 스케치(박준우)</t>
  </si>
  <si>
    <t>문서 스케치(김휘란)</t>
  </si>
  <si>
    <t>인천 영종도 가게 점주 취재(김영민)</t>
  </si>
  <si>
    <t>(국회지원-신승규)</t>
  </si>
  <si>
    <t>1.인천 화재 사망 아이 어머니int(이자연) kill
2.이상문학상 대상 수상자 예소연 인터뷰(조소희)</t>
  </si>
  <si>
    <t>인터배터리2025 현장취재(김도훈)</t>
  </si>
  <si>
    <t>1.이복현 금융감독원장, 증권회사 CEO 간담회(공다솜)
2.한국교육시설안전원 취재(박상욱)</t>
  </si>
  <si>
    <t>(시청)진실화해위원회 기자간담회(김지윤)</t>
  </si>
  <si>
    <t>1.극우집회 인근 초등생 학부모 인터뷰-재동초(심가은)
2.유투브 검색하는 sk(이은진)</t>
  </si>
  <si>
    <t>넷플릭스 시리즈 폭싹 속았수다 제작발표회(조소희)</t>
  </si>
  <si>
    <t>헌재 앞 초등학교 하교 취재(심가은)</t>
  </si>
  <si>
    <t>야구 스프링캠프 귀국(정수아)</t>
  </si>
  <si>
    <t>저가 영양제 판매 관련 인터뷰(이희정)</t>
  </si>
  <si>
    <t>관세청 금 밀수 브리핑(이상화)</t>
  </si>
  <si>
    <t>극우집회 인근 초등생 학부모 인터뷰-덕수초(인턴)</t>
  </si>
  <si>
    <t>(경조휴가)</t>
  </si>
  <si>
    <t>서울 북성초등학교 취재(이희령)</t>
  </si>
  <si>
    <t>홈플러스 노조 기자회견(전다빈)</t>
  </si>
  <si>
    <t>용인FC창단 기자회견(이세현)</t>
  </si>
  <si>
    <t>김성훈 경호처차장·이광우 경호본부장 영장심의위원회
관련 중앙지법 라이브 대기(박현주)</t>
  </si>
  <si>
    <t>포천 민가에 포탄</t>
  </si>
  <si>
    <t>의료사고안전망 정책토론회(이희정)</t>
  </si>
  <si>
    <t>포천 민가에 포탄3(이은진)</t>
  </si>
  <si>
    <t>홈플러스 입점 업체 피해 인터뷰(전다빈)</t>
  </si>
  <si>
    <t>포천 민가에 포탄1(심가은)</t>
  </si>
  <si>
    <t>인권위 상임위원회(김휘란)</t>
  </si>
  <si>
    <t>포천 민가에 포탄2(심가은)</t>
  </si>
  <si>
    <t>둔촌초 스케치 및 인터뷰(박상욱)</t>
  </si>
  <si>
    <t xml:space="preserve">포천 민가 포탄 낙하 </t>
  </si>
  <si>
    <t>인권위 5차 전원위(김지윤)</t>
  </si>
  <si>
    <t>1.수원 살인 사건 현장(이세현)
2.구치소 MNG</t>
  </si>
  <si>
    <t>어수선한 정국 가격인상 릴레이(박소연)</t>
  </si>
  <si>
    <t>관저 앞 종편 풀</t>
  </si>
  <si>
    <t xml:space="preserve">일산 간병살인 부자 영장실질심사
(조기 출근으로 일정배정) </t>
  </si>
  <si>
    <t>1.세브란스 환자와 보호자 인터뷰(성화선)
2.구치소 인근 포지션 탐색</t>
  </si>
  <si>
    <t>(시청)1.여수세계섬박람회 업무협약식
2.서울시의회 앞 분신시도
3.구치소 이동동선</t>
  </si>
  <si>
    <t>관저 부감</t>
  </si>
  <si>
    <t>17:00~05:00 관저 풀</t>
  </si>
  <si>
    <t>관저 육교</t>
  </si>
  <si>
    <t>관저 기자 MNG</t>
  </si>
  <si>
    <t>1.영화 승부 제작보고회(조소희)
2.JMS 2세 피해자 인터뷰(이자연)</t>
  </si>
  <si>
    <t>1.송기호 변호사 인터뷰(김안수)
2.관저 인근 부감 포지션 탐색</t>
  </si>
  <si>
    <t>한남동 관저 상황 체크 풀 1</t>
  </si>
  <si>
    <t>1.민주당 의원총회 등
2.메인뉴스 국회 MNG</t>
  </si>
  <si>
    <t>메인뉴스 대통령실 MNG</t>
  </si>
  <si>
    <t>광화문 탄핵 찬성 집회 + 뉴스룸 기자연결 / 신진</t>
  </si>
  <si>
    <t>1.이시각 뉴스룸 (MNG-대검)
2.뉴스룸 기자연결 - 서울구치소 지지자들 - 김영민</t>
  </si>
  <si>
    <t>1.한남동 관저 상황 체크 풀 2
2.안국역 탄핵 찬성 집회 2개 / 김영민</t>
  </si>
  <si>
    <t xml:space="preserve">1.뉴스룸 기자연결 - 관저 지지자들 - 김지윤
2.종편 풀 야간 윤통 관저 복귀 </t>
  </si>
  <si>
    <t>트랜스여성 1인극 취재(강나현)</t>
  </si>
  <si>
    <t>통상일정</t>
  </si>
  <si>
    <t>(뉴스룸mng-관저)윤 대통령 관저(심가은)</t>
  </si>
  <si>
    <t>대통령 한남동 관저 이시각 뉴스룸 MNG(심가은)</t>
  </si>
  <si>
    <t>국회 일정</t>
  </si>
  <si>
    <t>1.날씨스케치-하늘공원
2.[mng-광화문] 탄핵 찬성 집회(김휘란)</t>
  </si>
  <si>
    <t>한남동 관저 분위기 - 부감</t>
  </si>
  <si>
    <t>5:00~ 관저 야간 상황대기(김태형)</t>
  </si>
  <si>
    <t>포천 오폭사고 관련 사과문 및 중간조사 발표</t>
  </si>
  <si>
    <t>서부지법 폭동 첫 공판2(임예은)</t>
  </si>
  <si>
    <t>밀착/윤 대통령 구속취소에 '한남동' 다시 혼란(이가혁)</t>
  </si>
  <si>
    <t>A대표팀 3월소집선수 명단발표 홍명보 기자회견(홍지용)</t>
  </si>
  <si>
    <t>1.산업은행 부당대출 관련 변호사 인터뷰(정아람)
2.특허청 기업 지식재산권 침해 설명회(전다빈)</t>
  </si>
  <si>
    <t>의대 증원 관련 기자회견(성화선)</t>
  </si>
  <si>
    <t>서부지법 폭동 첫 공판1(임예은)</t>
  </si>
  <si>
    <t>(시청)1.중랑구 차량 화재(이은진)
2.탄핵찬성 집회자 인터뷰(오원석)</t>
  </si>
  <si>
    <t>야구 시범경기 취재(양정진)</t>
  </si>
  <si>
    <t xml:space="preserve">대통령기록물 관련 기자 및 서류 스케치
(MNG_헌재앞) “윤석열을 구속하라”...탄핵 찬성 집회 </t>
  </si>
  <si>
    <t>관저 앞 르포(김휘란) kill
1.서울대 의정갈등 토론회(이희정)</t>
  </si>
  <si>
    <t xml:space="preserve">1.의대 정원 관련 N수생 취재(박상욱)
2.옥바라지 카페 스케치 </t>
  </si>
  <si>
    <t>JMS탈퇴 교수 인터뷰(이자연)</t>
  </si>
  <si>
    <t>(검찰지원-홍승재)</t>
  </si>
  <si>
    <t>한남동 관저 정문 상황</t>
  </si>
  <si>
    <t>명태균 게이트 최초 제보자 강혜경씨 조사 후 귀가</t>
  </si>
  <si>
    <t>1.한국교회 극우화 회개 금식기도회(강나현)
2.탄핵촉구 +석방규탄 그리스도인들 릴레이선언(강나현)</t>
  </si>
  <si>
    <t>1.헌재 앞 기자회견(오원석)
2.촛불행동 국수본 고발(심가은)
3.안국역 인근 주유소sk</t>
  </si>
  <si>
    <t>트렌스여성1인극 리허설 촬영+인터뷰(강나현)</t>
  </si>
  <si>
    <t>1.양육비 관련 단체 인터뷰(성화선)
2.518재단 인터뷰(김필준)</t>
  </si>
  <si>
    <t>1.반도체 R&amp;D 근로시간 개선 간담회(전다빈)
2.경기도 기회타운 브리핑(이세현)</t>
  </si>
  <si>
    <t>민주노총 농성투쟁 결의대회 및 메인뉴스MNG(김지윤)</t>
  </si>
  <si>
    <t>홍익대, 서울대 탄핵찬성 시국선언(양빈현)</t>
  </si>
  <si>
    <t>1.홈플러스 피해자 인터뷰(정아람)
2.헌재 MNG(여도현)</t>
  </si>
  <si>
    <t>(시청)청담동 공사현장 폭발(정인아)</t>
  </si>
  <si>
    <t>키움:KT 시범경기(정수아)</t>
  </si>
  <si>
    <t>공항풀 대한항공 신규 CI 런칭 매체 설명 행사</t>
  </si>
  <si>
    <t>국립무용단 '미인' 연습실 공개+간담회(강나현)</t>
  </si>
  <si>
    <t>관저 인근 상황 취재</t>
  </si>
  <si>
    <t>1.용산동 라인댄스 강사 부당해고 관련 인터뷰(김안수)
2.증시 종가sk(공다솜)</t>
  </si>
  <si>
    <t>미세먼지 sk(이한길)</t>
  </si>
  <si>
    <t>피겨 김채연 공개훈련(이예원)</t>
  </si>
  <si>
    <t>안국역MNG(이은진)</t>
  </si>
  <si>
    <t>1.헌법재판소 인근 상황 취재
2.국민의힘 국회의원 릴레이 시위</t>
  </si>
  <si>
    <t>1.헌법재판소 앞 std(정해성)
2.헌재앞 선고날 진공상태(심가은)</t>
  </si>
  <si>
    <t>천안축구종합센터 건설현황 미디어 브리핑 (홍지용)</t>
  </si>
  <si>
    <t>1.금감원 홈플러스 유동화전단채 투자자 기자회견 / 공다솜
2.민관합동 美 관세조치 대응전략 회의 개최 / 전다빈</t>
  </si>
  <si>
    <t>(MNG-광화문)탄핵찬성집회(이은진)</t>
  </si>
  <si>
    <t>인천 서구 2억 절도 사건 현장 스케치(양빈현)</t>
  </si>
  <si>
    <t>미세먼지sk(이한길)</t>
  </si>
  <si>
    <t>미국 계란 수출 업체 취재(아산) / 송승환</t>
  </si>
  <si>
    <t>(시청)1.나경원 외 적법절차에 따른 재판촉구 탄원서 제출
2.헌재 인근 학교 취재(김지윤)</t>
  </si>
  <si>
    <t>MNG-헌법재판소(여도현)</t>
  </si>
  <si>
    <t>한국 노인치매 실태 / 이희정</t>
  </si>
  <si>
    <t>컬링 세계선수권대회 미디어데이 / 이예원</t>
  </si>
  <si>
    <t>영어유치원 취재 / 이희령</t>
  </si>
  <si>
    <t>군인권센터 기자회견 / 심가은</t>
  </si>
  <si>
    <t>건대 윤 대통령 탄핵촉구 시국선언 / 정인아</t>
  </si>
  <si>
    <t>철강 수출 중소기업 간담회 / 전다빈</t>
  </si>
  <si>
    <t>국회 의사협회 토론회(이희정)</t>
  </si>
  <si>
    <t>대방건설 하청 피해자 인터뷰(정아람)</t>
  </si>
  <si>
    <t>가습기살균제 피해자 인터뷰(정인아)</t>
  </si>
  <si>
    <t>사교육비 관련 교육 전문가 인터뷰(박상욱)</t>
  </si>
  <si>
    <t>이복현 금감원장 백브리핑(공다솜)</t>
  </si>
  <si>
    <t>북악스카이웨이 팔각정 황사 (이한길)</t>
  </si>
  <si>
    <t>문화예술인 시국선언 기자회견(강나현)</t>
  </si>
  <si>
    <t>이창수 중앙지검장 탄핵 기각 후 출근</t>
  </si>
  <si>
    <t>1.최재해 감사원장 탄핵안 기각시 입장 발표(김태영)
2.탄핵 촉구 단식 농성자들 헌재 앞 기자회견(오원석)</t>
  </si>
  <si>
    <t>(시청)탄핵 선고 당일 교통통제 관련(임예은)</t>
  </si>
  <si>
    <t>(국회지원-이지수)</t>
  </si>
  <si>
    <t>1.헌법재판소 외곽 상황 취재
2.김기현 나경원 등 감사원장 탄핵심판 선고 입장 기자회견</t>
  </si>
  <si>
    <t>국민의힘 의원 5명 릴레이 시위 돌입 기자회견(유한울)</t>
  </si>
  <si>
    <t>헌재 주변 외국인 관광객 취재(김휘란)</t>
  </si>
  <si>
    <t>메인뉴스 광화문 집회MNG(오원석)</t>
  </si>
  <si>
    <t xml:space="preserve"> KIA 두산 야구 시범경기 취재(양정진)</t>
  </si>
  <si>
    <t>요양보호사 실태(이희정)</t>
  </si>
  <si>
    <t>서부지법 폭동 재판 취재(임예은)</t>
  </si>
  <si>
    <r>
      <rPr>
        <rFont val="Malgun Gothic"/>
        <b/>
        <color theme="1"/>
        <sz val="11.0"/>
      </rPr>
      <t xml:space="preserve">현장 풀 조율로 2가지 일정 해 줌
</t>
    </r>
    <r>
      <rPr>
        <rFont val="Malgun Gothic"/>
        <color theme="1"/>
        <sz val="11.0"/>
      </rPr>
      <t>1.홈플러스 기자간담회(박준우)
2.홈플 전단채 투자자 기자회견(공다솜)</t>
    </r>
  </si>
  <si>
    <t>탄핵선고 관련 헌재 인근 통학로 점검(박상욱)</t>
  </si>
  <si>
    <t>헌법재판소 집회 메인뉴스 MNG(여도현)</t>
  </si>
  <si>
    <t>의협 기자회견(성화선)</t>
  </si>
  <si>
    <t>광화문 집회 메인뉴스 MNG(김지윤)</t>
  </si>
  <si>
    <t>(시청)오세훈 시장 모바일 주민증 발급 점검(오원석)</t>
  </si>
  <si>
    <t>1.헌재 상황대기
2.헌재 앞 나경원 의원 1인시위(최연수)</t>
  </si>
  <si>
    <t>국힘, 헌법재판소 ‘탄핵 각하 길’ 걷기 기자회견(김필준)
헌재 정문 앞 무단점거 농성(김산)</t>
  </si>
  <si>
    <t>종로구 중구 일대 현수막 취재(이은진)</t>
  </si>
  <si>
    <t>관저 인근 상황취재</t>
  </si>
  <si>
    <t xml:space="preserve"> 탄핵 선고 대비 상황점검회의(정해성)</t>
  </si>
  <si>
    <t>리그 오브 레전드 개발진 브리핑(유요한)</t>
  </si>
  <si>
    <t>헌재 철조망/차벽 스케치(박상욱)</t>
  </si>
  <si>
    <t>광화문 탄핵 찬반집회(이은진)</t>
  </si>
  <si>
    <t>뉴스룸 MNG 연결 탄핵 찬반집회(이은진)</t>
  </si>
  <si>
    <t>컬링세계선수권 개회식 + 예선 한일전(이예원)</t>
  </si>
  <si>
    <t>14:30 청년 백수 시민 인터뷰 / 정아람
16시 광화문 탄핵 찬선집회 + 뉴스룸 MNG / 홍지용</t>
  </si>
  <si>
    <t>국회 여야 일정 모바일라이브 및 MNG</t>
  </si>
  <si>
    <t>수원 날씨 sk</t>
  </si>
  <si>
    <t>뉴스룸 헌재 앞 보수 집회 연결 / 이자연</t>
  </si>
  <si>
    <t>14시 광화문 탄핵 찬성집회 / 홍지용
15:20 추위 관련 시민 인터뷰 / 성화선</t>
  </si>
  <si>
    <t>FS 주한미군, 대량 사상자 훈련 / 포천 야전군병원</t>
  </si>
  <si>
    <t>서부지법 폭동 관련 재판(임예은)</t>
  </si>
  <si>
    <t>1.김새론측 변호인 고소장 접수 기자회견
2.손흥민 입국 SK 및 인터뷰(채승기)</t>
  </si>
  <si>
    <t>인권위 전원위원회1(김휘란)</t>
  </si>
  <si>
    <t>구급차 사고 피해자 가족 인터뷰 및 스케치(김영민)</t>
  </si>
  <si>
    <t>홍명보호 3월 첫 소집 기자회견, 훈련(홍지용)</t>
  </si>
  <si>
    <t>(시청)1.전국 성공회 성직자 시국선언(강나현)
2.안국역 근처 식당가 취재(이은진)</t>
  </si>
  <si>
    <t>1.광화문 집회 메인뉴스MNG(이자연)
2.인권위 전원위원회2(김휘란)</t>
  </si>
  <si>
    <t>병원 직장 내 괴롭힘 피해자 인터뷰(송승환)</t>
  </si>
  <si>
    <t>헌재 주변 상황 스케치2</t>
  </si>
  <si>
    <t>1.중소기업 인터뷰(전다빈)
2.쇼트트랙 대표팀 귀국(홍지용)</t>
  </si>
  <si>
    <t>헌재 주변 상황 스케치1</t>
  </si>
  <si>
    <t>홈플러스 피해자 간담회</t>
  </si>
  <si>
    <t>1.비상행동 파면촉구 광화문 퍼포먼스(김지윤)
2.광화문 집회 int(이자연)</t>
  </si>
  <si>
    <t>부동산 사무소 스케치(이상화)</t>
  </si>
  <si>
    <t>1.김혜경 항소심 공판(이세현)
2.방통위 위원장 브리핑(강버들)</t>
  </si>
  <si>
    <t>안세영 선수 귀국 인터뷰(양정진)</t>
  </si>
  <si>
    <t>문서sk(정인아)</t>
  </si>
  <si>
    <t>교육</t>
  </si>
  <si>
    <t>진급자 교육 1일차(중앙일보 사옥)</t>
  </si>
  <si>
    <t>헌재 앞 상황대기</t>
  </si>
  <si>
    <t>(시청)김경수 인터뷰(류정화)</t>
  </si>
  <si>
    <t>헌재 메인뉴스 MNG</t>
  </si>
  <si>
    <t>[아침&amp;MNG] 날씨 관련 현장 연결(정수아)</t>
  </si>
  <si>
    <t>스피드스케이팅 대표팀 귀국(홍지용)</t>
  </si>
  <si>
    <t>계시록 제작보고회+ 라운드인터뷰(강나현)</t>
  </si>
  <si>
    <t>기술탈취 관련 변리사인터뷰(전다빈)</t>
  </si>
  <si>
    <t>기술유출 관련 스탠드업(전다빈)</t>
  </si>
  <si>
    <t>광화문 집회 메인뉴스 MNG(이은진)</t>
  </si>
  <si>
    <t>(국회지원-김영묵)</t>
  </si>
  <si>
    <t>1.문서sk(김휘란)
2.과학기술공동위원회 관련 정부 문건 sk(김혜미)</t>
  </si>
  <si>
    <t>마트노조 투쟁 기자회견(공다솜)</t>
  </si>
  <si>
    <t>폭설 스케치(이희령)</t>
  </si>
  <si>
    <t>헌법재판소 메인뉴스MNG(김태형)</t>
  </si>
  <si>
    <t>축구대표팀 오만전 공식기자회견(정수아)</t>
  </si>
  <si>
    <t>1.토허제 재지정 부동산현장(공다솜)
2.탄핵선고 대비 종로구 유관기관 비상대책회의(김휘란)</t>
  </si>
  <si>
    <t>진급자 교육 2일차(중앙일보 사옥)</t>
  </si>
  <si>
    <t>금감원장 기자간담회(정아람)</t>
  </si>
  <si>
    <t>광화문 집회 메인뉴스MNG(오원석)</t>
  </si>
  <si>
    <t>(시청)전국총학생회협의회 주최 서울시장 초청 특강
1.경복궁 앞 집회(정안아)
2.광화문 탄핵찬성 단식농성 병원이송(오원석)</t>
  </si>
  <si>
    <t>탄핵선고 당일 PT리포트(여도현)</t>
  </si>
  <si>
    <t>서해해경청 수사외압 취재-목포1박2일 출장(김안수)</t>
  </si>
  <si>
    <t>삼성전자 주총(박소연)</t>
  </si>
  <si>
    <t>1.JTBC-유니세프 나눔 문화 확산 위한 캠페인 제작 협약식1
2.윤석열 파면 기원 이태원참사 유족 159배(강나현)</t>
  </si>
  <si>
    <t>헌재 앞 주민 상인 취재(김지윤)</t>
  </si>
  <si>
    <t>1.JTBC-유니세프 나눔 문화 확산 위한 캠페인 제작 협약식2
2.헌재 앞 상인 취재(이은진)</t>
  </si>
  <si>
    <t>헌재 앞 집회(정인아)</t>
  </si>
  <si>
    <t>치매노인 구조 위치(이자연)</t>
  </si>
  <si>
    <t>대한민국 채용박람회(정재우)</t>
  </si>
  <si>
    <t>1.헌재 앞 1인시위 주장 해산 시도
2.서울대 의대 토론회</t>
  </si>
  <si>
    <t>1.안덕근 장관 방미 (박준우)
2.민주노총 총파업·총력투쟁 선포 기자회견(이희령)</t>
  </si>
  <si>
    <t>토허제 서초 부동산(공다솜)</t>
  </si>
  <si>
    <t>KBO 미디어데이(오선민)</t>
  </si>
  <si>
    <t>검찰 오세훈 서울시장 압수수색 집무실1</t>
  </si>
  <si>
    <t>1.의대생 복귀시점 임박 관련 교수 인터뷰(박상욱)
2.경제유튜버 사기 피해자 인터뷰(정인아)</t>
  </si>
  <si>
    <t>1.의협 브리핑(성화선)
2.검찰 오세훈 서울시장 압수수색 집무실2</t>
  </si>
  <si>
    <t>포천 포탄 마을 농장피해 및 구제역 취재(심가은)</t>
  </si>
  <si>
    <t>1.이른 출근 후 헌재 1위시위 철거 현장 취재(김휘란)
2.헌재 인근 상인 불만 취재(김지윤)</t>
  </si>
  <si>
    <t>홍명보호 A매치 오만전 취재(홍지용)</t>
  </si>
  <si>
    <t>유발 하라리 간담회(강나현)</t>
  </si>
  <si>
    <t>서부지법 문다혜 첫 재판(임예은)</t>
  </si>
  <si>
    <t>1.광화문 집회 메인뉴스MNG(오원석)
2.헌재 인근 주민 스케치 및 인터뷰(김영민)</t>
  </si>
  <si>
    <t>1.헌재 앞 상황대기
2.헌재 인근 상인 불만 취재(이은진)</t>
  </si>
  <si>
    <t>08:43 출발 1.강주호 교총회장 취임100일 기자회견(이희령)
2.토허제 용산 취재(공다솜 인턴)</t>
  </si>
  <si>
    <t>계엄 가담 문상호 전 정보사령관 1차공판</t>
  </si>
  <si>
    <t>헌재 상황대기1</t>
  </si>
  <si>
    <t>강동구 송파구 위례동 부동산 취재(이상화)</t>
  </si>
  <si>
    <t>마포구 부동산 인터뷰(이상화)</t>
  </si>
  <si>
    <t>컬링 세계선수권대회(강나현)</t>
  </si>
  <si>
    <t>한국거래소 한화에어로스페이스 종가(공다솜)</t>
  </si>
  <si>
    <t>광화문 집회 메인뉴스MNG(김휘란)</t>
  </si>
  <si>
    <t>서부지법 대통령 경호처 김성훈,이광우 영장심사(임예은)</t>
  </si>
  <si>
    <t>V리그 포스트시즌 미디어데이 (김연경 은퇴)(오선민)</t>
  </si>
  <si>
    <t>1.헌재 상황대기2
2.헌법재판소 메인뉴스MNG(여도현)</t>
  </si>
  <si>
    <t>탄핵선고일 PT(연지환)</t>
  </si>
  <si>
    <t>산불취약지/피해지 취재-강원도 고성(박상욱)</t>
  </si>
  <si>
    <t>1.남대문경찰서 대통령 경호처 김성훈,이광우 영장심사 대기
2.중앙지검 김종인 전 의원 소환조사 후 귀가</t>
  </si>
  <si>
    <t>국민연금 반응(이희정)</t>
  </si>
  <si>
    <t>서부지법 메인뉴스MNG(김안수)</t>
  </si>
  <si>
    <t>의대 관련 메인뉴스MNG(이희령)</t>
  </si>
  <si>
    <t>대통령실 업무</t>
  </si>
  <si>
    <t>광화문 집횜 메인뉴스MNG(김영민)</t>
  </si>
  <si>
    <t>국회 업무</t>
  </si>
  <si>
    <t>1.날씨스케치(이한길)
2.축구대표팀 훈련(홍지용)</t>
  </si>
  <si>
    <t>높이뛰기 세계실내선수권 우승 우상혁 선수 귀국(강나현)</t>
  </si>
  <si>
    <t>집회 영상 유튜브 캐쳐</t>
  </si>
  <si>
    <t>LG 롯데 프로야구 sk(이예원)</t>
  </si>
  <si>
    <t>뉴스룸 MNG 연결 광화문(하혜빈)</t>
  </si>
  <si>
    <t>토허제 관련 공인중개사 현장 취재(박준우)</t>
  </si>
  <si>
    <t>신도림 지하철 탈선(송승환)
정릉터널 차량화재</t>
  </si>
  <si>
    <t>산청화재 출장(임예은)
뉴스룸MNG연결-산청</t>
  </si>
  <si>
    <t>합참의장,필리핀 합참의장 의장행사</t>
  </si>
  <si>
    <t>축구 대표팀 홍명보호 요르단전 사전 기자회견(홍지용)</t>
  </si>
  <si>
    <t>비상행동 기자회견(이은진)</t>
  </si>
  <si>
    <t>관저 부감-종편 그리드 망풀</t>
  </si>
  <si>
    <t>헌재 기자연결 대기</t>
  </si>
  <si>
    <t>윤통 변호인단 형사재판 준비기일</t>
  </si>
  <si>
    <t>19:00 강동구 싱크홀 취재
익일 05:00~ 고양시 인력시장 취재 / 정아람</t>
  </si>
  <si>
    <t>인권위 제7차 전원위원회(김휘란)</t>
  </si>
  <si>
    <t>헌재 앞 상황대기1(김휘란)</t>
  </si>
  <si>
    <t>(중앙지법 등록)중앙지법 기자연결 대기</t>
  </si>
  <si>
    <t>1.헌재 앞 상황대기2
2.헌재 안 메인뉴스MNG(여도현)</t>
  </si>
  <si>
    <t>헌재 밖 메인뉴스MNG(이은진)</t>
  </si>
  <si>
    <t>산청화재 출장 복귀(임예은)</t>
  </si>
  <si>
    <t>중앙그룹, 농협중앙회와 영농철 농촌일손돕기 봉사</t>
  </si>
  <si>
    <t>해군, 서해수호의날 계기 해상기동훈련</t>
  </si>
  <si>
    <t>탐사</t>
  </si>
  <si>
    <t>김영석 전 삼부토건 노조위원장 인터뷰(문경당출)</t>
  </si>
  <si>
    <t>날씨스케치-미세먼지,강풍</t>
  </si>
  <si>
    <t>국악계 비대위 기자간담회 (강나현)
정태춘 박은옥 기자간담회 (강나현) 일정 KILL</t>
  </si>
  <si>
    <t>강동구 싱크홀 메인뉴스MNG(김영민)</t>
  </si>
  <si>
    <t>전농 트랙터시위 종편POOL</t>
  </si>
  <si>
    <t>환경부-에버랜드 다회용기 사용 MOU 체결 / 박상욱</t>
  </si>
  <si>
    <t>한화에어로 주총(공다솜)</t>
  </si>
  <si>
    <t>(시청)1.광화문 민주당 천막당사 강풍피해
2.(선고일 발표 시) 광화문 MNG(이은진)kill</t>
  </si>
  <si>
    <t>05:00~ 고양시 인력시장 취재 / 정아람</t>
  </si>
  <si>
    <t>숙취해소제 관련 취재(송승환)</t>
  </si>
  <si>
    <t>홍명보호 A매치 요르단전 취재(홍지용)</t>
  </si>
  <si>
    <t>1.삼성전자 한종희 빈소(박준우)
2.문서1(송승환)
3.문서2(강나현)</t>
  </si>
  <si>
    <t>강동구 싱크홀 취재 / 이자연</t>
  </si>
  <si>
    <t>청년 300명 탄핵촉구 삼보일배 (김휘란)</t>
  </si>
  <si>
    <t>1.강동구 싱크홀 현장 주민 인터뷰 (양빈현)
2.명일동 땅꺼짐 사고 관련 인터뷰 (임예은)kill</t>
  </si>
  <si>
    <t>1.헌법재판소 상황대기2
2.헌법재판소 메인뉴스MNG(김태형)</t>
  </si>
  <si>
    <t>남태령 트랙터 메인뉴스MNG(김산)</t>
  </si>
  <si>
    <t>1.국민의힘 탄핵 각하 기원 기도 행진 / 김필준
2.헌법재판소 상황대기1</t>
  </si>
  <si>
    <t>내란중요임무종사 등 혐의 박안수 곽종근 전사령관 1차공판</t>
  </si>
  <si>
    <t>(지법등록)서초동 집회 종편Pool(정인아)</t>
  </si>
  <si>
    <t>안동 화재 출장(이세현)</t>
  </si>
  <si>
    <t>의성 화재 출장(이은진)
뉴스룸 의성 MNG 연결</t>
  </si>
  <si>
    <t>기독교 시국선언(강나현)</t>
  </si>
  <si>
    <t>(시청)뉴스룸 헌재 MNG 연결(여도현)</t>
  </si>
  <si>
    <t>4.3 다큐 목소리들 관련 인터뷰(강나현)</t>
  </si>
  <si>
    <t>1. 헌재 앞 상황대기
2.광화문 트랙터 도착(김휘란)</t>
  </si>
  <si>
    <t>(재판관 공격) 정계선 재판관 집(오원석)</t>
  </si>
  <si>
    <t>익일01:30</t>
  </si>
  <si>
    <t>의성 화재 출장(김안수)</t>
  </si>
  <si>
    <t>(지법등록)</t>
  </si>
  <si>
    <t>뉴스룸 파주 산불 MNG 연결(이자연)</t>
  </si>
  <si>
    <t>산불 리포트 중간 브릿지 촬영 / 박상욱</t>
  </si>
  <si>
    <t>서울대 의대 현장취재(성화선)</t>
  </si>
  <si>
    <t>의성 화재 출장(이은진)</t>
  </si>
  <si>
    <t>산불 감시 AI 시스템 취재(박준우)</t>
  </si>
  <si>
    <t>대한체육회 이사회 &amp; 유승민 대한체육회장 취임식(오선민)</t>
  </si>
  <si>
    <t>모니터 스케치(이희정)</t>
  </si>
  <si>
    <t>인권위 상임위 입퇴장 커버(김휘란)</t>
  </si>
  <si>
    <t>국제앰네스티 언론상 시상식</t>
  </si>
  <si>
    <t>김새론 측 변호사 기자회견</t>
  </si>
  <si>
    <t>고교학점제 학교 취재 종풀</t>
  </si>
  <si>
    <t>부평GM (박소연)</t>
  </si>
  <si>
    <t>내란중요임무종사 등 혐의 여인형 이진우 전사령관 1차공판</t>
  </si>
  <si>
    <t>광화문 헌재 선고관련 시민int(이자연)</t>
  </si>
  <si>
    <t>(시청)더본코리아 주총</t>
  </si>
  <si>
    <t>삼성전자 비스포크 AI 행사 (박소연)</t>
  </si>
  <si>
    <t>헌법재판소 인근 상권 취재(정아람)</t>
  </si>
  <si>
    <t>헬기 사고 관련 문서 스케치(양빈현)</t>
  </si>
  <si>
    <t>삼성 이재용 회장, 시진핑 회동 후 귀국(박소연)</t>
  </si>
  <si>
    <t>광화문 집회 메인뉴스MNG(이자연)</t>
  </si>
  <si>
    <t>군인권센터 기자회견+군인권소위 입퇴장 커버(김휘란)</t>
  </si>
  <si>
    <t>민주당 집회 등 풀 근무</t>
  </si>
  <si>
    <t>광화문 탄핵 찬성 집회 기자연결 / 정인아</t>
  </si>
  <si>
    <r>
      <rPr>
        <rFont val="Malgun Gothic"/>
        <b/>
        <color rgb="FFFF0000"/>
        <sz val="11.0"/>
      </rPr>
      <t>(추가근무)</t>
    </r>
    <r>
      <rPr>
        <rFont val="Malgun Gothic"/>
        <color theme="1"/>
        <sz val="11.0"/>
      </rPr>
      <t>경북산불(29~)(김산) 출장</t>
    </r>
  </si>
  <si>
    <t>휴일 날씨 리포트 / 송승환</t>
  </si>
  <si>
    <t>14:00 태국 미얀마 지진 해외출장 출발(29~)</t>
  </si>
  <si>
    <t>13:00 서울역 앞 집회
15:00 안국역 앞 집회 / 정인아</t>
  </si>
  <si>
    <t>경북산불(김안수) 오전 일정 후 복귀</t>
  </si>
  <si>
    <t>반란 홈페이지 스케치(박소연)</t>
  </si>
  <si>
    <t>경북산불(29~)(김산)</t>
  </si>
  <si>
    <r>
      <rPr>
        <rFont val="Malgun Gothic"/>
        <b/>
        <color rgb="FFFF0000"/>
        <sz val="11.0"/>
      </rPr>
      <t>(추가근무)</t>
    </r>
    <r>
      <rPr>
        <rFont val="Malgun Gothic"/>
        <color theme="1"/>
        <sz val="11.0"/>
      </rPr>
      <t>태국 미얀마 지진 해외출장(29~)(이도성)</t>
    </r>
  </si>
  <si>
    <t>국회 풀 일정</t>
  </si>
  <si>
    <t>국방부 브리핑</t>
  </si>
  <si>
    <t>문체부-동계종목 협력회의 취재 / 이예원</t>
  </si>
  <si>
    <t>쇼트트랙 전 금메달리스트 인터뷰 / 이예원</t>
  </si>
  <si>
    <t xml:space="preserve"> 인권위 문건 스케치</t>
  </si>
  <si>
    <t>윤상현 국회의원 헌재 앞 기자회견 / 단독</t>
  </si>
  <si>
    <t>뉴스룸 연결 MNG 헌법재판소 (김태형)</t>
  </si>
  <si>
    <t>경북산불(29~31)(김산)</t>
  </si>
  <si>
    <t>정의구현사제단 시국미사 / 강나현</t>
  </si>
  <si>
    <t xml:space="preserve">한국거래소 종가  </t>
  </si>
  <si>
    <t>태국 미얀마 지진 해외출장(29~)(이도성)</t>
  </si>
  <si>
    <t>한국소비자단체협의회인터뷰 &amp;마트 sk int /박소연</t>
  </si>
  <si>
    <t>기아 타스만 미디어행사(장르가머니)인제(김도훈) / 1박2일</t>
  </si>
  <si>
    <t>헌재 앞 재동초 경찰 활동 취재 / 김지윤</t>
  </si>
  <si>
    <t>1.배우 김수현 기자회견
2.경의중앙선 가좌역 열자 운행중지 취재 /임예은</t>
  </si>
  <si>
    <t>정례브리핑</t>
  </si>
  <si>
    <t>4월</t>
  </si>
  <si>
    <t>딥페이크 피해자 인터뷰(이세현)</t>
  </si>
  <si>
    <t>광화문 집회2 메인뉴스MNG(김휘란)</t>
  </si>
  <si>
    <t>남편, 아내 살인사건 취재 / 김영민</t>
  </si>
  <si>
    <t>검찰 법원 일정</t>
  </si>
  <si>
    <t>(시청)1.헌법재판소 상황대기2
2.특보 헌재부감
3.헌법재판소 메이뉴스MNG(김태형)</t>
  </si>
  <si>
    <t>금감원 현안 브리핑(정아람)</t>
  </si>
  <si>
    <t>헌재 진공상태 취재(심가은)</t>
  </si>
  <si>
    <t>특보 국회MNG(최규진)</t>
  </si>
  <si>
    <t>태국 미얀마 지진 해외출장(이도성)</t>
  </si>
  <si>
    <t>연극 랑데부 기자간담회(강나현)</t>
  </si>
  <si>
    <t>광화문 집회1 메인뉴스MNG(김휘란)</t>
  </si>
  <si>
    <t xml:space="preserve"> </t>
  </si>
  <si>
    <t>헌법재판소 상황대기1</t>
  </si>
  <si>
    <t>달러값 인하+국제사회 입지도 회복 불가능 소재의 취재 / 이상화</t>
  </si>
  <si>
    <t>NCCK 기자회견 / 강나현</t>
  </si>
  <si>
    <t>뉴스토마토 기자 인터뷰2(하혜빈)</t>
  </si>
  <si>
    <t>1.산불 영향 농산물 물가(공다솜)
2.자영업자 인터뷰(이상화)</t>
  </si>
  <si>
    <t>광화문 메인뉴스MNG(심가은)</t>
  </si>
  <si>
    <t>탄핵선고 방청 신청 미속촬영 / 김안수</t>
  </si>
  <si>
    <t>(시청)대통령 탄핵심판 선고 집회 대비 회의</t>
  </si>
  <si>
    <t>가공식품 물가(공다솜)</t>
  </si>
  <si>
    <t>헌재 앞 상황대기2</t>
  </si>
  <si>
    <t>헌재 앞 메인뉴스MNG(오원석)</t>
  </si>
  <si>
    <t>불교계 탄핵 인용 오체투지 / 강나현</t>
  </si>
  <si>
    <t>광화문 천막 철거 대비</t>
  </si>
  <si>
    <t>1.탄핵선고일 대비 전국 경찰지휘부 화상회의 / 정해성
2.헌재 앞 상황대기</t>
  </si>
  <si>
    <t>뉴스토마토 기자 인터뷰1(하혜빈)</t>
  </si>
  <si>
    <t>1.인제대 상계백병원 직장내괴롭힘 관련 문서sk(송승환)
2.국회 광화문 std(이은진)
3.안국역 인근 탄핵집회 후 텐트 농성sk</t>
  </si>
  <si>
    <t>화성 음주단속 현장 / 이세현</t>
  </si>
  <si>
    <t>(국회등록)1.국회 특보MNG(황예린)
2.국회 메인뉴스MNG</t>
  </si>
  <si>
    <t>관저 메인뉴스MNG(강희연)</t>
  </si>
  <si>
    <t>1.산불진화대원 기자회견(정아람)
2.제주43관련 2시 화상인터뷰(심가은)</t>
  </si>
  <si>
    <t>선고 전날 헌재 인근 상권(임예은)</t>
  </si>
  <si>
    <t>1.국민연금 자료 추가
2.최후진술 분석 모니터 스케치
3.4.3 사건 추모 시 낭독회</t>
  </si>
  <si>
    <t>(시청)1.헌재 앞 상황대기2
2.헌재 메인뉴스 MNG</t>
  </si>
  <si>
    <t>산업부 민관합동 미 관세조치 대응회의(전다빈)</t>
  </si>
  <si>
    <t>목동고등학교 취재(이희령)</t>
  </si>
  <si>
    <t>美 관세 대응「중기부-관세청 공동 현장 간담회(전다빈)</t>
  </si>
  <si>
    <t>1.박현수 서울경찰청장 진공상태 현장점검(양빈현)
2.헌재 앞 상황대기1</t>
  </si>
  <si>
    <t>헌재 진공상태 브이로그(오원석)</t>
  </si>
  <si>
    <t>(국회등록)광화문 집회 메인뉴스MNG(김지윤)</t>
  </si>
  <si>
    <t>(국회등록)1.연금 개혁 반발 문서sk(이희정)
미국 USTR 이 공개한 상호관세율</t>
  </si>
  <si>
    <t>1.2025 서울모빌리티쇼 HD현대 미디어 투어(박소연)
2.증시현황판 sk(공다솜)</t>
  </si>
  <si>
    <t>곽종근 보석(김재현)</t>
  </si>
  <si>
    <t>헌재안 특보MNG</t>
  </si>
  <si>
    <t>(국회등록)1.국회 특보MNG
2.정청래 메인뉴스MNG</t>
  </si>
  <si>
    <t>고속터미널 탄핵 풍경</t>
  </si>
  <si>
    <t>헌재 일정</t>
  </si>
  <si>
    <t>시청 집회 메인뉴스MNG(신진)</t>
  </si>
  <si>
    <t>대통령실 특보MNG</t>
  </si>
  <si>
    <t>광화문 집회 특보MNG</t>
  </si>
  <si>
    <t>(시청)서울역 탄핵 풍경</t>
  </si>
  <si>
    <t>광화문 집회 취재1</t>
  </si>
  <si>
    <t>광화문 집회 취재2</t>
  </si>
  <si>
    <t>헌재 밖 특보MNG</t>
  </si>
  <si>
    <t>1.관저 집회 취재
2.관저 특보 메인뉴스MNG</t>
  </si>
  <si>
    <t>1.광화문 집회 취재
2.헌재 밖 특보MNG</t>
  </si>
  <si>
    <t>(국회등록)관저 집회 종편 그리드POOL</t>
  </si>
  <si>
    <t>(국회등록)관저 집회 취재</t>
  </si>
  <si>
    <t>광화문 집회 종편 그리드POOL</t>
  </si>
  <si>
    <t>관저 특보MNG</t>
  </si>
  <si>
    <r>
      <rPr>
        <rFont val="Malgun Gothic"/>
        <color rgb="FFFF0000"/>
        <sz val="11.0"/>
      </rPr>
      <t>(추가근무)</t>
    </r>
    <r>
      <rPr>
        <rFont val="Malgun Gothic"/>
        <color theme="1"/>
        <sz val="11.0"/>
      </rPr>
      <t>뉴스특보 MNG 연결 관저 / 김지윤</t>
    </r>
  </si>
  <si>
    <t>(국회등록)관저 앞 상황대기 / 김지윤</t>
  </si>
  <si>
    <t>(국회등록)아크로비스타 취재 / 양정진</t>
  </si>
  <si>
    <r>
      <rPr>
        <rFont val="Malgun Gothic"/>
        <color rgb="FFFF0000"/>
        <sz val="11.0"/>
      </rPr>
      <t>(추가근무)</t>
    </r>
    <r>
      <rPr>
        <rFont val="Malgun Gothic"/>
        <color theme="1"/>
        <sz val="11.0"/>
      </rPr>
      <t>광화문 집회 스케치 및 인터뷰 / 양정진</t>
    </r>
  </si>
  <si>
    <t>대통령실 모니터 스케치</t>
  </si>
  <si>
    <r>
      <rPr>
        <rFont val="Malgun Gothic"/>
        <color rgb="FFFF0000"/>
        <sz val="11.0"/>
      </rPr>
      <t>(추가근무)</t>
    </r>
    <r>
      <rPr>
        <rFont val="Malgun Gothic"/>
        <color theme="1"/>
        <sz val="11.0"/>
      </rPr>
      <t>광화문 집회 스케치 및 인터뷰 / 양정진</t>
    </r>
  </si>
  <si>
    <t>뉴스룸 MNG 연결 광화문</t>
  </si>
  <si>
    <r>
      <rPr>
        <rFont val="Malgun Gothic"/>
        <color rgb="FFFF0000"/>
        <sz val="11.0"/>
      </rPr>
      <t>(추가근무)</t>
    </r>
    <r>
      <rPr>
        <rFont val="Malgun Gothic"/>
        <color theme="1"/>
        <sz val="11.0"/>
      </rPr>
      <t>태국 미얀마 지진 해외출장(이도성)</t>
    </r>
  </si>
  <si>
    <r>
      <rPr>
        <rFont val="Malgun Gothic"/>
        <color rgb="FFFF0000"/>
        <sz val="11.0"/>
      </rPr>
      <t>(추가근무)</t>
    </r>
    <r>
      <rPr>
        <rFont val="Malgun Gothic"/>
        <color theme="1"/>
        <sz val="11.0"/>
      </rPr>
      <t>윤석열 탄핵 인용 찬반.집회 종편 POOL 취재</t>
    </r>
  </si>
  <si>
    <r>
      <rPr>
        <rFont val="Malgun Gothic"/>
        <color rgb="FFFF0000"/>
        <sz val="11.0"/>
      </rPr>
      <t>(추가근무)</t>
    </r>
    <r>
      <rPr>
        <rFont val="Malgun Gothic"/>
        <color theme="1"/>
        <sz val="11.0"/>
      </rPr>
      <t>윤석열 탄핵 인용 찬반.집회 종편 POOL 취재</t>
    </r>
  </si>
  <si>
    <t>여의도 한강공원 휴일 날씨 sk</t>
  </si>
  <si>
    <r>
      <rPr>
        <rFont val="Malgun Gothic"/>
        <color rgb="FFFF0000"/>
        <sz val="11.0"/>
      </rPr>
      <t>(추가근무)</t>
    </r>
    <r>
      <rPr>
        <rFont val="Malgun Gothic"/>
        <color theme="1"/>
        <sz val="11.0"/>
      </rPr>
      <t xml:space="preserve"> 벚꽃 봄 날씨 스케치 / 이희령</t>
    </r>
  </si>
  <si>
    <t>선고 당일 곤봉으로 경찰버스 파손 20대, 구속영장 실질심사</t>
  </si>
  <si>
    <t>국회의장 기자회견 등 여-야 당직자 일정</t>
  </si>
  <si>
    <r>
      <rPr>
        <rFont val="Malgun Gothic"/>
        <color rgb="FFFF0000"/>
        <sz val="11.0"/>
      </rPr>
      <t>(추가근무)</t>
    </r>
    <r>
      <rPr>
        <rFont val="Malgun Gothic"/>
        <color theme="1"/>
        <sz val="11.0"/>
      </rPr>
      <t>태국 미얀마 지진 해외출장(이도성)복귀</t>
    </r>
  </si>
  <si>
    <r>
      <rPr>
        <rFont val="Malgun Gothic"/>
        <color rgb="FFFF0000"/>
        <sz val="11.0"/>
      </rPr>
      <t>(추가근무)</t>
    </r>
    <r>
      <rPr>
        <rFont val="Malgun Gothic"/>
        <color theme="1"/>
        <sz val="11.0"/>
      </rPr>
      <t xml:space="preserve"> 한남동 관저 앞 분위기 취재</t>
    </r>
  </si>
  <si>
    <t>(국회등록) 고양시, 중앙일보, JTBC 고양하프마라톤</t>
  </si>
  <si>
    <t>(국회등록) 관저 부감 및 분위기 sk(망원렌즈)</t>
  </si>
  <si>
    <t>뉴스룸 관저 앞 분위기 MNG 연결 / 김안수</t>
  </si>
  <si>
    <r>
      <rPr>
        <rFont val="Malgun Gothic"/>
        <color theme="1"/>
        <sz val="11.0"/>
      </rPr>
      <t xml:space="preserve">일상 되찾은 관저 앞 취재 / 이은진 </t>
    </r>
    <r>
      <rPr>
        <rFont val="Malgun Gothic"/>
        <color rgb="FFFF0000"/>
        <sz val="11.0"/>
      </rPr>
      <t>kill</t>
    </r>
  </si>
  <si>
    <t>영화 야당 보도국 라운드 / 강나현</t>
  </si>
  <si>
    <t>육아지윈정책 관련 변호사 인터뷰 / 박상욱</t>
  </si>
  <si>
    <t>원하는 대통령 시민 인터뷰 / 함민정</t>
  </si>
  <si>
    <t>배민 수수료 점주 울상 / 전다빈</t>
  </si>
  <si>
    <t>애플 슬로건 모니터 스케치(박소연)</t>
  </si>
  <si>
    <t>2025-26시즌 쇼트트랙 국가대표 선발전 / 정수아</t>
  </si>
  <si>
    <t>육아기 단축근로 업무분담지원금 관련 문서sk(박상욱)</t>
  </si>
  <si>
    <t>[르포] 평화 되찾은 헌재앞 / 김휘란</t>
  </si>
  <si>
    <t>관저 앞 상황대기2</t>
  </si>
  <si>
    <t>건진법사 공판 / 양빈현</t>
  </si>
  <si>
    <t>장 마감 코스피코스닥 / 공다솜</t>
  </si>
  <si>
    <t>1.관저 앞 상황대기1
2.증시 하락 증권거래소 sk</t>
  </si>
  <si>
    <t>1.벚꽃 sk / 이한길
2.육아기 단축근무 관련 직장인 인터뷰 / 박상욱</t>
  </si>
  <si>
    <t>대선 선거관리 대책회의</t>
  </si>
  <si>
    <t>이재명 법카유용 공준기일(이세현)</t>
  </si>
  <si>
    <t>갑질 피해자 인터뷰(오원석)</t>
  </si>
  <si>
    <t>연극 헤다 가블러 제작발표회(강나현)</t>
  </si>
  <si>
    <t>아크로비스타 이사 분위기(김산)</t>
  </si>
  <si>
    <t>2025-26시즌 쇼트트랙 국가대표 1차 선발전 2일차(정수아)</t>
  </si>
  <si>
    <t>증시 종가 및 환율</t>
  </si>
  <si>
    <t>여자배구 챔피언결정전(양정진)</t>
  </si>
  <si>
    <t>대전 당출-프리미어리거 윤도영 공동 인터뷰(홍지용)</t>
  </si>
  <si>
    <t>삼양식품 관세 타격 인터뷰(박준우)</t>
  </si>
  <si>
    <t>관저대기1</t>
  </si>
  <si>
    <t>1.농식품부 미상호관세 대응 농식품 수출기업 간담회(이희정)
2.김하늘 양 살해한 교사 명재완 씨 관련 문서스케치</t>
  </si>
  <si>
    <t>관저대기2</t>
  </si>
  <si>
    <t>트럼프 관세 관련 인천항 취재(박소연)</t>
  </si>
  <si>
    <t>스카이데일리 압수수색 / 인턴</t>
  </si>
  <si>
    <t>대통령기록관장 임명 관련 기자회견(김안수)</t>
  </si>
  <si>
    <t>유정복 인천시장 출마 선언</t>
  </si>
  <si>
    <t>2025-26시즌 쇼트트랙 국가대표 1차 선발전 3일차(정수아)</t>
  </si>
  <si>
    <t>장제원 성폭력 사건 관련 여성단체 기자회견(이호진)</t>
  </si>
  <si>
    <t>1박2일-대구 AI디지털교과서 방문취재(이희령)</t>
  </si>
  <si>
    <t>(시청)오세훈 청년취업사관학교 도봉캠퍼스 간담회</t>
  </si>
  <si>
    <t>삼성전자 이재용 귀국(박준우)</t>
  </si>
  <si>
    <t>증권거래소 종가</t>
  </si>
  <si>
    <t>원달러 환율 급등(정아람)</t>
  </si>
  <si>
    <t>경찰청 인터뷰(정해성)</t>
  </si>
  <si>
    <t>시화기계유통단지 및 시화공단(전다빈)</t>
  </si>
  <si>
    <t>프로농구 KBL 시상식(홍지용)</t>
  </si>
  <si>
    <t>고공농성 해결 촉구 3대 종교회 기도(강나현)</t>
  </si>
  <si>
    <t>관저 상황대기</t>
  </si>
  <si>
    <t>내란중요임무종사 관련 문상호 전 정보사령관 재판</t>
  </si>
  <si>
    <t>증권거래소 종가(공다솜)</t>
  </si>
  <si>
    <t>(의정부) 의정부지법 태권도 관장 선고기일 / 오원석</t>
  </si>
  <si>
    <t>인권위원장 회의 입장 / 이은진</t>
  </si>
  <si>
    <t>김문수 후보 일정 / 김필준</t>
  </si>
  <si>
    <t>서울시청이 강남 학원가?...외벽에 SKY합격자 현수막 구설</t>
  </si>
  <si>
    <t>(시청)대발생 곤충 대응 전략 토론회(박상욱)</t>
  </si>
  <si>
    <t>관저 앞 상황대기</t>
  </si>
  <si>
    <t>(밀착) 용산 대통령실 + 청와대 내부(이가혁)</t>
  </si>
  <si>
    <t>많이 떨어진 원달러 환율(공다솜)</t>
  </si>
  <si>
    <t>작중/봉황기 내려간 대통령실의 운명은 / 김민관</t>
  </si>
  <si>
    <t>프로농구 플레이오프 미디어데이 / 홍지용</t>
  </si>
  <si>
    <t>금감원 백블 / 공다솜</t>
  </si>
  <si>
    <t>아크로비스타 상황대기</t>
  </si>
  <si>
    <t>서울교통공사 동작사업소 외경+밑대기(김지윤)</t>
  </si>
  <si>
    <t>1.한국마사회 노조위원장 인터뷰(송승환)
2.광명 신안산선 공사 도로 붕괴현장1(김안수)</t>
  </si>
  <si>
    <t>관저 인근 시민 int(이은진)</t>
  </si>
  <si>
    <t>아크로비스타 기자연결(정인아)</t>
  </si>
  <si>
    <t>영현백 제조 업체 취재(이승환)</t>
  </si>
  <si>
    <t>아크로비스타1</t>
  </si>
  <si>
    <t>관저 기자연결(김지윤)</t>
  </si>
  <si>
    <t>(시청)택시 자작극 피해승객 인터뷰(김휘란)</t>
  </si>
  <si>
    <t>테무 물류센터(공다솜)</t>
  </si>
  <si>
    <t>다큐감독 인터뷰+변호사 인터뷰(강나현)</t>
  </si>
  <si>
    <t>아크로비스타2-그리드풀</t>
  </si>
  <si>
    <t>1.아크로비스타 커버 및 르포(김산)
2.증시종가(공다솜)</t>
  </si>
  <si>
    <t>선고당일 경찰버스 파손 피의자 송치(김휘란)</t>
  </si>
  <si>
    <t>관저1-그리드풀</t>
  </si>
  <si>
    <t>광명 신안산선 공사 도로 붕괴현장2 / 뉴스룸 연결</t>
  </si>
  <si>
    <t>아크로비스타3</t>
  </si>
  <si>
    <t>2025-26시즌 쇼트트랙 국가대표 2차 선발전 1일차(정수아)</t>
  </si>
  <si>
    <t>아크로비스타 YOON AGAIN 집회(김혜리)</t>
  </si>
  <si>
    <t>1.날씨스케치(이희정)
2.광명 신안산선 공사 도로 붕괴현장3 종편풀</t>
  </si>
  <si>
    <t>1.광명 신안산선 공사 도로 붕괴현장2 종편풀
2.광명 공사 도로 붕괴현장 이시각 MNG(김휘란)</t>
  </si>
  <si>
    <t>광명 신안산선 공사현장 도로 붕괴현장1 종편풀</t>
  </si>
  <si>
    <t>1.광명 신안산선 공사 도로 붕괴현장4 종편풀
2.광명 공사 도로 붕괴현장 메인뉴스MNG(김휘란)</t>
  </si>
  <si>
    <t>추가
야근</t>
  </si>
  <si>
    <r>
      <rPr>
        <rFont val="Malgun Gothic"/>
        <color theme="1"/>
        <sz val="11.0"/>
      </rPr>
      <t xml:space="preserve">유연경 : </t>
    </r>
    <r>
      <rPr>
        <rFont val="Malgun Gothic"/>
        <b/>
        <color rgb="FFFF0000"/>
        <sz val="11.0"/>
      </rPr>
      <t>경조휴가 대체 야근근무(조근---&gt;야근)</t>
    </r>
    <r>
      <rPr>
        <rFont val="Malgun Gothic"/>
        <color rgb="FFFF0000"/>
        <sz val="11.0"/>
      </rPr>
      <t xml:space="preserve">
</t>
    </r>
    <r>
      <rPr>
        <rFont val="Malgun Gothic"/>
        <color theme="1"/>
        <sz val="11.0"/>
      </rPr>
      <t>광명 신안산선 공사 도로 붕괴현장 종편Pool</t>
    </r>
  </si>
  <si>
    <t>1.날씨 sk
2.대한의사협회 대선기획본부 출범식 sk sync</t>
  </si>
  <si>
    <t>1.광명 신안산선 공사 도로 붕괴현장 종편Pool
2.아크로비스타 현장 스케치</t>
  </si>
  <si>
    <t>1.쇼트트랙 국대 선발전 마지막날 / 이예원
2.애오개역 싱크홀 스케치</t>
  </si>
  <si>
    <t>광명 신안산선 공사 도로 붕괴현장 종편풀</t>
  </si>
  <si>
    <t>원주-광해광업공단 외경 sk(송승환)</t>
  </si>
  <si>
    <t>(지법 등록)1.내란 우두머리 윤석열 전 대통령 1심 공판1
2.윤석열 엄벌 및 재구속 촉구 비상행동 기자회견(정인아)
3.자유와연대/ 위헌위법탄핵재판 규탄(정인아)</t>
  </si>
  <si>
    <t>그루밍범죄 관련 인터뷰(임예은)</t>
  </si>
  <si>
    <t>프로배구 V리그 시상식(오선민)</t>
  </si>
  <si>
    <t>광명 신안산선 공사 도로 붕괴현장 종편풀(이세현)</t>
  </si>
  <si>
    <t>(지법 등록)1.내란 우두머리 윤석열 전 대통령 1심 공판2
2.아크로비스타 주민 인터뷰(양빈현)</t>
  </si>
  <si>
    <t>내란 우두머리 윤석열 전 대통령 1심 공판3</t>
  </si>
  <si>
    <t>광명 신안산선 공사 도로 붕괴현장 야간 종편Pool</t>
  </si>
  <si>
    <t>교육 개혁 제안 관련 문서스케치(이희령)</t>
  </si>
  <si>
    <t>광교 일가족 살인(정인아)</t>
  </si>
  <si>
    <t>해군 갑질 소대장 피해자 인터뷰(김재현)</t>
  </si>
  <si>
    <t>세월호 기획 재난피해자권리센터 스케치 / 심가은</t>
  </si>
  <si>
    <t>광명 신안산선 공사 도로 붕괴현장 종편Pool</t>
  </si>
  <si>
    <t>김건희 논문 표절 조사 결과와 관련 제보자 인터뷰 / 이희령</t>
  </si>
  <si>
    <t>경찰청 사이버테러수사대 브리핑 / 임예은</t>
  </si>
  <si>
    <t>세월호 기획 재난피해자권리센터장 인터뷰 / 심가은</t>
  </si>
  <si>
    <t>(일산)아내 성폭행 피해자 인터뷰(김영민)</t>
  </si>
  <si>
    <t>등기지연 취재 (송파 헬리오시티+서초동) / 김산</t>
  </si>
  <si>
    <t>1.의사 성범죄 관련 문서 sk(이희정)
2.문서sk(이희령)</t>
  </si>
  <si>
    <t>서울대 국제대학원 시위(강나윤)</t>
  </si>
  <si>
    <t>(밀착) 울산 외국인 근로자 취재(정희윤)</t>
  </si>
  <si>
    <t>순천향대 의대 의대생 취재일정(박상욱)</t>
  </si>
  <si>
    <t>광명 붕괴 현장 인근 초교 르포(이세현)</t>
  </si>
  <si>
    <t>장애인고용촉진대회 행사(김도훈)</t>
  </si>
  <si>
    <t>군인권센터 박정훈 대령 영장청구 관련 기자회견(김안수)</t>
  </si>
  <si>
    <t>(시청)국힘 후보들 오세훈시장 방문</t>
  </si>
  <si>
    <t>대통령 관저 압수수색2</t>
  </si>
  <si>
    <t>대통령 관저 압수수색1</t>
  </si>
  <si>
    <t xml:space="preserve">1.건설경기 침체 관련 시멘트 유통기지 취재(이상화)
2.알래스카 가스 개발 사업 관련 홈페이지 </t>
  </si>
  <si>
    <t>뉴스룸 MNG 대통령실(임예은)</t>
  </si>
  <si>
    <t>자영업자구조지도 관련 현장취재(이한길)</t>
  </si>
  <si>
    <t>서울 옥션(강나현)</t>
  </si>
  <si>
    <t>세월호 기억식 인터뷰(심가은)</t>
  </si>
  <si>
    <t>뉴스룸 MNG 헌재(김혜리)</t>
  </si>
  <si>
    <t>대한의협 브리핑(이희정)</t>
  </si>
  <si>
    <t>민감국가 지정에도 미국 원자로 설계 첫 수출(박소연)</t>
  </si>
  <si>
    <t>금통위 포토타임 및 기자간담회</t>
  </si>
  <si>
    <t>삼육대 감염병 발생(이희정)</t>
  </si>
  <si>
    <t>서부지법 문다혜 1심 선고(임예은)</t>
  </si>
  <si>
    <t>(시청)모팩스튜디오 장성호 감독 인터뷰(강나현)</t>
  </si>
  <si>
    <t>전세사기피해자 인터뷰(전다빈)</t>
  </si>
  <si>
    <t>자영업자 구조지도 관련 모니터 화면 sk(이한길)</t>
  </si>
  <si>
    <t>힘빠진 극우/ 헌재앞+아크로비스타(김휘란)</t>
  </si>
  <si>
    <t>어른 김장하 관련 극장 스케치 인터뷰(강나현)</t>
  </si>
  <si>
    <t>등기지연 피해자(안양)(김산)</t>
  </si>
  <si>
    <t>박정훈 대령 특임군검사 요청 문건 촬영(유선의)</t>
  </si>
  <si>
    <t>서울시의회 이숙자 의원 인터뷰(이은진)</t>
  </si>
  <si>
    <t>원주 당출-양궁국가대표 선발전(오선민)</t>
  </si>
  <si>
    <t>강남 지역 유괴 의심 신고 취재(이세현)</t>
  </si>
  <si>
    <t>세종 테마주 회사 외경 스케치(공다솜)</t>
  </si>
  <si>
    <t>충암고 총동문회 취재(김지윤)</t>
  </si>
  <si>
    <t>대전 당출-입틀막 카이스트 졸업생 인터뷰(김민관)</t>
  </si>
  <si>
    <t>이재명 테마주 회사 외경sk(공다솜)</t>
  </si>
  <si>
    <t>건진법사 관련 장소 뻗치기(이자연)</t>
  </si>
  <si>
    <t>의대 증원 철회 관련 학생 인터뷰(이희령)</t>
  </si>
  <si>
    <t>정신치료 돕는 AI(이희정)</t>
  </si>
  <si>
    <t>박정훈 대령 항소심 전후 기자회견, 브리핑 일정</t>
  </si>
  <si>
    <t>민주당 대선후보 충청권 경선(청주체육관)</t>
  </si>
  <si>
    <t>주말 날씨 sk / 박상욱</t>
  </si>
  <si>
    <t xml:space="preserve">광화문 탄핵 찬성 집회 / 이세현 </t>
  </si>
  <si>
    <t>(관악구) 선관위 스탠드업 / 오원석</t>
  </si>
  <si>
    <t>이상민 전 행안부장관 경찰 조사00:00~01:00</t>
  </si>
  <si>
    <t>교대역 보수집회 및 행진 / 양빈현</t>
  </si>
  <si>
    <t>뉴스룸 광화문 집회 기자연결 / 이세현</t>
  </si>
  <si>
    <t>민주당 대선후보 충청권 경선(울산 천시컨벤션센터)</t>
  </si>
  <si>
    <t>장애인의날 기념 전장연 집회(윤정주)</t>
  </si>
  <si>
    <t>전국의사궐기대회(송승환)</t>
  </si>
  <si>
    <t>정례브리핑 등</t>
  </si>
  <si>
    <t>우울증 치료에 활용되는 AI 기술관련(이희정)</t>
  </si>
  <si>
    <t>롯데마트 서울역 쌀 구매 일본인(송승환)</t>
  </si>
  <si>
    <t>통일교 홈페이지 sk(이자연)</t>
  </si>
  <si>
    <t>이대 거리 등 자영업 어려움 취재(전다빈)</t>
  </si>
  <si>
    <t>1.윤 전대통령 형사재판 교대
2.지법 메이뉴스MNG(박현주)</t>
  </si>
  <si>
    <t>관악우성아파트 화재(심가은)</t>
  </si>
  <si>
    <t>증권사 앱 스케치(공다솜)</t>
  </si>
  <si>
    <t>윤 전대통령 형사재판 법조 풀 진행</t>
  </si>
  <si>
    <t>(지법등록)윤석열 형사재판 아크로비스타 차량 이동</t>
  </si>
  <si>
    <t>노인복지관 취재(이은진)</t>
  </si>
  <si>
    <t>용인 기흥중학교 주변 땅꺼짐 우려 취재(정인아)</t>
  </si>
  <si>
    <t>선거 방송 공정성 교육 1차 (이지혜)</t>
  </si>
  <si>
    <t>인천 해송고등학교 외경 sk</t>
  </si>
  <si>
    <t>관악 화재 현장 메인뉴스 MNG(심가은)</t>
  </si>
  <si>
    <t>윤 전대통령 형사재판 법원 인근 보수단체 집회(김산)</t>
  </si>
  <si>
    <t>(지법등록)윤 전대통령 형사재판 민주당의원 항의 기자회견</t>
  </si>
  <si>
    <t>2025 최악의 살인기업선정식 20주년 행사(이희령)</t>
  </si>
  <si>
    <t>키오스크 설치 소상공인들 과태료 3,000만원(박소연)</t>
  </si>
  <si>
    <t>대한체육회 이사회(오선민)</t>
  </si>
  <si>
    <t>프란치스코 교황 빈소 조문(양빈현)</t>
  </si>
  <si>
    <t>(시청)양향자.오세훈 시장 차담</t>
  </si>
  <si>
    <t>최상목 부총리 미국행 인천공항(김민)</t>
  </si>
  <si>
    <t>서울연구원 노인연령 상향 보고서 스케치(이은진)</t>
  </si>
  <si>
    <t>1.날씨스케치-광화문
2.조계종 총무원장 기자간담회(강나현)</t>
  </si>
  <si>
    <t>1.[뉴스룸-MNG] 남양주 아파트 주차장 옹벽 붕괴(김휘란)
2.강북구 미아역 인근 마트 흉기 난동 사건(김휘란)</t>
  </si>
  <si>
    <t>가평·용산 통일교 스케치(양빈현)</t>
  </si>
  <si>
    <t>안덕근 장관 한미 통상협의-워싱턴 출국(전다빈)</t>
  </si>
  <si>
    <t>저출생 반등 관련 사례자 인터뷰(정아람)</t>
  </si>
  <si>
    <t>명동성당 교황 조문 행렬 취재(양정진)</t>
  </si>
  <si>
    <t>미아역 흉기난동 현장(오원석)</t>
  </si>
  <si>
    <t>빙상연맹 취임식, 시상식(이예원)</t>
  </si>
  <si>
    <t>일본도 살인사건 제소자 가족 인터뷰(김안수)</t>
  </si>
  <si>
    <t>1.한국광해광업공단 황영식 관련 문서(송승환)
2.홍준표 뉴스룸 출연 스케치</t>
  </si>
  <si>
    <t>오세훈 시장 영동대로 지하공사 현장방문-시청 풀</t>
  </si>
  <si>
    <t>쇼트트랙 박지원 선수 인터뷰(이예원)</t>
  </si>
  <si>
    <t>국회 산자위 전체회의 황영식 관련(송승환)</t>
  </si>
  <si>
    <t xml:space="preserve">파주 대북전단 살포(임예은) </t>
  </si>
  <si>
    <t>정지웅 변호사 인터뷰 (송승환)</t>
  </si>
  <si>
    <t>남산둘레길 날씨 sk(이한길)</t>
  </si>
  <si>
    <t>AI정신건강 홈페이지sk(이희정)</t>
  </si>
  <si>
    <t>내란중요임무종사 등 여인형 전사령관 재판</t>
  </si>
  <si>
    <t>용인동부서 일가족 살해 남성 검찰 송치(이세현)</t>
  </si>
  <si>
    <t>이복현 삼부토건 등 현안 브리핑(공다솜)</t>
  </si>
  <si>
    <t>배드민턴 대표팀 박주봉 감독 인터뷰(정수아)</t>
  </si>
  <si>
    <t>문서와 모니터 SK (인턴)</t>
  </si>
  <si>
    <t>무용 '스피드' 프레스콜(강나현)</t>
  </si>
  <si>
    <t>뮤지컬 원스 촬영(강나현)</t>
  </si>
  <si>
    <t>미아역 살인범 영장실질심사(김휘란)</t>
  </si>
  <si>
    <t>선거 방송 공정성 교육 2차</t>
  </si>
  <si>
    <t>스피드스케이팅 이나현 훈련(이예원)</t>
  </si>
  <si>
    <t>창작 뮤지컬 취재 (강나현)</t>
  </si>
  <si>
    <t>남부지법 장애인의날 행사 동행취재(양빈현)</t>
  </si>
  <si>
    <t>(시청)코엑스 화재1(정인아)</t>
  </si>
  <si>
    <t>갈현동 교제살인 선고(김안수)</t>
  </si>
  <si>
    <t>SKT 고객 정보보호 조치 강화 설명회(박준우)</t>
  </si>
  <si>
    <r>
      <rPr>
        <rFont val="Malgun Gothic"/>
        <color theme="1"/>
        <sz val="11.0"/>
      </rPr>
      <t>광주 당출-KIA 김도영 복귀 인터뷰(홍지용)</t>
    </r>
    <r>
      <rPr>
        <rFont val="Malgun Gothic"/>
        <color rgb="FFFF0000"/>
        <sz val="11.0"/>
      </rPr>
      <t>kill</t>
    </r>
  </si>
  <si>
    <t>SK텔레콤 유심 sk(박준우)</t>
  </si>
  <si>
    <t>코엑스 화재2(정인아)</t>
  </si>
  <si>
    <t>스피드스케이팅 이나현 인터뷰(이예원)</t>
  </si>
  <si>
    <t>의대협의 긴급 공지 문서 SK(성화선)</t>
  </si>
  <si>
    <r>
      <rPr>
        <rFont val="Malgun Gothic"/>
        <color theme="1"/>
        <sz val="11.0"/>
      </rPr>
      <t xml:space="preserve">연등행렬 스케치 (임예은) </t>
    </r>
    <r>
      <rPr>
        <rFont val="Malgun Gothic"/>
        <color rgb="FFFF0000"/>
        <sz val="11.0"/>
      </rPr>
      <t>KILL</t>
    </r>
    <r>
      <rPr>
        <rFont val="Malgun Gothic"/>
        <color theme="1"/>
        <sz val="11.0"/>
      </rPr>
      <t xml:space="preserve">
고양 풍동 도로꺼짐 현장 (임예은)</t>
    </r>
  </si>
  <si>
    <t>뉴스룸 MNG연결 연등행렬 (임예은)</t>
  </si>
  <si>
    <t>skt 유심 관련 취재 (정아람)</t>
  </si>
  <si>
    <t xml:space="preserve"> SK치텔레콤 대리점 유심 구매 취재(이상화)</t>
  </si>
  <si>
    <t>민주당 대선후보 선출 파이널</t>
  </si>
  <si>
    <t>사회복무요원 대선 요구사항 관련 기자회견(조보경)</t>
  </si>
  <si>
    <t>광주FC 귀국 스케치 및 인터뷰</t>
  </si>
  <si>
    <t>민주당 경선 후보 선출 MNG</t>
  </si>
  <si>
    <t>최상목 부총리 미국 통상 협상 후 귀국</t>
  </si>
  <si>
    <t>KS한국고용정보 개인정보 유출 피해 인터뷰 (이희령)</t>
  </si>
  <si>
    <t>경기 광주 30대 친모 아기 숨진 사건(이세현)</t>
  </si>
  <si>
    <t>국내 첫 산재노동자의날 기자회견 2건 (이한길)</t>
  </si>
  <si>
    <t>SKT 유심 해킹 관련 전문가 인터뷰(박소연)</t>
  </si>
  <si>
    <t>희귀질환 크론병 지원중단 환우가족 인터뷰(이희정)</t>
  </si>
  <si>
    <t>신촌 SKT 유심 대란 관련(박소연)</t>
  </si>
  <si>
    <t>한동훈 뉴스룸 출연 스케치</t>
  </si>
  <si>
    <t>그라프 홈페이지 sk(이자연)</t>
  </si>
  <si>
    <t xml:space="preserve">스페인 국립 발레단 '아파나도르' 기자간담회(강나현x) </t>
  </si>
  <si>
    <t>5.18단체 진화위 항의 기자회견(이은진)</t>
  </si>
  <si>
    <t>SKT대리점 유심 줄 선 모습 취재(전다빈)</t>
  </si>
  <si>
    <t>skt 사태 대응 홈페이지 등 스케치(박준우)</t>
  </si>
  <si>
    <t>DL 건설사 임금체불 피해자(정아람)</t>
  </si>
  <si>
    <t>1.서울버스노조 파업 협상
2.조선 팰리스 호텔 트럼프 주니어 취재</t>
  </si>
  <si>
    <t>서울청 15층 백브리핑(오원석)</t>
  </si>
  <si>
    <t>1.명태균,김영선 소환조사 후 귀가
2.서울버스노조 파업 협상</t>
  </si>
  <si>
    <t>정규직-비정규직 임금격차 관련 인터뷰(박상욱)</t>
  </si>
  <si>
    <t>skt 유심 줄서기 현장1(전다빈)</t>
  </si>
  <si>
    <t>트럼프 주니어 입국</t>
  </si>
  <si>
    <r>
      <rPr>
        <rFont val="Malgun Gothic"/>
        <color theme="1"/>
        <sz val="11.0"/>
      </rPr>
      <t xml:space="preserve">대구 AI교과서 취재 출발 (이희령) </t>
    </r>
    <r>
      <rPr>
        <rFont val="Malgun Gothic"/>
        <b/>
        <color rgb="FFFF0000"/>
        <sz val="11.0"/>
      </rPr>
      <t>급 지방 출발 1박 2일</t>
    </r>
  </si>
  <si>
    <t>한국노총 주4일제 도입 요구 기자회견(이한길)</t>
  </si>
  <si>
    <t>아이돌 멤버 강제추행 고소 기자회견(김휘란)</t>
  </si>
  <si>
    <t>skt 유심 줄서기 현장2(전다빈)</t>
  </si>
  <si>
    <t xml:space="preserve">과기부 SKT 유심 해킹 1차 조사 결과 보도자료(인턴) </t>
  </si>
  <si>
    <t>아산병원 소아정신과 전문의 인터뷰</t>
  </si>
  <si>
    <t>서울 국제그랑프리 펜싱선수권대회 미디어데이(홍지용)</t>
  </si>
  <si>
    <t>SKT 사이버 보험 미가입 관련 교수 화상 인터뷰(박준우)</t>
  </si>
  <si>
    <t>윤 부부 사저 아크로비스타 압수수색2(김산)</t>
  </si>
  <si>
    <t>버스파업 아침뉴스MNG(김안수)</t>
  </si>
  <si>
    <t>스카이데일리 노조 기자회견 취재(이은진)</t>
  </si>
  <si>
    <t>청소년 스마트폰 과의존 관련 학생인터뷰(성화선)</t>
  </si>
  <si>
    <t>교육부-의대학장 회의(박상욱)</t>
  </si>
  <si>
    <t>윤석열 처가 &lt;온 요양원&gt; 스케치(이지은)</t>
  </si>
  <si>
    <t>(시청)버스파업 서울역(김지윤)</t>
  </si>
  <si>
    <t>고레에다 영화감독 지망 대학생 50명과 토크(강나현)</t>
  </si>
  <si>
    <t>대구 AI교과서 취재 (이희령)</t>
  </si>
  <si>
    <t>트럼프 주니어 재계 면담(박소연)</t>
  </si>
  <si>
    <t>윤 부부 사저 아크로비스타 압수수색1(김산)</t>
  </si>
  <si>
    <t>청소년 스마트폰 과의존 관련 간담회(성화선)
윤석열 전대통령 장모 요양권 관련 종이 sk 및 기자전화모습(송승환)</t>
  </si>
  <si>
    <t>고레에다 히로카즈 내한 인터뷰(강나현)</t>
  </si>
  <si>
    <t>버스파업 지하철(김휘란)</t>
  </si>
  <si>
    <t>명태균 검찰 조사 후 귀가 풀</t>
  </si>
  <si>
    <t>x</t>
  </si>
  <si>
    <t>5월</t>
  </si>
  <si>
    <t>한덕수 사퇴 후 관저-사저 이동(조보경)</t>
  </si>
  <si>
    <t>인천공항 유심 교체 현장 취재(박준우)</t>
  </si>
  <si>
    <t>차규근 의원 인터뷰(김안수)</t>
  </si>
  <si>
    <t>1.특보 국회 연결(하혜빈)
2.이건태 의원 국회 연결-뉴스룸/특보(유선의)</t>
  </si>
  <si>
    <t>5/1(목)~5/2(금). 인구감소지역 관광열차 현장답사 취재</t>
  </si>
  <si>
    <t>밀착-노동절 택배 기사(정희윤)</t>
  </si>
  <si>
    <t>미아동 살인범 김성진 송치(김휘란)</t>
  </si>
  <si>
    <t>온요양원 현장 취재(송승환)</t>
  </si>
  <si>
    <t>대구 AI교과서 취재 복귀 (이희령)</t>
  </si>
  <si>
    <t>KBL 프로농구 챔피언결정전 미디어데이(김진광)</t>
  </si>
  <si>
    <t>뉴스룸MNG-이 시각 이재명(이승환)</t>
  </si>
  <si>
    <t>이재명 대법원 선고관련 상황대기2</t>
  </si>
  <si>
    <t>이재명 대법원 선고관련 상황대기1</t>
  </si>
  <si>
    <t>한덕수대행 출근길 뻗치기(최연수)</t>
  </si>
  <si>
    <r>
      <rPr>
        <rFont val="Malgun Gothic"/>
        <b/>
        <color rgb="FFFF0000"/>
        <sz val="11.0"/>
      </rPr>
      <t xml:space="preserve">야근 출근 지각
</t>
    </r>
    <r>
      <rPr>
        <rFont val="Malgun Gothic"/>
        <b val="0"/>
        <color rgb="FF000000"/>
        <sz val="11.0"/>
      </rPr>
      <t>18:10~20:30 중앙지법 라이브 예정이었으나</t>
    </r>
    <r>
      <rPr>
        <rFont val="Malgun Gothic"/>
        <b val="0"/>
        <color rgb="FFFF0000"/>
        <sz val="11.0"/>
      </rPr>
      <t xml:space="preserve"> kill</t>
    </r>
  </si>
  <si>
    <r>
      <rPr>
        <rFont val="Malgun Gothic"/>
        <color theme="1"/>
        <sz val="11.0"/>
      </rPr>
      <t xml:space="preserve">SKT 해킹 관련 브리핑(박준우) 
</t>
    </r>
    <r>
      <rPr>
        <rFont val="Malgun Gothic"/>
        <color rgb="FFFF0000"/>
        <sz val="11.0"/>
      </rPr>
      <t>TVU외장배터리 단자 접촉불량으로 유튜브 라이브 사고</t>
    </r>
  </si>
  <si>
    <t>수원다세대주택 화재 현장(이세현)</t>
  </si>
  <si>
    <t>백사마을 주민 인터뷰(김지윤)</t>
  </si>
  <si>
    <t>1.국회 상황대기
2.황운하 의원 인터뷰(최규진)</t>
  </si>
  <si>
    <t>그루밍성범죄 목각인형 특수촬영(심가은)</t>
  </si>
  <si>
    <t>알레르기내과 교수 인터뷰(박상욱)</t>
  </si>
  <si>
    <t>정국교 전 의원 브로커 통한 투자 피해자 인터뷰(정아람)</t>
  </si>
  <si>
    <t>SK텔레콤 피싱 문자 관련 인터뷰(박소연)</t>
  </si>
  <si>
    <t>이재명 판결문 스케치(연지환)</t>
  </si>
  <si>
    <t>국민의힘 전당대회 이 시각 뉴스룸MNG(황예린)</t>
  </si>
  <si>
    <t>날씨스케치(이한길)</t>
  </si>
  <si>
    <t>촛불행동-대선 개입 중단 촉구 서초동 집회</t>
  </si>
  <si>
    <t>1.SKT 데일리 브리핑(공다솜)
2.공항 유심 교체 상황(공다솜)</t>
  </si>
  <si>
    <r>
      <rPr>
        <rFont val="Malgun Gothic"/>
        <color theme="1"/>
        <sz val="11.0"/>
      </rPr>
      <t>펜싱 오상욱 (이예원x)</t>
    </r>
    <r>
      <rPr>
        <rFont val="Malgun Gothic"/>
        <color rgb="FFFF0000"/>
        <sz val="11.0"/>
      </rPr>
      <t xml:space="preserve"> KILL</t>
    </r>
    <r>
      <rPr>
        <rFont val="Malgun Gothic"/>
        <color theme="1"/>
        <sz val="11.0"/>
      </rPr>
      <t xml:space="preserve">
1.뉴스룸 MNG 연결 - 국회 (하혜빈)</t>
    </r>
  </si>
  <si>
    <t>1.날씨 스케치
2.SKT 집단 소송 카페 스케치 (박준우)</t>
  </si>
  <si>
    <t>SKT 데일리 브리핑 (박준우)</t>
  </si>
  <si>
    <t>휴일 &amp; 날씨 스케치 (양빈현)</t>
  </si>
  <si>
    <t>부처님오신날 봉축법요식 (강나현)</t>
  </si>
  <si>
    <t>여야 주요 일정</t>
  </si>
  <si>
    <t>1.SKT 데일리 브리핑(박준우)
2.그루밍 성범죄 문서 sk (임예은)</t>
  </si>
  <si>
    <t>경기 양주 청련사 김혜경 방문 (함민정)</t>
  </si>
  <si>
    <t>유심 교체 휴대폰 먹통 관련 연출(박준우)</t>
  </si>
  <si>
    <t>광화문 월대 어린이날 행사 르포(양빈현)</t>
  </si>
  <si>
    <t>서울대공원 르포(이은진)</t>
  </si>
  <si>
    <t>아주대병원 스케치 (이세현)</t>
  </si>
  <si>
    <t>skt 일일브리핑 (전다빈)</t>
  </si>
  <si>
    <t>국힘 지도부,김문수 후보 자택 방문</t>
  </si>
  <si>
    <t>(4호선 서울역) 지하철 내부 안내스크린 취재 (오원석)</t>
  </si>
  <si>
    <t>정책학회 교수 int (박사라)</t>
  </si>
  <si>
    <t>나체상태로 흉기 휘둘러 시민들 경상 (김휘란)</t>
  </si>
  <si>
    <t>희귀병 지원 축소 논란 화면 스케치 (이희정)</t>
  </si>
  <si>
    <t>skt 유심 교체 관련 피해자 인터뷰 (이승환)</t>
  </si>
  <si>
    <t>서울시발레단 워킹 매드&amp;블리스 기자간담회(강나현)</t>
  </si>
  <si>
    <t>한덕수 동창 인터뷰1(신진)</t>
  </si>
  <si>
    <t>뉴스룸MNG-김문수,한덕수 단일화 회담(김필준)</t>
  </si>
  <si>
    <t>skt 일일브리핑(전다빈)</t>
  </si>
  <si>
    <t>(시청)1.규제철폐 100일 성과보고회
(시청)2.버스 준공영제 시·도 통상임금 관련 공동 대책 회의
3.김문수-한덕수 단일화 회담</t>
  </si>
  <si>
    <r>
      <rPr>
        <rFont val="Malgun Gothic"/>
        <color theme="1"/>
        <sz val="11.0"/>
      </rPr>
      <t>의대편입학원 취재(김지윤)</t>
    </r>
    <r>
      <rPr>
        <rFont val="Malgun Gothic"/>
        <color rgb="FFFF0000"/>
        <sz val="11.0"/>
      </rPr>
      <t>취재 중kill</t>
    </r>
  </si>
  <si>
    <r>
      <rPr>
        <rFont val="Malgun Gothic"/>
        <color theme="1"/>
        <sz val="11.0"/>
      </rPr>
      <t>서초구 조달청 건물 앞 스탠드업(박사라)</t>
    </r>
    <r>
      <rPr>
        <rFont val="Malgun Gothic"/>
        <color rgb="FFFF0000"/>
        <sz val="11.0"/>
      </rPr>
      <t>kill</t>
    </r>
    <r>
      <rPr>
        <rFont val="Malgun Gothic"/>
        <color theme="1"/>
        <sz val="11.0"/>
      </rPr>
      <t xml:space="preserve">
1.최민희 국회 과방위원장 인터뷰(이승환)</t>
    </r>
  </si>
  <si>
    <t>바이오코리아 개막행사 박민수 백브리핑(이희정)</t>
  </si>
  <si>
    <t>의사 커뮤니티 명예훼손 피해자 인터뷰(송승환)</t>
  </si>
  <si>
    <t>통일교 메콩강 개발사업 관련 자료 스케치(정인아)</t>
  </si>
  <si>
    <t>이재명 소환장 자택 인편송달 취재(윤정주)</t>
  </si>
  <si>
    <t>대전 한화이글스(이예원)</t>
  </si>
  <si>
    <t>한덕수 동창 인터뷰2(신진)</t>
  </si>
  <si>
    <t>이재명 후보 기획기사 스탠덥(김안수)</t>
  </si>
  <si>
    <t>서울버스노조 파업 회의 (오원석)</t>
  </si>
  <si>
    <t>1.강남 음주운전 사고 스케치 (이세현)
2.이재명 기획 성남 스탠드업 촬영(함민정)</t>
  </si>
  <si>
    <t>경사노위 정년 권고안 발표 (박상욱)</t>
  </si>
  <si>
    <t>서울시 공공미술공간 취재 (이은진)</t>
  </si>
  <si>
    <t>선관위 사전투표 공정선거참관단(최연수)</t>
  </si>
  <si>
    <t>1.김건희 논문표절 관련 기자회견 (이한길)
2.선거용 여론조사 분석 촬영(공다솜)</t>
  </si>
  <si>
    <t>1.남부지법 국힘 전당대회 가처분 신청(심가은)
2.뉴스룸MNG-한덕수.김문수 회동(김필준)</t>
  </si>
  <si>
    <t>(시청)서울국제정원박람회 기자설명회</t>
  </si>
  <si>
    <t>1.온요양원 고발 기자회견 (성화선)
2.온요양원 급식 점검 관련 문서 sk(성화선)</t>
  </si>
  <si>
    <t>1.인천 구월동 음주사고 현장 sk(이세현)
2.한덕수-김문수 사랑재 회동(방극철로 교체)</t>
  </si>
  <si>
    <r>
      <t>뉴스룸 중앙지법 MNG(김태형)</t>
    </r>
    <r>
      <rPr>
        <rFont val="Malgun Gothic"/>
        <color rgb="FFFF0000"/>
        <sz val="11.0"/>
      </rPr>
      <t>kill</t>
    </r>
  </si>
  <si>
    <t>김상욱 기자회견</t>
  </si>
  <si>
    <t>백사마을 철거 (김지윤)</t>
  </si>
  <si>
    <t>쯔양 강남경찰서 출석조사(김산)</t>
  </si>
  <si>
    <t>톰크루즈 내한 (강나현)</t>
  </si>
  <si>
    <t>서울청 광역수사단 브리핑(심가은)</t>
  </si>
  <si>
    <t>쇼트트랙 임종언 선수 취재(이예원)</t>
  </si>
  <si>
    <t>식약처 식품안심구역 지정 행사 sk(송승환)</t>
  </si>
  <si>
    <t>요양급여비용 계약 이사장-의약단체장 합동간담회(이희정)</t>
  </si>
  <si>
    <t>1.더불어민주당 박정 유세본부장 인터뷰(이승환)
2.이한주 민주연구원장 인터뷰(이승환)
3.더불어민주당 문진석 의원 인터뷰(이승환)</t>
  </si>
  <si>
    <t>압구정 현대 2차 아파트 등 외경과 인터뷰(정아람)</t>
  </si>
  <si>
    <t>뉴스룸MNG-남부지법 김문수 가처분 신청 결과(김영민)</t>
  </si>
  <si>
    <t>정동영 의원 인터뷰(류정화)</t>
  </si>
  <si>
    <t>청년배당 사례자 인터뷰(김안수)</t>
  </si>
  <si>
    <t>한덕수 종로구 자택 경호 sk(김휘란)</t>
  </si>
  <si>
    <t>1.의대생 단체 교육부 차관 공수처 고발(박상욱)
2.의사 커뮤니티 비방 처벌 관련 문서sk(송승환)</t>
  </si>
  <si>
    <t>1.유명 브랜드 사칭 해외쇼핑몰 주의 관련 사이트sk(박준우)
2.국회 라이브 상황대기</t>
  </si>
  <si>
    <t>선거방송 공정성 3차 교육</t>
  </si>
  <si>
    <t>아우구스띠노 수도회 취재 및 인터뷰(강나윤)</t>
  </si>
  <si>
    <t>날씨(비) 스케치(이희령)</t>
  </si>
  <si>
    <t>과천 중앙선관위 선거장비 공개 취재 (송혜수)</t>
  </si>
  <si>
    <t>뉴스룸MNG-김문수 측 김행 시민사회총괄단장</t>
  </si>
  <si>
    <t>이재명 출장</t>
  </si>
  <si>
    <t>국힘 김문수 후보측 남부지법 가처분 신청 제출</t>
  </si>
  <si>
    <t>국회 풀 근무</t>
  </si>
  <si>
    <t>홍준표 전 대구시장 미국 출국</t>
  </si>
  <si>
    <t>뉴스룸MNG-님부지법 (김지윤)</t>
  </si>
  <si>
    <t>1.SKT 일일브리핑(정아람)
2.sk텔레콤 대리점 스케치(정아람)</t>
  </si>
  <si>
    <t>날씨스케치-서울숲</t>
  </si>
  <si>
    <t>서울자전거대행진 취재(이은진)</t>
  </si>
  <si>
    <t>한강 스마트 순찰 취재(이은진)</t>
  </si>
  <si>
    <t>국방부 정례브리핑</t>
  </si>
  <si>
    <t>윤석열 전 대통령 형사재판3</t>
  </si>
  <si>
    <t>1.이옥순 위안부 할머니 빈소 스케치(이세현)
2.김혜경 2심 선고 공판(이세현)</t>
  </si>
  <si>
    <t>이재명 후보 기획(함민정)</t>
  </si>
  <si>
    <t>이재명 후보 기획(김안수)</t>
  </si>
  <si>
    <t>남부지법 패스트트랙 공판 심상정 출석(양빈현)</t>
  </si>
  <si>
    <t>평냉·삼계탕 가격 인상(박소연)</t>
  </si>
  <si>
    <t>건진법사 공판(양빈현)</t>
  </si>
  <si>
    <t>삼겹살 외식물가(이희정)</t>
  </si>
  <si>
    <t>(시청)조계종 중앙신도회 창립70주년 기념식(정수아)</t>
  </si>
  <si>
    <t>공식 선거운동 현수막 취재(정수아)</t>
  </si>
  <si>
    <t>(지법등록)윤석열 전 대통령 형사재판1</t>
  </si>
  <si>
    <t>(지법등록)윤석열 전 대통령 형사재판2</t>
  </si>
  <si>
    <t>경주-APEC 준비부실 5/12~5/13 (류정화)</t>
  </si>
  <si>
    <t>뉴스룸MNG-김용태 국민의힘 비상대책위원장 내정자</t>
  </si>
  <si>
    <t>1.SKT일일브리핑(전다빈)
2.대선 사전 기획용 시민인터뷰(이승환)</t>
  </si>
  <si>
    <t>윤석열 전 대통령 형사재판3(김지윤)</t>
  </si>
  <si>
    <t>강훈식 의원 인터뷰(유선의)-with 김재식</t>
  </si>
  <si>
    <t>국방부 일정</t>
  </si>
  <si>
    <t>정성호 더불어민주당 의원 인터뷰(하혜빈)</t>
  </si>
  <si>
    <t>탁구 신유빈 출국(이예원)</t>
  </si>
  <si>
    <t>이천 공장 화재 현장(이세현)</t>
  </si>
  <si>
    <t>국립생물자원관장 인터뷰(김도훈)</t>
  </si>
  <si>
    <t>연극 킬링 시저 프레스콜(강나현)</t>
  </si>
  <si>
    <t>법조 일정</t>
  </si>
  <si>
    <t>(시청)넥스트로컬 협력기관 업무협약</t>
  </si>
  <si>
    <t>주호민 아들 아동학대 교사 항소심 선고(이세현)</t>
  </si>
  <si>
    <r>
      <rPr>
        <rFont val="Malgun Gothic"/>
        <color rgb="FF000000"/>
        <sz val="11.0"/>
      </rPr>
      <t xml:space="preserve">1.통일교 총재 출국(양빈현) </t>
    </r>
    <r>
      <rPr>
        <rFont val="Malgun Gothic"/>
        <color rgb="FFFF0000"/>
        <sz val="11.0"/>
      </rPr>
      <t xml:space="preserve">현장에서kill
</t>
    </r>
    <r>
      <rPr>
        <rFont val="Malgun Gothic"/>
        <color rgb="FF000000"/>
        <sz val="11.0"/>
      </rPr>
      <t>2.잇몸 담배 판매(이희정)</t>
    </r>
  </si>
  <si>
    <r>
      <rPr>
        <rFont val="Malgun Gothic"/>
        <color rgb="FFFF0000"/>
        <sz val="11.0"/>
      </rPr>
      <t xml:space="preserve">당일 출발 출장
</t>
    </r>
    <r>
      <rPr>
        <rFont val="Malgun Gothic"/>
        <color theme="1"/>
        <sz val="11.0"/>
      </rPr>
      <t>당출-대구 민심르포 리포트(황예린)</t>
    </r>
  </si>
  <si>
    <t>구인광고 성추행 사건 변호사 인터뷰(임예은)</t>
  </si>
  <si>
    <t>2025 우리의 선택 장표 제작 업체 스케치(공다솜)</t>
  </si>
  <si>
    <t>북성초등학교 집단 식중독 사태 취재(이희령)</t>
  </si>
  <si>
    <t>어린이구역에서 킥보드 타면 벌금 6만원(이지은)</t>
  </si>
  <si>
    <t>1.대선다큐-반전의 승부 어떻게 가능했나 박용진의원 인터뷰
2.대선기획단 실시간 팩첵 사진 촬영</t>
  </si>
  <si>
    <t>1.미국 간호사 시험 소개하는 홈페이지(이희정)
2.대통령경호처 직제개정안 문서 sk(이한길)</t>
  </si>
  <si>
    <t>신경림 시인 유고 시집 출간 간담회(강나현)</t>
  </si>
  <si>
    <t>평택에서 발생한 불법체류자 음주운전 뺑소니 취재(이세현)</t>
  </si>
  <si>
    <t>김문수 지인 인터뷰(신진)</t>
  </si>
  <si>
    <t>서부지법 난동 1심 선고(임예은)</t>
  </si>
  <si>
    <t>서울시의회 버스노조 집회(오원석)</t>
  </si>
  <si>
    <t>지귀연 룸살롱 취재(김안수)</t>
  </si>
  <si>
    <t>검찰일정</t>
  </si>
  <si>
    <t>1.주4.5일제 대선 공약 관련 std, int (박사라)
2.주4.5일제 대선공약 권기욱 교수 int (박사라)</t>
  </si>
  <si>
    <t>1.대선공약 조준모 교수 int(박사라)
2.대선 사전제작물 권혁수 인터뷰(공다솜)</t>
  </si>
  <si>
    <t>문서스케치(이희령)</t>
  </si>
  <si>
    <t>배달 오토바이 앞 번호판 부착과 관련 시민 인터뷰(정아람)</t>
  </si>
  <si>
    <t>대한공중보건의사협의회 이성환 회장 줌인터뷰(송승환)</t>
  </si>
  <si>
    <t>인권위 상임위(김휘란)</t>
  </si>
  <si>
    <t>필리핀 관광 도중 총상입은 피해자 int(조보경)</t>
  </si>
  <si>
    <t>구인광고 성추행 피해자 인터뷰(임예은)</t>
  </si>
  <si>
    <t>대선주자 인물기획-동탄역 시민 인터뷰(송혜수)</t>
  </si>
  <si>
    <t>자동차 부품 업계 간담회(박소연)</t>
  </si>
  <si>
    <t>mg손해보험 피해자 인터뷰(정아람)</t>
  </si>
  <si>
    <t>그렉 펜스 의원 등 국기원 방문 스케치(유선의)</t>
  </si>
  <si>
    <t>5.18 기획 관련 광주 인터뷰(유선의)</t>
  </si>
  <si>
    <t>김문수 후보 평가-신계륜 의원 인터뷰(신진)</t>
  </si>
  <si>
    <t>김문수 지인 인터뷰(인물기획) (신진)</t>
  </si>
  <si>
    <t>동덕여대 학교 모습 취재(이희령)</t>
  </si>
  <si>
    <t>김건희표 정책 예산문제(이희정)</t>
  </si>
  <si>
    <t>수자원공사 충주댐 취재(박준우)</t>
  </si>
  <si>
    <t>국민의힘 김문수 후보 크로마 촬영 현장(박재용피디)</t>
  </si>
  <si>
    <t>(경복궁) 세종대왕 나신 날 홍보물 스케치(오원석)</t>
  </si>
  <si>
    <t>주필리핀한국대사관 긴급 안전 공지 sk (조보경)</t>
  </si>
  <si>
    <t xml:space="preserve">스미싱 못 막나 안 막나(박소연) </t>
  </si>
  <si>
    <t>평택 음주사고 현장 sk(이세현)</t>
  </si>
  <si>
    <t>남대문시장 가상화폐 현금 인출기(이상화)</t>
  </si>
  <si>
    <t>대선인물기획-김문수 지인(신진)</t>
  </si>
  <si>
    <t>대선 예측조사 업체 인터뷰(공다솜)</t>
  </si>
  <si>
    <t>서울선관위 고등학생 선거 교육 일정(이희령)</t>
  </si>
  <si>
    <t>경기 양평고속도로 압수수색 경동엔지니어링 (이세현)</t>
  </si>
  <si>
    <t>APEC제주 통상장관회의(전다빈)</t>
  </si>
  <si>
    <t>(시청)
서부지법 선고 호송차 입장(심가은)</t>
  </si>
  <si>
    <t>뉴스룸MNG-날씨(박상욱)</t>
  </si>
  <si>
    <t>1.518 스카이데일리 가짜뉴스 신문 스케치(김산)
2.날씨스케치-상암</t>
  </si>
  <si>
    <t>대선인물기획용-민주화운동기념관 내외부 이미지컷(신진)</t>
  </si>
  <si>
    <t>대선 르포 세종 (배양진)</t>
  </si>
  <si>
    <t xml:space="preserve">김연경 KYK 인터네셔널 미디어데이 취재(양정진) </t>
  </si>
  <si>
    <t>전직 미연방하원의원 방한단 엔켐 천안공장 방문(박영우)</t>
  </si>
  <si>
    <t>의정부지법 허경영 영장실질심사(김휘란)</t>
  </si>
  <si>
    <t>이재명 일정 출장</t>
  </si>
  <si>
    <t>날씨 스케치(이한길)</t>
  </si>
  <si>
    <t>(지법등록)손흥민 협박 일당 영장실질심사(김휘란)</t>
  </si>
  <si>
    <t>5.18추모식</t>
  </si>
  <si>
    <t>선관위 대선후보 토론회 실시간 팩첵하는 장면 촬영(이지혜)</t>
  </si>
  <si>
    <t>선관위 부정선거 관련 스케치 스탠드업 촬영2(최연수)</t>
  </si>
  <si>
    <t>선관위 부정선거 관련 스케치 스탠드업 촬영1(최연수)</t>
  </si>
  <si>
    <t>SKT 일일 브리핑</t>
  </si>
  <si>
    <t>헤다가블러 간담회 (강나현)</t>
  </si>
  <si>
    <t>SPC 공장 끼임 사고 현장(이세현)</t>
  </si>
  <si>
    <t>1.대선 인물기획_스탠드업 촬영(신진)
2.고 오요안나씨 유가족 참석 기자회견(이희령)</t>
  </si>
  <si>
    <t>고3 학생들 인터뷰 (이희령)</t>
  </si>
  <si>
    <t>연세대 의대 교수 인터뷰 일정 (박상욱)</t>
  </si>
  <si>
    <t>SPC 삼립 사망사고 취재(김산)</t>
  </si>
  <si>
    <t>내란 우두머리 윤석열 전 대통령 1심 공판 4 (모바일라이브)</t>
  </si>
  <si>
    <t>(MNG-홍대 앞)이재명(최규진)</t>
  </si>
  <si>
    <t>U-20 축구 대표팀 소집 (원주) (홍지용)</t>
  </si>
  <si>
    <t>(지법등록)내란 우두머리 윤석열 전 대통령 1심 1</t>
  </si>
  <si>
    <t>인권위 남규선 상임위원 이임식 (김휘란)</t>
  </si>
  <si>
    <t>1.동탄 호수공원 흉기위협 (정인아)
2.(MNG-시흥) 중국인 남성, 시흥 칼부림(김지윤)</t>
  </si>
  <si>
    <t>니코틴 파우치 부작용 (이희정)</t>
  </si>
  <si>
    <t>1.(MNG-서울역 앞)김문수(김필준)
2.중국인 남성, 시흥 칼부림</t>
  </si>
  <si>
    <t>(지법등록)내란 우두머리 윤석열 전 대통령 1심 2 (오후)</t>
  </si>
  <si>
    <t>(군사법원)여인형, 이진우, 문상호 전 사령관 공판 기일</t>
  </si>
  <si>
    <t>유도 허미미 선수 인터뷰(이예원)</t>
  </si>
  <si>
    <t>대선 사전기획물 비전J 촬영(공다솜)</t>
  </si>
  <si>
    <t>시흥 사건 관련 현장 취재(이세현)</t>
  </si>
  <si>
    <t>1더불어민주당 종편 정책간담회(노진호)
2.민주당사 인근 분위기 스케치</t>
  </si>
  <si>
    <t>김문수 기획 스탠드업 촬영(최연수)</t>
  </si>
  <si>
    <t>모병제 대선 공약 관련 경희대 강민성 교수 int(박사라)</t>
  </si>
  <si>
    <t>동대문 부동산 취재(이상화)</t>
  </si>
  <si>
    <t>검찰 일정</t>
  </si>
  <si>
    <t>(시청)야외 오페라 마술피리 간담회+공연시연(강나현)</t>
  </si>
  <si>
    <t>코엑스 취업 박람회(이상화)</t>
  </si>
  <si>
    <t>SKT 일일 브리핑(박준우)</t>
  </si>
  <si>
    <t>이준석 후보 오대영라이브 출연 sk</t>
  </si>
  <si>
    <t>민주당사 앞 흉기든 남성 관련 스탠드업(김영민)</t>
  </si>
  <si>
    <t>한국기자협회 이달의 기자상 시상식(양빈현)</t>
  </si>
  <si>
    <t>대선 관련 동선 부감 포인트 섭외-하늘공원</t>
  </si>
  <si>
    <t>신경림 시인 유품 촬영 + 가족 인터뷰 (강나현)</t>
  </si>
  <si>
    <t>간호법 공청회 (이희정)</t>
  </si>
  <si>
    <t>1.모병제 정책검증-건양대 정원희 교수 int(박사라)
2.모병제 정책검증-영등포 병무청 스탠드업(박사라)</t>
  </si>
  <si>
    <t>(시청)1.윤석열 부정선거 영화관람 (신진)
2.남대문서 sk텔레콤 고발인조사 출석(김지윤)</t>
  </si>
  <si>
    <t>날씨 스케치와 인터뷰 (이희령)</t>
  </si>
  <si>
    <r>
      <rPr>
        <rFont val="Malgun Gothic"/>
        <color theme="1"/>
        <sz val="11.0"/>
      </rPr>
      <t>잠실주공5단지 조합 (오원석) -</t>
    </r>
    <r>
      <rPr>
        <rFont val="Malgun Gothic"/>
        <color rgb="FFFF0000"/>
        <sz val="11.0"/>
      </rPr>
      <t>kiil</t>
    </r>
  </si>
  <si>
    <t>투자 사기 피해자 인터뷰 (정아람)</t>
  </si>
  <si>
    <t>윤석열 부정선거 영화관람 (신진)</t>
  </si>
  <si>
    <t>대한축구협회 김승희 전무이사 기자간담회 (이완근)</t>
  </si>
  <si>
    <t>시흥 중국인 살인 사건 영장심사 스케치 (이세현)</t>
  </si>
  <si>
    <t>국민의힘 대표번호로 전화하는 모습(이한길)</t>
  </si>
  <si>
    <t>인천공항-텍사스 김성준 선수 입국(이예원)</t>
  </si>
  <si>
    <t>부천 무인매장 차량 절도범 현장 스케치(이세현)</t>
  </si>
  <si>
    <t>잇몸 담배 판매(이희정)</t>
  </si>
  <si>
    <t>(검찰지원-홍승재)
담배소송 항소심 최종변론(이희정)</t>
  </si>
  <si>
    <t>이노세이프 투자 사기 피해자 인터뷰(정아람)</t>
  </si>
  <si>
    <t>SPC 삼립 사망자 발인(김산)</t>
  </si>
  <si>
    <t>시집 스케치 (강나현)
동양하루살이 관련 시장 취재일정 (박상욱)</t>
  </si>
  <si>
    <t>1.문서 스케치 의뢰 (박상욱)
2.파주 흉기 난동 (강희연)</t>
  </si>
  <si>
    <t>방송기자연합회 이달의 방송기자상 시상식</t>
  </si>
  <si>
    <t>내란중요임무 등 혐의 공판-군사법원</t>
  </si>
  <si>
    <t>이준석 자택 섭외</t>
  </si>
  <si>
    <t>SKT 한달 넘게 불편 - 시민 인터뷰(전다빈)</t>
  </si>
  <si>
    <t>시각장애인 소설 북토크(강나현)</t>
  </si>
  <si>
    <t>(시청)1.2025년 제1회 추가경정예산안 브리핑
2.날씨스케치-광화문</t>
  </si>
  <si>
    <r>
      <rPr>
        <rFont val="Malgun Gothic"/>
        <color theme="1"/>
        <sz val="11.0"/>
      </rPr>
      <t xml:space="preserve">제주항공 참사 유가족 진상규명 집회(양빈현) </t>
    </r>
    <r>
      <rPr>
        <rFont val="Malgun Gothic"/>
        <color rgb="FFFF0000"/>
        <sz val="11.0"/>
      </rPr>
      <t>kill</t>
    </r>
  </si>
  <si>
    <t>통일교 정론직필 문서 sk(이은진)</t>
  </si>
  <si>
    <r>
      <rPr>
        <rFont val="Malgun Gothic"/>
        <color theme="1"/>
        <sz val="11.0"/>
      </rPr>
      <t xml:space="preserve">파주 흉기난동 주민 취재(임예은) </t>
    </r>
    <r>
      <rPr>
        <rFont val="Malgun Gothic"/>
        <color rgb="FFFF0000"/>
        <sz val="11.0"/>
      </rPr>
      <t>kill</t>
    </r>
  </si>
  <si>
    <t>밀착-새벽 3시 첫차 타는 시민들이 말하는 대선(이가혁)</t>
  </si>
  <si>
    <t>세종 당출-희귀병 환아, 아빠 도보 행진(송승환)</t>
  </si>
  <si>
    <t>김문수 일정 출장</t>
  </si>
  <si>
    <t>강동구-복조리 시장 급발진 주장 사고 현장(오원석)</t>
  </si>
  <si>
    <t>연속 비오는 주말, 줄어든 소비(박소연)</t>
  </si>
  <si>
    <t>날씨스케치-광화문</t>
  </si>
  <si>
    <t>뉴스룸MNG-이재명 안산 유세(하혜빈)</t>
  </si>
  <si>
    <t>커피값 상승 취재 (박준우)</t>
  </si>
  <si>
    <t>대선 투표용지 인쇄</t>
  </si>
  <si>
    <t>TK민심 출장 1박2일(황예린)</t>
  </si>
  <si>
    <t>한동훈 서울 지원 유세 (송혜수)</t>
  </si>
  <si>
    <t>오산역 광장앞 스탠드업(김필준)</t>
  </si>
  <si>
    <t>2025도하 세계선수권 대표팀 귀국(이예원)</t>
  </si>
  <si>
    <t>(지법등록)
고대 의대 간담회 (이희정)</t>
  </si>
  <si>
    <t>(시청)
이상민 한덕수 경찰 조사1 (정인아)</t>
  </si>
  <si>
    <t>이상민 한덕수 경찰 조사3</t>
  </si>
  <si>
    <t>이성민 한덕수 경찰 조사2 (정인아)</t>
  </si>
  <si>
    <t>인권위 11차 전원위 (김지윤)</t>
  </si>
  <si>
    <r>
      <rPr>
        <rFont val="Malgun Gothic"/>
        <color theme="1"/>
        <sz val="11.0"/>
      </rPr>
      <t xml:space="preserve">서부지법 폭동 가담자 성명서 발표(심가은) </t>
    </r>
    <r>
      <rPr>
        <rFont val="Malgun Gothic"/>
        <color rgb="FFFF0000"/>
        <sz val="11.0"/>
      </rPr>
      <t>kill</t>
    </r>
  </si>
  <si>
    <t>PK민심 출장 1박2일(류정화)</t>
  </si>
  <si>
    <t>MBK 홈플러스 입점 점주들 기자회견(전다빈)</t>
  </si>
  <si>
    <t>홍명보호 6월 A매치 명단 발표 (홍지용)</t>
  </si>
  <si>
    <t>(지법등록)
일산 더샵 엘로이 현장 취재+시행사 반론(심가은)</t>
  </si>
  <si>
    <t>전국법관대표회의_사법연수원(김태형)</t>
  </si>
  <si>
    <t>내란중요임무 등 혐의 공판</t>
  </si>
  <si>
    <t>중소기업전용 공동물류센터 건설사업 기공식 행사</t>
  </si>
  <si>
    <t>1.AI시대 디지털주권과 사이버안보 세미나(김도훈)
2.대치동 아파트, 20억 벌금 모니터 스케치(이상화)</t>
  </si>
  <si>
    <r>
      <rPr>
        <rFont val="Malgun Gothic"/>
        <color rgb="FF0000FF"/>
        <sz val="11.0"/>
      </rPr>
      <t>당일 출장 출발</t>
    </r>
    <r>
      <rPr>
        <rFont val="Malgun Gothic"/>
        <color theme="1"/>
        <sz val="11.0"/>
      </rPr>
      <t xml:space="preserve"> 김문수 생가(경북 영천) 취재 출발(신진)</t>
    </r>
  </si>
  <si>
    <t>이재명 후보 생애관련 스탠드업(하혜빈)</t>
  </si>
  <si>
    <t>대치동 재건축 사업장(이상화)</t>
  </si>
  <si>
    <t>신남성연대 대표 배인규 구속영장실질심사(양빈현)</t>
  </si>
  <si>
    <t>박근혜, 구미 박정희 생가 방문</t>
  </si>
  <si>
    <t>1.spc 시화공장 합동감식(이세현)
2.팩트체크 모니터 스케치(최규진)</t>
  </si>
  <si>
    <t>1.손흥민 귀국(홍지용)
2.사전투표관리관 '도장 직접 날인' 가처분 문서 sk(AD)</t>
  </si>
  <si>
    <t>넷플릭스 &lt;이 별에 필요한&gt;라운드 인터뷰(강나현)</t>
  </si>
  <si>
    <t>대선 사전제작용 스탠드업(박현주)</t>
  </si>
  <si>
    <t>1.여름철 모기 방역(이희정)
2.윤상현 선대위 임명 국민의힘 보도자료 문서sk (김필준)</t>
  </si>
  <si>
    <t>동탄 납치 사건 남부청 브리핑(이세현)</t>
  </si>
  <si>
    <t>대선 르포 / 수도권 반도체벨트(함민정)</t>
  </si>
  <si>
    <t>서울 시내버스 파업 유보 취재(정아람)</t>
  </si>
  <si>
    <t>김문수 생가(경북 영천) 취재(신진)</t>
  </si>
  <si>
    <t>21그램 관련 서류스케치(정인아)</t>
  </si>
  <si>
    <t>대선 르포 / 한강 벨트(배양진)</t>
  </si>
  <si>
    <t>결혼준비 중 웨딩 예약 환불 거부 사례자(전다빈)</t>
  </si>
  <si>
    <t>잠실 야구장 팬 인터뷰(양정진)</t>
  </si>
  <si>
    <t>을지로화재 뉴스룸 MNG 연결(오원석)</t>
  </si>
  <si>
    <t>K-화장품, 트럼프 관세 여파에도  '수출 효자 1위'(박소연)</t>
  </si>
  <si>
    <t>당근마켓 성범죄 이미지 촬영(심가은)</t>
  </si>
  <si>
    <t>이재명 후보 고향 안동 취재(하혜빈)</t>
  </si>
  <si>
    <t>21그램 회사 스케치(양빈현)</t>
  </si>
  <si>
    <t>교육부 인천 온라인학교 팸투어(이한길)</t>
  </si>
  <si>
    <t>1.여자 축구 대표팀 공식 기자회견 및 훈련(홍지용)
2.장동혁 의원 선관위 항의 방문1</t>
  </si>
  <si>
    <t>세종-환경부, 홍수대비상황 현장 취재(박상욱)</t>
  </si>
  <si>
    <t>1.평택경찰서 브리핑(이세현)
2.용인 사전투표소 방화 글 관련 현장 스케치(이세현)</t>
  </si>
  <si>
    <t>사전투표 취재(김안수)</t>
  </si>
  <si>
    <t>사전투표소 스탠드업(공다솜)</t>
  </si>
  <si>
    <t>황교안 재판 노쇼 관련 모니터sk(임예은)</t>
  </si>
  <si>
    <t>자영업자 인터뷰(이상화)</t>
  </si>
  <si>
    <t>주한 미국 대사관 앞 인터뷰 대기 줄 SK(윤샘이나)</t>
  </si>
  <si>
    <t>1.관내 사전투표함 구시군위원회 인계(공다솜)
2.장동혁 의원 선관위 항의 방문2</t>
  </si>
  <si>
    <t>(시청)서울 시내버스 임금단체협상 관련 브리핑</t>
  </si>
  <si>
    <t>아침뉴스MNG-사전투표소(이은진)</t>
  </si>
  <si>
    <t>1.이재명 저서 촬영(하혜빈)
2.뉴스룸MNG-경찰청 앞(정해성)</t>
  </si>
  <si>
    <t>부정선거단체 사전투표 감시활동 취재(김산)</t>
  </si>
  <si>
    <t>허훈-허웅 형제 한솥밥 KCC 입단 기자회견(홍지용)</t>
  </si>
  <si>
    <t>연극 헌치백 취재(강나현)</t>
  </si>
  <si>
    <t>선관위 사전투표 기획(최연수)</t>
  </si>
  <si>
    <t>구미-1박2일 우상혁 대회일정(이예원)</t>
  </si>
  <si>
    <t>사전투표소 종편 풀 취재</t>
  </si>
  <si>
    <t>1.한국GM, '철수설' 취재(정아람)
2.투표 관리 부실 관련 사전투표소 외경1(이승환)</t>
  </si>
  <si>
    <t>1.사전제작-김문수 당선인이 걸어온 길(신진)
2.사전투표소 스케치-신촌</t>
  </si>
  <si>
    <t>프로농구 KT 문경은 감독, 김선형 영입 합동 인터뷰(홍지용)</t>
  </si>
  <si>
    <t>1.계란 물가 상승(이희정)
2.투표 관리 부실 관련 사전투표소 외경2(이승환)</t>
  </si>
  <si>
    <t>숙대입구역 선거유세차량 사고(김휘란)</t>
  </si>
  <si>
    <t>무산문화대상 기자회견+시상식(강나현)</t>
  </si>
  <si>
    <t>춘천-장르만 여의도1</t>
  </si>
  <si>
    <t>구로구 선관위 무단침입 스케치(양빈현)</t>
  </si>
  <si>
    <t>2025년 호암상 시상식(박소연)</t>
  </si>
  <si>
    <t>사전투표소 현장 취재-역삼(함민정)</t>
  </si>
  <si>
    <t>1.KBO 앞 SPC 크보빵 불매운동 트럭시위(김산)
2.대리투표 대치동 투표소 현장취재(김산)</t>
  </si>
  <si>
    <t>춘천-장르만 여의도2</t>
  </si>
  <si>
    <t>을지로 세운대림상가 화재 현장감식(오원석)</t>
  </si>
  <si>
    <t>국민의힘 대선 유세</t>
  </si>
  <si>
    <t>더불어민주당 대선 유세</t>
  </si>
  <si>
    <t>국민의힘-더불어민주당 대선유세 지원</t>
  </si>
  <si>
    <t>개혁신당 대선 유세</t>
  </si>
  <si>
    <t>1.지하철 5호선 방화 1 / 마포역
2.1형 당뇨 딸과 아빠 국회 도착(성화선)</t>
  </si>
  <si>
    <t>(황희찬 일정 등록)황희찬 풋볼 페스티벌(홍지용)</t>
  </si>
  <si>
    <t>5.29~6.2 태국 출장(김지아)</t>
  </si>
  <si>
    <t>1.지하철 5호선 방화 3 / 여의나루역(이은진)
2.서울숲 아이파크리버포레 취재(정아람)</t>
  </si>
  <si>
    <t>[뉴스룸-MNG연결]천준호 민주당 중앙선대위 전략본부장</t>
  </si>
  <si>
    <t>지하철 5호선 방화 2 / 마포역</t>
  </si>
  <si>
    <t>6월</t>
  </si>
  <si>
    <t>공정선거참관단-사전 및 우편 투표함 보관 CCTV확인</t>
  </si>
  <si>
    <t>김문수 대선 일정</t>
  </si>
  <si>
    <t>이재명 대선 일정</t>
  </si>
  <si>
    <t>이준석 대선 일정</t>
  </si>
  <si>
    <t>1.날씨스케치-상암(이희정)
2.김문수 유세현장 스탠드업(최연수)</t>
  </si>
  <si>
    <t>1.날씨스케치-반포
2.선거사무원 대리투표 혐의 구속영장실질심사(정인아)</t>
  </si>
  <si>
    <t>뉴스룸MNG-장동혁 의원 연결</t>
  </si>
  <si>
    <t>대선 당일 사전제작물 스탠드업(공다솜)</t>
  </si>
  <si>
    <t>1.민주당 포인트 점검
2.개혁신당 포인트 점검</t>
  </si>
  <si>
    <t>김문수 자택 포인트 점검</t>
  </si>
  <si>
    <t>안양 국힘 유세차량 관련 사건 현장(이세현)</t>
  </si>
  <si>
    <t>국힘 포인트 점검</t>
  </si>
  <si>
    <t>문서스케치(김휘란)</t>
  </si>
  <si>
    <t>1.삼성페이 먹통 모습(이상화)
2.국회 연결 포인트 점검</t>
  </si>
  <si>
    <t>원하는 차기 대통령 시민인터뷰(함민정)</t>
  </si>
  <si>
    <t>홍명보호 축구 대표팀 이라크 출국(홍지용)</t>
  </si>
  <si>
    <t>(시청)다중밀집 지하철 역사 및 투표소 현장 방문</t>
  </si>
  <si>
    <t>MNG-서울 마곡 이재명 유세(하혜빈)</t>
  </si>
  <si>
    <t>수원 산남중학교 교사 폭행 사건(이희정)</t>
  </si>
  <si>
    <t>일산 선거방송 세트 스탠드업(공다솜)</t>
  </si>
  <si>
    <t>5호선 방화범 영장실질심사(양빈현)</t>
  </si>
  <si>
    <t>[뉴스룸-날씨] 날씨라이브 (모세원 기상캐스터)</t>
  </si>
  <si>
    <t>MNG-국회 특설무대(박사라)</t>
  </si>
  <si>
    <t>JTBC 다큐멘터리 스탠드업 촬영(김필규)</t>
  </si>
  <si>
    <t>삼성페이 먹통 시민인터뷰(이상화)</t>
  </si>
  <si>
    <t>짐 로저스 이재명 지지선언문 허위 관련 문서스케치(신진)</t>
  </si>
  <si>
    <t>이명박 전 대통령 청계천 일정(송혜수)</t>
  </si>
  <si>
    <t>김문수 자택1</t>
  </si>
  <si>
    <t>민주당 선거상황실1</t>
  </si>
  <si>
    <t>이재명 자택1</t>
  </si>
  <si>
    <t>중앙선관위1</t>
  </si>
  <si>
    <t>이준석 자택2</t>
  </si>
  <si>
    <t>국민의힘 선거상황실1</t>
  </si>
  <si>
    <t>개혁신당 선거상황실1</t>
  </si>
  <si>
    <t>신당동 화재(오원석)</t>
  </si>
  <si>
    <r>
      <rPr>
        <rFont val="Malgun Gothic"/>
        <color rgb="FFFF0000"/>
        <sz val="11.0"/>
      </rPr>
      <t>(추가야근)</t>
    </r>
    <r>
      <rPr>
        <rFont val="Malgun Gothic"/>
        <color theme="1"/>
        <sz val="11.0"/>
      </rPr>
      <t>민주당 선거상황실2</t>
    </r>
  </si>
  <si>
    <t>익일02:40</t>
  </si>
  <si>
    <t>국민의힘 선거상황실2</t>
  </si>
  <si>
    <t>일일02:00</t>
  </si>
  <si>
    <t>서대문 개표소</t>
  </si>
  <si>
    <t>1.윤석열 전 대통령 투표
2.이준석 자택1</t>
  </si>
  <si>
    <r>
      <rPr>
        <rFont val="Malgun Gothic"/>
        <color rgb="FFFF0000"/>
        <sz val="11.0"/>
      </rPr>
      <t>(추가야근)</t>
    </r>
    <r>
      <rPr>
        <rFont val="Malgun Gothic"/>
        <color theme="1"/>
        <sz val="11.0"/>
      </rPr>
      <t>이재명 자택2</t>
    </r>
  </si>
  <si>
    <t>개혁신당 선거상황실2</t>
  </si>
  <si>
    <t>익일02:30</t>
  </si>
  <si>
    <t>이재명 여의도 당선 세러머니</t>
  </si>
  <si>
    <t>익일02:00</t>
  </si>
  <si>
    <t>중앙선관위2</t>
  </si>
  <si>
    <t>관악 개표소</t>
  </si>
  <si>
    <t>김문수 자택2</t>
  </si>
  <si>
    <t>국민의힘 당사 앞</t>
  </si>
  <si>
    <t>수원 지하상가</t>
  </si>
  <si>
    <t>민주노동당 상황실</t>
  </si>
  <si>
    <t>투표소1</t>
  </si>
  <si>
    <t>1.사당 투표소sk
2. 강남 대기</t>
  </si>
  <si>
    <t>이민성 올림픽 축구 대표팀 감독 취임 기자회견(단독)</t>
  </si>
  <si>
    <t>선관위 기자연결(신진)</t>
  </si>
  <si>
    <t>1.VIP 사저 복귀_인천
2.리박스쿨 압수수색(이서준)</t>
  </si>
  <si>
    <t>망원시장 시민인터뷰(전다빈)</t>
  </si>
  <si>
    <t>아침뉴스 국회 기자연결 (황예린)</t>
  </si>
  <si>
    <t>이재명 자택 기자연결(박사라)</t>
  </si>
  <si>
    <t>의사협회 기자회견(이희정)</t>
  </si>
  <si>
    <t>국회 특설무대 연결</t>
  </si>
  <si>
    <t>이재명 취임식 국회앞 상황 대비</t>
  </si>
  <si>
    <t>리박스쿨 관련 전교조 기자회견(이한길)</t>
  </si>
  <si>
    <t>2026학년도 대학수학능력시험 6월 모의고사 취재(단독)</t>
  </si>
  <si>
    <t>한국거래소 스케치(이상화)</t>
  </si>
  <si>
    <t>이재명 이동 동선 취재(단독)</t>
  </si>
  <si>
    <t>동물학대 피해 강아지 보호자 인터뷰(양빈현)</t>
  </si>
  <si>
    <t>특검 관련 국방부 스탠드업(김혜리)</t>
  </si>
  <si>
    <t>(부산 당출)
교육 업체 학습용 패드, 내부 검색 기능 문제(이희령)</t>
  </si>
  <si>
    <t>데이케어센터 갈등(이희정)</t>
  </si>
  <si>
    <t>계엄 국회 관련 스탠드업(박현주)</t>
  </si>
  <si>
    <t>특검 관련 아크로비스타 스탠드업(윤정주)</t>
  </si>
  <si>
    <r>
      <rPr>
        <rFont val="Malgun Gothic"/>
        <color theme="1"/>
        <sz val="11.0"/>
      </rPr>
      <t>아차산역 트럭뺑소니(김지윤)</t>
    </r>
    <r>
      <rPr>
        <rFont val="Malgun Gothic"/>
        <color rgb="FFFF0000"/>
        <sz val="11.0"/>
      </rPr>
      <t xml:space="preserve"> kill</t>
    </r>
    <r>
      <rPr>
        <rFont val="Malgun Gothic"/>
        <color theme="1"/>
        <sz val="11.0"/>
      </rPr>
      <t xml:space="preserve">
1.용인 전철 공사현장 사고(조해언)</t>
    </r>
  </si>
  <si>
    <t>미국발 관세로 중고차 수출 증가(박소연)</t>
  </si>
  <si>
    <t>한국거래소 종가 스케치(이상화)</t>
  </si>
  <si>
    <t>태안화력 비정규직 노동자 사고대책위 기자회견(정영재)</t>
  </si>
  <si>
    <t>삼청동 인근 상황대기</t>
  </si>
  <si>
    <t>이훈기 의원-최태원 회장 면담(전다빈)</t>
  </si>
  <si>
    <t>뉴스룸MNG-대통령실</t>
  </si>
  <si>
    <t>홍명보호 축구 대표팀 귀국(홍지용)</t>
  </si>
  <si>
    <t>1.김문수 현충원 참배(김필준)
2.보라매공원 날씨스케치(이희령)</t>
  </si>
  <si>
    <t>제2회 평화의날 행사 (김안수)</t>
  </si>
  <si>
    <t>1.청와대 취재(오원석)
2.마포구 아파트 가격 취재(정아람)</t>
  </si>
  <si>
    <t>태안화력 고 김충현 노동자 추모문화제(성화선)</t>
  </si>
  <si>
    <t>혼인평등 기획 인터뷰(임지수)</t>
  </si>
  <si>
    <t>1.워터파크 아래 오피스텔 주차장 누수(정인아)
2.용인 전철 공사현장 사고(김지윤)</t>
  </si>
  <si>
    <t>1.접경지역 확성기 중단 기대감(김민관)
2.국회 이준석 제명 국민청원 모니터 sk(황예린)</t>
  </si>
  <si>
    <t>내수 부진에 늘어나는 ..추경 늘어날까? 시장 취재(박소연)</t>
  </si>
  <si>
    <t>축구대표팀 파주 훈련,인터뷰 (단독)</t>
  </si>
  <si>
    <t>날씨 더위 sk (단독)</t>
  </si>
  <si>
    <t>안세영 등 귀국(이예원)</t>
  </si>
  <si>
    <t>코로나 백신 품귀 현상(이희정)</t>
  </si>
  <si>
    <t>사우나 남탕 들어간 여성 피해자 인터뷰(김휘란)</t>
  </si>
  <si>
    <t>윤석열 재판관련 중앙지법 퇴장</t>
  </si>
  <si>
    <t>(지법등록)
1.배달노동자 최저임금 적용 촉구 기자회견(이희령)
2.교원그룹(빨간펜) 외경 (이희령)</t>
  </si>
  <si>
    <t>배달앱 사용점주 인터뷰(공다솜)</t>
  </si>
  <si>
    <t>(시청)수도요금 체납자 징수 현장 동행 방문(오원석)</t>
  </si>
  <si>
    <t>(지법등록)
개수영장 진상규명 김건희 특검법으로 가능 문서sk(함민정)</t>
  </si>
  <si>
    <t>포브스 30 언더 30 행사 취재(김도훈)</t>
  </si>
  <si>
    <t>홍명보호 축구 대표팀 쿠웨이트전 대비 훈련(홍지용)</t>
  </si>
  <si>
    <t>뉴스룸MNG-법원(여도현)</t>
  </si>
  <si>
    <t xml:space="preserve">동국제강 등 주변 금속 제조업체(전다빈) </t>
  </si>
  <si>
    <t>가계 소비 줄이는 2030 취재(박준우)</t>
  </si>
  <si>
    <t>BBQ 글로벌스포츠마케팅 기자간담회(김도훈)</t>
  </si>
  <si>
    <t>홍명보호 축구 대표팀 쿠웨이트전(홍지용)</t>
  </si>
  <si>
    <t>1.하이브외경(강나현)
2.대한민국 최초 미국내 구글 및 애플 집단소송 기자간담회</t>
  </si>
  <si>
    <t>(시청)1.가족돌봄청년 지원 업무 협약
2.조계종 총무원 화재1(오원석)</t>
  </si>
  <si>
    <t>코로나 확산세 관련 정부 보도자료(이희정)</t>
  </si>
  <si>
    <t>LCC 소도시 취항 경쟁(박준우)</t>
  </si>
  <si>
    <t>유도 이현지 선수 인터뷰(이예원)</t>
  </si>
  <si>
    <t>조계종 총무원 화재2(오원석)</t>
  </si>
  <si>
    <t>서울시 체납차량 톨게이트 단속(김휘란)</t>
  </si>
  <si>
    <t>한국거래소 시황판(공다솜)</t>
  </si>
  <si>
    <t>2026 최저임금 최초요구안 기자회견(이희령)</t>
  </si>
  <si>
    <t>가계 소비 줄이는 2030 기획(박준우)</t>
  </si>
  <si>
    <t>(시청)채무조정 사례자 취재(공다솜)</t>
  </si>
  <si>
    <t>인천 동구 철강 업계(전다빈)</t>
  </si>
  <si>
    <t>충남 아산 당출-아르니퍼스트 아파트 부지(정아람)</t>
  </si>
  <si>
    <t>BTS 지민&amp;정국 전역(강나현)</t>
  </si>
  <si>
    <t>경기 양주 ‘용암 영무예다음 더퍼스트’(정아람)</t>
  </si>
  <si>
    <t>1.예스24 해킹 피해 관련 스케치(박준우)
2.대통령실 증거인멸 방첩사 홈페이지sk(이희정)</t>
  </si>
  <si>
    <t>AL역량강화 교육 11~12(중앙일보 사옥)</t>
  </si>
  <si>
    <t>1.합참, 2025 합동군사우주력 발전 심포지엄
2.정례브리핑</t>
  </si>
  <si>
    <t>강화도 대남방송 중단 관련 르포 (임예은)</t>
  </si>
  <si>
    <t>프로축구연맹 상벌위(정수아)</t>
  </si>
  <si>
    <t>홈플 노조 인터뷰(정아람)</t>
  </si>
  <si>
    <t>아트테크 피해자 인터뷰(정아람)</t>
  </si>
  <si>
    <t>윤석열 정부 알박기 관련 스탠드업(송승환)</t>
  </si>
  <si>
    <t>칸진출작 영화 안경 GV(강나현)</t>
  </si>
  <si>
    <t>1.세관 마약밀수 연루 합동수사팀 출범백해룡 경정 입장
2.김학의 불법출금 수사외압 이성윤 의원 소부선고(대법원)</t>
  </si>
  <si>
    <t>(시청)1.홈플러스 전단채 피해자 대책위 기자회견(정아람)
2.날씨스케치2</t>
  </si>
  <si>
    <t>나흘째 먹통인 예스24(박소연)</t>
  </si>
  <si>
    <t>남부지법 건진법사 조사1(양빈현)</t>
  </si>
  <si>
    <t>12~13 제주국제공항 현장취재(박준우)</t>
  </si>
  <si>
    <r>
      <rPr>
        <rFont val="Malgun Gothic"/>
        <color theme="1"/>
        <sz val="11.0"/>
      </rPr>
      <t>1.대한의협 브리핑(이희정)
2.김민석 김문수 형님상 빈소 방문</t>
    </r>
    <r>
      <rPr>
        <rFont val="Malgun Gothic"/>
        <color rgb="FFFF0000"/>
        <sz val="11.0"/>
      </rPr>
      <t>(도착 전 종료)</t>
    </r>
  </si>
  <si>
    <t>인도로 승용차 돌진 논현동(김산)</t>
  </si>
  <si>
    <t>1.날씨스케치1(박상욱)
2.리베이트 의혹 관련 공익제보자 인터뷰2(김휘란)
3.남부지법 건진법사 조사2(양빈현)</t>
  </si>
  <si>
    <t>리베이트 의혹 관련 공익제보자 인터뷰1(김휘란)</t>
  </si>
  <si>
    <t>통일교 항의 방문1</t>
  </si>
  <si>
    <t>이웃집에 반려견 살해당한 피해자 인터뷰 (김휘란)</t>
  </si>
  <si>
    <t>빙그레 유제품 요플레와 닥터캡 sk(박소연)</t>
  </si>
  <si>
    <t>1.특검 임명자 인터뷰 대비 서초동 팔로우 2
2.강남 은마아파트 공사현장 붕괴사고(김산)</t>
  </si>
  <si>
    <t>1.채상병 사건' 박정훈 대령 항명 항소심 박정훈 2심 공판
2.특검 임명 3명 인터뷰</t>
  </si>
  <si>
    <t>특검 임명자 인터뷰 대비 서초동 팔로우 1</t>
  </si>
  <si>
    <t>헌혈 버스, 헌혈 홍보 부스 등 스케치 (이희정)</t>
  </si>
  <si>
    <r>
      <rPr>
        <rFont val="Malgun Gothic"/>
        <color theme="1"/>
        <sz val="11.0"/>
      </rPr>
      <t>강남 은마아파트 공사현장 붕괴사고</t>
    </r>
    <r>
      <rPr>
        <rFont val="Malgun Gothic"/>
        <color rgb="FFFF0000"/>
        <sz val="11.0"/>
      </rPr>
      <t xml:space="preserve"> kill</t>
    </r>
  </si>
  <si>
    <t>연희동 경중선 사고현장 (임예은)</t>
  </si>
  <si>
    <t>BTS 페스타 아미밤 포토존 등 부스와 프로그램 촬영(강나현)</t>
  </si>
  <si>
    <t>통일교 항의 방문2</t>
  </si>
  <si>
    <t>2,300억대 세탁한 상품권 업체 운영자 검거 브리핑(양빈현)</t>
  </si>
  <si>
    <t>구로구 천왕동 물품정리사 교육 취재 (김민관)</t>
  </si>
  <si>
    <t>날씨스케치(송승환)</t>
  </si>
  <si>
    <t>이재명 장남 결혼식(함민정)</t>
  </si>
  <si>
    <t>2025 서울퀴어 문화축제</t>
  </si>
  <si>
    <t>날씨 sk (어두운 하늘 + 바람 sk) (이희정)</t>
  </si>
  <si>
    <t>1.비서실장 인선 브리핑
2.뉴스룸 MNG 연결 (유선의)</t>
  </si>
  <si>
    <t>날씨 더위 sk</t>
  </si>
  <si>
    <t>정청래 민주당 당애표 출마 기자회견 등</t>
  </si>
  <si>
    <t>위례 오소리 출몰 아파트(이희령)</t>
  </si>
  <si>
    <t>국정기획위원회 출범행사</t>
  </si>
  <si>
    <t>김건희 특검 상황대기</t>
  </si>
  <si>
    <t>국제 성악콩쿠르 조수미 프레스콜(강나현)</t>
  </si>
  <si>
    <t>(지법등록)내수 부진 스탠드업(공다솜)</t>
  </si>
  <si>
    <t>1.윤 전 대통령 형사재판
2.민주당 대검찰청 항의방문</t>
  </si>
  <si>
    <t>(시청)산문집 출간 기념 기자간담회(강나현)</t>
  </si>
  <si>
    <t>국제패럴림픽위원회(IPC) 총회 관련 기자회견(홍지용)</t>
  </si>
  <si>
    <t>극우 단체 시민 폭행(정인아)</t>
  </si>
  <si>
    <t>김건희 여사 아산병원 입원(김산)</t>
  </si>
  <si>
    <t>1.김용현 동부구치소 보석 대기2(조해언)
2.뉴스룸 MNG - 김건희 여사 아산병원 입원 (김산)</t>
  </si>
  <si>
    <t>경기 안성 초등학교 선생님들 인터뷰(이희령)</t>
  </si>
  <si>
    <t>(지법등록)1.채상병 특검 상황 대기
2.김용현 동부구치소 보석 대기1(조해언)</t>
  </si>
  <si>
    <t>1.윤승주 일병 매형 인터뷰(김휘란)
2.왁싱샵 성추행 피해자 인터뷰(심가은)</t>
  </si>
  <si>
    <t>세브란스 암병원 관련 자료 영상 sk와 간담회(성화선)</t>
  </si>
  <si>
    <t>spc 서울 본사 압수수색(정인아)</t>
  </si>
  <si>
    <t>spc 시흥공장 압색(이세현)</t>
  </si>
  <si>
    <t>대금 미지급 연예기획사 관련 세탁소 인터뷰(김지윤)</t>
  </si>
  <si>
    <t>1.김건희 특검 출근길 취재(윤정주)
2.서정아트 서울 외경(정아람)</t>
  </si>
  <si>
    <t>증시현황판 종가(공다솜)</t>
  </si>
  <si>
    <t>진천선수촌 오전/ 배드민턴 선수단 훈련(이예원)</t>
  </si>
  <si>
    <t>(시청)1.가사관리사 현장 청취 간담회(POOL)
2.김민석 총리 후보자 외신기자 간담회</t>
  </si>
  <si>
    <t>국정기획위원회 브리핑</t>
  </si>
  <si>
    <t>살아나는 내수 시민 인터뷰(공다솜)</t>
  </si>
  <si>
    <t>예스24 랜섬웨어 사과문sk</t>
  </si>
  <si>
    <t>왁싱샵 성추행 사건 반론취재(심가은)</t>
  </si>
  <si>
    <t>국내 첫 창고형 약국(성화선)</t>
  </si>
  <si>
    <t>홍준표 전 대구시장 귀국(유한울)</t>
  </si>
  <si>
    <t>IPO 투자사기 피해자 인터뷰(정아람)</t>
  </si>
  <si>
    <t>EBS,MBC 외경</t>
  </si>
  <si>
    <t>1.경기남부지방경찰청 외경
2.의대생 복귀 방해 관련 스케치(이세현)</t>
  </si>
  <si>
    <t>김민석 모친 소유 목동 빌라 sk(배양진)</t>
  </si>
  <si>
    <t>경매학원 스케치와 인터뷰(정아람)</t>
  </si>
  <si>
    <t>1.민중기 김건희 특검, 남부지검 신응석 검사장 면담
2.SBS, CBS 외경</t>
  </si>
  <si>
    <t>(시청)1.시민안전을 위한 서울역 노숙인 실태점검(오원석)
2.서울시청,헌재,국수본 외경</t>
  </si>
  <si>
    <t>대한항공,홈플러스,이마트 외경</t>
  </si>
  <si>
    <t>퍽킹 코리아 외치며 난동부린 미군 사건(심가은)</t>
  </si>
  <si>
    <t>1.리박스쿨 역사왜곡 규탄 기자회견(이희령)
2.종로경찰서,마포경찰서 외경</t>
  </si>
  <si>
    <t>대구당출-이란 육상선수 한국여성 성폭행 관련(정인아)</t>
  </si>
  <si>
    <t>소버린 AI 관련(박소연)</t>
  </si>
  <si>
    <t>멀티캠퍼스 x JTBC MOU 체결식(오대영)</t>
  </si>
  <si>
    <t>특검. 관련 대검 상황 대기
1.민중기 특검 임시 사무실 외경</t>
  </si>
  <si>
    <t>김건희 특검 남부청 방문(이세현)</t>
  </si>
  <si>
    <t>채무조정 사례자 취재(이상화)</t>
  </si>
  <si>
    <t>한일관계 대전환 모색 토론회</t>
  </si>
  <si>
    <t>제16회 홍진기 창조인상 시상식1</t>
  </si>
  <si>
    <t>검찰 풀 일정</t>
  </si>
  <si>
    <t>김민석 총리 후보자 오대영 라이브 출연</t>
  </si>
  <si>
    <t>1배민 소비자 및 소상공인 거리인터뷰(전다빈)
2숙취해소제 효과(이희정)</t>
  </si>
  <si>
    <t>공항 마약탐지견르포(김민관)</t>
  </si>
  <si>
    <t>서부지법 통합관제센터 개소식</t>
  </si>
  <si>
    <t>당진 당출-영화'홈' 현장공개(강나현)</t>
  </si>
  <si>
    <t>1.대통령실 홈페이지스케치
2.제16회 홍진기 창조인상 시상식2</t>
  </si>
  <si>
    <t>대전 당출-소버린 AI 임경태 카이스트 교수 int(박소연)</t>
  </si>
  <si>
    <t>1.식약처 숙취해소제 스케치(이희정)
2.의대생 이어 전공의도 탄핵 움직임 문서sk(성화선)</t>
  </si>
  <si>
    <t>검찰 특검 사무실 대기
1.김건희 특검 출근길(윤정주)</t>
  </si>
  <si>
    <t>배달의민족 핸드폰 스케치(전다빈)</t>
  </si>
  <si>
    <t>뉴스룸 MNG 청계천(오원석)</t>
  </si>
  <si>
    <t>1.검찰 특검 사무실 입장 발표(윤정주)
2.날씨스케치-도림천</t>
  </si>
  <si>
    <t>1.검찰 풀 일정
2.여자친구 살해 의대생 '사자손괴' 유족 기자회견(김산)</t>
  </si>
  <si>
    <t>날씨스케치(공다솜)</t>
  </si>
  <si>
    <t>1.디엠씨우방아파트 화재(심가은)
2.증권 거래소 스케치</t>
  </si>
  <si>
    <t>1.[국정기획위원회] 10:00 방통위 브리핑
2.코스피3000</t>
  </si>
  <si>
    <t>남양주시장 아침앤 연결(이은진)</t>
  </si>
  <si>
    <t>통일교 징계위(양빈현)</t>
  </si>
  <si>
    <t>일본 소도시 단독 취항 노선 차별화 마케팅(박준우)</t>
  </si>
  <si>
    <t>(밀착) 뉴스룸 MNG 인천(정희윤)</t>
  </si>
  <si>
    <t>AI리포트 스탠드업 촬영(전다빈)</t>
  </si>
  <si>
    <t>날씨스케치-청계천</t>
  </si>
  <si>
    <t>서울 국제 도서전(강나현)</t>
  </si>
  <si>
    <t>뉴스룸 MNG 불광천(이희령)</t>
  </si>
  <si>
    <t>국힘 비대위원장 제주 일정</t>
  </si>
  <si>
    <t>경기 양주시 옹벽(송승환)</t>
  </si>
  <si>
    <t>포트홀 현장 취재(김산)</t>
  </si>
  <si>
    <t>1.특검 상황대비
2.오후 날씨 스케치(송승환)</t>
  </si>
  <si>
    <t>1.산업부 통상교섭본부장 미국 출국(전다빈)
2.날씨스케치-월드컵공원</t>
  </si>
  <si>
    <t>1.유가 상승 스케치(공다솜)
2.이한주 국정기획위원장 기자간담회</t>
  </si>
  <si>
    <t>뉴스룸MNG-국회(하혜빈)</t>
  </si>
  <si>
    <t>1.김건희 특검 출근길(윤정주)
2.문형배 서울국제도서전(강나현)</t>
  </si>
  <si>
    <t>육군, 6.25전쟁 중요 역사 기록물 보존사업</t>
  </si>
  <si>
    <t>1.한국거래소 시황판(공다솜)
2.KBS외경</t>
  </si>
  <si>
    <t>(지법등록)1.삼성서울병원 외경(김지윤)
2.강남소방서 외경</t>
  </si>
  <si>
    <t>1.임태희 교육감 취임 3주년 기자간담회(이세현)
2.아리셀 참사 1주기 기자회견(이세현)</t>
  </si>
  <si>
    <t>에어서울 요나고 노선 홍보 관련 인터뷰(박준우)</t>
  </si>
  <si>
    <t>1.휘발유 2천원대 사직주유소(공다솜)
2.국정기획위원회 대변인 브리핑</t>
  </si>
  <si>
    <t>(시청)휘발유 2천원대 필동주유소(공다솜)</t>
  </si>
  <si>
    <t>(지법등록)김건희 특검 출근길(윤정주)</t>
  </si>
  <si>
    <t>분당 서울대병원 외관 스케치 및 취재 시도(오원석)</t>
  </si>
  <si>
    <t>인권위 전원위 커버(김휘란)</t>
  </si>
  <si>
    <t>오세훈 시장, 영등포쪽박촌 '온기창고' 개소식</t>
  </si>
  <si>
    <t>1.아이링 수술 문서sk(이희정)
2.아이링 수술 시민인터뷰(이희정)</t>
  </si>
  <si>
    <t>내란중요임무종사 공판</t>
  </si>
  <si>
    <t>숙명민주동문회 인터뷰(이희령)</t>
  </si>
  <si>
    <t>1.제약사 접대, 청담 재즈바 인터뷰(이은진)
2.뉴스룸MNG-고검(연지환)</t>
  </si>
  <si>
    <t>중기부장관 첫 출근 일정(박준우)</t>
  </si>
  <si>
    <t>이통3사 보조금 전쟁 재점화(박준우)</t>
  </si>
  <si>
    <t>(시청)1.SKT일일브리핑(박소연)
2.SKT 신규 고객 모집 시작(박소연)</t>
  </si>
  <si>
    <t>1.과기정통부 장관 후보자 첫 출근 일정(전다빈)
2.환경부장관 후보자 첫 출근</t>
  </si>
  <si>
    <t>대우제약 리베이트 강원 홍천 리조트 취재(김휘란)</t>
  </si>
  <si>
    <t>1.어쩌면 해피엔딩 박천휴 귀국 간담회(강나현)
2.고용노동부장관 후보자 첫출근</t>
  </si>
  <si>
    <t>남양주 온요양원 반론 취재(송승환)</t>
  </si>
  <si>
    <t>1.관월당 일본서 귀한(강나현)
2.숙명여대 외경sk</t>
  </si>
  <si>
    <t>대학 보도자료 문서스케치(이희령)</t>
  </si>
  <si>
    <t>1.김건희 특검 출근길(윤정주)
2.법인차량 및 수입차sk</t>
  </si>
  <si>
    <t>대치동 전신주 충돌 정전사고(홍지용)</t>
  </si>
  <si>
    <t>1.송미령 장관 지명 규탄 전농 기자회견(강버들)
2.국민대 외경sk</t>
  </si>
  <si>
    <t>김용현 전 장관 체포영장 상황대기</t>
  </si>
  <si>
    <t>1.고물가 시대 식문화(이희정)
2.대웅제약 모형 촬영(김휘란)</t>
  </si>
  <si>
    <t>1.육교댕강 오피스텔 취재(김안수)
2.뉴스룸 MNG 중앙지법(김태형)</t>
  </si>
  <si>
    <t>용인 절도사건 취재(이세현)</t>
  </si>
  <si>
    <t>1.정권별 서울 아파트 시세 분석 발표  (정아람)
2.예스24 홈페이지 캡쳐 (박소연)</t>
  </si>
  <si>
    <t>(국회지원-이지수) 0750 출발 대전 일정</t>
  </si>
  <si>
    <t>국정기획위원회 일정 풀 3개</t>
  </si>
  <si>
    <t>1.의정부 컬링국대선발전 (이예원)
2.윤석열 구속영장 상황대기</t>
  </si>
  <si>
    <t>김용현 전 국방장관 구속 심사</t>
  </si>
  <si>
    <t>(시청)1.밀라노-코르티나 올림픽 행사(채승기)
2.뉴스룸 MNG 중앙지법 (여도현)</t>
  </si>
  <si>
    <t>해수부장관 후보자 첫 출근 (박상욱)</t>
  </si>
  <si>
    <t>1.분당 선도지구 통합재건축 관련 주민 갈등 있는 현장(이상화)
2.윤석열 구속영장 상황대기</t>
  </si>
  <si>
    <t>무인편의점 철거현장 (이상화)</t>
  </si>
  <si>
    <t>택시 바가지 단속 취재 (이은진)</t>
  </si>
  <si>
    <t>스타벅스 플라스틱 빨대 재사용(전다빈)</t>
  </si>
  <si>
    <t>(08시 출근) AI 업체 VS 가수 법적 분쟁 (박준우)</t>
  </si>
  <si>
    <t>박안수 이진우 보석 석방(김재현)</t>
  </si>
  <si>
    <t>민중기 특검 출근길 (윤정주)</t>
  </si>
  <si>
    <t>1.건물 안전 문제로 급히 개학 연기 (이희령)
2.윤석열 구속영장 상황대기</t>
  </si>
  <si>
    <t>컬링 국가대표선발전 준결승(홍지용)</t>
  </si>
  <si>
    <t>점심값 인상(이희정)</t>
  </si>
  <si>
    <t>화성 살인사건(이세현)</t>
  </si>
  <si>
    <t>제216회 원자력안전위, 고리원전 해체 안건(김민)</t>
  </si>
  <si>
    <t>중랑서 초등생 살해 예고범 송치(김휘란)</t>
  </si>
  <si>
    <t>1.이명현 채상병 특검 출근길
2.여가부 장관 출근길(이희정)</t>
  </si>
  <si>
    <t>(시청)피아니스트 김세현 기자간담회 (강나현)</t>
  </si>
  <si>
    <t>국정기획위원회 외부일정 - 별들의 집(종로)</t>
  </si>
  <si>
    <t>08시 출근 / LG유플 AI보안기술 설명회 (박준우)</t>
  </si>
  <si>
    <t>잠실야구장 여성팬덤 취재(김민관)</t>
  </si>
  <si>
    <t>1.군인권센터 기자회견 (임예은)
2.육아용품 인플레이션 관련 (송승환)</t>
  </si>
  <si>
    <t>마포 부동산 공인중개사 인터뷰(이상화)</t>
  </si>
  <si>
    <t>화성 살인사건 남태령 검거장소 취재(김산)</t>
  </si>
  <si>
    <t>국방부 장관 내정자 첫 출근</t>
  </si>
  <si>
    <t>컬링 국대선발전 결승(이예원)</t>
  </si>
  <si>
    <t>아침엔 성남시장 인터뷰 연결(김산)</t>
  </si>
  <si>
    <t>건설업 신사업 현장 취재(공다솜)</t>
  </si>
  <si>
    <t>출규제 관련 공인중개사 취재(이상화)</t>
  </si>
  <si>
    <t>중동정세 관련 스탠드업(최수연)</t>
  </si>
  <si>
    <t>소라 네오 감독 내한(강나현)</t>
  </si>
  <si>
    <t>대검 상황대기2</t>
  </si>
  <si>
    <t>대전협 입장문 및 공지사항 스케치(이희정)</t>
  </si>
  <si>
    <t>현대건설 토목 스마트건설 기술시연회(이상화)</t>
  </si>
  <si>
    <t>김건희 아산병원 퇴원1(김산)</t>
  </si>
  <si>
    <t>김건희 아산병원 퇴원2(김산)</t>
  </si>
  <si>
    <t>대검 상황대기1
1.교대역 11번 출구 인근 배관 파손으로 가스 누출</t>
  </si>
  <si>
    <t>1.한국산업인력공단 문서스케치(이희령)
2.내일 특보대비 고검자리 세팅</t>
  </si>
  <si>
    <r>
      <rPr>
        <rFont val="Malgun Gothic"/>
        <color rgb="FFFF0000"/>
        <sz val="11.0"/>
      </rPr>
      <t xml:space="preserve">(추가근무)
</t>
    </r>
    <r>
      <rPr>
        <rFont val="Malgun Gothic"/>
        <color theme="1"/>
        <sz val="11.0"/>
      </rPr>
      <t>창원 당출 - 명태균 인터뷰(윤정주)</t>
    </r>
  </si>
  <si>
    <t xml:space="preserve">1.윤석열 고검 출석 특보1 MNG(박현주)
2.윤석열 고검 출석 귀가 POOL </t>
  </si>
  <si>
    <t>1.윤석열 고검 출석 특보2 
2.화성 택시살인 피의자 영장 심사-수원서부서(이세현)
3.전공의 비대위 총회(성화선)</t>
  </si>
  <si>
    <t xml:space="preserve">1. 뉴스룸 MNG연결 고검(박현주)
2. 윤석열 특검 귀가 종편 POOL </t>
  </si>
  <si>
    <t>1.윤석열 고검 출석 특보3
2.마포 아파트 외경 스케치(정아람)
3.날씨 sk 인터뷰(성화선)</t>
  </si>
  <si>
    <t>여한구 통상본부장 귀국(박소연)</t>
  </si>
  <si>
    <t>뉴스룸MNG-대통령실(최규진)</t>
  </si>
  <si>
    <t>기재부장관 후보자 간담회(김민)</t>
  </si>
  <si>
    <r>
      <rPr>
        <rFont val="Malgun Gothic"/>
        <color theme="1"/>
        <sz val="11.0"/>
      </rPr>
      <t>1.민중기, 김건희 특검 출근
2.내란 특검 윤 전 대통령 출석일 변경관련 입장 브리핑</t>
    </r>
    <r>
      <rPr>
        <rFont val="Malgun Gothic"/>
        <color rgb="FFFF0000"/>
        <sz val="11.0"/>
      </rPr>
      <t xml:space="preserve"> kill</t>
    </r>
  </si>
  <si>
    <t>날씨스케치(이희정)</t>
  </si>
  <si>
    <t>국방부 정례브리핑 등</t>
  </si>
  <si>
    <t>하이닉스 외경</t>
  </si>
  <si>
    <t>기재부 장관 후보자 첫 출근(김민)</t>
  </si>
  <si>
    <t>신림동 묻지마 흉기난동 취재(김영민)</t>
  </si>
  <si>
    <t>은행권 비대면 대출 중지 피해 고객 인터뷰(정아람)</t>
  </si>
  <si>
    <t>1.민중기, 김건희 특검 출근길
2.강남 입주 예정 아파트 2-방배동 래미안원페를라(정아람)</t>
  </si>
  <si>
    <t>이진수 법무부차관 취임식 등</t>
  </si>
  <si>
    <t>(시청)성북동 별서 화재(오원석)</t>
  </si>
  <si>
    <t>가습기살균제 피해가족 및 변호인 인터뷰(박상욱)</t>
  </si>
  <si>
    <t>1.국정기획위 이한주 위원장 전체회의
2.국정기획위 대변인 브리핑</t>
  </si>
  <si>
    <t>한미 관세조치 협의 관련 공청회(전다빈)</t>
  </si>
  <si>
    <t>윤호중 행안부 장관 후보자 출근 (김휘란)</t>
  </si>
  <si>
    <t>인천 계양산 러브버그 취재(이희령)</t>
  </si>
  <si>
    <t>정은경 후보자 재산등록 현황 문서(이희정)</t>
  </si>
  <si>
    <t>출산휴가</t>
  </si>
  <si>
    <r>
      <rPr>
        <rFont val="Malgun Gothic"/>
        <color theme="1"/>
        <sz val="11.0"/>
      </rPr>
      <t>1.뉴스룸MNG-고검(조해언)
2.여의도 한강공원 열대야</t>
    </r>
    <r>
      <rPr>
        <rFont val="Malgun Gothic"/>
        <color theme="5"/>
        <sz val="11.0"/>
      </rPr>
      <t>(야근자 자체판단 취재)</t>
    </r>
  </si>
  <si>
    <t>강남 입주 예정 아파트 1(정아람)</t>
  </si>
  <si>
    <t>7월</t>
  </si>
  <si>
    <t>축구 대표팀 황인범 선수 출국(홍지용)</t>
  </si>
  <si>
    <t>윤석열 특검 출석1</t>
  </si>
  <si>
    <t>이재명 법카 유용 의혹 공준기일(이세현)</t>
  </si>
  <si>
    <t>홈플러스 가양점 노동자분 인터뷰(전다빈)</t>
  </si>
  <si>
    <t>1.관저 관련 취재(김필준)
2.문서스케치 (함민정)</t>
  </si>
  <si>
    <t>1.윤석열 특검 출석2-연결대비
2.오겜3 황동혁 라운드인터뷰(강나현)</t>
  </si>
  <si>
    <t>뉴스룸MNG-내란특검(박현주)</t>
  </si>
  <si>
    <t>윤석열 특검 출석</t>
  </si>
  <si>
    <t>(시청)1.국정기획위 '버스로 찾아가는 모두의 광장' 출정식
2.김건희 특검 광화문 빌딩 스케치(윤정주)</t>
  </si>
  <si>
    <t>AI VS 가수 소송(박준우)</t>
  </si>
  <si>
    <t>여성경제인주간 개막식-대통령 영부인</t>
  </si>
  <si>
    <t>대전 당출-이명현 채상병 특검 현충원 방문</t>
  </si>
  <si>
    <t>(사건반장)남양주서 초등학생 유괴 70대 구속</t>
  </si>
  <si>
    <t>중장년층 일자리박람회(공다솜)</t>
  </si>
  <si>
    <t>1.윤석열 특검 출석3-이동동선
2.김건희 특검 임시 사무실 이사(윤정주)</t>
  </si>
  <si>
    <t>1.쥬라기월드 내한 기자회견(강나현)
2.한국거래소 스케치(이상화)</t>
  </si>
  <si>
    <t>내란특검 한덕수 전 총리 소환조사 귀가 종편 풀</t>
  </si>
  <si>
    <t>날씨스케치4</t>
  </si>
  <si>
    <t>영국 로열발레단 내한(강나현)</t>
  </si>
  <si>
    <t>한성숙 중기부장관 후보자 관련(박소연)</t>
  </si>
  <si>
    <t>1.삼성화재 교통연구소 브리핑(이상화)
2.국정기획위 일정</t>
  </si>
  <si>
    <t>내란특검</t>
  </si>
  <si>
    <t>(시청)민중기, 김건희 특검 종편풀</t>
  </si>
  <si>
    <t>날씨 스케치1(박상욱)</t>
  </si>
  <si>
    <t>인천 석남동 빈집 취재(정아람)</t>
  </si>
  <si>
    <t>킹오브킹스 보도국 라운드(강나현)</t>
  </si>
  <si>
    <t>홈플러스 노동자분들 인터뷰(전다빈)</t>
  </si>
  <si>
    <t>한성숙 중기부장관 후보자 출근길(임지수)</t>
  </si>
  <si>
    <t>이상민 전 장관 자택(심가은)</t>
  </si>
  <si>
    <t>1.한국에너지공단 에너지절약 캠페인 출범식(김도훈)
2.날씨스케치3
3.뉴스룸MNG-내란특검(조해언)</t>
  </si>
  <si>
    <t>AL역량강화 교육 2~3</t>
  </si>
  <si>
    <t>1.날씨스케치2
2.시청역 시민인터뷰(김산)</t>
  </si>
  <si>
    <t>유흥식 추기경 한국 방문 간담회 (강나현)</t>
  </si>
  <si>
    <t>러브버그 무인가게 피해 촬영(양정진)</t>
  </si>
  <si>
    <t>안성 살인 사건 현장 (이세현)</t>
  </si>
  <si>
    <t>촬영팀 무단침입 등 피해 점포 인터뷰(임예은)</t>
  </si>
  <si>
    <t>팩트체크 시민 인터뷰-장마(김혜미)</t>
  </si>
  <si>
    <t>(시청)삼부토건 압수수색1 (김지윤)</t>
  </si>
  <si>
    <t>24:00.</t>
  </si>
  <si>
    <t>자율주행 택시(전다빈)</t>
  </si>
  <si>
    <t>1.삼부토건 압색 야간 종편 풀
2.내란특검 소환조사 야간 종편 풀</t>
  </si>
  <si>
    <t>배달 로봇 취재 (전다빈)</t>
  </si>
  <si>
    <t>동아시안컵 홍명보호 축구 대표팀 소집(채승기)</t>
  </si>
  <si>
    <t>김건희 특검 상황대기 종편풀1</t>
  </si>
  <si>
    <t>1.의협 회장 입장문 발표(성화선)
2.폭염이 바꾸는 국제 질서(최수연)
3.택시 인도로 돌진해 보행자 1명, 기사 사망(이은세인턴)</t>
  </si>
  <si>
    <t>1.한성숙 장관 후보자 출근길(박소연)
2.런치인플레이션-구내식당 맛집지도(이희정)</t>
  </si>
  <si>
    <t>1.김건희 특검 상황대기 종편풀2
2.뉴스룸MNG-내란특검(김혜리)</t>
  </si>
  <si>
    <t>(산업부)여한구 통상교섭본부장 미국 출국</t>
  </si>
  <si>
    <t>이주호 교육부 장관·박종준 전 경호처장 조사 후 귀가</t>
  </si>
  <si>
    <t>용인 모텔 유인해 돈뜯은 10대 사건(심가은)</t>
  </si>
  <si>
    <r>
      <rPr>
        <rFont val="Malgun Gothic"/>
        <color theme="1"/>
        <sz val="11.0"/>
      </rPr>
      <t>1.동아시안컵 홍명보호 축구 대표팀 2일차 훈련(홍지용)</t>
    </r>
    <r>
      <rPr>
        <rFont val="Malgun Gothic"/>
        <color rgb="FFFF0000"/>
        <sz val="11.0"/>
      </rPr>
      <t>kill</t>
    </r>
    <r>
      <rPr>
        <rFont val="Malgun Gothic"/>
        <color theme="1"/>
        <sz val="11.0"/>
      </rPr>
      <t xml:space="preserve">
2.동부지검장 임은정 취임식 </t>
    </r>
    <r>
      <rPr>
        <rFont val="Malgun Gothic"/>
        <color rgb="FFFF0000"/>
        <sz val="11.0"/>
      </rPr>
      <t>kill</t>
    </r>
  </si>
  <si>
    <t>1.이병헌 특별전 기자회견(강나현)
2.뉴스룸MNG-국회(강희연)</t>
  </si>
  <si>
    <t>SKT 침해 사고 관련 브리핑(박소연)</t>
  </si>
  <si>
    <t>폭염이 바꾸는 국제 질서std(최수연)</t>
  </si>
  <si>
    <t>아이돌봄이 인터뷰(공다솜)</t>
  </si>
  <si>
    <t>~06:00내란특검 소환조사 야간 종편 풀
김성훈 경호처 차장 귀가를 몰라 늦게까지 대기</t>
  </si>
  <si>
    <t>대출 규제 이후 계약 취소 많이 늘어난 아파트(정아람)</t>
  </si>
  <si>
    <t>신임 남부지검장 취임식(김산)</t>
  </si>
  <si>
    <t>가습기살균제 관련 인터뷰(박상욱)</t>
  </si>
  <si>
    <t>김건희 특검 종편 풀1</t>
  </si>
  <si>
    <t>다함께돌봄 센터 취재 + 인터뷰(송승환)</t>
  </si>
  <si>
    <t>1.김건희 특검 종편 풀2
2.삼부토건 주가조작 의혹 관련 문서(임지수)</t>
  </si>
  <si>
    <t>뉴스룸MNG-내란특검</t>
  </si>
  <si>
    <t>~03:00이주호 교육부 장관·박종준 전 경호처장 조사 후 귀가</t>
  </si>
  <si>
    <t>윤석열 내란특검 2차소환 부감 취재3</t>
  </si>
  <si>
    <t>1.국무회의
2.대변인 브리핑</t>
  </si>
  <si>
    <t>영</t>
  </si>
  <si>
    <t>묵</t>
  </si>
  <si>
    <t>윤석열 내란특검 2차소환 조사 후 귀가 종편풀</t>
  </si>
  <si>
    <t>1.SKT사태관련 시민인터뷰(안지현)
2.뉴스룸MNG-내란특검(조해언)</t>
  </si>
  <si>
    <t>국회 소통관 브리핑</t>
  </si>
  <si>
    <t>1.윤석열 내란특검 2차소환 취재1
2.날씨 스케치(공다솜)</t>
  </si>
  <si>
    <t>1.윤석열 내란특검 2차소환 취재2
2.서초-채상병 특검 소환대비 종편풀</t>
  </si>
  <si>
    <t>1.내란특검 브리핑
2.뉴스룸 MNG-내란특검(연지환)</t>
  </si>
  <si>
    <t>위성락 안보실장 출국길(최규진)</t>
  </si>
  <si>
    <t>1.날씨 더위 sk
2.도심속물놀이장 스케치 및 인터뷰 (김영민)</t>
  </si>
  <si>
    <t>수능 문서 스케치 (이희정)</t>
  </si>
  <si>
    <t>축구 동아시안컵 대회 공식 기자회견(홍지용)</t>
  </si>
  <si>
    <t>경기도 광주 추락사고 현장(이세현)</t>
  </si>
  <si>
    <r>
      <rPr>
        <rFont val="Malgun Gothic"/>
        <color rgb="FF0000FF"/>
        <sz val="11.0"/>
      </rPr>
      <t xml:space="preserve">(공영수 대체 야근)
</t>
    </r>
    <r>
      <rPr>
        <rFont val="Malgun Gothic"/>
        <color rgb="FF000000"/>
        <sz val="11.0"/>
      </rPr>
      <t>채상병 특검 김계환 소환조사 후 귀가 종편 풀 (22:30귀가)</t>
    </r>
  </si>
  <si>
    <t>자율주행 버스 스타트업 인터뷰(전다빈)</t>
  </si>
  <si>
    <t>날씨스케치(이희령)</t>
  </si>
  <si>
    <t>(시청)김건희 특검 종편 풀2</t>
  </si>
  <si>
    <t>인천 맨홀 실종자 최종 브리핑(양빈현)</t>
  </si>
  <si>
    <t>미국 뉴욕-삼성 언팩(7/7(월)~7/12(토))(박소연)</t>
  </si>
  <si>
    <t>인권위 바로잡기 공동행동 기자회견(장연제)</t>
  </si>
  <si>
    <t>1.이진숙 교육부장관 후보자 논문 스케치(이희령)
2.성신여대 폭발물 신고(김영민)</t>
  </si>
  <si>
    <t>통신사 고객 유치 전쟁(박준우)</t>
  </si>
  <si>
    <t>뉴스룸MNG-내란특검(여도현)</t>
  </si>
  <si>
    <t>1.김건희 특검 종편 풀1
2.민변 세관 마약 수사 외압 수사 촉구 기자회견(박현주)</t>
  </si>
  <si>
    <t>은평이마트 가공식품 물가 취재(정아람)</t>
  </si>
  <si>
    <t>1.이진숙 후보자 논문 표절건 문서(이희정)
2.동아시아컵 대한민국:중국(채승기)</t>
  </si>
  <si>
    <t>이진우 등 내란중요임무종사 공판</t>
  </si>
  <si>
    <t>김건희 특검 종편풀1</t>
  </si>
  <si>
    <t>대북전단살포 중단 기자회견(임예은)</t>
  </si>
  <si>
    <t>경기도지사 서울-양평 고속도로 현장방문(이세현)</t>
  </si>
  <si>
    <t>컬링 국가대표 인터뷰 (임예원)</t>
  </si>
  <si>
    <t>경증치매환자 보호자 인터뷰(심가은)</t>
  </si>
  <si>
    <t>1.연극 렛미인 프레스콜(강나현)
2.경찰청 압수수색 3.오목교 침수</t>
  </si>
  <si>
    <t>1.지금이뉴스-챗gpt에 트럼프 '서한'보여주니 (최수연)
2.폭염 스케치 및 시민 인터뷰(박상욱)</t>
  </si>
  <si>
    <t>(시청) 1.최저임금 규탄 회견(이희정)
2.김건희 특검 종편풀2</t>
  </si>
  <si>
    <r>
      <rPr>
        <rFont val="Malgun Gothic"/>
        <color theme="1"/>
        <sz val="11.0"/>
      </rPr>
      <t>김건희 특검-윤상현 자택 압수수색2</t>
    </r>
    <r>
      <rPr>
        <rFont val="Malgun Gothic"/>
        <color rgb="FFFF0000"/>
        <sz val="11.0"/>
      </rPr>
      <t>kill</t>
    </r>
  </si>
  <si>
    <t>1.폭염 이모저모(이희정)
2.산자부 관세 관련 민관 합동 긴급 점검회의(박준우)</t>
  </si>
  <si>
    <t>김건희 관련-건물 외경 스케치, 방문 밑대기(양빈현)</t>
  </si>
  <si>
    <t>1.뉴스룸MNG- 내란특검(김혜리) 
2.폭우대비</t>
  </si>
  <si>
    <r>
      <rPr>
        <rFont val="Malgun Gothic"/>
        <color theme="1"/>
        <sz val="11.0"/>
      </rPr>
      <t xml:space="preserve">1.김건희 특검-윤상현 자택 압수수색1 </t>
    </r>
    <r>
      <rPr>
        <rFont val="Malgun Gothic"/>
        <color rgb="FFFF0000"/>
        <sz val="11.0"/>
      </rPr>
      <t xml:space="preserve">kill
</t>
    </r>
    <r>
      <rPr>
        <rFont val="Malgun Gothic"/>
        <color theme="1"/>
        <sz val="11.0"/>
      </rPr>
      <t>2.폭염으로 인한 야구 경기 취소(홍지용)</t>
    </r>
  </si>
  <si>
    <t>일본서 돌아온 불교 유물 2점 공개회(강나현)</t>
  </si>
  <si>
    <t>1.금융위 브리핑(이상화)
2.허가영 감독 인터뷰(강나현)</t>
  </si>
  <si>
    <r>
      <rPr>
        <rFont val="Malgun Gothic"/>
        <color rgb="FF0000FF"/>
      </rPr>
      <t xml:space="preserve">(공영수 대체)
</t>
    </r>
    <r>
      <rPr>
        <rFont val="Malgun Gothic"/>
        <color rgb="FF000000"/>
      </rPr>
      <t>뉴스룸MNG-서울지법(김혜리)</t>
    </r>
  </si>
  <si>
    <t>화훼농가 폭염(성화선)</t>
  </si>
  <si>
    <t>1.뉴스룸MNG-서울구치소(이세현)
2.윤석열 영장심사 결과대기 종편풀</t>
  </si>
  <si>
    <t>1.윤석열 영장심사1 내부 특보연결(김혜리)
2.삼부토건 주가조작 의혹 관련 문서sk(임지수)
3.LH·국토부-경호처 연결고리 관련 문서(김필준)</t>
  </si>
  <si>
    <t>1.윤석열 영장심사2 종편풀1
2.채상병 특검 종편풀2</t>
  </si>
  <si>
    <t>1.윤석열 영장심사3 법원 부감
2.윤석열 영장심사 서울구치소 대기</t>
  </si>
  <si>
    <t>(시청)날씨 스케치(박상욱)</t>
  </si>
  <si>
    <t>1.뉴스룸MNG-지법 밖(배양진)
2.윤석열 영장심사 종편풀3</t>
  </si>
  <si>
    <t>윤석열 영장심사 종편풀2</t>
  </si>
  <si>
    <t>위성락 안보실장 귀국</t>
  </si>
  <si>
    <t>윤석열 영장심사4 TVU anywhere</t>
  </si>
  <si>
    <t>1.보건의료노조 파업 관련 기자회견(성화선)
2.지금왜- ‘중재왕 트럼프’ 반년(백민경)</t>
  </si>
  <si>
    <t>채상병 특검 종편풀1</t>
  </si>
  <si>
    <t>폭염 명동거리 스케치(전다빈)</t>
  </si>
  <si>
    <t>윤석열 영장심사5 외부 특보연결(배양진)</t>
  </si>
  <si>
    <t>윤석열 재판 팔로우-서울구치소</t>
  </si>
  <si>
    <t>1.이종섭 전 장관 자택 압수수색
2.채상병 특검 종편풀2</t>
  </si>
  <si>
    <r>
      <rPr>
        <rFont val="Malgun Gothic"/>
        <color theme="1"/>
        <sz val="11.0"/>
      </rPr>
      <t xml:space="preserve">1.통일교-용산 압색(양빈현) </t>
    </r>
    <r>
      <rPr>
        <rFont val="Malgun Gothic"/>
        <color rgb="FFFF0000"/>
        <sz val="11.0"/>
      </rPr>
      <t>kill</t>
    </r>
    <r>
      <rPr>
        <rFont val="Malgun Gothic"/>
        <color theme="1"/>
        <sz val="11.0"/>
      </rPr>
      <t xml:space="preserve">
2.채상병 특검 종편풀1</t>
    </r>
  </si>
  <si>
    <t>서울구치소 집회현장(이세현)</t>
  </si>
  <si>
    <t>밀착 폭염 축산농가 동행(이은진)</t>
  </si>
  <si>
    <r>
      <rPr>
        <rFont val="Malgun Gothic"/>
        <color theme="1"/>
        <sz val="11.0"/>
      </rPr>
      <t xml:space="preserve">1.통일교-가평 압색(이자연) </t>
    </r>
    <r>
      <rPr>
        <rFont val="Malgun Gothic"/>
        <color rgb="FFFF0000"/>
        <sz val="11.0"/>
      </rPr>
      <t>kill</t>
    </r>
    <r>
      <rPr>
        <rFont val="Malgun Gothic"/>
        <color theme="1"/>
        <sz val="11.0"/>
      </rPr>
      <t xml:space="preserve">
2.김건희 특검 소환조사</t>
    </r>
  </si>
  <si>
    <t>국립교통재활병원 개소식(전다빈)</t>
  </si>
  <si>
    <t>여한구 통상교섭본부장 귀국</t>
  </si>
  <si>
    <t>(지법등록)농수산물시장 날씨 스케치(박상욱)</t>
  </si>
  <si>
    <t>(지법등록)1.리박스쿨 청문회 자료(이희정)
2.이진숙 논문 표절 의혹 문서(이희정)
3.동대문 환경자원센터 취재(김휘란)</t>
  </si>
  <si>
    <t>채상병 특검 종편풀3</t>
  </si>
  <si>
    <t>채상병 특검, 이종호 자택 압색(김지아)</t>
  </si>
  <si>
    <t>폭염 노동 관련 현장 취재(이희령)</t>
  </si>
  <si>
    <t>1.최저임금 규탄 회견(이희정)
2.전세사기 관련 기자회견(신진)</t>
  </si>
  <si>
    <t>인권위 17차 상임위원회(장연제)</t>
  </si>
  <si>
    <t>합참, 한미일 합참의장회의</t>
  </si>
  <si>
    <t>1.강남 사무실 밑대기(김지윤)
2.서초동 라이브 대기</t>
  </si>
  <si>
    <t>가평-통일교 드론 촬영</t>
  </si>
  <si>
    <t>1.채상병 특검, 아크로비스타 압수수색2
2.채상병 특검 종편 풀2</t>
  </si>
  <si>
    <r>
      <rPr>
        <rFont val="Malgun Gothic"/>
        <color rgb="FF0000FF"/>
        <sz val="11.0"/>
      </rPr>
      <t xml:space="preserve">(공영수 대체)
</t>
    </r>
    <r>
      <rPr>
        <rFont val="Malgun Gothic"/>
        <color rgb="FF000000"/>
        <sz val="11.0"/>
      </rPr>
      <t>서울시 폭염대비 9호선 차량기지 점검</t>
    </r>
  </si>
  <si>
    <t>밀착-양계장 폭염 피해(이은진)</t>
  </si>
  <si>
    <t>김태효 전 국가안보실 제1차장 소환조사 귀가 종편풀</t>
  </si>
  <si>
    <t>강원랜드 청소년 도박근절 캠페인 (김도훈)</t>
  </si>
  <si>
    <t>1.채상병 특검 종편풀1
2.채상병 특검, 아크로비스타 압수수색1</t>
  </si>
  <si>
    <t>1.김포공항 일본 관광객(임지수)
2.이노베스트코리아 등기 출력물(박현주)
3.이시영 배아 이식 관련 동의서(송승환)
4.이진숙 논문 추가 촬영(이희정)</t>
  </si>
  <si>
    <t>1.서울구치소 윤석열 취재
2.채상병 특검 종편 풀3</t>
  </si>
  <si>
    <t>1.이진숙 논문 의혹(이희정)
2.날씨스케치(박상욱)
3.동대문환경자원센터 관련문서sk(김휘란)</t>
  </si>
  <si>
    <t>김포 일가족 살해범 범행현장(김산)</t>
  </si>
  <si>
    <t>폭염 관련 택배기사 동행 취재(장연제)</t>
  </si>
  <si>
    <t>1.국정기획위원회 일정
2.동대문 환경자원센터 취재(김휘란)
3.홍범도기념사업회 관계자 인터뷰(김재현)</t>
  </si>
  <si>
    <t>서초동 특검 상황대기</t>
  </si>
  <si>
    <t>조국혁신당 워크숍(7/11(금)~7/12(토))</t>
  </si>
  <si>
    <t>휴일스케치</t>
  </si>
  <si>
    <t>이마트 트레이더스 노동자 사망관련 취재(전다빈)</t>
  </si>
  <si>
    <t>폭염스케치(박상욱)</t>
  </si>
  <si>
    <t>의과대학 교육 정상화 입장문sk(이희정)</t>
  </si>
  <si>
    <t>폭염물가 상승-마포농수산물 시장(박소연)</t>
  </si>
  <si>
    <r>
      <rPr>
        <rFont val="Malgun Gothic"/>
        <color rgb="FF0000FF"/>
        <sz val="11.0"/>
      </rPr>
      <t xml:space="preserve">(공영수 대체)
</t>
    </r>
    <r>
      <rPr>
        <rFont val="Malgun Gothic"/>
        <color theme="1"/>
        <sz val="11.0"/>
      </rPr>
      <t>김건희 특검 대기1-삼부토건 관련 소환조사</t>
    </r>
  </si>
  <si>
    <t>1.날씨스케치-광화문
2.김건희 특검 대기2</t>
  </si>
  <si>
    <t>수원 치매머니 기획 인터뷰(심가은)</t>
  </si>
  <si>
    <t>문체부장관 후보자 출근길(강나현)</t>
  </si>
  <si>
    <t>1.수유역 인근 모텔촌 여고생 감금 폭행사건(김영민)
2.삼양식품 외경</t>
  </si>
  <si>
    <t>1.김건희 특검 압수수색1(이세현)
2.양평 고속도로 현장(이세현)</t>
  </si>
  <si>
    <t>축구대표팀 동아시안컵 대비 훈련+인터뷰(채승기)</t>
  </si>
  <si>
    <t>대통령 특사단-EU 윤여준</t>
  </si>
  <si>
    <t>서울구치소 상황대기2</t>
  </si>
  <si>
    <t>이진숙 후보자 논문 검증 대국민 보고회(이희정)</t>
  </si>
  <si>
    <t>채상병 특검 종편풀2</t>
  </si>
  <si>
    <t>마포래미안푸르지오 입대의 회장 비리-입주민 int.(양정진)</t>
  </si>
  <si>
    <t>뉴스룸MNG-내란특검(정수아)</t>
  </si>
  <si>
    <t>84제곱미터 제작보고회+보도국 라운드(강나현)</t>
  </si>
  <si>
    <t>조달청 입찰 논란 관련 제보자 인터뷰(이상화)</t>
  </si>
  <si>
    <t>1.김건희 특검 압수수색2
2.서울구치소 상황대기1
3.김건희 특검 압수수색 장소_천안(임지수)</t>
  </si>
  <si>
    <t>프로모 촬영</t>
  </si>
  <si>
    <t>1.위대한 개츠비 쇼케이스 (강나현)
2.ALEXANDERFERI SUMMER FASHION SHOW</t>
  </si>
  <si>
    <t>가습기살균제 관련 문서 스케치(박상욱)</t>
  </si>
  <si>
    <t>마래푸 관리사무소 인터뷰 (양정진)</t>
  </si>
  <si>
    <t>부산 당출-수협회장 성매매 수사무마(배양진)</t>
  </si>
  <si>
    <t>논현동 건진법사 법당 압수수색 대비(양빈현)</t>
  </si>
  <si>
    <t>1.국정기획위원회 정치행정분과 종편풀
2.(MNG-내란특검) 뉴스룸 연결(조해언)</t>
  </si>
  <si>
    <t>국토부장관 내정자 출근길(김민)</t>
  </si>
  <si>
    <t>채상병 특검 종편풀</t>
  </si>
  <si>
    <t xml:space="preserve">(공영수 대체)
</t>
  </si>
  <si>
    <t>양재동 건진법사 은신처 압수수색 대비(이자연)</t>
  </si>
  <si>
    <t>1.이진숙 후보자 지명철회 회견내용 문서sk(이희정)
2.동아시안컵 한일전(채승기)</t>
  </si>
  <si>
    <t>마포청사 마수대 브리핑 (김대호)</t>
  </si>
  <si>
    <t>1.KT 고객 안전·안심 활동 브리핑(박준우)
2.[강원]호우에도 해갈 부족(조승현)</t>
  </si>
  <si>
    <t>윤석열 특검 출석통보 강제구인 구치소 대기</t>
  </si>
  <si>
    <t>1.뉴스룸MNG-내란특검
2.오산 옹벽 붕괴 현장(박준우)</t>
  </si>
  <si>
    <r>
      <rPr>
        <rFont val="Malgun Gothic"/>
        <color rgb="FF0000FF"/>
        <sz val="11.0"/>
      </rPr>
      <t xml:space="preserve">(공영수 대체)
</t>
    </r>
    <r>
      <rPr>
        <rFont val="Malgun Gothic"/>
        <color rgb="FF000000"/>
        <sz val="11.0"/>
      </rPr>
      <t>채상병 특검, 박정훈 대령 귀가</t>
    </r>
  </si>
  <si>
    <t>폭언피해 초등교사 인터뷰(김휘란)</t>
  </si>
  <si>
    <t>1.조태용 전 국정원장 압수수색
2.농산물 관세 철폐, 농민단체 기자회견(공다솜)</t>
  </si>
  <si>
    <t>박주민 의원 인터뷰(유선의)</t>
  </si>
  <si>
    <t>국정기획위원회 취재</t>
  </si>
  <si>
    <t>(시청)날씨스케치-광화문</t>
  </si>
  <si>
    <t>채상병 특검 대기</t>
  </si>
  <si>
    <t>김건희 특검 종편풀2</t>
  </si>
  <si>
    <t xml:space="preserve">윤석열 강제구인
모스탄 전 미 국무부 국제형사사법 대사 윤석열 구치소 접견 </t>
  </si>
  <si>
    <t>네이버 이머시브 미디어 테크 포럼(임지수)</t>
  </si>
  <si>
    <t>자영업자 지원 현장 인터뷰(임지수)</t>
  </si>
  <si>
    <t>1.국방부 괴문서 관련 문서 스케치(유선의)
2.날씨스케치-안양천</t>
  </si>
  <si>
    <t>민노총 총파업(이희정)</t>
  </si>
  <si>
    <t>[아침&amp;MNG] 폭우 관련 현장 연결(이재승)</t>
  </si>
  <si>
    <t>인천공항 CEO간담회</t>
  </si>
  <si>
    <t>폭우 특보mng(이세현)</t>
  </si>
  <si>
    <t>서울소방재난본부 압수수색</t>
  </si>
  <si>
    <t>내란특검, 이상민 전 행안부장관 주거지 압수수색</t>
  </si>
  <si>
    <t>(밀착) 충남권 폭우 상황(정희윤)</t>
  </si>
  <si>
    <t>충남 폭우 출장(임예은)</t>
  </si>
  <si>
    <t>1.뉴스룸MNG-내란특검
2.삼부토건 경연진 영장실질심사 후 서울구치소 대기</t>
  </si>
  <si>
    <t>(평창)봅슬레이,스켈레톤 훈련(이예원)</t>
  </si>
  <si>
    <t>김건희 특검 종편풀</t>
  </si>
  <si>
    <t>특보mng(양빈현)</t>
  </si>
  <si>
    <t>동부지검 임은정 검사장 백해룡 면담 입장(심가은)</t>
  </si>
  <si>
    <t>(국회지원-공영수)</t>
  </si>
  <si>
    <t>1.초복 앞두고 유통가 반값 전쟁(박소연)
2.자영업자 인터뷰(임지수)</t>
  </si>
  <si>
    <t>서산 폭우(양빈현)</t>
  </si>
  <si>
    <t>오산 옹벽 붕괴 현장(배양진)</t>
  </si>
  <si>
    <t>1.기상청 10시특보 mng(공다솜)
2.치매기획 치과 동행취재(심가은)</t>
  </si>
  <si>
    <t>(지법등록)1.윤석열 구속적부심 대기 - 법원 동문
2.뉴스룸MNG-지법(김태형)</t>
  </si>
  <si>
    <t>국중박 오픈런 취재(강나현)</t>
  </si>
  <si>
    <t>광명아파트화재 현장감식(배양진)</t>
  </si>
  <si>
    <t>소방안전교육(이희정)</t>
  </si>
  <si>
    <t>영등포 슈바이처 마지막진료(김재현)</t>
  </si>
  <si>
    <r>
      <rPr>
        <rFont val="Malgun Gothic"/>
        <color rgb="FF0000FF"/>
        <sz val="11.0"/>
      </rPr>
      <t xml:space="preserve">(휴가반납-출장)
</t>
    </r>
    <r>
      <rPr>
        <rFont val="Malgun Gothic"/>
        <color rgb="FF000000"/>
        <sz val="11.0"/>
      </rPr>
      <t>충남 폭우 출장(임예은)</t>
    </r>
  </si>
  <si>
    <t>광명 아파트 주차장 화재</t>
  </si>
  <si>
    <t>1.군 인권센터 기자회견(양정진)
2.김건희 특검 종편풀</t>
  </si>
  <si>
    <t>(지법등록)임금체불 피해자 대면인터뷰(김산)</t>
  </si>
  <si>
    <t>감사협회 상임감사 인천공항 인터뷰(심가은)</t>
  </si>
  <si>
    <t>1.통일교 압수수색-용산(양빈현)
2.마포역 통일교 재단 건물 외경 sk(이자연)
3.통일교 회계자료 문서 스케치(정해성)</t>
  </si>
  <si>
    <t>통일교 압수수색-가평(김영민)</t>
  </si>
  <si>
    <t>1.윤석열 구속적부심 대기 - 서울구치소
2.경부선 운행중지-광명역sk</t>
  </si>
  <si>
    <t>윤석열 구속적부심 출석 - 중앙지법</t>
  </si>
  <si>
    <t>(지법등록)청와대 연빈문 낙서</t>
  </si>
  <si>
    <t>채상병 대전 현충원 추도식(황예린)</t>
  </si>
  <si>
    <t>1김건희 특검 이종호 자택 압수수색 (출발중 압색종료)
2소비 쿠폰 관련 시민인터뷰 (정아람)
3전공의단체 임시 대의원 총회(이희령)</t>
  </si>
  <si>
    <t>서초(내란,채상병)특검대기</t>
  </si>
  <si>
    <t>대통령실 일정</t>
  </si>
  <si>
    <t>잠수교 통제</t>
  </si>
  <si>
    <t>인천 송도 아파트 사제총기 사고(구민주)</t>
  </si>
  <si>
    <t>가평 폭우 피해 (박준우)</t>
  </si>
  <si>
    <t>(출장, 1박 2일) 경남 산청 폭우 피해 (심가은)</t>
  </si>
  <si>
    <t>인천 총기살해1(김산)</t>
  </si>
  <si>
    <t>1.수원팔달서 외경(이세현)
2.성남 칼부림 현장(이세현)</t>
  </si>
  <si>
    <t>폭염 아열대작물 농장(공다솜)</t>
  </si>
  <si>
    <r>
      <rPr>
        <rFont val="Malgun Gothic"/>
        <color rgb="FF0000FF"/>
        <sz val="11.0"/>
      </rPr>
      <t xml:space="preserve">(공영수 대체)
</t>
    </r>
    <r>
      <rPr>
        <rFont val="Malgun Gothic"/>
        <color theme="1"/>
        <sz val="11.0"/>
      </rPr>
      <t>인천 총기살해2-뉴스룸MNG(김산)</t>
    </r>
  </si>
  <si>
    <t>민생소비쿠폰(전다빈)</t>
  </si>
  <si>
    <t>(시청)김건희 특검 종편풀1</t>
  </si>
  <si>
    <t>~06:30 송도 총기 사고</t>
  </si>
  <si>
    <t>가평 폭우 피해현장(장연제)</t>
  </si>
  <si>
    <t>1.특검 라이브 대기
2.김건희 특검, 이종호 소환 조사 후 귀가</t>
  </si>
  <si>
    <t>1.강준욱 비서관 관련 책sk(이선미PD)
2.문서sk(이희령)
3.뮷즈샵 홈피 촬영(강나현)</t>
  </si>
  <si>
    <t>1.김건희 특검 희림건축사무소 압수수색(양빈현)
2.이종섭 특검제출 의견서sk(김필준)</t>
  </si>
  <si>
    <t>(공영수 대체)
강선우 예산안 갑질 관련 문서(이희정)</t>
  </si>
  <si>
    <t>한화 김서현 인터뷰(채승기)</t>
  </si>
  <si>
    <t>남부청 오산시청 압수수색(이세현)</t>
  </si>
  <si>
    <t>식약처 스테로이드 불법판매 브리핑(공다솜)</t>
  </si>
  <si>
    <r>
      <rPr>
        <rFont val="Malgun Gothic"/>
        <color theme="1"/>
        <sz val="11.0"/>
      </rPr>
      <t>여한구 통상교섭본부장 미국 출국(김민)</t>
    </r>
    <r>
      <rPr>
        <rFont val="Malgun Gothic"/>
        <color rgb="FFFF0000"/>
        <sz val="11.0"/>
      </rPr>
      <t>현장kill</t>
    </r>
  </si>
  <si>
    <t>김건희 특검 종편 풀3</t>
  </si>
  <si>
    <t>1.LG AI 토크 콘서트 2025(박준우)
2.챗GPT 시연(박준우)</t>
  </si>
  <si>
    <t>(시청)1.청소년 명예 국정기획위원회
2.김건희 특검 종편 풀2</t>
  </si>
  <si>
    <t>김계환 전 해병대사령관 영장실질심사 대기</t>
  </si>
  <si>
    <t>마포서 신종 부동산 사기단 검거 브리핑(김진광)</t>
  </si>
  <si>
    <t>단통법 폐지 이후 현장(임지수)</t>
  </si>
  <si>
    <t>현대건설 압수수색</t>
  </si>
  <si>
    <t>관월당 해체 부재 언론공개(강나현)</t>
  </si>
  <si>
    <t>김정관 산업통상자원부 장관 미국 출국</t>
  </si>
  <si>
    <t>뉴스룸MNG(유선의)</t>
  </si>
  <si>
    <t>공군 전투비행단 혹서기 취재(김재현)</t>
  </si>
  <si>
    <t>열대과일 재배 농장 촬영(공다솜)</t>
  </si>
  <si>
    <r>
      <rPr>
        <rFont val="Malgun Gothic"/>
        <color theme="1"/>
        <sz val="11.0"/>
      </rPr>
      <t xml:space="preserve">강선우 장관 자진사퇴 촉구 진보당 기자회견 (류정화) </t>
    </r>
    <r>
      <rPr>
        <rFont val="Malgun Gothic"/>
        <color rgb="FFFF0000"/>
        <sz val="11.0"/>
      </rPr>
      <t>kill</t>
    </r>
  </si>
  <si>
    <t>~01:00 동대문구 공사장 땅꺼짐</t>
  </si>
  <si>
    <t>가평 수해복구 현장 취재(장연제)</t>
  </si>
  <si>
    <t>1.채상병 특검 종편풀2
2.서초동 라이브 대기</t>
  </si>
  <si>
    <t>신입 공채 아나운서 카메라 테스트</t>
  </si>
  <si>
    <t>유홍준 신임 국중박 관장 간담회(강나현)</t>
  </si>
  <si>
    <t>1.소비자원 브리핑(임지수)
2.외유성출장 취재 관련 회의 모습 이미지컷(심가은)</t>
  </si>
  <si>
    <t>1.수원지법 양문식 이상식 선고(이세현)
2.김건희 특검, 코이카 압수수색-외경</t>
  </si>
  <si>
    <t>대사관 핑계 임금체불 관련(김산)</t>
  </si>
  <si>
    <t>구윤철 경제부총리 미국 출국(전다빈)</t>
  </si>
  <si>
    <t>한덕수 자택 압수수색(정수아)</t>
  </si>
  <si>
    <t>1.오아시스에쿼티 해명 문서 sk(김지윤)
2.위성락 국가안보실장 귀국</t>
  </si>
  <si>
    <t>(시청)1.오세훈 시장, 안철수 의원과 오찬
2.한화 리베라토 인터뷰(홍지용)</t>
  </si>
  <si>
    <t>(지법등록)1.채상병 특검 종편풀2
2.뉴스룸MNG-내란특검(김혜리)</t>
  </si>
  <si>
    <t>1.소비쿠폰 공덕 인터뷰(임지수)
2.김건희 특검, 삼일회계법인 압수수색-외경
3.경찰, 하이브 압수수색-외경</t>
  </si>
  <si>
    <t>1.소비심리.회복 시민인터뷰(전다빈)
2.의대생 특혜반대 청원(이희정)</t>
  </si>
  <si>
    <t>폭염 여의도, 망원시장 취재(송승환)</t>
  </si>
  <si>
    <t>(국회지원-박재현)
김병기 당대표 수해복구 현장</t>
  </si>
  <si>
    <t>(지법등록)채상병 특검 종편풀1</t>
  </si>
  <si>
    <t>인천대 송도캠 가스누출(김휘란)</t>
  </si>
  <si>
    <t>1.인권위 상임위 현장 취재(장연제)
2.날씨스케치-광화문
3.총리공관 압수수색-외경 4.캐나다 감사인 대회 설명서sk</t>
  </si>
  <si>
    <t>안규백 국방부장관 취임식</t>
  </si>
  <si>
    <t>김건희 자택 압수수색</t>
  </si>
  <si>
    <t>문정동 지식산업센터 업체 취재(임예은)</t>
  </si>
  <si>
    <t>최은순 자택 압수수색</t>
  </si>
  <si>
    <t>교육부 및 의총협 입장 발표 문서(이희정)</t>
  </si>
  <si>
    <t>1.채상병 특검 종편 풀2
2.뉴스룸MNG-김건희 특검(박현주)</t>
  </si>
  <si>
    <t>익일07:00</t>
  </si>
  <si>
    <r>
      <rPr>
        <rFont val="Malgun Gothic"/>
        <color rgb="FF0000FF"/>
        <sz val="11.0"/>
      </rPr>
      <t>(추가야근)</t>
    </r>
    <r>
      <rPr>
        <rFont val="Malgun Gothic"/>
        <color rgb="FF000000"/>
        <sz val="11.0"/>
      </rPr>
      <t>1.윤석열 정부 알박기 인사관련 문서(최연수)
김건희 특검 뻗치기(김지윤)</t>
    </r>
  </si>
  <si>
    <t>1.(시청) 수련협의체 1차 회의(송승환) 
2.날씨스케치-광화문</t>
  </si>
  <si>
    <t>1.양재동 서울교육문화회관(전 이기훈 체포장소)(윤정주)
2.영국 투표 연령 16세...낮아지는 투표 연령(최수연)</t>
  </si>
  <si>
    <t>이상민 전 장관 소환조사 야간 종편 풀</t>
  </si>
  <si>
    <t>채상병 특검 종편 풀1</t>
  </si>
  <si>
    <t>배달라이더 인터뷰(공다솜)</t>
  </si>
  <si>
    <t>온열질환 위험 야외노동자(공다솜)</t>
  </si>
  <si>
    <t>뉴스룸MNG-강릉폭염(조승현)</t>
  </si>
  <si>
    <t>사제총기 신고 녹취록 취재(임지수)</t>
  </si>
  <si>
    <t>휴일 스케치</t>
  </si>
  <si>
    <t>한미 의원연맹 미국방문 후 귀국</t>
  </si>
  <si>
    <t>(추가야근)</t>
  </si>
  <si>
    <t>폭염 스케치 및 시민 인터뷰(성화선)</t>
  </si>
  <si>
    <t>길음동 기원 칼부림 사건</t>
  </si>
  <si>
    <t>미 하원 공정거래위 온라인플랫폼법 항의서한 스케치(임지수)</t>
  </si>
  <si>
    <t>1.의정부 노인보호센터 스토킹 살인사건(이윤석)
2.수원시 아파트 모델하우스 화재(이윤석)</t>
  </si>
  <si>
    <t>1.김건희 특검 종편풀1-김건희 특검, 윤상현 소환조사
2.의정부서 브리핑(이자연)</t>
  </si>
  <si>
    <t>1.명동 싱크홀
2.뉴스룸MNG-내란특검(연지환)</t>
  </si>
  <si>
    <t>폭염 스케치(공다솜)</t>
  </si>
  <si>
    <t>1.안성 버스 가로수 충돌 사고(양정진)
2.이진숙 방통위원장 재산신고 내역(최규진)</t>
  </si>
  <si>
    <t>1.내란특검 브리핑 대기
2.김건희 특검, 윤상현 소환조사 후 귀가 종편 풀</t>
  </si>
  <si>
    <t>파리 오페라 발레단 내한 간담회(강나현)</t>
  </si>
  <si>
    <t>1.김건희 특검 이준석 동탄자택 및 사무실 압수수색
2.수원 아파트 마약 사건(이세현)</t>
  </si>
  <si>
    <t>온플법 기자회견(임지수)</t>
  </si>
  <si>
    <t>김건희 특검 이준석 자택 압수수색1(연지환)</t>
  </si>
  <si>
    <t>1.뉴캐슬 유나이티드 방한 입국(홍지용)
2.김건희특검 - 김건희 오빠 김진우 퇴장 대기</t>
  </si>
  <si>
    <t>뉴스룸MNG-서울역 날씨(이희령)</t>
  </si>
  <si>
    <t xml:space="preserve">채상병 특검 종편풀2
</t>
  </si>
  <si>
    <t>1.김건희 특검 이준석 자택 압수수색2(연지환)
2.뉴스룸MNG-김건희 특검(김영민)</t>
  </si>
  <si>
    <t>1.온요양원 관련 남양주시청 해명 취재(송승환)
2.남양주 화재</t>
  </si>
  <si>
    <t>전대협-환자단체연합회 간담회(공다솜)</t>
  </si>
  <si>
    <t>의대생 꼼수 특혜(이희정)</t>
  </si>
  <si>
    <t>(밀착) 고속도로순찰대 동행 출발(정희윤)</t>
  </si>
  <si>
    <t>1.구윤철 경제부총리 미국 출국, 도어스테핑(김민)
2.FC바르셀로나 방한(홍지용)</t>
  </si>
  <si>
    <t>박재억 수원지검 검사장 취임식</t>
  </si>
  <si>
    <t>백낙청 기자간담회(강나현)</t>
  </si>
  <si>
    <t>팀K리그 프리매치 기자회견&amp;오픈 트레이닝(채승기)</t>
  </si>
  <si>
    <t>뉴스룸MNG-대통령실(이승환)</t>
  </si>
  <si>
    <t>관세청 마약밀수 브리핑(정아람)</t>
  </si>
  <si>
    <t>서울구치소-윤석열 소환조사 출발 대기</t>
  </si>
  <si>
    <t>(시청)1.국정기획위 브리핑
2.날씨스케치(이희령)
3.국방홍보원 외경</t>
  </si>
  <si>
    <t>포스코이앤씨 사과문 발표(임지수)</t>
  </si>
  <si>
    <t>조현 외교장관 일본, 미국 출국 도어스테핑(윤샘이나)</t>
  </si>
  <si>
    <t>1.익명인터뷰(이자연)
2.뉴캐슬 유나이티드 프리매치 기자회견(채승기)</t>
  </si>
  <si>
    <t>1.교내 성희롱 관련 고등학교 교사 인터뷰(임예은)
2.방기연 201회 이달의 기자상 시상식(박병현)</t>
  </si>
  <si>
    <t>(대구) 빈집 취재(정아람)</t>
  </si>
  <si>
    <t>(밀착) 고속도로순찰대 동행(정희윤)</t>
  </si>
  <si>
    <t>쿠팡플레이시리즈 뉴캐슬vs팀K리그 경기(홍지용)</t>
  </si>
  <si>
    <t>1.팀K리그 전진우, 조현우, 김영권 인터뷰(홍지용)
2.부정선거 정치 현수막(이세현)</t>
  </si>
  <si>
    <t>1.주가조작 합동대응단 출범식(전다빈)
2.한강버스 여의도 선착장 취재(장연제)</t>
  </si>
  <si>
    <t>폭염 열무 농가(공다솜)</t>
  </si>
  <si>
    <t>1.김건희 특검 종편풀2
2.뉴스룸MNG-김건희 특검(김지윤)</t>
  </si>
  <si>
    <t>망원시장 인터뷰(공다솜)</t>
  </si>
  <si>
    <t>1.수입꽃 부가세 관련 인터뷰(정아람)
2.18시에 문 닫는 무더위 쉼터(인턴)</t>
  </si>
  <si>
    <t>인천 총기살해범 송치(김휘란)</t>
  </si>
  <si>
    <t>노쇼 사기 피해 업주 인터뷰(양정진)</t>
  </si>
  <si>
    <t>장소섭외 및 대기</t>
  </si>
  <si>
    <t>세제발전심의회(정아람)</t>
  </si>
  <si>
    <t>1.명지고 외경 스케치(임예은)
2.교원 성희롱 관련 문서스케치 및 모형스케치(임예은)</t>
  </si>
  <si>
    <t>정치 현수막 시민 반응(이세현)</t>
  </si>
  <si>
    <t>이상민 영장실질심사 결과대기 종편풀-서울구치소</t>
  </si>
  <si>
    <t>뉴스룸MNG-중앙지법(김태형)</t>
  </si>
  <si>
    <t>구로 동거여성 살해 현장취재(김휘란)</t>
  </si>
  <si>
    <t>(시청)1.서울시 스마트라이프 위크 2025 기자설명회
2.충청하계유니버시아드 간담회(전영희)</t>
  </si>
  <si>
    <t>농민ㆍ시민단체, 한미 관세협상 타결에 오전 긴급 회견</t>
  </si>
  <si>
    <t>1.김건희 특검 종편풀2
2.명태균 소환조사 귀가 종편풀</t>
  </si>
  <si>
    <t>제보자 인터뷰(이희령)</t>
  </si>
  <si>
    <t xml:space="preserve">폭염 속 분주한 얼음공장(김재현) </t>
  </si>
  <si>
    <t>서울구치소-윤석열 체포영장 관련</t>
  </si>
  <si>
    <t>(법조지원-홍승재)</t>
  </si>
  <si>
    <t>윤석열 정신건강 위원회 문서sk(이희정)</t>
  </si>
  <si>
    <t>종로 꽃시장(무더위)(이희령)</t>
  </si>
  <si>
    <t>No.</t>
  </si>
  <si>
    <t>8월</t>
  </si>
  <si>
    <t>Ims모빌리티 압수수색2(김지윤)</t>
  </si>
  <si>
    <t>조영탁 자택 외경(윤정주)</t>
  </si>
  <si>
    <t>1.내일로미래로당 당사 취재-부정선거 현수막(배양진)
2.화상인터뷰 연출(이지은)</t>
  </si>
  <si>
    <r>
      <rPr>
        <rFont val="Malgun Gothic"/>
        <color rgb="FF0000FF"/>
        <sz val="11.0"/>
      </rPr>
      <t>(공영수 대체)</t>
    </r>
    <r>
      <rPr>
        <rFont val="Malgun Gothic"/>
        <color theme="1"/>
        <sz val="11.0"/>
      </rPr>
      <t xml:space="preserve">
김건희 특검, 서울구치소 내 윤석열 체포영장 집행시도</t>
    </r>
  </si>
  <si>
    <t>통상 협상단 귀국(임지수)</t>
  </si>
  <si>
    <t>(시청)서울대공원 동물원 여름나기</t>
  </si>
  <si>
    <t>한국거래소 증시종가(전다빈)</t>
  </si>
  <si>
    <t>Ims모빌리티 압수수색1(김지윤)</t>
  </si>
  <si>
    <t>무더위 속 야구장의 극한 직업들(전영희)</t>
  </si>
  <si>
    <t>토트넘 방한(홍지용)</t>
  </si>
  <si>
    <t>뉴스룸MNG-인천공항(정아람)</t>
  </si>
  <si>
    <t>서울서부지법 폭동 선고(심가은)</t>
  </si>
  <si>
    <t>용인 상현역 인근서 차량 돌진 사고(김영민)</t>
  </si>
  <si>
    <t>가리봉동 살인 사건 60대 남성 영장실질심사(김영민)</t>
  </si>
  <si>
    <t>1.이강인 행사 토크쇼(이예원)
2.날씨 스케치</t>
  </si>
  <si>
    <t>민주당 전당대회</t>
  </si>
  <si>
    <t>손흥민 기자회견</t>
  </si>
  <si>
    <t>손흥민 토트넘 (2)오픈 트레이닝</t>
  </si>
  <si>
    <t>1.내란,채상병 특검 대기
2.광화문 날씨 스케치</t>
  </si>
  <si>
    <r>
      <rPr>
        <rFont val="Malgun Gothic"/>
        <color rgb="FF0000FF"/>
        <sz val="11.0"/>
      </rPr>
      <t>(추가근무 출장)</t>
    </r>
    <r>
      <rPr>
        <rFont val="Malgun Gothic"/>
        <color theme="1"/>
        <sz val="11.0"/>
      </rPr>
      <t xml:space="preserve">
17:00출발 / 밀착카메라-춘천 환경미화원 동행취재(이은진)
8/3~8/4</t>
    </r>
  </si>
  <si>
    <t>양주 아기 방임 사건 (장연제)</t>
  </si>
  <si>
    <t>1.김건희 특검, 권오수 전 도이치모터스 회장 소환 시간풀 
2.뉴스룸MNG-김건희 특검</t>
  </si>
  <si>
    <t>1. 날씨 스케치 (이희정) 
2. 대주주 양도소득세 청원관련 모니터 sk (이희정)</t>
  </si>
  <si>
    <t>토트넘 뉴캐슬 경기 전 상황 취재(강나현)</t>
  </si>
  <si>
    <r>
      <rPr>
        <rFont val="Malgun Gothic"/>
        <color rgb="FF0000FF"/>
        <sz val="11.0"/>
      </rPr>
      <t>(추가근무 출장)</t>
    </r>
    <r>
      <rPr>
        <rFont val="Malgun Gothic"/>
        <color theme="1"/>
        <sz val="11.0"/>
      </rPr>
      <t xml:space="preserve">
16:00출발 / 진천-쇼트트랙 대표팀 합숙훈련(이예원)
8/3~8/5</t>
    </r>
  </si>
  <si>
    <t>토트넘 뉴캐슬 경기(강나현)</t>
  </si>
  <si>
    <t>밀착카메라-춘천 환경미화원 동행취재(이은진)
8/3~8/4</t>
  </si>
  <si>
    <t>교통사고조사원 견인차 기사 동행취재(배양진)</t>
  </si>
  <si>
    <t>서초동 라이브 대기</t>
  </si>
  <si>
    <t>이주노동자 갑질 피해자 int(강희연)</t>
  </si>
  <si>
    <t>1김건희 특검 종편풀2
2광명서울고속도로 감전(배양진)</t>
  </si>
  <si>
    <t>김건희 특검, 윤석열 체포영장 집행 대비-서울구치소</t>
  </si>
  <si>
    <t>1.국가인권위바로잡기행동 안창호 고발 기자회견(장연제)
2.국제음악제 오케스트라 연습실(강나현)
3.김민석 총리 뉴스룸 출연 스케치</t>
  </si>
  <si>
    <t>김정관 산자부장관 일정(임지수)</t>
  </si>
  <si>
    <t>진천-쇼트트랙 대표팀 합숙훈련(이예원)
8/3~8/5</t>
  </si>
  <si>
    <t>강원 양구-이주 노동자 실태(이희정)</t>
  </si>
  <si>
    <t>뉴스룸MNG-국회(황예린)</t>
  </si>
  <si>
    <t>이주노동자 관련 단체 인터뷰(이희정)</t>
  </si>
  <si>
    <t>빈집 기획 관련 전문가 인터뷰(이상화)</t>
  </si>
  <si>
    <t>1.국립중앙박물관 광복 특별전(강나현)
2.기재부 구윤철 장관 겸 부총리 성장 전략 TF(전다빈)</t>
  </si>
  <si>
    <t>사랑제일교회 압수수색(임예은)</t>
  </si>
  <si>
    <t>1.광명 포스코이앤씨 고속도로 감전사고 현장감식(송혜수)
2.치매머니 전문가+사례자인터뷰(심가은)</t>
  </si>
  <si>
    <t>합천 출장-원폭 80주년 합천 비핵평화대회(김재현)</t>
  </si>
  <si>
    <t>1.중국 후난성-한국 경제협력플라자 행사 취재(김도훈)
2.위례 밀리토피아 외경 촬영(김민관)</t>
  </si>
  <si>
    <t>뉴스룸MNG-국회(최연수)</t>
  </si>
  <si>
    <t>1.양민혁 출국 전 인터뷰(홍지용)
2.인천공항 방역노동자 시위(박준우)</t>
  </si>
  <si>
    <t>1.김건희 특검 종편풀1
2.신세계 백화점 폭탄 테러 협박1</t>
  </si>
  <si>
    <t>손흥민 LA 출국(홍지용)</t>
  </si>
  <si>
    <t>1.김건희 특검 종편풀2
2.뉴스룸MNG-김건희 특검(연지환)</t>
  </si>
  <si>
    <t>1.한미 통상현안 전문가 좌담회(임지수)
2.물가 상승 식당 인터뷰(전다빈)
3.신세계 백화점 폭탄 테러 협박2 4.이주노동자문서(강희연)</t>
  </si>
  <si>
    <t>1.환경부 장관 수도권매립지 방문(박상욱)
2.항공사 프리미엄석 도입 관련 반응 인터뷰(임지수)
3.수협 기사 관련 문서스케치(심가은)</t>
  </si>
  <si>
    <t>(밀착) 신천지 취재(정희윤)</t>
  </si>
  <si>
    <t>1.김건희 특검 윤석열 체포영장 집행대기-서울구치소
2.수협은행 뚝섬역지점 외경(배양진)
3.대한항공 시정조치 문서스케치(임지수)</t>
  </si>
  <si>
    <t>고용노동부 장관 일정(이희정)</t>
  </si>
  <si>
    <t>1.신세계백화점 폭발물신고 관련 수색
2.포스코 중대재해 건 문서(이희정)</t>
  </si>
  <si>
    <t>김건희 특검, 김건희 소환 차량팔로우 종편 풀</t>
  </si>
  <si>
    <t>합천출장-원폭피해자 추모대회(김재현)</t>
  </si>
  <si>
    <t>아크로비스타 기자연결(심가은)</t>
  </si>
  <si>
    <t>뉴스룸MNG-김건희 특검(박현주)</t>
  </si>
  <si>
    <t>1.LG AI 인재 양성 관련(임지수)
2.문서 스케치(김휘란)</t>
  </si>
  <si>
    <t>LG 문보경 인터뷰(채승기)</t>
  </si>
  <si>
    <t>김건희 소환조사 후 귀가 종편풀</t>
  </si>
  <si>
    <t>김건희특검 기자연결(윤정주)</t>
  </si>
  <si>
    <t>1.김건희특검 주변 돌발상황 대비
2.웬디 커틀러 전 USTR 부대표 인터뷰sk(이지은)</t>
  </si>
  <si>
    <t>1.대흥동 흉기살인 사건(임예은)
2.복지부-환자,소비자단체 간담회(공다솜)</t>
  </si>
  <si>
    <t>서울구치소-차량팔로우</t>
  </si>
  <si>
    <t>1.서울구치소-기자연결
2.성수동 금거래 피해자 인터뷰(양정진)</t>
  </si>
  <si>
    <t>복지부 수련협의체 3차 회의(송승환)</t>
  </si>
  <si>
    <t>경기남부청 경찰 인터뷰(송혜수)</t>
  </si>
  <si>
    <t>1.서울구치소-풀샷
2.서울구치소-건진법사 접견(김영민)</t>
  </si>
  <si>
    <t>법무부 보도자료 스케치(여도현)</t>
  </si>
  <si>
    <t>한국전력 변압기 체크(임지수)</t>
  </si>
  <si>
    <t>[아침&amp;MNG] 윤석열 체포영장 재집행(김지윤)</t>
  </si>
  <si>
    <t>오승환 기자회견(채승기)</t>
  </si>
  <si>
    <t>1.계약서 및 진정서 스케치(이희정)
2.인천 점주 폭행피해 취재(김휘란)</t>
  </si>
  <si>
    <t>진에어 피해자 인터뷰(임지수)</t>
  </si>
  <si>
    <t>치매기획 관련 화면 스케치(심가은)</t>
  </si>
  <si>
    <t>삼성화재 교통안전문화연구소 브리핑(정아람)</t>
  </si>
  <si>
    <r>
      <rPr>
        <rFont val="Malgun Gothic"/>
        <color theme="1"/>
        <sz val="11.0"/>
      </rPr>
      <t>반포대교 인근 요트화재(김휘란)</t>
    </r>
    <r>
      <rPr>
        <rFont val="Malgun Gothic"/>
        <color rgb="FFFF0000"/>
        <sz val="11.0"/>
      </rPr>
      <t xml:space="preserve"> kill</t>
    </r>
  </si>
  <si>
    <r>
      <rPr>
        <rFont val="Malgun Gothic"/>
        <color theme="1"/>
        <sz val="11.0"/>
      </rPr>
      <t xml:space="preserve">현대고등학교 황산테러 협박 현장(송혜수) </t>
    </r>
    <r>
      <rPr>
        <rFont val="Malgun Gothic"/>
        <color rgb="FFFF0000"/>
        <sz val="11.0"/>
      </rPr>
      <t>kill</t>
    </r>
  </si>
  <si>
    <t>WCC 제리 필레이 총무 방한(강나현)</t>
  </si>
  <si>
    <t>잠실야구장 한화:LG(이예원)</t>
  </si>
  <si>
    <t>AI 기업 관련 제보자 인터뷰(이희령)</t>
  </si>
  <si>
    <t>1.이춘석 고발 서울청 기자회견
2.휴일 날씨 스케치 및 시민인터뷰(김산)</t>
  </si>
  <si>
    <t>국민의 힘 당대표 후보 일정 팔로우</t>
  </si>
  <si>
    <t>1.AI 인재 육성 관련 기획취재(임지수)
2.마포구 대로변 살인 피의자 영장실질심사(김산)</t>
  </si>
  <si>
    <t xml:space="preserve">의정부 아파트 공사현장 노동자 추락사고(이상화) </t>
  </si>
  <si>
    <t>스피드스케이팅 김민선, 정희단 재능기부 행사(채승기)</t>
  </si>
  <si>
    <t>1.올림픽체조경기장 폭발물 설치 협박(김휘란)
2.뉴스룸MNG-국회(이승환)</t>
  </si>
  <si>
    <t>1.날씨스케치-광화문
2.주식투자자연합회장 1인시위(정아람)</t>
  </si>
  <si>
    <t>김건희 특검 대기2</t>
  </si>
  <si>
    <t>김건희 특검 대기1</t>
  </si>
  <si>
    <t>쇼트트랙 대표팀 출국(이예원)</t>
  </si>
  <si>
    <t>포스코 공사 중단 피해(이희정/인턴)</t>
  </si>
  <si>
    <t>강서구 초대형견 방치 오피스텔 취재(김산)</t>
  </si>
  <si>
    <t>(지법등록)인권위 15차 전원위(장연제)</t>
  </si>
  <si>
    <t>(지법등록)서희건설 압수수색1(연지환)</t>
  </si>
  <si>
    <t>의료현장 Ai활용 기획(공다솜)</t>
  </si>
  <si>
    <t>서희건설 압수수색2(연지환)</t>
  </si>
  <si>
    <t>광복 80주년 관련 기획 인터뷰(강나현)</t>
  </si>
  <si>
    <t>관악구 신림동 반지하촌 취재(송혜수)</t>
  </si>
  <si>
    <t>문서sk(이자연)</t>
  </si>
  <si>
    <t>1.웬즈데이 팀버튼 내한(강나현)
2.광화문 낙서</t>
  </si>
  <si>
    <t>김예성 인천공항 입국(조해언)</t>
  </si>
  <si>
    <r>
      <rPr>
        <rFont val="Malgun Gothic"/>
        <color rgb="FF0000FF"/>
        <sz val="11.0"/>
      </rPr>
      <t xml:space="preserve">(이완근 휴가 대체 야근)
</t>
    </r>
    <r>
      <rPr>
        <rFont val="Malgun Gothic"/>
        <color rgb="FF000000"/>
        <sz val="11.0"/>
      </rPr>
      <t>(지법등록)1.뉴스룸MNG-남부구치소(정수아)
2.김건희 영장실질심사 결과대기-남부구치소</t>
    </r>
  </si>
  <si>
    <t>1.관세청 무역경제범죄 특별단속 브리핑(정아람)
2.한국기자협회 일정</t>
  </si>
  <si>
    <t>광명 포스코이앤씨 감전사고현장사무실 압수수색 (배양진)</t>
  </si>
  <si>
    <t>(지법등록)1.채상병 특검 종편풀
2.뉴스룸MNG-지법(김태형)</t>
  </si>
  <si>
    <t>1.아이돌봄이 인터뷰(공다솜)
2.가천대길병원 Ai응급실 촬영(공다솜)</t>
  </si>
  <si>
    <t>(지법등록)김건희 영장실질심사 기자연결(김지윤)</t>
  </si>
  <si>
    <t>김예성 입국 뻗치기(윤정주)</t>
  </si>
  <si>
    <t>독립운동가 후손 방문 취재(구민주)</t>
  </si>
  <si>
    <t>(지법등록)1.김건희 영장실질심사 후 이동 팔로우
2.뉴스룸MNG-김건희 특검(여도현)</t>
  </si>
  <si>
    <t>1.국립중앙박물관 손기정 특별전 스케치(홍지용)
2.일본 역사교과서 왜곡 관련 자료 촬영 및 인터뷰(강나윤)</t>
  </si>
  <si>
    <t>(1박2일)광주 전남 조선소 중대재해 취재(정아람)</t>
  </si>
  <si>
    <t>김건희 영장실질심사 종편 풀</t>
  </si>
  <si>
    <t>대한컬링연맹 혁신 비전 선포식(강나현)</t>
  </si>
  <si>
    <t>1.농민 기후 피해 손배 청구 기자회견(박상욱)
2.의사인력 수급추계위(공다솜)
3.김예성 체포 후 김건희 특검 출석</t>
  </si>
  <si>
    <t>수원 팔달경찰서 개서식(배양진)</t>
  </si>
  <si>
    <r>
      <rPr>
        <rFont val="Malgun Gothic"/>
        <color rgb="FFFF0000"/>
        <sz val="11.0"/>
      </rPr>
      <t xml:space="preserve">연락없이 지각, 날씨 인덱스 실수
</t>
    </r>
    <r>
      <rPr>
        <rFont val="Malgun Gothic"/>
        <color theme="1"/>
        <sz val="11.0"/>
      </rPr>
      <t>날씨스케치-파주,일산</t>
    </r>
  </si>
  <si>
    <t>1.21그램 압수수색(박현주)
2.날씨스케치-중량교</t>
  </si>
  <si>
    <t>날씨스케치-김포</t>
  </si>
  <si>
    <r>
      <rPr>
        <rFont val="Malgun Gothic"/>
        <color theme="1"/>
        <sz val="11.0"/>
      </rPr>
      <t>1.날씨스케치</t>
    </r>
    <r>
      <rPr>
        <rFont val="Malgun Gothic"/>
        <color rgb="FFFF0000"/>
        <sz val="11.0"/>
      </rPr>
      <t xml:space="preserve">(자발적 날씨스케치)
</t>
    </r>
    <r>
      <rPr>
        <rFont val="Malgun Gothic"/>
        <color theme="1"/>
        <sz val="11.0"/>
      </rPr>
      <t>2.양주 골프장 취객 난동 취재(임예은)</t>
    </r>
  </si>
  <si>
    <t>(시청)1.감사원 압수수색
2.동대문구 제기동 다세대주택 화재 합동감식(임지은)</t>
  </si>
  <si>
    <r>
      <rPr>
        <rFont val="Malgun Gothic"/>
        <color theme="1"/>
        <sz val="11.0"/>
      </rPr>
      <t>1.날씨스케치 및 청계천 통제</t>
    </r>
    <r>
      <rPr>
        <rFont val="Malgun Gothic"/>
        <color rgb="FFFF0000"/>
        <sz val="11.0"/>
      </rPr>
      <t xml:space="preserve">(자발적 날씨스케치)
</t>
    </r>
    <r>
      <rPr>
        <rFont val="Malgun Gothic"/>
        <color theme="1"/>
        <sz val="11.0"/>
      </rPr>
      <t>2.김건희 특검 종편풀1</t>
    </r>
  </si>
  <si>
    <t>밀착-기면증 취재(이은진)</t>
  </si>
  <si>
    <t>신혜식 휴대폰 임의제출 스케치(양정진)</t>
  </si>
  <si>
    <t>통영-해양쓰레기 수거현장 취재(박상욱)</t>
  </si>
  <si>
    <t>국립고궁박물관 20주년 특별전 공개회(강나현)
신림동 반지하 스케치(송혜수)</t>
  </si>
  <si>
    <t>1.날씨스케치-수색,행신
2.뉴스룸MNG-남부구치소(조해언)</t>
  </si>
  <si>
    <t>00:00~01:30 국힘당사 압수수색 규탄 김문수 철야 농성</t>
  </si>
  <si>
    <t>최교진 부총리 겸 교육부장관 후보자 첫 출근</t>
  </si>
  <si>
    <t>남부구치소 상황취재 및 특보 기자연결(정수아)</t>
  </si>
  <si>
    <t>관세청 브리핑(전다빈)</t>
  </si>
  <si>
    <t>1. 금융범죄 수사대 이춘석 의원 소환조사 종편 풀
2. 조국 출소 종편 풀</t>
  </si>
  <si>
    <t>김건희 구속 추 첫 특검 출석 특보 차량팔로우</t>
  </si>
  <si>
    <t>광복절 기획 밀착카메라(정희윤)</t>
  </si>
  <si>
    <t>공중화장실 비상벨 경찰 동행 현장 취재(임지은)</t>
  </si>
  <si>
    <t>내란특검, 중앙지법, 대법원 일정 취재</t>
  </si>
  <si>
    <t>김건희 특검 풀 취재, 특보 상황연결</t>
  </si>
  <si>
    <t>1.직장내괴롭힘 사회복지사 인터뷰+요양원 밑대기(심가은)
2.(MNG-남부구치소) 김건희, 구속 후 첫 조사(여도현)</t>
  </si>
  <si>
    <t>김건희 특검 김건희 조사후 귀가</t>
  </si>
  <si>
    <t>금감원장 취임식 및 기자실 방문 안내(전다빈)</t>
  </si>
  <si>
    <t>1.주병기 공정위 후보자 출근길
2.해병대 보고서 200페이지 스케치(김민관)</t>
  </si>
  <si>
    <t>1 민언련 수상 스케치
2 고용노동부-건설업 간담회</t>
  </si>
  <si>
    <t>통영-해양쓰레기 수거현장 취재(박상욱)
-드론 분실사고</t>
  </si>
  <si>
    <t>제크반</t>
  </si>
  <si>
    <t>노조법 2•3조 개정 - 민주노총 기자간담회(이희령)</t>
  </si>
  <si>
    <t>중학생 협박 피해 취재(송혜수)</t>
  </si>
  <si>
    <t>02:30귀가 이춘석</t>
  </si>
  <si>
    <t>고발장 스케치(김휘란)</t>
  </si>
  <si>
    <t>[지금왜] 조롱·면박·병풍·아부...(백민경)</t>
  </si>
  <si>
    <t>광복절 기념 기부마라톤 815런(김재현)</t>
  </si>
  <si>
    <t>1.뉴스룸 MNG 기자연결 광화문 국민인명식 및 우상호 정무수석 연결(이승환)
2.김건희 집사 김예성 영장심사 서울구치소 대기</t>
  </si>
  <si>
    <t>국민임명식 준비모습 스케치</t>
  </si>
  <si>
    <t>최교진 후보자 설화 페북 스케치(이희정)</t>
  </si>
  <si>
    <t>김건희 집사 김예성 영장실질 심사</t>
  </si>
  <si>
    <t xml:space="preserve">전광훈 대국본 서울역 집회(임지은) </t>
  </si>
  <si>
    <t xml:space="preserve">제80주년 광복절 기념 타종행사 취재 </t>
  </si>
  <si>
    <r>
      <rPr>
        <rFont val="Malgun Gothic"/>
        <color rgb="FFFF0000"/>
        <sz val="11.0"/>
      </rPr>
      <t xml:space="preserve">라이브 시 녹화 미실시 구두경고
</t>
    </r>
    <r>
      <rPr>
        <rFont val="Malgun Gothic"/>
        <color theme="1"/>
        <sz val="11.0"/>
      </rPr>
      <t>박균택 민주당 의원 인터뷰</t>
    </r>
  </si>
  <si>
    <t>남사읍 중학교 배수로 공사 작업자 사망</t>
  </si>
  <si>
    <t>제기동 방화범 영장실질심사</t>
  </si>
  <si>
    <t>서초동 특검 종편 풀</t>
  </si>
  <si>
    <t>서초동 대검찰청</t>
  </si>
  <si>
    <t>광복회 보도자료, 김형석 보도자료 sk</t>
  </si>
  <si>
    <t>1.가습기살균제와 폐암의 관련성에 대한 연구 논문 스케치
2.KT 박영현 선수 int (재섭외 / 전영희 기자)</t>
  </si>
  <si>
    <t>창전동 아파트 화재</t>
  </si>
  <si>
    <t>원민경 여가부장관 첫출근(공다솜)</t>
  </si>
  <si>
    <t>장안경찰서 (구 중부경찰서) 외경</t>
  </si>
  <si>
    <t>진천-배드민턴 미디어데이(오선민)</t>
  </si>
  <si>
    <t>야구 신인 드래프트 트라이아웃(이예원)</t>
  </si>
  <si>
    <t>(밀착)부산 호스피스 병동 취재 출발(이은진)</t>
  </si>
  <si>
    <t>건진법사 소환조사 후 귀가 종편 풀</t>
  </si>
  <si>
    <t>인천 산재사고 제보자 인터뷰(임지은)</t>
  </si>
  <si>
    <t>1.김건희 특검 종편풀2
2.뉴스룸MNG-김건희 특검(윤정주)</t>
  </si>
  <si>
    <t>뉴스룸MNG-국민의힘(강희연)</t>
  </si>
  <si>
    <t>조국 현충원 참배(김안수)</t>
  </si>
  <si>
    <t>1.남부구치소
2.마포 아파트 화재 합동감식(양정진)</t>
  </si>
  <si>
    <t>북부지법 미아동 흉기난동 김성진 1심 선고(장연제)</t>
  </si>
  <si>
    <t>폭염에 변형되는 아스팔트 정비 작업(이희령)</t>
  </si>
  <si>
    <t>뉴스룸MNG-내란특검(조해언)</t>
  </si>
  <si>
    <t>1.어쩔수가없다 제작보고회(강나현)
2.연극 고도를 기다리며 간담회(강나현)</t>
  </si>
  <si>
    <t>국회 산자위 강승규 의원 인터뷰(김안수)</t>
  </si>
  <si>
    <t>윤석열 짐 보관창고 관련(심가은)</t>
  </si>
  <si>
    <t>여수 석유화학 단지 르포(전다빈)</t>
  </si>
  <si>
    <t>(밀착)부산 호스피스 병동 취재(이은진)</t>
  </si>
  <si>
    <t>세무사기 피해업체 인터뷰(김휘란)</t>
  </si>
  <si>
    <t>2025 초록우산 CSR포럼 행사 취재(김도훈)</t>
  </si>
  <si>
    <t>세계 인도주의의 날 캠페인 현장 취재(김도훈)</t>
  </si>
  <si>
    <t>1.이준석 디지털 포렌식 참여권 행사 후 귀가
2.한덕수 소환조사 후 귀가 종편 풀</t>
  </si>
  <si>
    <t>인천 침수피해 아파트 취재(김휘란)</t>
  </si>
  <si>
    <t>석유화학업계 사업재편 자율 협약식(박준우)</t>
  </si>
  <si>
    <t>건진 인터뷰 준비</t>
  </si>
  <si>
    <t>이태원 참사 출동 소방관 숨진 채 발견(배양진)</t>
  </si>
  <si>
    <t>동물권행동 카라 인터뷰(양정진)</t>
  </si>
  <si>
    <t>(밀착) 국중박 인기 취재(정희윤)</t>
  </si>
  <si>
    <t>김용 전 부원장 보석 석방 및 기자회견(최재원)</t>
  </si>
  <si>
    <t>(시청)신용회복 지원을 위한 금융권 공동 협약식(정아람)</t>
  </si>
  <si>
    <t>청도 사고 책임자 논란 홈페이지sk(이희정)</t>
  </si>
  <si>
    <t>베르베르 간담회(강나현)</t>
  </si>
  <si>
    <t>1.청년안심주택 두곳 외경 스케치(정아람)
2.청년안심주택 피해자 인터뷰(정아람)</t>
  </si>
  <si>
    <t>익일03:00</t>
  </si>
  <si>
    <t>서해 오징어잡이 풍년 취재(김재현)</t>
  </si>
  <si>
    <t>~02:40 한덕수 소환조사 후 귀가 종편 풀</t>
  </si>
  <si>
    <t>1.석유화학 구조재편 관련 금융권 간담회(이상화)
2.청년안심주택 피해자 기자회견(정아람)</t>
  </si>
  <si>
    <t>건진 인터뷰</t>
  </si>
  <si>
    <t>1.용인 오피스텔 살인 사건(배양진)
2.광주중 학폭 사건(이희정)</t>
  </si>
  <si>
    <t>탑골공원 바둑 취재(이은진)</t>
  </si>
  <si>
    <t>(국회지원 신승규)</t>
  </si>
  <si>
    <t xml:space="preserve">1.관세청(서울세관) 브리핑(정아람)
2.수련협의체 회의(성화선) </t>
  </si>
  <si>
    <t>(시청)
일무 프레스콜 (강나현)</t>
  </si>
  <si>
    <t>1.김건희 특검, 웰바이오텍 압수수색
2.국회의원 고액후원자 명단 문서 스케치(양빈현)
3.김형석 경위서 스케치(조보경)</t>
  </si>
  <si>
    <t>1.매기강 국중박 방문(강나현)
2.생선 물가 관련-노량진 수산시장 취재(임지수)</t>
  </si>
  <si>
    <t>뉴스룸 MNG-김건희 특검(김지윤)</t>
  </si>
  <si>
    <t>철인3종 유소년 성폭력..협회는 증거삭제하고 쉬쉬(배승주)</t>
  </si>
  <si>
    <t>1.스포츠클라이밍 세계선수권(서울) 미디어데이(채승기)
2.댜한양궁협회 외경 촬영(채승기)</t>
  </si>
  <si>
    <t>채상병 종편 풀2</t>
  </si>
  <si>
    <t>용인 오피스텔 피의자 압송(배양진)</t>
  </si>
  <si>
    <t>1.뉴스룸MNG-내란특검(조해언)
2.한덕수 소환조사 후 귀가 종편 풀</t>
  </si>
  <si>
    <t>오전
반차</t>
  </si>
  <si>
    <t>(오후) 대통령실 출장 준비</t>
  </si>
  <si>
    <t>해경 전 수사국장 인터뷰(김안수)</t>
  </si>
  <si>
    <t>(밀착) 국중박 인기 취재 (정희윤) 3회차</t>
  </si>
  <si>
    <t>(시청)
청년안심주택 비대위 문제해결 촉구 기자회견(정아람x)</t>
  </si>
  <si>
    <t>특검-양평군청 압수수색</t>
  </si>
  <si>
    <t>베르베르 클래식 관련 간담회 (강나현)</t>
  </si>
  <si>
    <t>뉴스룸 MNG-김건희 특검(윤정주)</t>
  </si>
  <si>
    <t>1.박정민 라운드 (강나현)
2.케데헌 메기강 라운드 인터뷰 (강나현)</t>
  </si>
  <si>
    <r>
      <rPr>
        <rFont val="Malgun Gothic"/>
        <color rgb="FFFF0000"/>
        <sz val="11.0"/>
      </rPr>
      <t>데스크 조율없이 현장출근</t>
    </r>
    <r>
      <rPr>
        <rFont val="Malgun Gothic"/>
        <color theme="1"/>
        <sz val="11.0"/>
      </rPr>
      <t xml:space="preserve">
김정관 산자부장관 미국 출국(박준우)</t>
    </r>
  </si>
  <si>
    <t xml:space="preserve">1우체국 미국 소포 중단 관련(임지수)
2폭염 날씨(이희정x) </t>
  </si>
  <si>
    <r>
      <rPr>
        <rFont val="Malgun Gothic"/>
        <sz val="11.0"/>
      </rPr>
      <t xml:space="preserve">1.영어조기교육 대안 토론회(이희정x)
</t>
    </r>
    <r>
      <rPr>
        <rFont val="Malgun Gothic"/>
        <color rgb="FF1155CC"/>
        <sz val="11.0"/>
        <u/>
      </rPr>
      <t>2.AI</t>
    </r>
    <r>
      <rPr>
        <rFont val="Malgun Gothic"/>
        <sz val="11.0"/>
      </rPr>
      <t xml:space="preserve"> 전문가 고려대 교수 인터뷰(윤재영)</t>
    </r>
  </si>
  <si>
    <t>날씨스케치-상암</t>
  </si>
  <si>
    <t>노란봉투법 관련 인터뷰(이희령)</t>
  </si>
  <si>
    <t>일본, 미국 순방(23~28)</t>
  </si>
  <si>
    <t>조국 출장 출발(23~25)</t>
  </si>
  <si>
    <t>AI 영재 육성 학원 수업 현장(임지수)</t>
  </si>
  <si>
    <t>구로구 궁동 우신 중고등학교 수류탄 발견</t>
  </si>
  <si>
    <t>1.일본 언론 서면 인터뷰 문서 스케치(이승환)
2.변사자 금목걸이 절도 경찰 검시조사관 현장(배양진)</t>
  </si>
  <si>
    <t>용산 대통령실-순방 캐쳐</t>
  </si>
  <si>
    <t>내란특검 뉴스룸 기자연결(박현주)</t>
  </si>
  <si>
    <t>용인 오피스텔 살해범 영장실질심사</t>
  </si>
  <si>
    <t>1.김건희 특검 대기
2.날씨 스케치</t>
  </si>
  <si>
    <t>조국 출장(23~25)</t>
  </si>
  <si>
    <t>강훈식 대통령 비서실장 미국 출국(이승환)</t>
  </si>
  <si>
    <t>신입 취재기자 카메라면접</t>
  </si>
  <si>
    <t>채상병 특검 풀1</t>
  </si>
  <si>
    <t>축구대표팀 9월 A매치 명단발표 기자회견(홍지용)</t>
  </si>
  <si>
    <t>현대제철 비정규직지회 기자회견(이희령)</t>
  </si>
  <si>
    <t>가평군 일대 비피해 쥐재(오원석)</t>
  </si>
  <si>
    <t>대학생 코딩 대회(임지수)</t>
  </si>
  <si>
    <t>법무부, 대검 압수수색</t>
  </si>
  <si>
    <t>1.서울구치소 압수수색시도
2.채상병 특검 풀2</t>
  </si>
  <si>
    <t>폭우 스케치-상암</t>
  </si>
  <si>
    <t>소설가 김초엽 인터뷰(강나현)</t>
  </si>
  <si>
    <t>강서구 맨홀사고(김휘란)</t>
  </si>
  <si>
    <t>뉴스룸MNG-김건희 특검(김지윤)</t>
  </si>
  <si>
    <t>네팔 국적 노동자 인터뷰(이희정)</t>
  </si>
  <si>
    <t>LH 전세금 반환 피해자 인터뷰(정아람)</t>
  </si>
  <si>
    <t>부산국제영화제 개최 기자회견(강나현)</t>
  </si>
  <si>
    <t>직장갑질 관련 장종수 노무사 인터뷰(심가은)</t>
  </si>
  <si>
    <t>장르가머니 평택현장 촬영(김동훈)</t>
  </si>
  <si>
    <t>내란특검_해양경찰청 압수수색</t>
  </si>
  <si>
    <t>(뉴스룸MNG-사전 인터뷰)신임 장동혁 국민의힘 당대표</t>
  </si>
  <si>
    <t>김형석 독립기념관장 취재(임지은)</t>
  </si>
  <si>
    <t>일본도 살인사건 명예훼손 선고기일(임예은)</t>
  </si>
  <si>
    <t>창원-명태균 인터뷰</t>
  </si>
  <si>
    <t>1.버추얼 아이돌 현장 오프라인 카페 촬영(최수연)
2.서울 광화문 MBK파트너스 본사 현장조사(정아람)</t>
  </si>
  <si>
    <t>한덕수 전 총리, 영장실질심사 결과 대기 종편풀</t>
  </si>
  <si>
    <t>케데헌 명소 취재(김재현)</t>
  </si>
  <si>
    <t>고척돔 야구 인터뷰 스케치 취재(오선민)</t>
  </si>
  <si>
    <t>(시청)1.김건희 특검 종편풀2
2.권성동 의원, 김건희 특검 소환조사 후 귀가 대기</t>
  </si>
  <si>
    <t>영등포구의회 외유성 출장(김산)</t>
  </si>
  <si>
    <t>1.헌재 기후소송 결정 1년 관련 기자회견(박상욱)
2.(종로) 사직동 종교교회 외경 스케치(오원석x)</t>
  </si>
  <si>
    <t>밀착-강릉 가뭄취재(정희윤)</t>
  </si>
  <si>
    <t xml:space="preserve">용인 호암 미술관 루이즈 부르주아 간담회(김대호)  </t>
  </si>
  <si>
    <t>1.젖병세척기 논란 인터뷰(임지수)
2.뉴스룸MNG-중앙지법(조해언)</t>
  </si>
  <si>
    <t>건설산재 유가족·5대 종교계 건설의 날 기자회견(송혜수)</t>
  </si>
  <si>
    <t>1.국회의원 박상혁 민주당 의원 인터뷰(오원석)
2.신반포교회 외경 스케치(오원석x)
3.외국인노동자 인권실태 문서스케치(이희정)</t>
  </si>
  <si>
    <t>1.중기부장관 기자간담회(임지수)
2.독립기념관장 관련 해명 보도자료 문서(정혜성)</t>
  </si>
  <si>
    <t>창원-명태균 인터뷰 복귀</t>
  </si>
  <si>
    <t>1.용인 반도체 산업단지 불법투기 행위 수사 결과(배양진)
2.동탄 영어유치원 폐원 스케치, 학부모 인터뷰(송혜수)</t>
  </si>
  <si>
    <t>1.박성근 전 국무총리 비서실장 자택 압수수색
2.금융감독원장, 은행장 간담회 개최(정아람)</t>
  </si>
  <si>
    <t>일본, 미국 순방(23~28)복귀 01:15</t>
  </si>
  <si>
    <t>탁구장서 쓰러진 회원 살린 경찰관(양정진)</t>
  </si>
  <si>
    <t>김건희 탐사(신진)</t>
  </si>
  <si>
    <t>1.철인 3종 성폭력 인권위 진정(배승주)
2.보이스피싱 사례자 취재(이상화)</t>
  </si>
  <si>
    <t>1.김건희 특검 종편풀2
2.뉴스룸MNG-김건희특검(연지환)</t>
  </si>
  <si>
    <t>1.서울청-알뜰폰 무단개통 국제 해킹조직 검거(송혜수)
2.구윤철 부총리 주재, 공기업 기관장 워크숍(정아람)</t>
  </si>
  <si>
    <t>1.종로 약국 비만치료제 밑대기(공다솜)
2.자율주행 실증현장 방문 및 기업간담회(정아람)</t>
  </si>
  <si>
    <t>LH 개혁위원회 출범식(정아람)</t>
  </si>
  <si>
    <t>U-20 축구 대표팀 최종 국내훈련(홍지용)</t>
  </si>
  <si>
    <t>충남 서산 당출-탐사 취재(신진)</t>
  </si>
  <si>
    <t>부산 당출-수협 깡통건물 투자 의혹(배양진)</t>
  </si>
  <si>
    <t>부승찬 의원 인터뷰-김건희 긴급 다큐(신진)</t>
  </si>
  <si>
    <t>김포 아파트 LH 전세금 반환 관련 변호사 인터뷰(정아람)</t>
  </si>
  <si>
    <t>지방의회 출장 비위 서류 스케치(김산)</t>
  </si>
  <si>
    <t>케데헌 명소 스탠드업(김재현)</t>
  </si>
  <si>
    <t>밀착-극우단체 명동 시위(이은진)</t>
  </si>
  <si>
    <t>정세현 전 통일부 장관 인터뷰(이승환)</t>
  </si>
  <si>
    <t>성남 금은방 강도 제압 취재(송혜수)</t>
  </si>
  <si>
    <t>군산 당출-북페어 취재(강나현)</t>
  </si>
  <si>
    <t>(08:00) 서초 특검대기</t>
  </si>
  <si>
    <t>14:30 교대 서초 특검대기 (18시 퇴근)</t>
  </si>
  <si>
    <t>강릉 가뭄 현장취재(김휘란)</t>
  </si>
  <si>
    <t>9월</t>
  </si>
  <si>
    <t>1.김건희 특검 종편풀2
2.김건희 다큐</t>
  </si>
  <si>
    <t>합정역 화재(오원석)</t>
  </si>
  <si>
    <t>홍명보호 축구 대표팀 출국(홍지용)</t>
  </si>
  <si>
    <t>1.김건희 특검 종편풀3
2.쇼트트랙 대표팀 귀국(이예원)</t>
  </si>
  <si>
    <t>소금빵 논란 소상공인 인터뷰(전다빈)</t>
  </si>
  <si>
    <t>슈카월드 빵집 팝업 현장(전다빈)</t>
  </si>
  <si>
    <t>뉴스룸MNG-평택 화장품 공장 화재(김휘란)</t>
  </si>
  <si>
    <t>예금보호한도 1억원 시행 현장방문(정아람x)</t>
  </si>
  <si>
    <t>이불작가 간담회(강나현)</t>
  </si>
  <si>
    <t>군인권센터 기자회견(양정진)</t>
  </si>
  <si>
    <t>이배용 사임관련(이희정)</t>
  </si>
  <si>
    <t xml:space="preserve"> 울산-HD현대 조선소 촬영(박소연)</t>
  </si>
  <si>
    <t>배드민턴 대표팀 입국(오선민)</t>
  </si>
  <si>
    <t>인권위 바로잡기 공동행동 기자회견(김휘란)</t>
  </si>
  <si>
    <t>중국 전승절 출장(북경/김혜미/9.2~9.4)</t>
  </si>
  <si>
    <t>김건희 특검 관련 로펌 뻗치기(김영민)</t>
  </si>
  <si>
    <t>브로콜리너마저 출판 간담회(강나현)</t>
  </si>
  <si>
    <r>
      <rPr>
        <rFont val="Malgun Gothic"/>
        <color rgb="FF0000FF"/>
        <sz val="11.0"/>
      </rPr>
      <t xml:space="preserve">(해외출장으로 지원 야근)
</t>
    </r>
    <r>
      <rPr>
        <rFont val="Malgun Gothic"/>
        <color rgb="FF000000"/>
        <sz val="11.0"/>
      </rPr>
      <t>이봉관 서희건설 회장 소환조사 후 귀가</t>
    </r>
    <r>
      <rPr>
        <rFont val="Malgun Gothic"/>
        <color rgb="FF0000FF"/>
        <sz val="11.0"/>
      </rPr>
      <t xml:space="preserve"> </t>
    </r>
    <r>
      <rPr>
        <rFont val="Malgun Gothic"/>
        <color rgb="FFFF0000"/>
        <sz val="11.0"/>
      </rPr>
      <t>kill</t>
    </r>
  </si>
  <si>
    <t>소비자원 로봇청소기 브리핑(박소연)</t>
  </si>
  <si>
    <t>내란특검 추경호 자택 압수수색</t>
  </si>
  <si>
    <t>식약처 마약성분 해외직구식품 검사블핑(공다솜)</t>
  </si>
  <si>
    <t>[지금왜] '근대적 국가관'에 '최첨단 군 기술'의 결합(백민경)</t>
  </si>
  <si>
    <t>김형석 독립기념관장 출근길(임지은)</t>
  </si>
  <si>
    <t>청소년 식습관 취재(공다솜)</t>
  </si>
  <si>
    <t>1.김건희 특검 종편풀2
2.뉴스룸MNG-김건희특검(김지윤)</t>
  </si>
  <si>
    <t>부산-한강버스 제조 공장(오원석)</t>
  </si>
  <si>
    <t>국가보훈부, 출입기자단 정책간담회</t>
  </si>
  <si>
    <t>예천-전국실업단대항육상경기대회(이예원)</t>
  </si>
  <si>
    <t>6개월 만에 바뀐 항공기내 보조배터리 정책(박소연)</t>
  </si>
  <si>
    <t>복지부 장관-보건의약단체장 간담회(성화선)</t>
  </si>
  <si>
    <t>부산-문형배 인터뷰(강나현)</t>
  </si>
  <si>
    <t>1.2026년 대학수능시험 9월 모의고사 종편 풀
2.식품 속 설탕량 연출샷(공다솜)</t>
  </si>
  <si>
    <t>1.필리핀 해외도피 피의자 49명 단체 압송(김산)
2.뉴스룸MNG-인천공항(김산)</t>
  </si>
  <si>
    <t>1.광화문 김건희 특검 앞 통일교 1인시위(김영민)
2.유아 영어학원 스케치(박상욱)</t>
  </si>
  <si>
    <t>1.청소년 식습관 전문가 인터뷰(공다솜)
2.성동 아파트 공사 현장 추락사(송혜수)</t>
  </si>
  <si>
    <t>장르가머니 출장(미국뉴욕 / 9.3~9.13 / 박준우) 출발</t>
  </si>
  <si>
    <t>신림동 칼부림 현장 취재(양정진)</t>
  </si>
  <si>
    <t>1.부산 복귀
2.노트르담드파리 오리지널 내한 프레스콜(강나현)</t>
  </si>
  <si>
    <t>금융감독원장, 저축은행 CEO 간담회(정아람)</t>
  </si>
  <si>
    <t>중국 전승절 출장(북경/김혜미/9.2~9.4)복귀</t>
  </si>
  <si>
    <t>채상병 특검 대기2</t>
  </si>
  <si>
    <t>최휘영 장관 간담회</t>
  </si>
  <si>
    <t>ACL 참가 K리그 4개팀 미디어데이(홍지용)</t>
  </si>
  <si>
    <t>채상병 특검 대기1</t>
  </si>
  <si>
    <t>내란특검 및 법조일정</t>
  </si>
  <si>
    <t>영등포구의회 외유성 출장 출국길 트래킹(김산)</t>
  </si>
  <si>
    <t>쌀값 인상 마트, 소비자 촬영(전다빈)</t>
  </si>
  <si>
    <t>쌀값인상 떡집인터뷰(전다빈)</t>
  </si>
  <si>
    <t>포천 오폭 현장 취재(김재현)</t>
  </si>
  <si>
    <t>장르가머니 출장(미국뉴욕 / 9.3~9.13 / 박준우)</t>
  </si>
  <si>
    <t>밀착-실버 랩 동아리 취재(춘천 / 이은진 / 9.4~9.5)</t>
  </si>
  <si>
    <t xml:space="preserve"> 프리즈 아트페어 코엑스전시 촬영(최수연)</t>
  </si>
  <si>
    <t>여자배구 신인 드래프트(오선민)</t>
  </si>
  <si>
    <t>zoom인터뷰 사후촬영(윤재영)</t>
  </si>
  <si>
    <t>수원깡통건물 관련 참여연대 인터뷰(배양진)</t>
  </si>
  <si>
    <t>이화여대 채용박람회(이상화)</t>
  </si>
  <si>
    <t>공구마트 촬영(정아람)</t>
  </si>
  <si>
    <t>1.서대문 유괴관련 홍제초 인근취재(양정진)
2.서대문경찰서 브리핑(양정진)</t>
  </si>
  <si>
    <t>1.문형배 책 스케치(강나현)
2.퉁소소리 프레스콜(강나현)</t>
  </si>
  <si>
    <t>1.지금 왜? 스탠드업(최수연)
2.KT해킹 피해자 인터뷰(임지수)</t>
  </si>
  <si>
    <t>1.서대문 유괴미수범 영장실질심사
2.홍제초 스케치 및 인터뷰(양정진)</t>
  </si>
  <si>
    <t>뉴스룸MNG-김건희 특검(윤정주)</t>
  </si>
  <si>
    <t>JTBC 대선방송, 중앙선관위 시상식</t>
  </si>
  <si>
    <t>대통령실 풀단 일정</t>
  </si>
  <si>
    <t>외교부 MNG 기자연결(임지수)</t>
  </si>
  <si>
    <t>휴일 및 날씨 스케치</t>
  </si>
  <si>
    <t>문래동 버스사고현장 취재(정해성)</t>
  </si>
  <si>
    <t>기후변화(스웨덴 / 09.06~13 / 심가은) 출발</t>
  </si>
  <si>
    <t>문서 스케치</t>
  </si>
  <si>
    <t>국회 풀단 일정</t>
  </si>
  <si>
    <t>폭우 스케치</t>
  </si>
  <si>
    <t>부동산 대책 관련 스케치(이상화)</t>
  </si>
  <si>
    <t>뉴스룸MNG-서울청사(황예린)</t>
  </si>
  <si>
    <t>날씨스케치-반포대교</t>
  </si>
  <si>
    <t>기후변화(스웨덴 / 09.06~13 / 심가은)</t>
  </si>
  <si>
    <t>U-20 축구 대표팀 월드컵 출국(홍지용)</t>
  </si>
  <si>
    <t>조국혁신당 관계자 익명 인터뷰(함민정)</t>
  </si>
  <si>
    <t xml:space="preserve">조현 장관 미국 출국 </t>
  </si>
  <si>
    <t>학부모와 학생 인터뷰(성화선)</t>
  </si>
  <si>
    <t>KTV관계자 인터뷰(김필준)</t>
  </si>
  <si>
    <t>평창출장-스노보드 김건희, 이나윤 인터뷰(오선민)</t>
  </si>
  <si>
    <t>한국수자원공사 시화조력발전소 촬영(박상욱)</t>
  </si>
  <si>
    <t xml:space="preserve"> 노예계약 논란 한전, 이사회 참석자 (박소연)</t>
  </si>
  <si>
    <t>국가유산청장 간담회(강나현)</t>
  </si>
  <si>
    <t>1.채용박람회(이상화)
2.환경부장관 간담회(이희정)</t>
  </si>
  <si>
    <t>1.이민법인 인터뷰(임지수)
2.금융소비자보호 거버넌스 관련 全금융권 간담회(정아람)</t>
  </si>
  <si>
    <t>UDC 2025 컨퍼런스 현장 취재(김도훈)</t>
  </si>
  <si>
    <t>강릉의료원 취재(성화선)</t>
  </si>
  <si>
    <t>1.마른 여자들 프레스콜(강나현)
2.독자 ai 파운데이션 착수식(임지수)</t>
  </si>
  <si>
    <t>김상민,한덕수 소환조사 후 귀가 종편 풀</t>
  </si>
  <si>
    <t>(시청)
김건희 특검 종편풀</t>
  </si>
  <si>
    <t>평창 출장-알파인 스키 정동현 김소희 인터뷰(오선민)</t>
  </si>
  <si>
    <t>열린포럼
1.KTV 원장, 윤 부부 불리 자막 지우고 유리한 건 추가(김필준)
2.문서스케치(유선의)</t>
  </si>
  <si>
    <t>(국회지원-공영수)
한수원 노조 1인시위</t>
  </si>
  <si>
    <t>지방 소아 의료현장 취재(원주출장) (공다솜)</t>
  </si>
  <si>
    <t>이진숙 방통위원장 입장표명(노진호)</t>
  </si>
  <si>
    <t>한화 와이스 부인 인터뷰(홍지용)</t>
  </si>
  <si>
    <t>광주세계양궁선수권(이예원)</t>
  </si>
  <si>
    <t>코스피3300스케치(정아람)</t>
  </si>
  <si>
    <t>1.코스피 종가
2.코스피 관련 애널리스트 인터뷰(정아람)</t>
  </si>
  <si>
    <t>오픈AI 코리아 공식 출발 기자회견(박소연)</t>
  </si>
  <si>
    <t>출퇴근길 성수역 혼잡도 스케치(송혜수)</t>
  </si>
  <si>
    <t>우상혁 세계육상선수권 출국 인터뷰(홍지용)</t>
  </si>
  <si>
    <t>1.KT 피해지역 밑대기 스케치(임지수)
2.KT 해킹관련 문서(임지수)</t>
  </si>
  <si>
    <t>美구금 한국인 귀국편 출발</t>
  </si>
  <si>
    <t>1.마래푸 폭행 입주민 인터뷰(양정진)
2.국제부 '지금왜' 사옥 촬영(강나윤)</t>
  </si>
  <si>
    <t>김건희 특검, 이기훈 삼부토건 부회장 압송 포토라인</t>
  </si>
  <si>
    <t>1.제조AX 얼라이언스 출범식
2.우원식 의장 뉴스룸 출연sk</t>
  </si>
  <si>
    <t>1.제21대 대통령 취임 기념우표 판매(박소연)
2.마래푸 입대의 관련 스케치 및 인터뷰(양정진)</t>
  </si>
  <si>
    <t>광명 초등생 납치 미수 10대 남학생 영장실질심사(배양진)</t>
  </si>
  <si>
    <t>1.kt 피해 관련 김용대 카이스트 교수 인터뷰(임지수)
2.홍명보호 축구 대표팀 귀국(홍지용)</t>
  </si>
  <si>
    <t>1.홍은초 등굣길 인터뷰(임예은)
2.호신용품 업체 스케치 및 대표 인터뷰(임예은)</t>
  </si>
  <si>
    <t>1.영등포 성매매 집결지 현장취재(김산)
2.케데헌 뱃지sk(이나리PD)</t>
  </si>
  <si>
    <t>1.마포서 사채조직 검거 브리핑(양정진)
2.초등생 약취유인미수 송천초(오원석)</t>
  </si>
  <si>
    <t>(시청)김건희 특검 종편풀2</t>
  </si>
  <si>
    <t>인천 갯벌 실종 경찰관 수색(양빈현)</t>
  </si>
  <si>
    <t>KT소액결제 해킹 기자회견(박소연)</t>
  </si>
  <si>
    <t>1.출근길 성수역 혼잡도 스케치(송혜수)
2.성동구청장 인터뷰(송혜수)</t>
  </si>
  <si>
    <t>1.(밀착) 외국인 고시원(정희윤)
2.코스피 종가(정재우)</t>
  </si>
  <si>
    <t>미국 구금 인원 전세기 한국 도착-종편풀1</t>
  </si>
  <si>
    <t>1.순직 해병 빈소 취재(양빈현)
2.코스피 종가 및 전문가 인터뷰(정아람)</t>
  </si>
  <si>
    <t>1.인천공항세관 브리핑(정아람)
2.미국 구금 인원 전세기 한국 도착-종편풀2</t>
  </si>
  <si>
    <t>1.KT유심교체 현장(임지수)
2.뉴스룸MNG-인천공항(조보경)</t>
  </si>
  <si>
    <t>구보 중 숨진 육군 일병 빈소취재(김산)</t>
  </si>
  <si>
    <t>미국 구금 인원 전세기 한국 도착(임지은)</t>
  </si>
  <si>
    <t>뉴스룸MNG-명동 반중집회 제한통고(김영민)</t>
  </si>
  <si>
    <t>미국 구금 인원 전세기 한국 도착(전다빈)</t>
  </si>
  <si>
    <t>아이콘매치 주요 선수 입국 일정</t>
  </si>
  <si>
    <t>배경훈 과기부장관 기자간담회(박소연)</t>
  </si>
  <si>
    <t>서초(내란,채상병) 특검 주말 대기2</t>
  </si>
  <si>
    <t>서초(내란,채상병) 특검 주말 대기1</t>
  </si>
  <si>
    <t>넥슨 아이콘매치 미디어데이, 이벤트매치</t>
  </si>
  <si>
    <t>넥슨 아이콘매치 본 경기, 미디어 브리핑</t>
  </si>
  <si>
    <t>부산 당출 / 국민의힘 당대표 일정</t>
  </si>
  <si>
    <t>13:00 전국전공의노동조합 출범식 (정책/이희령)</t>
  </si>
  <si>
    <t>조국혁신당 비대위 인선 보도자료 문서 SK</t>
  </si>
  <si>
    <t>박근형 배우 공연 리허설 촬영(강나현)</t>
  </si>
  <si>
    <t>남부지법 패스트트랙 결심공판(김산)</t>
  </si>
  <si>
    <t>방시혁 하이브 의장 경찰 소환조사 귀가POOL</t>
  </si>
  <si>
    <t>인천 순직해경 발견 드론업체(김산)</t>
  </si>
  <si>
    <t>1.켄 리우 작가 첫 내한 간담회(강나현)
2.증시 종가</t>
  </si>
  <si>
    <t>법조일정</t>
  </si>
  <si>
    <t>시각장애 대학생 동행취재(춘천당출, 박상욱)</t>
  </si>
  <si>
    <t>출근길 성수역 스케치 및 시민 인터뷰(송혜수)</t>
  </si>
  <si>
    <t>1.여한구 통상교섭본부장 관세협상 방미(박소연)
2.인권위노조 안창호 위원장 진정접수(임지은)</t>
  </si>
  <si>
    <t>경기도 산림환경연구원 연구사 인터뷰(임예은)</t>
  </si>
  <si>
    <t>순직 해경 고 이재석 경사 현충원 안장(양빈현)</t>
  </si>
  <si>
    <t>1.kt 소비자 피해 기자회견(정아람)
2.추석 성수품 물가 점검(임지수)</t>
  </si>
  <si>
    <t>1.명동 극우집회(김영민)
2.금융지주회장 간담회(정아람)</t>
  </si>
  <si>
    <t>순직 해경 고 이재석 경사 관련 입장 발표(양빈현)</t>
  </si>
  <si>
    <t>필리프 헤레베허 내한 보도국 오픈 리허설(강나현)</t>
  </si>
  <si>
    <t>지주택 비리 관련 공무원 인터뷰(정아람)</t>
  </si>
  <si>
    <r>
      <rPr>
        <rFont val="Malgun Gothic"/>
        <color rgb="FFFF0000"/>
        <sz val="10.0"/>
      </rPr>
      <t xml:space="preserve">*자발적 날씨 스케치
</t>
    </r>
    <r>
      <rPr>
        <rFont val="Malgun Gothic"/>
        <color theme="1"/>
        <sz val="11.0"/>
      </rPr>
      <t>김건희 특검 종편풀1</t>
    </r>
  </si>
  <si>
    <t>경기도 아이가치 픽업 돌봄서비스 현장방문(배양진)</t>
  </si>
  <si>
    <t>식약처 무허가 녹용 브리핑(공다솜)</t>
  </si>
  <si>
    <t>1.김건희 특검 종편풀2
2.뉴스룸MNG-지법(김혜리)</t>
  </si>
  <si>
    <t>학교폭력 관련 변호사 인터뷰(박상욱)</t>
  </si>
  <si>
    <t>1.제2회 K리그 명예의 전당 헌액식(홍지용)
2.부산국제영화제(강나현)16~19출발</t>
  </si>
  <si>
    <t>영등포 성매매 집결지 야간 현장취재(김산)</t>
  </si>
  <si>
    <t>지금 왜_회사 내 스탠드업(최수연)</t>
  </si>
  <si>
    <t>가평 잣 농가 취재(임예은)</t>
  </si>
  <si>
    <t>권성동 영장실질심사 후 서울구치소 결과대기 종편 풀</t>
  </si>
  <si>
    <t>금융감독원장, 여전사 CEO 간담회(정아람)</t>
  </si>
  <si>
    <t>팩트체크 시민 인터뷰(김혜미)</t>
  </si>
  <si>
    <t>1.중앙포럼 취재(최연수)
2.용인 인형뽑기 잠입취재(이희령)</t>
  </si>
  <si>
    <t>1.김건희 특검 기자연결(이자연)
2.한학자 소환조사 후 퇴장</t>
  </si>
  <si>
    <t>1.통일교 한학자 소환 전 천원궁 스케치 스케치(김영민)
2.날씨 스케치</t>
  </si>
  <si>
    <t>채상병 특검1</t>
  </si>
  <si>
    <t>1.한강버스 취항식 취재
2.홍대사고현장 스케치</t>
  </si>
  <si>
    <t>1.대법원 기자연결(여도현)
2.이종섭 소환 퇴장
3.김상민 구속심사 대기</t>
  </si>
  <si>
    <t>1.한학자 소환 김건희 특검 입장
2.위성락 국가안보실장 간담회(최규진)</t>
  </si>
  <si>
    <t>뉴스룸MNG-대림역 혐중 집회 기자연결(임지은)</t>
  </si>
  <si>
    <t>부산국제영화제(강나현)
16~19</t>
  </si>
  <si>
    <t>1.경실련 기자회견(정아람x)
2.한국시각장애인가족협회 이사장 인터뷰(박상욱)</t>
  </si>
  <si>
    <t>1.조현 외교장관 방중 도어스테핑(윤샘이나)
2.서울역 매표소 스케치(이상화)
3.김장환 목사 뻗치기(김민관)</t>
  </si>
  <si>
    <r>
      <rPr>
        <rFont val="Malgun Gothic"/>
        <color rgb="FFFF0000"/>
        <sz val="11.0"/>
      </rPr>
      <t>*자발적 날씨 스케치</t>
    </r>
    <r>
      <rPr>
        <rFont val="Malgun Gothic"/>
        <color rgb="FF000000"/>
        <sz val="11.0"/>
      </rPr>
      <t>1.코레일 추석예매 페이지 먹통(김민)
2.멕시코 수입관세 인상 계획 관련 민관합동회의
3.2026 KBO 신인 드래프트 (채승기x)</t>
    </r>
  </si>
  <si>
    <r>
      <rPr>
        <rFont val="Malgun Gothic"/>
        <color rgb="FFFF0000"/>
        <sz val="11.0"/>
      </rPr>
      <t>*자발적 날씨 스케치</t>
    </r>
    <r>
      <rPr>
        <rFont val="Malgun Gothic"/>
        <color rgb="FFFF0000"/>
        <sz val="11.0"/>
      </rPr>
      <t xml:space="preserve">
</t>
    </r>
    <r>
      <rPr>
        <rFont val="Malgun Gothic"/>
        <color theme="1"/>
        <sz val="11.0"/>
      </rPr>
      <t>1.통일교 한학자 소환 전 천원궁 스케치(김영민)
2.서민금융 제도 이용자 인터뷰</t>
    </r>
  </si>
  <si>
    <r>
      <rPr>
        <rFont val="Malgun Gothic"/>
        <color rgb="FFFF0000"/>
        <sz val="11.0"/>
      </rPr>
      <t>*자발적 날씨 스케치</t>
    </r>
    <r>
      <rPr>
        <rFont val="Malgun Gothic"/>
        <color rgb="FFFF0000"/>
        <sz val="11.0"/>
      </rPr>
      <t xml:space="preserve">
</t>
    </r>
    <r>
      <rPr>
        <rFont val="Malgun Gothic"/>
        <color theme="1"/>
        <sz val="11.0"/>
      </rPr>
      <t xml:space="preserve">1.(시청)한학자 소환 김건희 특검 부감
2.대림역 혐중시위 경찰 제한 취재(임지은)
</t>
    </r>
  </si>
  <si>
    <t>채상병 특검2</t>
  </si>
  <si>
    <t>반려견 헌혈센터 취재(김재현)</t>
  </si>
  <si>
    <t>중앙포럼 취재(채승기)</t>
  </si>
  <si>
    <t>KT 소액결제 피해 관련 기자 브리핑(박준우)</t>
  </si>
  <si>
    <t>KT소액결제 해킹 피의자 구속 영장실질심사(배양진)</t>
  </si>
  <si>
    <t>롯데카드 해킹 사고 브리핑(이상화)</t>
  </si>
  <si>
    <t>1.지금왜 스탠덥(최수연)
2.테니스 코리아오픈 관련 현안 브리핑(오선민)</t>
  </si>
  <si>
    <t>1.인형뽑기 도박 관련 스케치(이희령)
2.강서구 환경미화원 끼임사고(김휘란)</t>
  </si>
  <si>
    <t>우상혁 귀국(홍지용)</t>
  </si>
  <si>
    <t>스노보드 이채운 인터뷰(이예원)</t>
  </si>
  <si>
    <t>잠실 한강버스 탑승 취재(오원석)</t>
  </si>
  <si>
    <t>1.금감원 비대위 정부조직 개편 반대 시위(이상화)
2.국회 박물관 중계기 스케치(임지수)</t>
  </si>
  <si>
    <t>문서 스케치(임지수)</t>
  </si>
  <si>
    <t>롯데카드 고객센터 스케치(이상화)</t>
  </si>
  <si>
    <t>밀착 크로징(정희윤)</t>
  </si>
  <si>
    <t>간호간병통합서비스 차별 관련 인터뷰(성화선)</t>
  </si>
  <si>
    <t>케데헌 열풍 힘입어 옛한글 디자인 출시 봇물(박소연)</t>
  </si>
  <si>
    <t>여한구 통상교섭본부장 입국(박준우)</t>
  </si>
  <si>
    <t>대전-구보 중 숨진 육군 일병 유족취재(김산)</t>
  </si>
  <si>
    <t>아이폰 17 판매 시작+애플 부사장 인터뷰(박소연)</t>
  </si>
  <si>
    <t>지역주택조합 비리(정아람)</t>
  </si>
  <si>
    <t>1.생산적 금융 대전환 회의(정아람)
2.전통시장 스케치 및 시민 인터뷰(박상욱)</t>
  </si>
  <si>
    <t>진주-문형배 북콘서트(강나현)</t>
  </si>
  <si>
    <t>순방준비</t>
  </si>
  <si>
    <t>심우정 전 검찰총장 내란특검 소환조사(여도현)</t>
  </si>
  <si>
    <t>남양주 화재현장 스케치</t>
  </si>
  <si>
    <t>심우정 전 검찰총장 내란특검 소환조사 및 기자연결(여도현)</t>
  </si>
  <si>
    <t>김건희 특검 주말대기</t>
  </si>
  <si>
    <t>(지법등록)
1.채상병 특검 2
2.불법파견/부당해고 위기 노동자 인터뷰(박상욱)</t>
  </si>
  <si>
    <t xml:space="preserve">서울시마을버스운송조합 기자 설명회(임지은) </t>
  </si>
  <si>
    <t>경기도, 대중국 국제교류를 위한 방문(배양진)22~25</t>
  </si>
  <si>
    <t>1김교흥 의원 인터뷰(김필준)
2변호사 인터뷰(정아람)</t>
  </si>
  <si>
    <t>NC AI 몬스터사운드, 패션 관련 ai 기술 시연(임지수)</t>
  </si>
  <si>
    <t>롯데카드 고객 소송 카페 스케치(황현우)</t>
  </si>
  <si>
    <t>1.피겨 김현겸 입국(이예원)
2.배드민턴 안세영 입국(오선민)</t>
  </si>
  <si>
    <t>(지법등록)
실손보험 간편청구 관련 한의사 인터뷰(공다솜)</t>
  </si>
  <si>
    <t>(시청)언덕길 거주 교통약자 마을버스 승객 인터뷰(오원석)</t>
  </si>
  <si>
    <t>03:30 심우정 소환조사 후 귀가</t>
  </si>
  <si>
    <t>롯데카드 해킹사태 거리인터뷰(전다빈)</t>
  </si>
  <si>
    <t>태릉국제사격장 탄약고 취재(이예원)</t>
  </si>
  <si>
    <t>채상병특검1</t>
  </si>
  <si>
    <t>(지법등록)1.뉴스룸MNG-중앙지법(김혜리)
2.한학자 영장실질심사 결과대기</t>
  </si>
  <si>
    <t>1.한학자 소환 현장상황
2.태국 파타야 사기조직 검거 관련 브리핑(임예은)
3.대왕고래 쪽박 관련 이사회 회의록(박소연)</t>
  </si>
  <si>
    <t>(지법등록)고 이재석 경사 유족 언론 미팅(양빈현)</t>
  </si>
  <si>
    <t>서울의료원 인터뷰(공다솜)</t>
  </si>
  <si>
    <t>불공정거래조사TF 조사결과 브리핑(전다빈)</t>
  </si>
  <si>
    <t>유홍준 관장 기자간담회(강나현)</t>
  </si>
  <si>
    <t>1.인수위 비공식 사무실 스케치(양빈현)
2.DI동일 외경 스케치(전다빈)</t>
  </si>
  <si>
    <t>카카오 AI 서비스 발표(임지수)</t>
  </si>
  <si>
    <t>타이레놀 관련 산부인과 인터뷰(성화선)</t>
  </si>
  <si>
    <t>(시청)마을버스 환승제 탈퇴 관련 약식브리핑</t>
  </si>
  <si>
    <t>1.건설공제회 이사장 갑질(이희정)
2.액트지오 관련 문서 스케치(박소연)
3.실손24 앱촬영(공다솜)</t>
  </si>
  <si>
    <t>프랑스-기후변화 (임예은)23~29</t>
  </si>
  <si>
    <t>지금 왜(백민경)</t>
  </si>
  <si>
    <t>1.여한구, 그리어 USTR 대표 면담 말레이시아 출국(박소연)
2.성매매 건물주 피의자 진술조서(김산)</t>
  </si>
  <si>
    <t>전광훈 딸 자택 압수수색(양정진)</t>
  </si>
  <si>
    <t>1.지주택 비리 관련 영등포경찰서 고발장 접수(정아람)
2.창전동319 지주택 외경(정아람)</t>
  </si>
  <si>
    <t>박성재 전 법무부장관 소환조사 후 귀가(신진)</t>
  </si>
  <si>
    <t>금융노조 26일 총파업 예고 기자회견(전다빈)</t>
  </si>
  <si>
    <t>경찰 황당실수 관련 인터뷰(이자연)</t>
  </si>
  <si>
    <t>경주apec주요시설공개(조보경)</t>
  </si>
  <si>
    <t>체코-U20월드컵(홍지용)24~</t>
  </si>
  <si>
    <t>1.김건희 특검 종편풀1
2.날씨스케치-광화문</t>
  </si>
  <si>
    <t>회계보고서 스케치(이자연)</t>
  </si>
  <si>
    <t>스노보드 하프파이프 최가온 인터뷰(오선민)</t>
  </si>
  <si>
    <t>USDC 발행사 서클 인터뷰(박준우)</t>
  </si>
  <si>
    <t>공수처, 심우정 딸 채용 특혜 관련 압수수색(정수아)</t>
  </si>
  <si>
    <t>(지법등록)1.김건희 특검 종편풀2
2.뉴스룸MNG-김건희특검(박현주)</t>
  </si>
  <si>
    <t>서울대병원 노조 파업 출정식(성화선)</t>
  </si>
  <si>
    <t>1.김건희 특검 종편풀1
2.지주택 비리 관련 회계사 인터뷰(정아람)</t>
  </si>
  <si>
    <t>서울 아파트 외경 및 부동산들 인터뷰(전다빈)</t>
  </si>
  <si>
    <t>1.교제폭력 유족 인터뷰 (조해언)
2.유기동물보호소(성화선)</t>
  </si>
  <si>
    <t>1.문서 스케치(김휘란)
2.뉴스룸MNG-국회(강희연)</t>
  </si>
  <si>
    <t>태권도 사범 초등생 성폭행(김영민)</t>
  </si>
  <si>
    <r>
      <rPr>
        <rFont val="Malgun Gothic"/>
        <color theme="1"/>
        <sz val="11.0"/>
      </rPr>
      <t xml:space="preserve">1.삼성동 비자 전문가 인터뷰(윤재영)
인터뷰 일정(박상욱) </t>
    </r>
    <r>
      <rPr>
        <rFont val="Malgun Gothic"/>
        <color rgb="FFFF0000"/>
        <sz val="11.0"/>
      </rPr>
      <t>kill</t>
    </r>
  </si>
  <si>
    <t>(시청)1.고리 2호기 운전 심사 원안위회의 (박소연X)
2서울시 자율주행 셔틀버스(김재현)</t>
  </si>
  <si>
    <t>밀착 해루객 취재(이은진)</t>
  </si>
  <si>
    <t>세종 소방본부 동행취재(김필준)</t>
  </si>
  <si>
    <t>육군 일병 사망사고 달리기 코스 현장취재(김산)</t>
  </si>
  <si>
    <t>1.대림역 혐중집회-맞불 기자회견(양빈현)
2.뉴스룸MNG-대림역(양빈현)</t>
  </si>
  <si>
    <t>1.김건희 특검 종편풀2
2.뉴스룸MNG-김건희 특검</t>
  </si>
  <si>
    <t>배드민턴 코리아오픈(오선민)</t>
  </si>
  <si>
    <t>1.샤오미17 신제품 출시+2026년 로드맵 발표(박소연)
2.이랜드 및 하도급사 스케치(박상욱x)</t>
  </si>
  <si>
    <t>(지법등록)아리셀 유족 법률대리인 인터뷰(송혜수)</t>
  </si>
  <si>
    <t>(지법등록)전유성 빈소(강나현)</t>
  </si>
  <si>
    <t>(지법등록)석유공사의 법률자문 의뢰서(박소연)</t>
  </si>
  <si>
    <t>(지법등록)1.지법 상황대기
(시청)2.서울시-마을버스조합, 오세훈 시장과 긴급 면담</t>
  </si>
  <si>
    <t>(지법등록)(여의도) 불꽃축제 현장 천태만상(이주원)</t>
  </si>
  <si>
    <t>금융노조 총파업 집회 취재(이상화)</t>
  </si>
  <si>
    <t>1.한국거래소 시황판 스케치(박준우)
2.뉴스룸MNG-국회(함민정)</t>
  </si>
  <si>
    <t>출근길 이웃여성 납치 미수 사건(김영민)</t>
  </si>
  <si>
    <t>카톡 업뎃 관련 시민 인터뷰(정아람)</t>
  </si>
  <si>
    <t>청사일정</t>
  </si>
  <si>
    <t>1.서초(내란,채상병) 특검 주말대기
2.국정자원 화재 관련/ 우체국(이지은)</t>
  </si>
  <si>
    <t>양주 가스폭발사고(심가은)</t>
  </si>
  <si>
    <t>뉴스룸MNG-국회 문진석 민주당 운영위 간사</t>
  </si>
  <si>
    <t>뉴스룸MNG-불꽃축제(윤정주)</t>
  </si>
  <si>
    <t>1.민원24앱 먹통(임지수)
2.수기 주차단속(임지수)</t>
  </si>
  <si>
    <t>날씨스케치-서초</t>
  </si>
  <si>
    <t>무인민원발권기 먹통 SK, 시민인터뷰(성화선)</t>
  </si>
  <si>
    <t>문서(최규진)</t>
  </si>
  <si>
    <t>1.국정자원 화재 관련 고양시 화장장 취재(임지은)
2.특검 수사 관련 스탠드업(김영민)
3.공공기관장 외유성 출장 논란1(이희정)</t>
  </si>
  <si>
    <t>이진숙 입장 발표(노진호)</t>
  </si>
  <si>
    <t>김건희특검 종편풀1</t>
  </si>
  <si>
    <t>프로농구 개막 미디어데이(온누리)</t>
  </si>
  <si>
    <t>울릉도-해양오염(박상욱)</t>
  </si>
  <si>
    <t>(시청)1.은행장 간담회 개최(정아람)
2.김건희특검 종편풀2
3.뉴스룸MNG-김건희 특검(김지윤)</t>
  </si>
  <si>
    <t>(지법등록)1.유커면세점 방문(전다빈)
2.유커 명동 거리와 상인 인터뷰(전다빈)</t>
  </si>
  <si>
    <r>
      <rPr>
        <rFont val="Malgun Gothic"/>
        <color theme="1"/>
        <sz val="11.0"/>
      </rPr>
      <t>(지법등록)1.카카오톡 불만 폭주(박준우)
2.경의선 철도부지 복원사업 임금체불(오원석)</t>
    </r>
    <r>
      <rPr>
        <rFont val="Malgun Gothic"/>
        <color rgb="FFFF0000"/>
        <sz val="11.0"/>
      </rPr>
      <t>kill</t>
    </r>
    <r>
      <rPr>
        <rFont val="Malgun Gothic"/>
        <color theme="1"/>
        <sz val="11.0"/>
      </rPr>
      <t xml:space="preserve">
3.자생한방병원 홈페이지sk(이자연)</t>
    </r>
  </si>
  <si>
    <t>기후변화 관련  일본/훗카이도(정해성)
9/29-10/3</t>
  </si>
  <si>
    <t>뉴스룸MNG-국회(류정화)</t>
  </si>
  <si>
    <t>임실-거짓기부금영수증 발급 종교단체(강희연)</t>
  </si>
  <si>
    <t>(지법등록)1.서울경찰청장 취임식(이서준)
2.금융권 마비 취재(정아람)
3.카톡 업데이트 관련 초등학생 학부모 인터뷰(이희령)
4.공공기관장 외유성 출장 논란2(이희정)</t>
  </si>
  <si>
    <t>1.주민센터 업무 차질(오원석)
2.금융소비자보호 강화를 위한 임직원 결의대회(정아람)</t>
  </si>
  <si>
    <t>철도 시설관리 작업자 인터뷰(황예린)</t>
  </si>
  <si>
    <t>경기도 버스파업 관련 조정회의 및 피켓선전전</t>
  </si>
  <si>
    <t>1.국감-국회의원 인터뷰 2+ 연구원 인터뷰(정아람)
2.공공기관장 외유출장-국회의원 인터뷰(이희정)</t>
  </si>
  <si>
    <t>1.철도 대피로 안전 관련 int(황예린)
2.김포 아파트 외경(정아람x)</t>
  </si>
  <si>
    <t>이진숙 위원장 마지막 퇴근 스케치 종편풀(노진호x)</t>
  </si>
  <si>
    <t>(시청)김건희 특검 종편풀</t>
  </si>
  <si>
    <r>
      <rPr>
        <rFont val="Malgun Gothic"/>
        <color theme="1"/>
        <sz val="11.0"/>
      </rPr>
      <t>1.국세청장-중기중앙회 간담회 스케치 및 싱크(김민x)
2.기후변화 관련 교수인터뷰(심가은)</t>
    </r>
    <r>
      <rPr>
        <rFont val="Malgun Gothic"/>
        <color rgb="FFFF0000"/>
        <sz val="11.0"/>
      </rPr>
      <t>kill</t>
    </r>
  </si>
  <si>
    <t>정신질환자 가족 인터뷰(김필준)</t>
  </si>
  <si>
    <t>이정후 귀국(전영희)</t>
  </si>
  <si>
    <t>김천-온라인 급증한 유통업계 샤인머스캣 농가(박소연)</t>
  </si>
  <si>
    <t>(오전4시간 민방위)문서 스케치(임지수)</t>
  </si>
  <si>
    <t>1.채상병 특검 심우정 전 검찰총장 소환조사
2.서울대 SPC 허영인 공로상 박탈 촉구 기자회견(김휘란)</t>
  </si>
  <si>
    <t>1.방송기자상 수상(김영민)
2.[이가혁 라이브] 서영교 의원 MNG</t>
  </si>
  <si>
    <t>(오전4시간 민방위)및 오후 반차</t>
  </si>
  <si>
    <t>해외출장</t>
  </si>
  <si>
    <t>2026 WBC 연습경기 및 1라운드</t>
  </si>
  <si>
    <t>2026 MWC 취재</t>
  </si>
  <si>
    <t>일반</t>
  </si>
  <si>
    <t>3.1절 날씨 스케치</t>
  </si>
  <si>
    <t>데스크</t>
  </si>
  <si>
    <t>청와대</t>
  </si>
  <si>
    <t>이란 사태 관련 문신학 산업부 차관 주재 비상 점검회의</t>
  </si>
  <si>
    <t>3.1 집회 곳곳 스케치</t>
  </si>
  <si>
    <t>북중미월드컵 기획 인터뷰</t>
  </si>
  <si>
    <t>서울 곳곳 봄비 스케치</t>
  </si>
  <si>
    <t>쿠팡 새벽배송 관련, 택배노조 인터뷰(박상욱)</t>
  </si>
  <si>
    <t>이더리움 비트코인 모니터 분석하는 스케치(임지은)</t>
  </si>
  <si>
    <t>청와대 싱가포르 순방</t>
  </si>
  <si>
    <t>철야</t>
  </si>
  <si>
    <t>마줄스 감독 밎 농구 대표팀 선수단 스케치, 인터뷰(홍지용)</t>
  </si>
  <si>
    <t>2026 북중미 월드컵 기획</t>
  </si>
  <si>
    <t>WBC 출장</t>
  </si>
  <si>
    <t>MWC 출장</t>
  </si>
  <si>
    <t>개기월식 뉴스룸 MNG (하혜빈)</t>
  </si>
  <si>
    <t>수원근무</t>
  </si>
  <si>
    <t>청와대 수신</t>
  </si>
  <si>
    <t>반려동물 동반 식당, 카페 (송승환)</t>
  </si>
  <si>
    <t>하나은행 딜링룸 (정아람)</t>
  </si>
  <si>
    <t>김경, 강선우 영장실질심사 후 귀가 대기</t>
  </si>
  <si>
    <t>눈내린 북한산 sk (김영민)</t>
  </si>
  <si>
    <t>기획처 장관 후보자 출근길 (정아람)</t>
  </si>
  <si>
    <t>최가온-신지아 특별장학금 수여식 (전영희)</t>
  </si>
  <si>
    <t>미국이란 사태 주식시장</t>
  </si>
  <si>
    <t>2026 월드컵 기획 (오선민)</t>
  </si>
  <si>
    <t>1. 김용재 식약처 차장, 반려동물 동반출입 음식점 현장방문
2. 애견카페 스케치, 인터뷰(송승환)</t>
  </si>
  <si>
    <t>영묵</t>
  </si>
  <si>
    <t>EL교육</t>
  </si>
  <si>
    <t>중앙선관위 인터뷰 취재 (함민정)</t>
  </si>
  <si>
    <t>1. 이물질 코로나백신 진상규명 기자회견
2. 코스피관련 전문가인터뷰와 종가 취재</t>
  </si>
  <si>
    <t>해상 운임 보험 관련 인터뷰(박준우)</t>
  </si>
  <si>
    <t>쿠팡 영업이익 97% 줄 때 고삐 당기는 경쟁 유통사(박소연)</t>
  </si>
  <si>
    <t>1. 현직경찰 음란행위 단속된 사우나(김산)
2. 주유소 스케치 및 인터뷰(임지수)</t>
  </si>
  <si>
    <t>국회지원</t>
  </si>
  <si>
    <t>인천 청라 지게차 사고 현장 스케치(박호연)</t>
  </si>
  <si>
    <t>국중박x 블핑 협업 프로젝트 촬영(강나현)</t>
  </si>
  <si>
    <t>1. 스쿨존 음주운전 등 단속현장 동행취재
2. 구글 코리아 규탄 및 투쟁 선포 기자회견</t>
  </si>
  <si>
    <t>하나은행 딜링룸 환율 스케치</t>
  </si>
  <si>
    <t>밀라노</t>
  </si>
  <si>
    <t>2026 밀라노동계패럴림픽</t>
  </si>
  <si>
    <t>출장복귀</t>
  </si>
  <si>
    <t>법조</t>
  </si>
  <si>
    <t>검찰업무</t>
  </si>
  <si>
    <t>이란 배구대표팀 이도희 감독 귀국 스케치 및 인터뷰(전영희)</t>
  </si>
  <si>
    <t>왕과 사는 남자 천만 관련 극장 취재(강나현)</t>
  </si>
  <si>
    <t>1. 사채업체에 개인정보 유출한 직원 아버지 취재(김서하)
2. 사채업체에 개인정보 유출된 가게 사장 인터뷰(김서하)</t>
  </si>
  <si>
    <t>이란 사태에 금값 된 금값...쿠팡에서 산 18K 귀걸이 알고보니 '고철' (박소연)</t>
  </si>
  <si>
    <t>강제처분 관련 소방관 인터뷰(윤정환)</t>
  </si>
  <si>
    <t>주유소 스케치(임지수)</t>
  </si>
  <si>
    <t>서울교육청 신청사 사전공개 행사</t>
  </si>
  <si>
    <t>1. 김병욱 전 비서관 성남시장 출마 선언
2. 물가 상승 관련 자영업자 인터뷰</t>
  </si>
  <si>
    <t>1. 코스피.코스닥 종가
2. 코스피 관련 전문가인터뷰(전다빈)</t>
  </si>
  <si>
    <t>주한 이란대사관 기자회견(신진)</t>
  </si>
  <si>
    <t>김정관 산업통상부 장관의 캐나다 출국</t>
  </si>
  <si>
    <t>인천 영아 방치 사망 사건(박호연)</t>
  </si>
  <si>
    <t>통상업무</t>
  </si>
  <si>
    <t>복귀</t>
  </si>
  <si>
    <t>사채업자 관련 전화 연출샷, 문자 연출샷</t>
  </si>
  <si>
    <t>희망브리지 전국재해구호협회 (송승환)</t>
  </si>
  <si>
    <t>배우 박신양 전시+책출간 간담회 (강나현)</t>
  </si>
  <si>
    <t>주한미군 미사일 이동상황 취재(김안수)</t>
  </si>
  <si>
    <t>배우 신구 연극 리허설 촬영 (강나현)</t>
  </si>
  <si>
    <t>1. 개인정보 유출 관련 문서 sk
2. CMA CGM이란 프랑스 선사 문서sk</t>
  </si>
  <si>
    <t>두바이 귀국 탑승객 취재(이예원)</t>
  </si>
  <si>
    <t>한국영상기자협회 이달의영상기자상 시상식(이상엽)</t>
  </si>
  <si>
    <t>1. 코스피 전문가 인터뷰(전다빈)
2. 코스피 코스닥 환율 종가</t>
  </si>
  <si>
    <t>경기도 의왕시 취재 (임지은)</t>
  </si>
  <si>
    <t>부산 태아 사망사건</t>
  </si>
  <si>
    <t>밀라노 패럴림픽</t>
  </si>
  <si>
    <t>서울 휘발유값 취재 (박소연)</t>
  </si>
  <si>
    <t>러너블 마라톤</t>
  </si>
  <si>
    <t>홍</t>
  </si>
  <si>
    <t>주유소 기름값 관련 르포</t>
  </si>
  <si>
    <t>한동훈 부산 방문</t>
  </si>
  <si>
    <t>철야 퇴근</t>
  </si>
  <si>
    <t>이경</t>
  </si>
  <si>
    <t>러너블 마라톤 취재 (전영희)</t>
  </si>
  <si>
    <t>정부 첫 전세기 인천국제공항 도착 (신진)</t>
  </si>
  <si>
    <t>주유소취재(정아람)</t>
  </si>
  <si>
    <t>날씨SK
인천공항 김정관 장관 귀국 일정 (정아람)</t>
  </si>
  <si>
    <t>밀라노동계패럴림픽</t>
  </si>
  <si>
    <t>오산공군기지 외경</t>
  </si>
  <si>
    <t>스노보드 최가온 미디어데이</t>
  </si>
  <si>
    <t>뉴스룸-MNG-국힘의총</t>
  </si>
  <si>
    <t>주유소 유가취재</t>
  </si>
  <si>
    <t>박주민 의원이 마술하는 영상 화면</t>
  </si>
  <si>
    <t>통일교 청산인 공지 일본어 문서 스케치</t>
  </si>
  <si>
    <t>공공운수노조 기자회견</t>
  </si>
  <si>
    <t>가디언지 등 원유 가격 영상 포탈 캡처</t>
  </si>
  <si>
    <t>한국거래소 종가 스케치</t>
  </si>
  <si>
    <t>호르무즈 CG 의뢰용 화면촬영</t>
  </si>
  <si>
    <t>하나은행 딜링룸</t>
  </si>
  <si>
    <t>김정관 주재 석유 업계와 국내 시장 점검 회의</t>
  </si>
  <si>
    <t>주유소 취재(박소연)</t>
  </si>
  <si>
    <t>수원 오로라라운지 취재 (양정진)
전공책 안팔리는 대학서점 취재 (공다솜)</t>
  </si>
  <si>
    <t>이태원특조위 청문회 출석 요청 서울구치소 방문(김서하)</t>
  </si>
  <si>
    <t>에코드라이빙 시연 및 인터뷰 (박준우)</t>
  </si>
  <si>
    <t>이재룡 강남서 퇴장 (조유리)</t>
  </si>
  <si>
    <t>중동전쟁관련(이집트_오원석)</t>
  </si>
  <si>
    <t>코스피 코스닥 종가
주식투자자 거리인터뷰 (전다빈)</t>
  </si>
  <si>
    <t>반포대교 약물운전 공범 영장실질심사(김영민)</t>
  </si>
  <si>
    <t>안세영 등 배드민턴 대표팀 전영오픈 귀국(오선민)</t>
  </si>
  <si>
    <t>인천세관 담배 밀수출 일당 검거 브리핑</t>
  </si>
  <si>
    <t>한국제약바이오협회 기자회견(김도훈)</t>
  </si>
  <si>
    <t>여의도 파크원 건물 외경 sk (이자연)</t>
  </si>
  <si>
    <t>캠퍼스플레이션 아침밥 취재(공다솜)</t>
  </si>
  <si>
    <t>김윤신 작가 전시 호암미술관 프리뷰 (강나현)</t>
  </si>
  <si>
    <t>김병기 광수단 3차 출석(송혜수)</t>
  </si>
  <si>
    <t>중동전쟁</t>
  </si>
  <si>
    <t>잠실 스포츠,마이스 복합공간 조성 기자설명회
대치동 학부모 인터뷰 (송승환)</t>
  </si>
  <si>
    <t>토스뱅크 환전 스케치 (김재현)</t>
  </si>
  <si>
    <t>2026 인터배터리 행사취재 (김도훈)</t>
  </si>
  <si>
    <t>정몽규 대한축구협회장 취임 1주년 기자간담회 (온누리)</t>
  </si>
  <si>
    <t>코스포영남파워 대표이사 취재 (양정진)</t>
  </si>
  <si>
    <t>HMM 본사 부산 이전 반대 선전전 (이희령)</t>
  </si>
  <si>
    <t>대학가 인근 월세 (공다솜)</t>
  </si>
  <si>
    <t>주유소 스케치 (박소연)</t>
  </si>
  <si>
    <t>토스뱅크 외경 스케치 (김재현)</t>
  </si>
  <si>
    <t>2차 종합특검 브리핑 (연지환)</t>
  </si>
  <si>
    <t>김어준 등 서울청 고발 (김휘란)</t>
  </si>
  <si>
    <t>중동 수출업체 취재 (박준우)</t>
  </si>
  <si>
    <t xml:space="preserve">김동연,추미애 경기지사 출마 기자회견
</t>
  </si>
  <si>
    <t>이태원 특조위 청문회</t>
  </si>
  <si>
    <t>세운상가 디카 열풍 취재 (박현주)</t>
  </si>
  <si>
    <t>이집트 출장</t>
  </si>
  <si>
    <t>환율 종가 스케치 (전다빈)</t>
  </si>
  <si>
    <t>이태원 특조위 청문회 1일차
왕사남 커피차 행사 (강나현)</t>
  </si>
  <si>
    <t>이란사태 유가 폭등 대책마련 촉구 긴급회견 (이희령)</t>
  </si>
  <si>
    <t>부산출장복귀</t>
  </si>
  <si>
    <t>남양주 학부모 인터뷰 (송승환)</t>
  </si>
  <si>
    <t>마약 투약범 인터뷰 (김영민)</t>
  </si>
  <si>
    <t>오세훈 시장 특강</t>
  </si>
  <si>
    <t>월드컵비자 인터뷰</t>
  </si>
  <si>
    <t>이태원 특조위 2일차</t>
  </si>
  <si>
    <t>이집트 해외출장 (오원석)</t>
  </si>
  <si>
    <t xml:space="preserve">군인공제회 정재관 입장 </t>
  </si>
  <si>
    <t>강서 미성년자 유인미수 영장실질심사 (박호연)</t>
  </si>
  <si>
    <t>주유소 현장 취재 (전다빈)</t>
  </si>
  <si>
    <t>개포동 아파트 스케치( 부산추가취재)</t>
  </si>
  <si>
    <t>안산 무차별 폭행범 영장실질심사 (김휘란)-킬</t>
  </si>
  <si>
    <t>공보의 부족한 청양군 보건소 취재  (공다솜) (당출)</t>
  </si>
  <si>
    <t>마약 투약자 인터뷰 2건 (김영민)</t>
  </si>
  <si>
    <t>중동 상황 관련 중소기업 소상공인 영향 점검 회의</t>
  </si>
  <si>
    <t>박</t>
  </si>
  <si>
    <t>재</t>
  </si>
  <si>
    <t>뉴스대기</t>
  </si>
  <si>
    <t>사우디에서 중동 교민 태운 군수송기 한국 도착 (조보경)</t>
  </si>
  <si>
    <t>(익일 04시경) WBC대표팀 귀국</t>
  </si>
  <si>
    <t>이탈리아 밀라노 패럴림픽 (이희정)</t>
  </si>
  <si>
    <t>소공동 화재 합동감식 (김서하)</t>
  </si>
  <si>
    <t>하나은행 딜링룸 스케치 및 전문가 인터뷰 (김한결 인턴)</t>
  </si>
  <si>
    <t>종합특검 2차 브리핑 (연지환)</t>
  </si>
  <si>
    <t>아프리카돼지열병 (하혜빈)</t>
  </si>
  <si>
    <t>이</t>
  </si>
  <si>
    <t>1. 검찰일정
2. 윤한홍 압수수색</t>
  </si>
  <si>
    <t>국가유산청 언론설명회 (강나현)</t>
  </si>
  <si>
    <t>중구 소규모 숙박시설 소방안전 특별 점검(윤정환)</t>
  </si>
  <si>
    <t>5.18 왜곡 블로거 엠부시 첫 공판</t>
  </si>
  <si>
    <t>이집트 출장 (오원석)</t>
  </si>
  <si>
    <t>목동 학원가 학생 인터뷰 (송승환)</t>
  </si>
  <si>
    <t>윤한홍 압수수색</t>
  </si>
  <si>
    <t>마약 전문가 인터뷰 (김영민)</t>
  </si>
  <si>
    <t>강북횡단지하고속도로 건설 정책협의회 발족식 (서울시청)</t>
  </si>
  <si>
    <t>문서 스케치 의뢰 (양정진)</t>
  </si>
  <si>
    <t>광화문 bts 공연 준비 상황 (이자연)</t>
  </si>
  <si>
    <t>국방부일정</t>
  </si>
  <si>
    <t>에테르노청담 외경 스케치</t>
  </si>
  <si>
    <t>부동산세 관련 시민 인터뷰(정아람)</t>
  </si>
  <si>
    <t>승</t>
  </si>
  <si>
    <t>이미소 공인노무사 인터뷰(하혜빈)</t>
  </si>
  <si>
    <t>(밀착) BTS 팬 밀착 (정희윤)</t>
  </si>
  <si>
    <t>광화문 bts르포(이자연)</t>
  </si>
  <si>
    <t>명동 외국인 거리 인터뷰(전다빈)</t>
  </si>
  <si>
    <t>이집트출장</t>
  </si>
  <si>
    <t>기장 살해 사건 관련 일산 탄현지구대(강나윤)</t>
  </si>
  <si>
    <t>조계종 스님 오체투지(강나현)</t>
  </si>
  <si>
    <t>쇼트트랙 선수단 귀국(이예원)</t>
  </si>
  <si>
    <t>인천공항세관 마약 적발 브리핑 (김현지)</t>
  </si>
  <si>
    <t>시청대기</t>
  </si>
  <si>
    <t>밀라노 패럴림픽 귀국</t>
  </si>
  <si>
    <t>패럴림픽 선수단 귀국</t>
  </si>
  <si>
    <t>영덕 산불 피해현장 취재일정 (박상욱) 1박 출장</t>
  </si>
  <si>
    <t>1.정례브리핑
2.비닐 판매 업체 스케치 및 인터뷰(인턴)</t>
  </si>
  <si>
    <t>성평등부 1차 촉법소년 공개포험(공다솜)</t>
  </si>
  <si>
    <t>1. JTBC 유니세프 MOU
2. 시장, 가게 상인 인터뷰</t>
  </si>
  <si>
    <t>JTBC 유니세프 MOU</t>
  </si>
  <si>
    <t>(밀착) BTS 팬 밀착(정희윤)</t>
  </si>
  <si>
    <t>식약처 반려동물 음식점 출입 관련 간담회(송승환)</t>
  </si>
  <si>
    <t>성동구청 계약 짬짜미 의혹(정인아)</t>
  </si>
  <si>
    <t>오만</t>
  </si>
  <si>
    <t>가짜 3.3 사업장 관련 사례자 인터뷰 및 해당 기업 외경 촬영(하혜빈)</t>
  </si>
  <si>
    <t>에쓰씨엠생명과학 외경 스케치</t>
  </si>
  <si>
    <t>실뱅 테송 첫 내한 간담회(강나현)</t>
  </si>
  <si>
    <t>BTS 광화문공연 인근 상인 인터뷰+서울청장 현장점검(윤정환)</t>
  </si>
  <si>
    <t>시청</t>
  </si>
  <si>
    <t>연세대학교 청소노동자 인터뷰(이희령)</t>
  </si>
  <si>
    <t>영덕 산불 피해현장 취재일정(박상욱)</t>
  </si>
  <si>
    <t>bts 경찰 현장점검 (이자연)</t>
  </si>
  <si>
    <t>더불어민주당 경기도지사 예비경선 합동토론회 스케치 및 백블</t>
  </si>
  <si>
    <t>구더기 방치 부사관 남편 사건 관련 유족 인터뷰(양정진)</t>
  </si>
  <si>
    <t>원청교섭 거부 대학 시정신청 (이희령)</t>
  </si>
  <si>
    <t>반려동물 동반출입 관련 식약처 브리핑 (이학진)</t>
  </si>
  <si>
    <t>장경태 서울청 수사심의위 (김휘란)</t>
  </si>
  <si>
    <t>오만 출장</t>
  </si>
  <si>
    <t>요양병원 외경</t>
  </si>
  <si>
    <t>스키스노보드협회 선수단 격려 행사 (오선민)</t>
  </si>
  <si>
    <t>부동산 자료화면 모니터 스케치 (김재현)</t>
  </si>
  <si>
    <t>BTS 공연 인근 상인 주민 직장인 인터뷰 (윤정환)</t>
  </si>
  <si>
    <t>문서SK</t>
  </si>
  <si>
    <t>BTS 공연 관련 경복궁 내부 촬영 (강나현)</t>
  </si>
  <si>
    <t>지금 왜 촬영 (백민경)</t>
  </si>
  <si>
    <t>BTS 뮷즈 출시 (강나현)</t>
  </si>
  <si>
    <t>V리그 포스트시즌 미디어데이 (오선민)</t>
  </si>
  <si>
    <t>(밀착) BTS 팬 밀착 클로징 (정희윤)</t>
  </si>
  <si>
    <t>BTS 광화문 공연 관련</t>
  </si>
  <si>
    <t>2026 양궁 국가대표 3차 선발전 (청주)</t>
  </si>
  <si>
    <t>대전화재현장 출장(강나윤)</t>
  </si>
  <si>
    <t>인천공항 bts 팬 입국 sk (김영민)</t>
  </si>
  <si>
    <t>[문체부]BTS 컴백행사 현장점검 (강나현)</t>
  </si>
  <si>
    <t>&lt;26년 북중미월드컵&gt; 공개 시민 간담회 (노진호)</t>
  </si>
  <si>
    <t>BTS 공연 대기업 지원 취재 (박준우)</t>
  </si>
  <si>
    <t>건강보험공단 지사 및 여의도 증권사 스케치 (박호연)</t>
  </si>
  <si>
    <t>BTS 광화문 공연 부감 및 기자연결(김영민) / 오만출장(이희령)</t>
  </si>
  <si>
    <t>BTS 광화문 공연 시작 전 취재</t>
  </si>
  <si>
    <t>오만출장(오원석)</t>
  </si>
  <si>
    <t>BTS 광화문 공연 핫존 내부 및 공연 후 스케치(김영민)</t>
  </si>
  <si>
    <t>BTS 광화문 공연 외곽 POOL취재</t>
  </si>
  <si>
    <t>익 0800</t>
  </si>
  <si>
    <t>BTS 광화문 공연 기자석 취재 및 공연 후 취재(강나현)</t>
  </si>
  <si>
    <t>국회 어린이집 아동학대 피해자 인터뷰(박호연)</t>
  </si>
  <si>
    <t>대전화재현장 출장교대(송혜수)</t>
  </si>
  <si>
    <t>오만 무스카트 출장교대(이희령)</t>
  </si>
  <si>
    <t>오만 출장(오원석)</t>
  </si>
  <si>
    <t>신지아 선수 출국 인터뷰(이희정)</t>
  </si>
  <si>
    <t>홍명보호 축구 대표팀 출국 스케치(홍지용)</t>
  </si>
  <si>
    <t>하나은행 딜링룸 스케치와 전문가 인터뷰(정아람)</t>
  </si>
  <si>
    <t>대전화재 출장(송혜수)</t>
  </si>
  <si>
    <t>오만 출장 교대(이희령)</t>
  </si>
  <si>
    <t>한국거래소 코스피 스케치</t>
  </si>
  <si>
    <t>홍대역 부근 인도 차량 돌진 사고</t>
  </si>
  <si>
    <t>김훈 송치 브리핑 남양주북부경찰서(윤정환)</t>
  </si>
  <si>
    <t>2차 종합특검 브리핑(연지환)</t>
  </si>
  <si>
    <t>국회어린이집 아동학대 관련 문서 스케치</t>
  </si>
  <si>
    <t>축구대표팀 유럽원정 A매치 출장(온누리)</t>
  </si>
  <si>
    <t>유가 담합 의혹 정유사 4곳 검찰 압수수색</t>
  </si>
  <si>
    <t>시처일정</t>
  </si>
  <si>
    <t>기름값 올린 주유소 촬영(박소연)</t>
  </si>
  <si>
    <t>라면 포장 취재(박준우)</t>
  </si>
  <si>
    <t>24일
(화)</t>
  </si>
  <si>
    <t>3월 전국연합학력평가 수험생 모습 취재</t>
  </si>
  <si>
    <t>국립중앙도서관 촬영(강나현)</t>
  </si>
  <si>
    <t>검찰업무
대한간학회 임영석 이사장 인터뷰(송승환)</t>
  </si>
  <si>
    <t>안산 폭행 피해 택시기사 인터뷰 (윤정환)</t>
  </si>
  <si>
    <t>[대전]대전 안전공업 참사</t>
  </si>
  <si>
    <t>오만 출장(이희령)</t>
  </si>
  <si>
    <t>구더기 방치 아내 유족 인터뷰 (양정진)</t>
  </si>
  <si>
    <t>2026 결핵예방의 날 기념행사</t>
  </si>
  <si>
    <t>오만 출장(오원석) 복귀</t>
  </si>
  <si>
    <t>홍대 음주운전 사고 관련 시민인터뷰 (김서하)
먹는 알부민 관련 시민 인터뷰 (송승환)</t>
  </si>
  <si>
    <t>합수본 압수수색(이자연)
홍대 STD</t>
  </si>
  <si>
    <t>홍대 음주운전 사고 관련 모니터 스케치 (김서하)</t>
  </si>
  <si>
    <t>기업형 슈퍼마켓 종량제 봉투 사재기 우려 현상 (임지은)</t>
  </si>
  <si>
    <t>영국 출장_A매치 유럽 원정 평가전 출발(온누리)</t>
  </si>
  <si>
    <t>농업용 비닐공장 취재 (임지은)</t>
  </si>
  <si>
    <t>CL 교육</t>
  </si>
  <si>
    <t>소녀상 옆 수요시위 (김영민)</t>
  </si>
  <si>
    <t>오만출장</t>
  </si>
  <si>
    <t>공공기관 차량 5부제 시행 관련 (구혜진)</t>
  </si>
  <si>
    <t>윤희숙 현장일정 (김산)</t>
  </si>
  <si>
    <t>공익제보 피해자 인터뷰 (정아람)</t>
  </si>
  <si>
    <t>(밀착) 산불감시센터 동행 1박2일 (정희윤)</t>
  </si>
  <si>
    <t>민심이는 취재중 (조보경)</t>
  </si>
  <si>
    <t>공공기관 차량 5부제 시행 관련 (하혜빈)</t>
  </si>
  <si>
    <t>유류할증료 인상 전 항공권 구매 취재 (박준우)
국민경제자문회의 포럼 취재</t>
  </si>
  <si>
    <t>월드컵 평가전</t>
  </si>
  <si>
    <t>류현진배 야구대회 (이희정)</t>
  </si>
  <si>
    <t>26일
(목)</t>
  </si>
  <si>
    <t>김포 탈영 해병대 관련 (양정진)</t>
  </si>
  <si>
    <t>삼성 AI세탁건조기 신제품 출시 (박소연)</t>
  </si>
  <si>
    <t>KBO 미디어데이 (이예원)</t>
  </si>
  <si>
    <t>오만출장(이희령)</t>
  </si>
  <si>
    <t>스키스노보드협회 기자간담회(홍지용)</t>
  </si>
  <si>
    <t>의협 브리핑 (송승환)</t>
  </si>
  <si>
    <t>패럴림픽 MVP 김윤지 기자간담회 (이희정)</t>
  </si>
  <si>
    <t>전주에서 폭행피해 당한 시내버스운전기사 인터뷰(강나윤)</t>
  </si>
  <si>
    <t>종량제 봉투 품절 (공다솜)</t>
  </si>
  <si>
    <t>오일쇼크 공포 (박소연)</t>
  </si>
  <si>
    <t>월드컵 평가전(온누리)</t>
  </si>
  <si>
    <t>프로포폴 처방 병원 상담 (이자연)</t>
  </si>
  <si>
    <t>이달의 기자상 시상식 (임지은)
약가제도 개편 건정심 (공다솜)</t>
  </si>
  <si>
    <t>27일
(금)</t>
  </si>
  <si>
    <t>미세먼지 스케치</t>
  </si>
  <si>
    <t>치매머니 취재 (공다솜)</t>
  </si>
  <si>
    <t>능욕 사이트 공익제보자 인터뷰 (임지은)</t>
  </si>
  <si>
    <t>구글 제미나이 날씨 검색(박소연)</t>
  </si>
  <si>
    <t>지금왜 촬영 (백민경)</t>
  </si>
  <si>
    <t>서울 줄 선 주유소 스케치 (김현지)
문서스케치</t>
  </si>
  <si>
    <t>박왕열 영장실질심사 (윤정환)</t>
  </si>
  <si>
    <t>통합돌봄 취재 (성화선)</t>
  </si>
  <si>
    <t>인프라 구축 및 테스트</t>
  </si>
  <si>
    <t>서울 인근 주유소들 취재 (전다빈)</t>
  </si>
  <si>
    <t>유럽평가전</t>
  </si>
  <si>
    <t>날씨/미세먼지 시민 인터뷰 (박상욱)
문서 스케치</t>
  </si>
  <si>
    <t>전장연 광화문 대치 (이자연,윤정환)
날씨/미세먼지 스케치</t>
  </si>
  <si>
    <t>28일
(토)</t>
  </si>
  <si>
    <t>오만 연결</t>
  </si>
  <si>
    <t>휴일 날씨 스케치
경복궁 자선당 삼비문 화재 조기 진화 관련</t>
  </si>
  <si>
    <t>프로야구 개막전(홍지용)</t>
  </si>
  <si>
    <t>29일
(일)</t>
  </si>
  <si>
    <t>휴일 날씨 스케치</t>
  </si>
  <si>
    <t>축구 A매치 오스트리아 출장</t>
  </si>
  <si>
    <t>1. 휴일 나들이 스케치
2. 한강유람선 반포대교 인근 사고</t>
  </si>
  <si>
    <t>한강유람선 반포대교 인근 사고</t>
  </si>
  <si>
    <t>30일
(월)</t>
  </si>
  <si>
    <t>김부겸 전총리 대구시장 출마선언(대구2.28공원)(조보경)</t>
  </si>
  <si>
    <t>불법촬영물 사이트 변호사 인터뷰(임지은)</t>
  </si>
  <si>
    <t>연극 빅마더 프레스콜 (강나현)</t>
  </si>
  <si>
    <t>김종철 위원장 취임 100일 출입기자 간담회</t>
  </si>
  <si>
    <t>양평 강상면 김건희 일가 땅 취재 (조해언)</t>
  </si>
  <si>
    <t>치매 금융 아카데미 촬영 (공다솜)</t>
  </si>
  <si>
    <t>공사현장, 현수막 등 유가 상승 여파 (전다빈)</t>
  </si>
  <si>
    <t>포장용기 가격 인상 관련 현장 취재(하혜빈)</t>
  </si>
  <si>
    <t>활력충전 프로젝트 현장설명회(시청)</t>
  </si>
  <si>
    <t>이달의 방송기자상 시상식 (유선의)</t>
  </si>
  <si>
    <t>축구대표팀 평가전</t>
  </si>
  <si>
    <t>수원 오피스텔 강도 검거 현장취재 (배양진)</t>
  </si>
  <si>
    <t>사립유치원 노동실태 관련 기자회견 (하혜빈)
배민 정보유출 보복테러 피해자 인터뷰 및 스케치(양정진)</t>
  </si>
  <si>
    <t>31일
(화)</t>
  </si>
  <si>
    <t>군인공제회 웨딩홀 VIP룸 관련 인터뷰(임지은)</t>
  </si>
  <si>
    <t>호르무즈해협에 고립됐던 목포항공대실습생 2명 귀국(김서하)</t>
  </si>
  <si>
    <t>4월
1일
(수)</t>
  </si>
  <si>
    <t>2일
(목)</t>
  </si>
  <si>
    <t>3일
(금)</t>
  </si>
  <si>
    <t>4일
(토)</t>
  </si>
  <si>
    <t>5일
(일)</t>
  </si>
  <si>
    <t>날씨 스케치 / 여의도</t>
  </si>
  <si>
    <t>휴일데스크</t>
  </si>
  <si>
    <t>쿠팡 피해자 행동의 날 집회</t>
  </si>
  <si>
    <t>밀라노 동계올림픽</t>
  </si>
  <si>
    <t>서울시청 기자실 / 광화문 일대 취재</t>
  </si>
  <si>
    <t>휴일스케치 / 연남동</t>
  </si>
  <si>
    <t>AI 교수 인터뷰</t>
  </si>
  <si>
    <t>대형약국 외경 2곳 sk</t>
  </si>
  <si>
    <t>데스크 근무</t>
  </si>
  <si>
    <t>구본창 활동가 인터뷰 / 화성</t>
  </si>
  <si>
    <t>밀라노-코르티나 동계패럴림픽결단식</t>
  </si>
  <si>
    <t>방첩사 블랙리스트 문건 sk
홈플러스 인천 계산점 (이희령)</t>
  </si>
  <si>
    <t>창고형 약국 서울 개점 취재 (공다솜)</t>
  </si>
  <si>
    <t>공인중개사 인터뷰 (정아람)</t>
  </si>
  <si>
    <t xml:space="preserve">코스피 사이드카 </t>
  </si>
  <si>
    <t>08시 인천공항으로 출발</t>
  </si>
  <si>
    <t>폭설 출근길 sk / 신촌</t>
  </si>
  <si>
    <t>김동연 경기지사 신년 기자간담회</t>
  </si>
  <si>
    <t>아침&amp; &lt;MNG&gt; 폭설 출근길 (이세현)</t>
  </si>
  <si>
    <t>신천지 내부 엑셀파일 모니터 sk (정해성)
독립기념관장 관용차량운행일지 자료 sk (임지은)</t>
  </si>
  <si>
    <t>제크데이</t>
  </si>
  <si>
    <t>관악구 부동산 취재 (전다빈)
신천지 내부 명단 파일 등 모니터 스케치 (윤정환)</t>
  </si>
  <si>
    <t>철벽통장 동행 및 사례자 인터뷰 (김필준)</t>
  </si>
  <si>
    <t>19시 인천공항으로 출발</t>
  </si>
  <si>
    <t>은평경찰서 형사 미담 (김서하)</t>
  </si>
  <si>
    <t>홈플러스 노조 지부장 무기한 단식농성 (이희령)</t>
  </si>
  <si>
    <t>노원구 아파트 월세 취재 (전다빈)</t>
  </si>
  <si>
    <t>전문대교육협의회 - JTBC MOU (이지은)
쿠팡 관련 소비자 인터뷰 / 상암 (박소연)</t>
  </si>
  <si>
    <t>전문대교육협의회 - JTBC MOU (이지은)
홈택스, 위택스 모니터 화면 sk</t>
  </si>
  <si>
    <t>시흥 SPC삼립 시화공장 화재 (김휘란)</t>
  </si>
  <si>
    <t>홈플러스 임금체불 노동자 인터뷰  (이희령)</t>
  </si>
  <si>
    <t xml:space="preserve">광명 건강검진 위내시경 의료사고 관련 유족 int (배양진)
사당우성아파트 외경 sk (정아람)
</t>
  </si>
  <si>
    <t>양육비 못 받는 한부모 인터뷰 / 대전 당출 (성화선)</t>
  </si>
  <si>
    <t>경찰, '군사기밀 유출 의혹' 관련 감사원 압수수색</t>
  </si>
  <si>
    <t>[이가혁 라이브] 책 스케치 의뢰 (박상훈)</t>
  </si>
  <si>
    <t>수원경기남부 근무</t>
  </si>
  <si>
    <t>위안부 모욕 시민단체 대표 출석 (김휘란)</t>
  </si>
  <si>
    <t>유홍준 국중박 관장 신년간담회</t>
  </si>
  <si>
    <t>(광수단) 강선우  출석 및 쿠팡 박대전 전 대표 출석 (조유리)
마포구 성산시영아파트 외경 sk (정아람)</t>
  </si>
  <si>
    <t>여한구 통상교섭본부장 귀국 (익일06:00)</t>
  </si>
  <si>
    <t>V 인터뷰 사전 세팅</t>
  </si>
  <si>
    <t>양육비 미지급자 명단 공개하 민간 사이트 sk (성화선)</t>
  </si>
  <si>
    <t>마포프레스티지자이 외경 sk</t>
  </si>
  <si>
    <t>개포자이프레지던스 외경 sk</t>
  </si>
  <si>
    <t>유은혜 전 장관, 경기도교육감 출마 기자회견</t>
  </si>
  <si>
    <t>휴민트 종편 라운드 인터뷰  (강나현)</t>
  </si>
  <si>
    <t>08:00 인천공항으로 출발 / 밀라노</t>
  </si>
  <si>
    <t>위안부 모욕 시민단체 기자회견 (조유리)</t>
  </si>
  <si>
    <t>인천공항 2터미널 북새통 (박소연)
피겨 밀라노올림픽 출국(모바일 라이브)</t>
  </si>
  <si>
    <t>인천공항 2터미널 북새통</t>
  </si>
  <si>
    <t>노동자 유가족 인터뷰 (박상욱)</t>
  </si>
  <si>
    <t>경총 AI 관련 포럼 (박상욱)</t>
  </si>
  <si>
    <t>v 일정</t>
  </si>
  <si>
    <t>사이비 '빛생' 회원들이 점령한 임곡리 마을 (김서하)</t>
  </si>
  <si>
    <t>현대백화점 환승투어 취재 (김민)</t>
  </si>
  <si>
    <t>민주노총 2026 신년 기자간담회 (이희령)</t>
  </si>
  <si>
    <t>인권위 김용원 퇴임식, 인권위 전직원 피켓시위 (임지은)</t>
  </si>
  <si>
    <t>설탕부담금 토론회 (성화선)</t>
  </si>
  <si>
    <t>한 겨울에 에어컨 설치하는 가정집, 설치기사 인터뷰 (박소연)</t>
  </si>
  <si>
    <t>서울 강남 대형치과 퇴사한 전 직원 인터뷰 (이희령)
과천시내 주택공급 반대 현수막 스케치</t>
  </si>
  <si>
    <t>부영그룹 시무식 및 출산장려금 지급 기자간담회 (김도훈)
국제업무지구 공사장 인근 근조화환 sk</t>
  </si>
  <si>
    <t>비거주 1주택자+공인중개사 인터뷰 (정아람)</t>
  </si>
  <si>
    <t>대형마트 온라인 배송 관련 인터뷰 (임지수)
모니터 sk (정아람)</t>
  </si>
  <si>
    <t xml:space="preserve"> 불법사금융 근절 범정부 TF (정아람)</t>
  </si>
  <si>
    <t>대휴 지정 (토요일 철야근무 지원으로 인한 사전 휴가)</t>
  </si>
  <si>
    <t>데스크 업무</t>
  </si>
  <si>
    <t>경찰, 쿠팡 로저스 대표 재소환 (이자연)</t>
  </si>
  <si>
    <t>1. 퇴직연금 노사정TF 논의 결과 발표(이희령)
2. 대형마트 새벽배송 규탄 기자회견(임지수)</t>
  </si>
  <si>
    <t>엘리자베스 살몬 유엔 북한인권 특별보고관 기자회견 (신진)</t>
  </si>
  <si>
    <t>한국거래소 (김현지)</t>
  </si>
  <si>
    <t>보건복지부, 제6차 보건의료정책심의위원회 (송승환)</t>
  </si>
  <si>
    <t>권창영 2차특검 출근길 (조해언)</t>
  </si>
  <si>
    <t>신도초등학교 졸업식 (송승환)</t>
  </si>
  <si>
    <t>쿠팡 로저스 소환 귀가 대기</t>
  </si>
  <si>
    <t>토</t>
  </si>
  <si>
    <t>날씨 및 휴일스케치</t>
  </si>
  <si>
    <t>과천 사수 범시민 총궐기 대회 (김현지)</t>
  </si>
  <si>
    <t>마사회 경마지원직 노동자 취재 (송승환)</t>
  </si>
  <si>
    <t>v 일정 대비</t>
  </si>
  <si>
    <t>날씨 sk / 홍제폭포</t>
  </si>
  <si>
    <t>보이스피싱 수거책 검거한 지구대 경찰 인터뷰</t>
  </si>
  <si>
    <t>&lt;뉴스룸-MNG&gt;  정치 (구혜진)</t>
  </si>
  <si>
    <t>경찰 특수본, 정진석 전 비서실장 소환 조사</t>
  </si>
  <si>
    <t>v일정 통신대기 (자택)</t>
  </si>
  <si>
    <t>대형마트 새벽배송 참전 임박 (박소연)</t>
  </si>
  <si>
    <t>가평 헬기 추락</t>
  </si>
  <si>
    <t>연차 / 병원</t>
  </si>
  <si>
    <t>대한상의 상속세 왜곡 통계 관련 긴급회의(박소연)
설탕세 관련 서울대 김초일 교수 int (임지수)</t>
  </si>
  <si>
    <t>밀착 기획 &lt;탑골공원 노인들&gt; (이상엽)</t>
  </si>
  <si>
    <t>은평구 불광동 아파트 화재 (김서하)</t>
  </si>
  <si>
    <t>인권위 신임위원 첫 회의 참석 sk (임지은)</t>
  </si>
  <si>
    <t>김예성 서울구치소 석방 (윤정주)</t>
  </si>
  <si>
    <t>연차 / 상견례</t>
  </si>
  <si>
    <t>상설특검, 엄희준 검사 2차 조사 (김휘란)</t>
  </si>
  <si>
    <t xml:space="preserve">데스크 / 석근 </t>
  </si>
  <si>
    <t>개성공단 전면중단 10년 기자회견 (신진)</t>
  </si>
  <si>
    <t>축구경기 폭행사건 관련 변호사 인터뷰 (김서하)</t>
  </si>
  <si>
    <t>스노보드 김상겸 뉴스룸 출연 스케치</t>
  </si>
  <si>
    <t>(수원) 조계종 종정 성파스님 특별전시회 (최재원)</t>
  </si>
  <si>
    <t>미용실 곗돈 사기 (김산)</t>
  </si>
  <si>
    <t>빗썸 피해자 인터뷰 (김재현)</t>
  </si>
  <si>
    <t>LG가 장녀 부부 자본시장법 위반 사건 1심 선고 (박호연)</t>
  </si>
  <si>
    <t>군경TF 무인기 수사 압수수색 (종풀 / 국정원, 정보사)</t>
  </si>
  <si>
    <t>스노보드 김상겸 선수 귀국 (강나윤)</t>
  </si>
  <si>
    <t>오세훈 서울시장, 2026년 서울시 출입기자단 신년 간담회</t>
  </si>
  <si>
    <t>의대증원 관련 긴급 의협 기자회견</t>
  </si>
  <si>
    <t>10:00
(사전보고)</t>
  </si>
  <si>
    <t>광명 위내시경 의료사고 관련 취재(배양진)</t>
  </si>
  <si>
    <t>압타밀 분유 관련 사례자 인터뷰(하혜빈)</t>
  </si>
  <si>
    <t>양준욱 전 서울시의장 공수대 조사 퇴장 pool</t>
  </si>
  <si>
    <t>직장내 괴롭힘 관련 변호사 인터뷰 (박상욱)</t>
  </si>
  <si>
    <t>축구경기 폭행사건 관련 피해자 인터뷰(김서하)</t>
  </si>
  <si>
    <t>한국은행 설 화폐공급 (한국은행 풀 순번)</t>
  </si>
  <si>
    <t>사기분양 피해자 인터뷰 / 사내 (정아람)</t>
  </si>
  <si>
    <t>[지금왜] 3개월째 지지율 70%로... (백민경)</t>
  </si>
  <si>
    <t>청년 일자리 관련 사례자 인터뷰 (박상욱)</t>
  </si>
  <si>
    <t>1. 국방부장관,국방부 헌법존중 정부혁신 TF 활동결과 발표
2. 의협 정례 브리핑 (성화선)</t>
  </si>
  <si>
    <t xml:space="preserve">전한길 동작서 출석 및 출석 전 기자회견 </t>
  </si>
  <si>
    <t>지상파 스포츠 중계권 세미나 (노진호)</t>
  </si>
  <si>
    <t>조현병환자 가족 인터뷰 / 사내 (김휘란)</t>
  </si>
  <si>
    <t>UN한국협회 회장 취임식 (김도훈)
13:00 미국비자 인터뷰</t>
  </si>
  <si>
    <t>모텔 음료 사망 사건 피의자 영장심사</t>
  </si>
  <si>
    <t>추가 연차 / 병원</t>
  </si>
  <si>
    <t>압타밀 분유 균 검출 관련 사례자 인터뷰 (하혜빈)</t>
  </si>
  <si>
    <t>치매 환자 보호자 인터뷰 (송승환)</t>
  </si>
  <si>
    <t>컬링 선영석 팀 귀국  / 인천공항 (함민정)</t>
  </si>
  <si>
    <t>(중앙지법) 이상민 전 장관 1심 선고 pool</t>
  </si>
  <si>
    <t>청년 일자리 관련 인터뷰 (박상욱)</t>
  </si>
  <si>
    <t>(1) SKT AI 보이스피싱 방지 앱 취재 (임지수)
(2) 한국거래소 시황판 스케치 (김재현)</t>
  </si>
  <si>
    <t>서부지법 구광모 회장 1심 선고 (김휘란)</t>
  </si>
  <si>
    <t>삼성화재교통안전문화연구소 브리핑(정아람)</t>
  </si>
  <si>
    <t>대통령실 동계올림픽 카드뉴스 화면 녹화 (김필준)</t>
  </si>
  <si>
    <t>새벽배송 동행취재 (박상욱)</t>
  </si>
  <si>
    <t>달마 키즈 키운 남양주 봉선사 호산스님 인터뷰 (임지은)</t>
  </si>
  <si>
    <t>(수원) 일반</t>
  </si>
  <si>
    <t>신길동 미용실 곗돈 사기 (김산)</t>
  </si>
  <si>
    <t>노도강 아파트 외경 2곳 (정아람)</t>
  </si>
  <si>
    <t>택배노조 정책국장 인터뷰 (박상욱)</t>
  </si>
  <si>
    <t>오세훈 서울시장, 26년도 설 명절 전통시장 현장방문</t>
  </si>
  <si>
    <t>홈플러스 회생계획안 폐지 관련 기자회견 (이희령)</t>
  </si>
  <si>
    <t>날씨 / 안개 - 미세먼지 / 남산 부감 sk</t>
  </si>
  <si>
    <t>(1) 날씨 sk
(2) 쿠팡 이츠이용하는 페이지 촬영</t>
  </si>
  <si>
    <t>시청출입</t>
  </si>
  <si>
    <t>설 연휴 첫날 인천공항 sk (송혜수)</t>
  </si>
  <si>
    <t>휴일 스케치(김영묵)</t>
  </si>
  <si>
    <t>날씨 스케치(김영묵)</t>
  </si>
  <si>
    <t>스노보드 최가온 귀국 (이은진-인턴)</t>
  </si>
  <si>
    <t>광화문 호텔 등 일대 인터뷰 (김민)</t>
  </si>
  <si>
    <t>설 연휴 풍경 (김휘란)</t>
  </si>
  <si>
    <t>피겨 김현겸 입국 일정 (인턴 유한별)</t>
  </si>
  <si>
    <t>귀경길 / 서울요금소 sk</t>
  </si>
  <si>
    <t>21시 현재 야간일정 없음</t>
  </si>
  <si>
    <t>성남시의료원 사설 구급대원 인터뷰(임지은)</t>
  </si>
  <si>
    <t>휴일스케치 및 윤석열 선고 동선체크(김영묵)</t>
  </si>
  <si>
    <t>석근 데스크</t>
  </si>
  <si>
    <t>출산 휴가</t>
  </si>
  <si>
    <t>(특보 기자연결) 윤석열 전 대통령 1심 선고 (송혜수)</t>
  </si>
  <si>
    <t>설탕세 관련 야쿠르트 매니저 종사자 취재</t>
  </si>
  <si>
    <t>16:00 황현우와 교대 / 기자연결</t>
  </si>
  <si>
    <t>16:00 이주원과 교대 /  촛불행동 sync</t>
  </si>
  <si>
    <t>윤석열 전 대통령 '내란 우두머리' 1심 선고, 유죄/무죄 집회</t>
  </si>
  <si>
    <t>(상설특검) 엄희준 검사 3차 소환조사</t>
  </si>
  <si>
    <t>16:00 정재우와 교대 / 중앙지법 부감</t>
  </si>
  <si>
    <t>윤석열 전 대통령 1심 선고 풀러</t>
  </si>
  <si>
    <t>코스피 종가 시황판 스케치</t>
  </si>
  <si>
    <t>빵플레이션 관련 대한제빵소 취재 (박소연)</t>
  </si>
  <si>
    <t>고정밀지도 해외 반출 관련 취재 (임지수)</t>
  </si>
  <si>
    <t xml:space="preserve">코스피 장중 최고가 한국거래소 S.K </t>
  </si>
  <si>
    <t>교복 매장 스케치 및 학생 인터뷰 (하혜빈)</t>
  </si>
  <si>
    <t>(수원) x</t>
  </si>
  <si>
    <t>강남서, 박나래 소환조사</t>
  </si>
  <si>
    <t>(1) 인천 서구 치매안심센터 취재 (송승환)
(2) 문서 / 윤석열 입장문 sk (김필준)</t>
  </si>
  <si>
    <t>문서 / 강북구 모텔 연쇄살인 관련 (김서하)</t>
  </si>
  <si>
    <t>교복값 관련 학부모 인터뷰 (하혜빈)</t>
  </si>
  <si>
    <t>산림청장 김인호 음주운전 현장 (이자연)</t>
  </si>
  <si>
    <t xml:space="preserve">월드컵공원 날씨 스케치 </t>
  </si>
  <si>
    <t>스노보드 유승은 선수 귀국 (정수아)</t>
  </si>
  <si>
    <t>스노보드 호산스님, 김상겸-유승은 참여 법회</t>
  </si>
  <si>
    <t>지방선거 D-100 부산 르포 / 부산출장 출발</t>
  </si>
  <si>
    <t>한국거래소 종가 시황판</t>
  </si>
  <si>
    <t>워</t>
  </si>
  <si>
    <t>김병준 교수 인터뷰 (김필준)</t>
  </si>
  <si>
    <t>엔</t>
  </si>
  <si>
    <t>주한러시아대사관 (정동길) 플래카드 촬영 (신진)</t>
  </si>
  <si>
    <t>갤럭시 언팩 2026 / 센프란시스코 (정아람)</t>
  </si>
  <si>
    <t>(1) 분양사기업체 외경 (정아람)
(2) 고검 라이브</t>
  </si>
  <si>
    <t>피겨 차준환 귀국 (이은진)</t>
  </si>
  <si>
    <t>지방선거 D-100 부산 르포(함민정)</t>
  </si>
  <si>
    <t>강남 부동산 취재 (김재현)</t>
  </si>
  <si>
    <t>대웅제약 AI 기반 디지털 헬스케어 발표</t>
  </si>
  <si>
    <t>(1) 김정관 장관 주재 미 관세 판결 대책 회의
(2) 2차 아파트 실물화재 실험 취재  (시청 풀단 순번)</t>
  </si>
  <si>
    <t>지방선거 D-100 충남대전 통합 민심 르포 (박사라)</t>
  </si>
  <si>
    <t>(1) 방송기자연합회 JTBC 신천지 정교유착 보도 시상식
(2)  구글 지도를 검색하고  이용하는 모습을 sk (박소연)</t>
  </si>
  <si>
    <t>(1) 한국거래소 / 종가 sk
(2) 네이버 까페 자유한길단 모니터 sk</t>
  </si>
  <si>
    <t>24일(화)~ / 2026 WBC 전지훈련 / 일본, 오키나와 (이희정)</t>
  </si>
  <si>
    <t>킨텍스 1전시장 외경 sk (황예린)</t>
  </si>
  <si>
    <t>23일(월)~ / 삼성 갤럭시 언팩 / 미국, 샌프란시스코 (정아람)</t>
  </si>
  <si>
    <t>검찰 비트코인 탈취 관련 자료 스케치 (임지은)</t>
  </si>
  <si>
    <t>빗썸 압수수색</t>
  </si>
  <si>
    <t>은마아파트 화재 (김휘란)</t>
  </si>
  <si>
    <t>동계올림픽 선수단 귀국 환영행사 (정수아)</t>
  </si>
  <si>
    <t>동계올림픽 봅슬레이 선수단 귀국 (강나윤)</t>
  </si>
  <si>
    <t>빗썸 압수수색 / 종편풀  2곳(김서하)</t>
  </si>
  <si>
    <t>(1) 국가인공지능전략위 전체회의 (임지수)
(2) 출산율 반등 인터뷰</t>
  </si>
  <si>
    <t>코스피 6천피 축하행사 (전다빈)
서울경찰청 금수대 브리핑 (김서하)</t>
  </si>
  <si>
    <t>(1) 김길리 인터뷰 팔로우 sk
(2) 오후 3시  / 장르가 머니 회의 예정</t>
  </si>
  <si>
    <t>K리그1 개막 미디어데이 (홍지용)</t>
  </si>
  <si>
    <t>코스피 관련 인터뷰와 4시 종가 및 행사 (전다빈)</t>
  </si>
  <si>
    <t>서울역 SRT sk</t>
  </si>
  <si>
    <t>동계올림픽팀</t>
  </si>
  <si>
    <t>경동나비엔, 올림픽 선수단 카본매트 전달식 (이지은)
*기자 없이 단독 인터뷰, 리포트에 반영.</t>
  </si>
  <si>
    <t>K리그2 개막 미디어데이 (홍지용)</t>
  </si>
  <si>
    <t>(1) 택배노조 인터뷰
(2) 모텔연쇄살인 추가 피해 장소 취재</t>
  </si>
  <si>
    <t>광수단, 김병기 차남 조사 퇴장 pool</t>
  </si>
  <si>
    <t>가습기살균제피해자 유족 등 기자회견 (하혜빈)</t>
  </si>
  <si>
    <t>HDC현대산업개발 공사 소음(박현주)</t>
  </si>
  <si>
    <t>10:30 서울시 핵심 주택공급 전략사업 발표회 취재
반포대교 차량 추락 현장 (김영민)</t>
  </si>
  <si>
    <t xml:space="preserve">강훈식 비서실장 귀국 </t>
  </si>
  <si>
    <t>김종철 방미통위원장, JTBC 예능 제작현장 방문 (노진호)
한국방송기자연합회 방송기자대상 시상식 (이상엽)</t>
  </si>
  <si>
    <t>국민의힘 배현진의원, 김종혁 전 최고위원 소환 조사 
(출장) 한동훈 대구 서문시장 방문 (구민주)</t>
  </si>
  <si>
    <t>김병기 의원 소환, 유병호 감사위원 반부패 출석 (송혜수)</t>
  </si>
  <si>
    <t>(1) 쇼트트랙 최민정 선수 뉴스룸 사전녹화 스케치 (온누리)
(2) 강남 부동산 취재
(3) 서울경찰청 공공범죄수사대, 김병기 의원 소환 조사 귀가 pool</t>
  </si>
  <si>
    <t>대기업 폭파 협박 10대 구속영장실질심사 (조유리)</t>
  </si>
  <si>
    <t>증권사 객장 스케치 및 한국거래소 종가 (김재현)</t>
  </si>
  <si>
    <t>(당출) 가출 청소년 무인가게 털이 (정영재)</t>
  </si>
  <si>
    <t>문지석 상설특검 출석 (김휘란)</t>
  </si>
  <si>
    <t>(검찰지원)</t>
  </si>
  <si>
    <t>(1) 쿠팡 관련 문서 sk (임지수)
(2) 중구 북창동 화재 (김서하)
(3) 서울경찰청 공공범죄수사대, 김병기 의원 소환 조사 귀가 pool</t>
  </si>
  <si>
    <t xml:space="preserve">광수단 김병기 의원 소환 조사 POOL </t>
  </si>
  <si>
    <t>대학 AI 활용 가이드라인 마련 (공다솜)</t>
  </si>
  <si>
    <t>독립운동가 후손의 김병헌 구속수사 요청 기자회견</t>
  </si>
  <si>
    <t>김병기 의원 재소환 조사 귀가 pool</t>
  </si>
  <si>
    <t>M</t>
  </si>
  <si>
    <t>O</t>
  </si>
  <si>
    <t>2026 WBC 전지훈련 (이희정)</t>
  </si>
  <si>
    <t>K</t>
  </si>
  <si>
    <t>출장 / 대구 / 25(목)~26(금) / 한동훈 팔로우 (구민주)</t>
  </si>
  <si>
    <t>(1) 김병기 의원 소환 (송혜수)
(2) 국힘 당원명부 관련 압수수색 / 가양동</t>
  </si>
  <si>
    <t>동계올림픽팀 휴가</t>
  </si>
  <si>
    <t>대학생 AI사용실태 인터뷰 (공다솜)</t>
  </si>
  <si>
    <t>한국기자상 시상식 (이윤석)</t>
  </si>
  <si>
    <t>장관 교복제도 개선 현장 간담회</t>
  </si>
  <si>
    <t>북중미 월드컵 기획 인터뷰</t>
  </si>
  <si>
    <t>(1) 포르쉐 약물운전자 영장심사 (이자연)
(2) 은마아파트 재건축정비사업조합 취재 (인턴)
(3) 엄희준 상설특검 입장</t>
  </si>
  <si>
    <t>2026 MWC 바르셀로나</t>
  </si>
  <si>
    <t>뉴스룸 국회 라이브</t>
  </si>
  <si>
    <t>삼성 갤럭시 언팩 / 미국, 샌프란시스코 (정아람) 복귀</t>
  </si>
  <si>
    <t>수원삼성 K리그 개막전</t>
  </si>
  <si>
    <t>성남 백현동 상가 건물 화재</t>
  </si>
  <si>
    <t xml:space="preserve">3월
1일
(일)
</t>
  </si>
  <si>
    <t>(출발 11:30) 일본 / WBC 연습경기 및 1라운드 (채승기)</t>
  </si>
  <si>
    <t>2.28~ / 스페인 / MWC (산업부 이지은)</t>
  </si>
  <si>
    <t>날씨 sk (송승환)</t>
  </si>
  <si>
    <t>휴일 데스크</t>
  </si>
  <si>
    <t>산업부 차관, 이란 사태 점검회의 (박소연)</t>
  </si>
  <si>
    <t>3.1~ / 싱가포르 순방</t>
  </si>
  <si>
    <t>서울 시내 곳곳집회 (윤정환)</t>
  </si>
  <si>
    <t>북중미 월드컵 기획 인터뷰 (이예원)</t>
  </si>
  <si>
    <t>북중미 월드컵 기획 인터뷰 (오선민)</t>
  </si>
  <si>
    <t>대학 시험 AI 관련 인터뷰(김서하)</t>
  </si>
  <si>
    <t>박진 전 인권위 사무총장 국수본 출석조사(강나윤)</t>
  </si>
  <si>
    <t>상암 하늘공원 일출</t>
  </si>
  <si>
    <t>밀착카메라 시각장애인 점성촌(이은진)</t>
  </si>
  <si>
    <t>김범석과 해롤드 로저스 위계에 업무방해 혐의 추가 고소(박소연)</t>
  </si>
  <si>
    <t>2026 중앙그룹 시무식</t>
  </si>
  <si>
    <t>수원삼성 이정효 감독 취임 기자회견 (홍지용)</t>
  </si>
  <si>
    <t xml:space="preserve"> [지금왜] 대만 무력합병 노리는 중국군 (백민경)</t>
  </si>
  <si>
    <t>관악구 내 아파트 스케치 (전다빈)</t>
  </si>
  <si>
    <t>로맨스스캠 스케치 (양정진)</t>
  </si>
  <si>
    <t>쿠팡 부천2신선 물류센터(박현주)</t>
  </si>
  <si>
    <t>김호철 감사원장 취임식/ 이혜훈 기획예산처 장관 출근길</t>
  </si>
  <si>
    <t>관악구 10대 흉기난동(김산)</t>
  </si>
  <si>
    <t>배추보이' 스노보드 이상호 올림픽 출국 전 인터뷰(홍지용)</t>
  </si>
  <si>
    <t>카페 사장 인터뷰 (김재현)</t>
  </si>
  <si>
    <t>1. 코스피 최고치 경신 미래에셋 증권사 취재(김재현)
2. 한국거래소 시황판</t>
  </si>
  <si>
    <t>1. 김병기 정치자금 수수 탄원서 스케치
2. 종각역 택시돌진사고(김영민)</t>
  </si>
  <si>
    <t>컬링 올림픽 출정식(오선민)</t>
  </si>
  <si>
    <t>1. 탈모 지원책 관련 시민 인터뷰(최연수)
2. 종각역 택시돌진사고(김영민)</t>
  </si>
  <si>
    <t>문서 스케치(전다빈)</t>
  </si>
  <si>
    <t>피겨 국가대표 2차 선발전 (1일차, 쇼트)</t>
  </si>
  <si>
    <t>한강 결빙 취재</t>
  </si>
  <si>
    <t>용인FC 창단식 (유튜브 라이브 연결)</t>
  </si>
  <si>
    <t>홍천경찰서, 보이스피싱 수거책 검거 (김서하)</t>
  </si>
  <si>
    <t>피겨 국가대표 2차 선발전 (2일차, 프리) 및 인터뷰 (온누리)</t>
  </si>
  <si>
    <t>더불어민주당 김병기 의원 고발(김휘란)</t>
  </si>
  <si>
    <t>홍익지구대 인터뷰 및 망원역 스케치(김서하)</t>
  </si>
  <si>
    <t>수신조</t>
  </si>
  <si>
    <t>2026년 범금융 신년인사회</t>
  </si>
  <si>
    <t>1. 환율로 커피 원두 가격 상승 카페사장 인터뷰(김재현)
2. 쿠팡 파이낸셜 판매자 성장 대출 관련 문서 스케치</t>
  </si>
  <si>
    <t>이재명 대통령 중국 국빈방문</t>
  </si>
  <si>
    <t>쿠팡 성범죄 및 직괴 관련 문서 스케치</t>
  </si>
  <si>
    <t>1.난치성질환자 인터뷰(최연수)
2.이혜훈 재산 문서 스케치</t>
  </si>
  <si>
    <t>열차 차량 사고 스케치 (김영민)</t>
  </si>
  <si>
    <t>1.시민 인터뷰 (이은진)
2.탈팡 행렬 시민 인터뷰
3.탈팔 행령 관련 모니터 sk</t>
  </si>
  <si>
    <t>안성기 별세 빈소</t>
  </si>
  <si>
    <t>강선우 고발인 조사(양정진)</t>
  </si>
  <si>
    <t>한국거래소 시황판</t>
  </si>
  <si>
    <t>2026 CES(김민)</t>
  </si>
  <si>
    <t>안성기 별세 빈소(수습)</t>
  </si>
  <si>
    <t>피겨 아이스댄스 대표 임해나-권예 출국 인터뷰(홍지용)</t>
  </si>
  <si>
    <t xml:space="preserve">2026학년도 초등학교 신입생 예비소집 </t>
  </si>
  <si>
    <t>이재명 대통령 중국 국빈방문 수신</t>
  </si>
  <si>
    <t>쿠팡 물류캠프 (인턴)</t>
  </si>
  <si>
    <t>특수본 출석조사</t>
  </si>
  <si>
    <t>이혜훈 한국씰마스타 ksm 취재</t>
  </si>
  <si>
    <t xml:space="preserve">1.피겨 국가대표 이해인 기자회견
2.이혜훈 문서 스케치
3.인권위 성비위 직위해제 과장 해명 입장
</t>
  </si>
  <si>
    <t>연장(출장)</t>
  </si>
  <si>
    <t>(밀착) 올림픽 비인기종목 취재(정희윤)</t>
  </si>
  <si>
    <t xml:space="preserve">쿠팡 물류센터 취재 </t>
  </si>
  <si>
    <t>1.강선우 전 사무국장 경찰조사 대기
2.김태우 전 강서구청장 고발인 경찰 조사
3.한국거래소 종가스케치</t>
  </si>
  <si>
    <t>1.특수본 조사 남규선 참고인(강나윤)
2.쿠쿠홈시스 근로기준법 미준수 규탄 기자회견</t>
  </si>
  <si>
    <t>1.커피값 관련 시민 인터뷰 
2.한국스포츠과학연구원 동계올림픽 선수들 훈련 스케치 및 인터뷰 
3.이혜훈 후보자 셋째 아들 2016년 대학 입시 자기소개서 초안 문서 스케치</t>
  </si>
  <si>
    <t>1.이혜훈 기획예산처 장관 후보자 출근길
2.쿠팡 산재은폐 고발 기자회견</t>
  </si>
  <si>
    <t>강선우 전 사무국장 경찰조사 대기(야간풀)</t>
  </si>
  <si>
    <t>1.시청일정
2.SF자이언츠 한국 방문행사</t>
  </si>
  <si>
    <t>1.안성기 일반시민 조문공간  
2.제2차 보건의료정책심의위원회</t>
  </si>
  <si>
    <t>1.김건희 학폭무마 의혹 관련 임태희 교육감 고발장제출
2.한준호-전용기 더불어민주당 의원, 쌍방울 김성태 고발</t>
  </si>
  <si>
    <t>테니스 야닉 시너 입국</t>
  </si>
  <si>
    <t>1.한국거래소 종가 스케치
2.쿠팡 모의 해킹 보고서 문서 스케치</t>
  </si>
  <si>
    <t>SF자이언츠 한국 방문행사 (채승기)</t>
  </si>
  <si>
    <t>1.[지금왜] 김정은·푸틴과는 "대화하자"더니
2.이혜훈 장관 후보자 장남 논문 문서 스케치</t>
  </si>
  <si>
    <t xml:space="preserve"> 민주당 최고위원 후보자 토론회 스케치</t>
  </si>
  <si>
    <t>난임 관련 한의협 인터뷰(최연수)</t>
  </si>
  <si>
    <t>이혜훈 기획예산처 장관 후보자 출근길
화천 산천어축제 보이콧 기자회견</t>
  </si>
  <si>
    <t>당일출장</t>
  </si>
  <si>
    <t>진천선수촌(오선민)</t>
  </si>
  <si>
    <t>김동희 검사 피의자 소환 귀가길 종편 POOL 취재</t>
  </si>
  <si>
    <t>시청 일정
쿠팡 물류센터 취재(정아람)</t>
  </si>
  <si>
    <t>진천선수촌(이예원)</t>
  </si>
  <si>
    <t>김병기 아내 법카 유용 관련 식당 밑대기(송혜수)-&gt;(배양진)</t>
  </si>
  <si>
    <t>정례 브리핑</t>
  </si>
  <si>
    <t>난임가족 인터뷰</t>
  </si>
  <si>
    <t>포용적 금융 대전환 제1차 회의(수원풀)</t>
  </si>
  <si>
    <t>테니스 알카라스 입국</t>
  </si>
  <si>
    <t>신생아중환자실 sk와 인터뷰 (성화선)</t>
  </si>
  <si>
    <t>무인카페 만월경 논란 (박현주)</t>
  </si>
  <si>
    <t>민주당 원내대표 보궐선거 후보자 토론회</t>
  </si>
  <si>
    <t>김병기 탄원서 관련 전 동작구의원 피의자 조사
문서스케치(구혜진)</t>
  </si>
  <si>
    <t xml:space="preserve">1.이혜훈 기획예산처 장관 후보자 출근길 </t>
  </si>
  <si>
    <t>밀착카메라 - 동계 비인기 종목_3일차</t>
  </si>
  <si>
    <t>목동 열병합발전소 폭발사고(김산)</t>
  </si>
  <si>
    <t>피겨 신지아 인터뷰 (홍지용)</t>
  </si>
  <si>
    <t>스피드스케이팅 김민선 정희단 훈련 스케치 인터뷰(온누리)</t>
  </si>
  <si>
    <t>MNG-내란특검 (여도현)</t>
  </si>
  <si>
    <t>1.의협 의사수급추계위 관련 1인시위
2.출근길 추위 스케치</t>
  </si>
  <si>
    <t>검찰업무(윤석열 결심공판, 최태원/노소영 파기환송)</t>
  </si>
  <si>
    <t>경기도의회 출근길 피켓시위(김산)</t>
  </si>
  <si>
    <t>김병기 탄원서 김용아 구의원 경찰 출석(배양진)</t>
  </si>
  <si>
    <t>[밀착] 점성촌 취재(이은진)</t>
  </si>
  <si>
    <t>2026 WBC 대표팀 출국</t>
  </si>
  <si>
    <t>카페 만월경 불량 커피머신 취재(박현주)</t>
  </si>
  <si>
    <t xml:space="preserve">대만 행정원장에게 이메일 보내는 장면 촬영 </t>
  </si>
  <si>
    <t>이커머스 입점 중소형 쇼핑몰 개인정보 관리 허술 인터뷰</t>
  </si>
  <si>
    <t>파주 성매매집결지 용주골 현장취재(김산)</t>
  </si>
  <si>
    <t>재활센터 불법의료 피해자 인터뷰(박호연)</t>
  </si>
  <si>
    <t>고 안성기배우 영결식(강나현)</t>
  </si>
  <si>
    <t>알카라스-시너, 현대카드 슈퍼매치 사전 기자회견(오선민)</t>
  </si>
  <si>
    <t>서울시교육청 위안부 시위 관련 고발장 접수</t>
  </si>
  <si>
    <t>1. 날씨 sk
2. 국방부 무인기 관련 브리핑</t>
  </si>
  <si>
    <t>10일
(토)</t>
  </si>
  <si>
    <t>의정부 망월사역 인근 강풍 20대 남성 사망(송혜수)</t>
  </si>
  <si>
    <t>알카라스-시너 기자회견 (경기x, 시상식x, 기자회견O)</t>
  </si>
  <si>
    <t>고양 화훼단지 강풍 피해 sk</t>
  </si>
  <si>
    <t>CES (17시 복귀 퇴근)</t>
  </si>
  <si>
    <t>강풍 sk (상암동)</t>
  </si>
  <si>
    <t>11일
(일)</t>
  </si>
  <si>
    <t>일</t>
  </si>
  <si>
    <t>날씨sk</t>
  </si>
  <si>
    <t>1.법무법인 인터뷰(신진)
2. 국회 라이브 연결</t>
  </si>
  <si>
    <t>김경 인천공항 귀국</t>
  </si>
  <si>
    <t>김경 인천공항 귀국 기자라이브(배양진)</t>
  </si>
  <si>
    <t>김경 서울청 광수대 출석</t>
  </si>
  <si>
    <t>12일
(월)</t>
  </si>
  <si>
    <t>두바이쫀득쿠키 열풍(김재현)</t>
  </si>
  <si>
    <t>두바이 쫀득쿠키 열풍2(김재현)</t>
  </si>
  <si>
    <t>교원 해킹 관련 시민 인터뷰</t>
  </si>
  <si>
    <t>오후반차</t>
  </si>
  <si>
    <t>눈 스케치</t>
  </si>
  <si>
    <t>충남 서천군 무약촌 르포</t>
  </si>
  <si>
    <t>동계체전(채승기)12-14 경기시간 맞춰 출근예정</t>
  </si>
  <si>
    <t>출근길 날씨 스케치</t>
  </si>
  <si>
    <t>김병기, 오늘 윤리심판원 회의 출석 기자연결</t>
  </si>
  <si>
    <t>농협 대국민 사과문 발표 (하혜빈)</t>
  </si>
  <si>
    <t>13일
(화)</t>
  </si>
  <si>
    <t>윤석열 구형 야간POOL</t>
  </si>
  <si>
    <t>북한 무인기 관련 납북단체 취재(신진)</t>
  </si>
  <si>
    <t>밀착 신년기획 천사들의 마라톤 (이상엽)</t>
  </si>
  <si>
    <t>홈플러스 시흥점 취재(박준우)</t>
  </si>
  <si>
    <t>두바이쫀득쿠키 오픈런(김재현)</t>
  </si>
  <si>
    <t>쿠팡 입점업체 스케치(임지수)</t>
  </si>
  <si>
    <t>박노벽 전 러시아 및 우크라이나 대사 인터뷰(이지은)</t>
  </si>
  <si>
    <t>1.서울시내버스 노사 협상 결렬 관련 총파업 출근길 스케치
2.전광훈 영장실질 심사 및 기자회견(임지은)</t>
  </si>
  <si>
    <t>신천지 국힘 당원가입 교인 인터뷰(윤정환)</t>
  </si>
  <si>
    <t xml:space="preserve"> 전국동계체육대회 스피드스케이팅(채승기)</t>
  </si>
  <si>
    <t>중앙지법 MNG라이브 연결 (여도현)</t>
  </si>
  <si>
    <t>문서SK (임지은)</t>
  </si>
  <si>
    <t>버스파업 MNG라이브 연결 (김산)</t>
  </si>
  <si>
    <t>김건희 미대 동문 인터뷰(김태형)</t>
  </si>
  <si>
    <t>이혜훈 기획예산처 장관 후보자 출근길
이석연 국민통합위원장 관훈클럽 토론회(최규진)</t>
  </si>
  <si>
    <t>오전반차</t>
  </si>
  <si>
    <t>중소기업중앙회 신년인사회 (이지은)
코스피 전광판 (정아람)</t>
  </si>
  <si>
    <t>서울시내버스 노사 협상 결렬 관련 총파업 출근길 MNG(이세현)</t>
  </si>
  <si>
    <t>외환시장 정책 심포지엄 (정아람)</t>
  </si>
  <si>
    <t>14일
(수)</t>
  </si>
  <si>
    <t>국회 지원</t>
  </si>
  <si>
    <t>버스파업여파 출근길 스케치
조계종 신년기자회견 (강나현)</t>
  </si>
  <si>
    <t>농식품부 대국민 업무보고(박상욱)</t>
  </si>
  <si>
    <t>쿠팡 취업 보좌진 로비 의혹 기자회견(임지수)</t>
  </si>
  <si>
    <t>근로감독 행정 혁신방안 발표회(이희령)</t>
  </si>
  <si>
    <t>쿠팡 의혹 관련 택배노조 인터뷰(하혜빈)</t>
  </si>
  <si>
    <t>전국동계체육대회 스피드스케이팅 (채승기)</t>
  </si>
  <si>
    <t xml:space="preserve">슈퍼히어로즈 장기기증 기획 (장영준)
</t>
  </si>
  <si>
    <t>JTBC 올림픽 기자간담회</t>
  </si>
  <si>
    <t>김병기 노량진수산시장 접대 갑질 취재(배양진)
쇼트트랙 중계 리허설 (이예원)</t>
  </si>
  <si>
    <t>김건희 미대 동문 인터뷰(출장)</t>
  </si>
  <si>
    <t>서울 시내버스 노사 2차 사후조정회의 및 노조 브리핑</t>
  </si>
  <si>
    <t>성추행 피해자 인터뷰(박호연)</t>
  </si>
  <si>
    <t>김병기 의원 압수수색(배양진)</t>
  </si>
  <si>
    <t>김경 시의원 소환 관련 상황대기
JTBC 올림픽 기자간담회</t>
  </si>
  <si>
    <t>15일
(목)</t>
  </si>
  <si>
    <t>2026 한국이미지상 시상식 현장sk (김도훈)</t>
  </si>
  <si>
    <t>이혜훈 기획예산처 장관 후보자 출근길</t>
  </si>
  <si>
    <t>2026 장애인 국가대표 훈련개시식(정수아)</t>
  </si>
  <si>
    <t>김경 서초 자택 스케치 (조유리)</t>
  </si>
  <si>
    <t>환율 시민 거리인터뷰 및 딜링룸 촬영</t>
  </si>
  <si>
    <t>김경 시의원 소환조사 (조유리)</t>
  </si>
  <si>
    <t>동계체전 쇼트트랙 1일차(춘천) (이예원)</t>
  </si>
  <si>
    <t>좋은책신사고 노조원분들 인터뷰 (이희령)</t>
  </si>
  <si>
    <t>서부지법 전광흔 사랑제일교회 목사 (강나윤)</t>
  </si>
  <si>
    <t>피겨 김현겸 &amp; 차준환 선수 인터뷰 (홍지용)</t>
  </si>
  <si>
    <t>밀착 사냥용 활 위험성 취재 (이은진)</t>
  </si>
  <si>
    <t>신천지 관계자 인터뷰(정해성)
지금 왜(백민경)</t>
  </si>
  <si>
    <t>동부지검 보이스피싱 합수단 브리핑 (배양진)
하나은행 딜링룸SK</t>
  </si>
  <si>
    <t>서대문역 인근 버스 돌진 사고(윤정환)</t>
  </si>
  <si>
    <t>16일
(금)</t>
  </si>
  <si>
    <t>불법정당현수막 철거(정인아)</t>
  </si>
  <si>
    <t>여한구 산업부 본부장 귀국</t>
  </si>
  <si>
    <t>FIFA 월드컵 트로피 투어 기내 취재 (홍지용)</t>
  </si>
  <si>
    <t>구룡마을 화재 인근 마을 스케치 (김영민)</t>
  </si>
  <si>
    <t>날씨 스케치(하혜빈)</t>
  </si>
  <si>
    <t>미세먼지 관련 시민 인터뷰(하혜빈)</t>
  </si>
  <si>
    <t>(밀착) 활쏘기 취재(이은진)</t>
  </si>
  <si>
    <t>FIFA 월드컵 트로피 투어 오후 미디어 간담회</t>
  </si>
  <si>
    <t>1.AI 세미나
2.코스피 관련 증권담당자 인터뷰+3시반 종가 스케치(전다빈)</t>
  </si>
  <si>
    <t>동계체전 쇼트트랙 2일차(춘천)</t>
  </si>
  <si>
    <t>익명인터뷰(이자연)</t>
  </si>
  <si>
    <t>구룡마을 화재 (조유리)
윤석열 체포방해 1심선고</t>
  </si>
  <si>
    <t>1.윤석열 체포방해 1심선고(임지은)
2.이혜훈 후보자 청약 신청 아파트들 스케치 (구민주)</t>
  </si>
  <si>
    <t>노트북 검색 장면 스케치(이윤석)</t>
  </si>
  <si>
    <t>17일
(토)</t>
  </si>
  <si>
    <t>FIFA 월드컵 트로피 팬 행사(온누리)</t>
  </si>
  <si>
    <t>주말 날씨 스케치</t>
  </si>
  <si>
    <t>강선우 전 보좌진 출석(이자연)</t>
  </si>
  <si>
    <t>올림픽 비정상회담(온누리)</t>
  </si>
  <si>
    <t>18일
(일)</t>
  </si>
  <si>
    <t>김경 경찰 퇴장 (임지은)</t>
  </si>
  <si>
    <t>스피드스케이팅 대표팀 출국</t>
  </si>
  <si>
    <t>김경 경찰 소환 (임지은)</t>
  </si>
  <si>
    <t>[MNG] 김경 경찰 출석 (임지은)</t>
  </si>
  <si>
    <t>스켈레톤 정승기 인터뷰 (오선민)</t>
  </si>
  <si>
    <t>신천지 과천교회 스케치 (윤정환)</t>
  </si>
  <si>
    <t>육아 챗GPT 활용(공다솜)</t>
  </si>
  <si>
    <t>대학등록금 인상 관련 외대 기자회견</t>
  </si>
  <si>
    <t>LH 분양 당첨 피해자 인터뷰 (정아람)</t>
  </si>
  <si>
    <t>뉴스룸 라이브(하혜빈)</t>
  </si>
  <si>
    <t>조진희 동작구의회 압수수색 (송혜수)</t>
  </si>
  <si>
    <t>래미안 원펜타스 외경(전다빈)</t>
  </si>
  <si>
    <t>애경산업 본사 취재(박준우)
코스피 종가SK</t>
  </si>
  <si>
    <t>김순환 서민민생대책위 사무총장 마포 공공수사대 고발인 조사</t>
  </si>
  <si>
    <t>배드민턴 안세영 귀국 (오선민)</t>
  </si>
  <si>
    <t>김형석 독립기념관장 해임 의결(임지은)</t>
  </si>
  <si>
    <t>쿠팡 입점업체 인터뷰(임지수)</t>
  </si>
  <si>
    <t>사옥 인터뷰 촬영(강나윤)</t>
  </si>
  <si>
    <t>무인기 관련 취재 (신진)</t>
  </si>
  <si>
    <t>근우회/이희자 아파트 스케치 (윤정환)</t>
  </si>
  <si>
    <t>아내 구더기 방치 부사관 남편 유족 인터뷰 (양정진)</t>
  </si>
  <si>
    <t>1. 밀라노올림픽 자료정리
2. 신천지관련 사내 인터뷰(강나윤)</t>
  </si>
  <si>
    <t>독감 관련 소아과 취재(성화선)</t>
  </si>
  <si>
    <t>신지아 피겨스케이팅 4대륙대회 출국 (강나현)</t>
  </si>
  <si>
    <t>강선우 광수단 출석</t>
  </si>
  <si>
    <t>법조 지원</t>
  </si>
  <si>
    <t>1. 애경치약 관련 식약처 브리핑(최연수)
2. 코스피 종가 스케치</t>
  </si>
  <si>
    <t>(밀착) 구조대원 훈련 밀착 (정희윤)</t>
  </si>
  <si>
    <t>혹한기 훈련 출장(~22)</t>
  </si>
  <si>
    <t>신천지 교인 국민의힘 가입 인터뷰(김영민)</t>
  </si>
  <si>
    <t>이지희 광수단 출석</t>
  </si>
  <si>
    <t>경기 화성시 중학교 급식실 사고 영양교사 송치관련 탄원서</t>
  </si>
  <si>
    <t>출근길 한파 스케치</t>
  </si>
  <si>
    <t>개인정보보호위원장 기자 간담회</t>
  </si>
  <si>
    <t>WBC 대표팀 선수단 1차 귀국(채승기)</t>
  </si>
  <si>
    <t>서울동부지검 보이스피싱 합수단 브리핑</t>
  </si>
  <si>
    <t>강선우 서울청 광수단 귀가</t>
  </si>
  <si>
    <t>무인기 사건 관련 압수수색</t>
  </si>
  <si>
    <t>25년 마약밀수 단속 현황 브리핑 (정아람)</t>
  </si>
  <si>
    <t>한덕수 법정구속 취재</t>
  </si>
  <si>
    <t>내란우두머리 방조 한덕수 전 총리 1심 선고 기자연결</t>
  </si>
  <si>
    <t>진천 스포츠과학센터 인터뷰(이예원)</t>
  </si>
  <si>
    <t>내란우두머리 방조 한덕수 전 총리 1심 선고 풀</t>
  </si>
  <si>
    <t>이예다 광수단 출석(송혜수)</t>
  </si>
  <si>
    <t>김병기 차남 재직 업체 압색 (송혜수)
코스피5000 돌파</t>
  </si>
  <si>
    <t>용인 반도체 이전 논란 (박소연)</t>
  </si>
  <si>
    <t>이준석 대표 인터뷰 (박창규)</t>
  </si>
  <si>
    <t>위례 인터뷰 (이자연)</t>
  </si>
  <si>
    <t xml:space="preserve">한파로 결빙 된 바다 취재 </t>
  </si>
  <si>
    <t>구룡마을 취재 스케치 (하혜빈)</t>
  </si>
  <si>
    <t>한파 출근길스케치</t>
  </si>
  <si>
    <t>헌혈의집 두쫀쿠 이벤트 (송승환)</t>
  </si>
  <si>
    <t>한파 무료급식소 취재(최연수)</t>
  </si>
  <si>
    <t>올림픽 결단식</t>
  </si>
  <si>
    <t>브릿지 촬영 (박상욱)</t>
  </si>
  <si>
    <t>코스피 5000 하나은행 딜링룸</t>
  </si>
  <si>
    <t>전광훈 서부지검 송치 (임지은)
코스피 5000 돌파</t>
  </si>
  <si>
    <t>밀착카메라) 수중 구조대 훈련sk (정희윤)</t>
  </si>
  <si>
    <t>압구정 현대 외경 스케치 및 부동산 인터뷰 (김재현)</t>
  </si>
  <si>
    <t>슈퍼히어로즈 장기기증 기획 (장영준)</t>
  </si>
  <si>
    <t>동탄역 일대 사이비 주교 만남 시도 (강나윤)</t>
  </si>
  <si>
    <t>챗GPT 의료 목적 사용 전문가인터뷰 (공다솜)</t>
  </si>
  <si>
    <t>기획사 사기 인터뷰( 박현주)</t>
  </si>
  <si>
    <t>캄보디아 부부사기단 송환 (김서하)
강화 바다 결빙 취재</t>
  </si>
  <si>
    <t>김병기 관련 동작서 압색 (김휘란)</t>
  </si>
  <si>
    <t>강선우 전 보좌관 출석 (김휘란)
코스피5000 돌파</t>
  </si>
  <si>
    <t>이예다 광수단 출석</t>
  </si>
  <si>
    <t>(밀착) 구조대원 훈련 밀착 (정희윤) 출장 2일차</t>
  </si>
  <si>
    <t>구로구 오피스텔 정전 (임지은)
인천 부평구 존속폭행치사 딸 긴급체포 (임지은)</t>
  </si>
  <si>
    <t>용산 이마트점 내 금 자판기 sk (안지현)</t>
  </si>
  <si>
    <t xml:space="preserve">김병기 차남 숭실대 의혹 관련 전 총장 소환조사
날씨 스케치 </t>
  </si>
  <si>
    <t xml:space="preserve">마곡13단지힐스테이트마스터 외경sk (전다빈)
김경 시의원 자택 등 압수수색 </t>
  </si>
  <si>
    <t>신천지 선거운동 동원 제보자 인터뷰</t>
  </si>
  <si>
    <t>문서스케치</t>
  </si>
  <si>
    <t>휴일 한파 스케치</t>
  </si>
  <si>
    <t>날씨 인터뷰 (하혜빈)</t>
  </si>
  <si>
    <t>홈플러스 노동자 임금체불 관련 기자회견 (이희령)</t>
  </si>
  <si>
    <t>농협 물가안정 프로젝트 현장방문</t>
  </si>
  <si>
    <t>봅슬레이 4인승 공개 훈련 및 인터뷰 (오선민)</t>
  </si>
  <si>
    <t>권대중 교수 인터뷰 (김재현)</t>
  </si>
  <si>
    <t>홈플러스 달걀 스케치 (박상욱)</t>
  </si>
  <si>
    <t>언론노조 KBS본부 긴급 기자회견</t>
  </si>
  <si>
    <t>문서 스케치 촬영</t>
  </si>
  <si>
    <t>쿠팡 유령 업체들 등기부 등본 sk (임지수)</t>
  </si>
  <si>
    <t>신규원전건설 반대 기자회견(박상욱)</t>
  </si>
  <si>
    <t>이해찬 운구 서울대병원 장례식장</t>
  </si>
  <si>
    <t>배리어프리 키오스크 현장 점검 (송승환)</t>
  </si>
  <si>
    <t xml:space="preserve">이상문학상 시상식 (강나현)
코스피 5000 </t>
  </si>
  <si>
    <t>1. 아침&amp; 기자연결 (박사라)
2. 1200억원대 짝퉁 쇼핑몰 적발 관련 브리핑</t>
  </si>
  <si>
    <t>바이애슬론 최두진 선수 화상 인터뷰 (홍지용)</t>
  </si>
  <si>
    <t>1. 서울시의회 김경 징계 윤리특별위원회/후 브리핑
2. 이해찬 운구 서울대병원 장례식장</t>
  </si>
  <si>
    <t>컬링 스포츠과학 + 언론공개 훈련 취재 (오선민)</t>
  </si>
  <si>
    <t>은평경찰서 형사 미담 관련 취재 (김서하)</t>
  </si>
  <si>
    <t>스켈레톤 정승기 올림픽 출국 (오선민)</t>
  </si>
  <si>
    <t xml:space="preserve"> 거주지 무단이탈 조두순 선고 (배양진)</t>
  </si>
  <si>
    <t>원주 신천지 빌립지파 간부 인터뷰</t>
  </si>
  <si>
    <t>인천 불법 성매매업소 제보자 인터뷰</t>
  </si>
  <si>
    <t>코스피 5100 돌파 전광판 (정아람)</t>
  </si>
  <si>
    <t>이해찬 전 총리 빈소 취재 (정인아)</t>
  </si>
  <si>
    <t>김건희 1심 선고 중앙지법 연결</t>
  </si>
  <si>
    <t>서울시교육감 신년 기자간담회 (성화선)</t>
  </si>
  <si>
    <t>이해찬 전 총리 빈소 취재</t>
  </si>
  <si>
    <t>다큐 스탠드업 촬영 (안지현)</t>
  </si>
  <si>
    <t>서울시, 부동산 대책 관련 입장 표명</t>
  </si>
  <si>
    <t>1. 산업재해자 가족 인터뷰
2. 설탕세 관련 시민+전문가 인텁</t>
  </si>
  <si>
    <t>여한구 통상교섭본부장 출국</t>
  </si>
  <si>
    <t>1. 김병기 인사 개입 의혹 쿠팡 압수수색
2. 체육기자상 시상식</t>
  </si>
  <si>
    <t>부동산 대책 현장 취재</t>
  </si>
  <si>
    <t>남양주, 구리 일대 부동산 취재</t>
  </si>
  <si>
    <t>1. 스포츠과학원 기획 취재_봅슬레이 
2. 스포츠과학원 기획 취재_바이애슬론 (홍지용)</t>
  </si>
  <si>
    <t>1. 스키점프 복장 관련 인터뷰
2. 알리&amp;테무 해외직구 제품 국내 안전기준 부적합 관련 취재</t>
  </si>
  <si>
    <t>강릉 컬링 김은정, 김영미 해설위원 인터뷰 (박현주)</t>
  </si>
  <si>
    <t>정신과 의사 성추행 자료화면 촬영 (박호연)</t>
  </si>
  <si>
    <t>김경 마포 광수단 출석 (배양진)</t>
  </si>
  <si>
    <t>상설특검 추가수사 요청 (김휘란)</t>
  </si>
  <si>
    <t>검찰 업무</t>
  </si>
  <si>
    <t>쿠팡 로저스 대표 경찰 출석</t>
  </si>
  <si>
    <t>회사 사옥에서 자료 스케치 촬영 (강나윤)</t>
  </si>
  <si>
    <t>과천 신천지 총회 압색(윤정환)
수원영통 음주차량 경찰 검거</t>
  </si>
  <si>
    <t>한파 날씨 스케치
쿠팡관련 시민인터뷰 (김재현)</t>
  </si>
  <si>
    <t>코스피 전광판 (정아람)</t>
  </si>
  <si>
    <t>의왕 신천지 관련 압색 (배양진)</t>
  </si>
  <si>
    <t xml:space="preserve">밀라노 올림픽 </t>
  </si>
  <si>
    <t>서울청 쿠팡 로저스 출석 MNG (임지은)</t>
  </si>
  <si>
    <t>국토부 보고서 문서 스케치 (김필준)</t>
  </si>
  <si>
    <t>쿠팡 퇴직금 미지급 사건관련 문서SK(임지수)</t>
  </si>
  <si>
    <t>과천 신천지 총회 압색 (윤정환)</t>
  </si>
  <si>
    <t>쿠팡 로저스 대표 경찰 출석 (김서하)</t>
  </si>
  <si>
    <t>올림픽 본단 출국 (이예원)</t>
  </si>
  <si>
    <t>10월</t>
  </si>
  <si>
    <t>꼬마 돌봄 관련 인터뷰(성화선)</t>
  </si>
  <si>
    <t>경기남부청 국가수사본부 중대재해수사팀 발대식(배양진)</t>
  </si>
  <si>
    <t>1.한국학중앙연구원 장서각 취재(이희령)
2.국토부 통합임대주택 통계 공무원전용주택1(정아람)</t>
  </si>
  <si>
    <t>1.채상병 특검 종편풀2
2.뉴스룸MNG-지법(정수아)</t>
  </si>
  <si>
    <t>체코-U20월드컵(홍지용)24~
[아침&amp;MNG] U20 월드컵 관련 현지 연결</t>
  </si>
  <si>
    <r>
      <rPr>
        <rFont val="Malgun Gothic"/>
        <color theme="1"/>
        <sz val="11.0"/>
      </rPr>
      <t xml:space="preserve">울릉도-해양오염(박상욱) </t>
    </r>
    <r>
      <rPr>
        <rFont val="Malgun Gothic"/>
        <color rgb="FFFF0000"/>
        <sz val="11.0"/>
      </rPr>
      <t>복귀만</t>
    </r>
  </si>
  <si>
    <t>(시청)1.SKT 자급제 폰 요금제 신규 출시 브리핑(박준우)
2.공정위 메가커피 제재 관련 인터뷰(임지수)</t>
  </si>
  <si>
    <t>1.대왕고래 관련 전문가 인터뷰(박소연)
2.기후변화 관련 전문가 인터뷰(심가은)</t>
  </si>
  <si>
    <t>1.LG AI 임원 인터뷰(이상화)
2.전국공항노동자연대 총파업대회(박준우)
3.인권위 김용원 해외 출장 취소 보도자료(임지은)</t>
  </si>
  <si>
    <t>1.보훈부 홈페이지 기부 방법(임지은)
2.검역탐지견 상시입양 취재(공다솜)</t>
  </si>
  <si>
    <t>강릉 가뭄 사태(오원석)</t>
  </si>
  <si>
    <t>1.이진숙 헌법소원 제출
2.배우 박근형 인터뷰(강나현)</t>
  </si>
  <si>
    <r>
      <rPr>
        <rFont val="Malgun Gothic"/>
        <color rgb="FF1155CC"/>
        <sz val="11.0"/>
        <u/>
      </rPr>
      <t>1.AI</t>
    </r>
    <r>
      <rPr>
        <rFont val="Malgun Gothic"/>
        <sz val="11.0"/>
      </rPr>
      <t>스타트업(임지수)
2.국토부 통합임대주택 통계 공무원전용주택2(정아람)
3.AI팩토리 M.AX 얼라이언스 전략회의</t>
    </r>
  </si>
  <si>
    <t>폐기물 배출량 관련 문서(김안수)</t>
  </si>
  <si>
    <t>1.남부구치소 교도관 인터뷰(김산)
2.[지금왜]미국 총기사건(최수연)</t>
  </si>
  <si>
    <t>1.채상병 특검 종편풀2
2.이진숙 체포-자택(양빈현)</t>
  </si>
  <si>
    <t>1.코스피3500 2.한국학중앙연구원 설비관련 의원int.(이희령)
3.김병진 의원실 인터뷰(오원석)
4.코스피 관련 전문가 인터뷰+코스피 종가(전다빈)</t>
  </si>
  <si>
    <t>탑골공원 무료급식소(김재현)</t>
  </si>
  <si>
    <t>밀착-성묘 풍경 취재(이은진)</t>
  </si>
  <si>
    <t>1.보이스피싱 관련 변호사 인터뷰(송혜수)
2.국군복지단 내 px 촬영(조보경)
3.쇼핑몰 모니터sk(조보경)</t>
  </si>
  <si>
    <t>(시청)SK AI 관계자 인터뷰(이상화)</t>
  </si>
  <si>
    <t>뉴스룸MNG-인천공항(임지수)</t>
  </si>
  <si>
    <t>1.[지금왜]서방, 팔레스타인 '국가' 인정 의미(강나윤)
2.구로역 1번출구 육교 취재(정아람)</t>
  </si>
  <si>
    <t>미입양 은퇴 군견(공다솜)</t>
  </si>
  <si>
    <t>1.서울역 추석 귀성길 시작 + 시민 인터뷰(임지은) 
2.이진숙 체포-영등포서(양빈현)</t>
  </si>
  <si>
    <t>1.대왕고래 관련 문서 스케치(박소연)
2.문서스케치(류정화)</t>
  </si>
  <si>
    <t>거짓 기부영수증 문서 sk(강희연)</t>
  </si>
  <si>
    <t>이진숙 체포 조사 영등포서 상황취재(김휘란)</t>
  </si>
  <si>
    <t>추석연휴 휴일스케치</t>
  </si>
  <si>
    <t>칠레-U20월드컵(홍지용) 24~</t>
  </si>
  <si>
    <t>각 부처 비화폰 기록 관련 의원실 자료 스케치(정수아)</t>
  </si>
  <si>
    <t>국민대 이사장 출국 논란 문서스케치(이희정)</t>
  </si>
  <si>
    <r>
      <rPr>
        <rFont val="Malgun Gothic"/>
        <color theme="1"/>
        <sz val="11.0"/>
      </rPr>
      <t xml:space="preserve">기후변화 관련  일본/훗카이도(정해성) </t>
    </r>
    <r>
      <rPr>
        <rFont val="Malgun Gothic"/>
        <color rgb="FFFF0000"/>
        <sz val="11.0"/>
      </rPr>
      <t>복귀</t>
    </r>
    <r>
      <rPr>
        <rFont val="Malgun Gothic"/>
        <color theme="1"/>
        <sz val="11.0"/>
      </rPr>
      <t xml:space="preserve">
9/29-10/3</t>
    </r>
  </si>
  <si>
    <t>주변 상인 중국인 관광객 인터뷰(임지은)</t>
  </si>
  <si>
    <t>자유대학 혐중집회 MNG(임지은)</t>
  </si>
  <si>
    <t>국립부곡병원 문서 sk(강희연)</t>
  </si>
  <si>
    <t>연휴 귀성객스케치</t>
  </si>
  <si>
    <t>뉴스룸MNG-남부지법(정수아)</t>
  </si>
  <si>
    <t xml:space="preserve">박재현 </t>
  </si>
  <si>
    <t>김건희 특검 대기</t>
  </si>
  <si>
    <t>칠레-U20월드컵(홍지용)24~</t>
  </si>
  <si>
    <t>소방청119고시 해킹 관련 홈페이지(안지현)</t>
  </si>
  <si>
    <t>이진숙 구속적부심 취재</t>
  </si>
  <si>
    <t>뉴스룸MNG-서울역(양정진)</t>
  </si>
  <si>
    <t>날씨스케치-망원한강공원</t>
  </si>
  <si>
    <t>밀착-청주 성묘 풍경 취재(이은진)</t>
  </si>
  <si>
    <t>친일파 재산 환수(함민정)</t>
  </si>
  <si>
    <t>1.서울역 스케치
2.서울톨게이트 스케치</t>
  </si>
  <si>
    <t>1.서초(내란,채상병) 연휴 대기
2.날씨스케치-반포대교</t>
  </si>
  <si>
    <t>김정관, 한미 산업장관 회담 후 귀국(박소연)</t>
  </si>
  <si>
    <t>한남 재개발 3구역 갈등(박준우)</t>
  </si>
  <si>
    <t>추석 풍경 및 날씨(이희령)</t>
  </si>
  <si>
    <t>축구대표팀 훈련 및 인터뷰(채승기)</t>
  </si>
  <si>
    <t>뉴스룸MNG-죽전휴게소(배양진)</t>
  </si>
  <si>
    <t xml:space="preserve">브라질 전 앞둔 축구대표팀 완전체 훈련 </t>
  </si>
  <si>
    <t>추석 차례상 절반도 안 지낸다 시민 인터뷰(리서처)</t>
  </si>
  <si>
    <t>귀경길 고속도로 MNG (김산)</t>
  </si>
  <si>
    <t>서울톨게이트 스케치</t>
  </si>
  <si>
    <t>대통령실일정</t>
  </si>
  <si>
    <t>김건희 특검 연휴 대기(단독)</t>
  </si>
  <si>
    <t>휴일 sk 경복궁(임예은)</t>
  </si>
  <si>
    <t>밀착 경주-템플스테이(정희윤)</t>
  </si>
  <si>
    <t>&lt;MNG&gt; 명절 연휴 휴일풍경(오원석) / 에버랜드</t>
  </si>
  <si>
    <t>종로 금가게 취재(정아람)
김건희 특검 연휴 대기(단독)</t>
  </si>
  <si>
    <t>날씨 sk / 하늘공원 (단독)
응암동 초등생 유괴 미수(양빈현)</t>
  </si>
  <si>
    <t>1.AI가 과일 골라 준다 관련 앱 실행 모습 sk(박소연)
2.문서sk, 삼부토건 관련(김지윤)</t>
  </si>
  <si>
    <t>1.휴일 및 날씨 스케치
2.한글날 외국인 인터뷰(박상욱)</t>
  </si>
  <si>
    <t>축구 대표팀 브라질전 공식 훈련, 기자회견(온누리)</t>
  </si>
  <si>
    <t>연휴스케치-국중박-교보문고(강나현)</t>
  </si>
  <si>
    <t>1.이시각 뉴스 서울톨게이트 고속도로 MNG(임지은)
2.귀경스케치 및 인터뷰(임지은)</t>
  </si>
  <si>
    <t>이태원 참사 출동 경찰관 인터뷰(박창규)</t>
  </si>
  <si>
    <t>화성 음주추정 사고 현장 스케치(송혜수)</t>
  </si>
  <si>
    <t>뉴스룸 서울요금소 기자연결(임지은)</t>
  </si>
  <si>
    <t>국감-한양대병원 sk, 관계자 입장(함민정)</t>
  </si>
  <si>
    <t>밀착 경주-템플스테이</t>
  </si>
  <si>
    <t>일산 교통사고 현장(이자연)</t>
  </si>
  <si>
    <t>의정부 교통사고(김영민)</t>
  </si>
  <si>
    <t>석근이지만 난임관련으로 연차</t>
  </si>
  <si>
    <t>칠레-U20월드컵(홍지용)24~
[아침&amp;MNG] U20 월드컵 관련 현지 연결(홍지용)</t>
  </si>
  <si>
    <t>1.법무부 입차 출입 및 영상회의 결과 문서(박창규)
2.축구대표팀 브라질전(온누리)</t>
  </si>
  <si>
    <t>1.책sk(김재현)
2.군 도박 실태 관련 문서(이희정)</t>
  </si>
  <si>
    <t>(탐사)이태원 다큐 인터뷰(이한길)</t>
  </si>
  <si>
    <t>[아침&amp;MNG] 조용익 부천시장 화상연결(김산)</t>
  </si>
  <si>
    <t>1.코스피,환율-증권거래소
2.코스피와 환율 관련 인터뷰 및 장마감 스케치(전다빈)</t>
  </si>
  <si>
    <t>왼손 피아니스트 이훈 인터뷰(김재현)</t>
  </si>
  <si>
    <t>허혜민 키움증권 책임연구원</t>
  </si>
  <si>
    <t>칠레-U20월드컵(홍지용)24~14</t>
  </si>
  <si>
    <t>1.서초(내란,채상병) 특검 대기1
2.날씨스케치-반포대교</t>
  </si>
  <si>
    <t>서초(내란,채상병) 특검 대기2</t>
  </si>
  <si>
    <t>&lt;MNG&gt; 뉴스룸 국회 (김필준)</t>
  </si>
  <si>
    <t>&lt;MNG&gt; 뉴스룸 박찬대 의원 (배양진)</t>
  </si>
  <si>
    <t>축구대표팀 파라과이전 대비 훈련 및 인터뷰(온누리)</t>
  </si>
  <si>
    <t xml:space="preserve">날씨 스케치 </t>
  </si>
  <si>
    <t>가평 식당 화재(김휘란)</t>
  </si>
  <si>
    <t>1.윤성혁 전 삼성전자 전무 int.(장르가 머니)
2.쿠팡 취업규칙 변경 사건 관련_김주영 의원 int(임지수)</t>
  </si>
  <si>
    <t>TV홈쇼핑 협회 취재(최재원)</t>
  </si>
  <si>
    <t>축구대표팀 공식 기자회견(온누리)</t>
  </si>
  <si>
    <t>영화 중간계 보도국 라운드(강나현)</t>
  </si>
  <si>
    <t>(지법등록)테니스 페더러 유니클로 유소년 행사(오선민)</t>
  </si>
  <si>
    <t xml:space="preserve">의정부시 아파트 칼부림 취재 현장(임지은) </t>
  </si>
  <si>
    <t>1.통일교육원 스케치(심가은)
2.밀착-태극기 무단게양 단체 관련 취재(이은진)</t>
  </si>
  <si>
    <t>(지법등록)캄보디아 감금 피해자 인터뷰(양정진)</t>
  </si>
  <si>
    <t>(지법등록)1.채상병 특검 종편풀2
2.캄보디아 출장(김영민)13~</t>
  </si>
  <si>
    <t>1.세번째 규제 앞둔 부동산 현장 분위기(전다빈)
2.뉴스룸MNG-국회(김안수)</t>
  </si>
  <si>
    <t>1.통일교 포교 활동(이희정)
2.통일교육원 일감 몰아주기 문서(심가은)
3.역도 박혜정 귀국 인터뷰(전영희)</t>
  </si>
  <si>
    <t>대치동 은마아파트 재건축 현장 방문 (시청POOL 순번)</t>
  </si>
  <si>
    <t>축구대표팀 파라과이전 믹스트존 및 기자회견(온누리)</t>
  </si>
  <si>
    <t>손병두 대한민국역사와미래재단 이사장 int.(장르가 머니)</t>
  </si>
  <si>
    <t>수원지법 이화영 공판준비기일(송혜수)촬영x</t>
  </si>
  <si>
    <t>1.코스피 종가
2.이가혁 라이브/MNG 국회 인터뷰</t>
  </si>
  <si>
    <t>가뭄관련 문서 sk(오원석)</t>
  </si>
  <si>
    <t>스피드스케이팅 선발전(채승기)</t>
  </si>
  <si>
    <t>1.채상병 특검 종편풀2
2.동부지검 임은정 퇴근길 팔로우(송혜수)</t>
  </si>
  <si>
    <t>박성재 전 장관 영장실질심사 결과대기 종편풀</t>
  </si>
  <si>
    <t>한인구조단 캄보디아 구조 관련 기자회견(임예은)</t>
  </si>
  <si>
    <t>1.김건희 특검,박경호 변호사 기자회견
2.안창호 인권위원장 비판, 이숙진 위원 인터뷰(김휘란)</t>
  </si>
  <si>
    <t>캄보디아 출장(김영민)13~
뉴스룸MNG-캄보디아(김영민)</t>
  </si>
  <si>
    <t>캄보디아 주재 한국 대사관 공지문 스케치(정해성)</t>
  </si>
  <si>
    <t>쿠팡 취업규칙 변경 사건 관련 문서(임지수)</t>
  </si>
  <si>
    <t>쿠팡 취업규칙 변경 관련 하은성 노무사 인터뷰(임지수)</t>
  </si>
  <si>
    <t>순직 해경 당직 팀장 영장실질(양빈현) kill</t>
  </si>
  <si>
    <t>1.경제부총리 미국 출장 출발
2.코로나백신접종 유족 인터뷰(공다솜)
3.비만약 치료제 관련 국회의원 인터뷰(공다솜)</t>
  </si>
  <si>
    <t>1.MBC 고 오요안나 유족 합동 기자회견(임예은)
2.남산 케이블카 스케치, 외국인 인터뷰(최재원)</t>
  </si>
  <si>
    <t>1.동탄 오피스텔 칼부림 사건(송혜수)
2.하은호 군포시장 영장실질(배양진)종편풀</t>
  </si>
  <si>
    <t>이재 라운드 +윤가은 감독 라운드(강나현)</t>
  </si>
  <si>
    <t>(밀착) 북촌 통행금지(정희윤)</t>
  </si>
  <si>
    <t>1.손흥민 출국(홍지용)
2.캄보디아 정부합동대응반 출국</t>
  </si>
  <si>
    <t>종목별 스피드스케이팅 선수권대회(채승기)</t>
  </si>
  <si>
    <t>(시청)1.김건희 특검 종편풀1
2.카자흐스탄 알라타우 신도시 글로벌 로드쇼(이상화)</t>
  </si>
  <si>
    <t>1.사라진 학교 앞 스마트표지판(김산)
2.뉴스룸MNG-내란특검(김혜리)</t>
  </si>
  <si>
    <t>1.홍대인근 주택화재(임예은)
2.부동산 규제 발표 관련 현장(이상화)</t>
  </si>
  <si>
    <t>쿠팡관련 문서(임지수)</t>
  </si>
  <si>
    <t>손욱 전 삼성종합기술원장 int</t>
  </si>
  <si>
    <t>부동산정책 관련 은행 분위기(정아람)</t>
  </si>
  <si>
    <t>1.김건희 특검 종편풀2
2.농협중앙회 압수수색(임예은)</t>
  </si>
  <si>
    <t>1. 유튜브 오류화면
2. 한국거래소 최고가경신 취재</t>
  </si>
  <si>
    <t>밀착-부천 BJ 후속(이은진)</t>
  </si>
  <si>
    <t>노원 상계동 재건축 단지 취재(전다빈)</t>
  </si>
  <si>
    <t>고대안암병원 장기이식 대기자 인터뷰(공다솜)</t>
  </si>
  <si>
    <t>1.강서구 환경미화원 사망 사고(양빈현)
2.코스피 종가(이상화)</t>
  </si>
  <si>
    <t>민간합동 희토류 산업안보 대응회의 취재(박소연)</t>
  </si>
  <si>
    <t>1.동부지검 백해룡 출근길(배양진)
2.(시청)김건희 특검 종편풀1</t>
  </si>
  <si>
    <t>최태원 방미(박소연)</t>
  </si>
  <si>
    <t>[그룹사회공헌] 2025하반기 농촌봉사 활동</t>
  </si>
  <si>
    <t>아프리카 구호활동 안과의사 인터뷰(성화선)</t>
  </si>
  <si>
    <t>1.김정관 장관 관세협상 출국(박소연)
2.김용범 정책실장 관세협상 출국
3.[지금왜] 캄보디아(백민경)</t>
  </si>
  <si>
    <t>인권위원회 손현보 목사 안건 긴급 상정(임지은)</t>
  </si>
  <si>
    <t>독립기념관점거농성 해제 기자회견(조보경)</t>
  </si>
  <si>
    <t>1.담배기획 관련해 전문가 인터뷰(성화선)
2.성공률 20%' "최소 5번 파야 한다"던 대왕고래 문서sk</t>
  </si>
  <si>
    <t>주식개장가 스케치</t>
  </si>
  <si>
    <t>경기도청 국감 TEST</t>
  </si>
  <si>
    <t>1. 캄보디아 범죄관련 인천공항 인력배치(양빈현)
2. UNODC 동남아범죄 위협 경보 2025년 보고서(이지은)</t>
  </si>
  <si>
    <t>1.독감 증가 관련해 소아과취재(성화선)
2.파주운정3지구 외경 (정아람x)</t>
  </si>
  <si>
    <t>여의도 아파트 광고판 빛공해(김휘란)</t>
  </si>
  <si>
    <t>(시청)1.김건희 특검 종편풀
2. KT 소비자 피해 기자회견</t>
  </si>
  <si>
    <t>이승한 넥스트앤파트너스 회장</t>
  </si>
  <si>
    <t>날씨 리포트 현장취재(이희령)</t>
  </si>
  <si>
    <t>(밀착) 부천역 BJ (이은진)</t>
  </si>
  <si>
    <t>캄보디아 한국인 송환관련 경찰단 출국 모습 취재</t>
  </si>
  <si>
    <t>캄보디아 출장(김영민)13~</t>
  </si>
  <si>
    <t>광주-87살 무료 봉사 이발사 취재(김재현)</t>
  </si>
  <si>
    <t>경기북부경찰청, 캄보디아 송환자 15명 이동</t>
  </si>
  <si>
    <t>캄보디아 구금 한국인 귀국 / 인천공항</t>
  </si>
  <si>
    <t>국회일정 (인천공항, 캄보디아 구금 한국인 송환)</t>
  </si>
  <si>
    <t>풍선 효과 이야기 나오는 동탄,  부동산 취재</t>
  </si>
  <si>
    <t>06:00 캄보디아 구금 한국인 귀국 관련 pool / 인천공항</t>
  </si>
  <si>
    <t xml:space="preserve">부천 오피스텔 추락사고 </t>
  </si>
  <si>
    <t>김용범 정책실장 귀국 뉴스룸 MNG 연결(윤샘이나)</t>
  </si>
  <si>
    <t>캄보디아 관련 경찰청 뉴스룸 MNG(양정진)</t>
  </si>
  <si>
    <t>1.김건희 특검 주말대기
2.날씨 스케치</t>
  </si>
  <si>
    <t>APEC 준비현황 스케치</t>
  </si>
  <si>
    <t>1.캄보디아 - 한국인 대학생  부검 국과수 출국
2.김용범 정책실장 귀국</t>
  </si>
  <si>
    <t>캄보디아 경찰 경찰청 방문(정해성)</t>
  </si>
  <si>
    <t>1.월세 가격 상승 아파트sk(정아람)
2.공인중개사 인터뷰(정아람)</t>
  </si>
  <si>
    <t>1.경기도청 국정감사
2.성남 교육지원청 압수수색</t>
  </si>
  <si>
    <t>1.날씨스케치-광화문
2.김건희 특검 종편풀1</t>
  </si>
  <si>
    <t>김정관 산업부 장관 귀국(박소연)</t>
  </si>
  <si>
    <r>
      <rPr>
        <rFont val="Malgun Gothic"/>
        <color rgb="FFFF0000"/>
        <sz val="11.0"/>
      </rPr>
      <t>시청국감으로 일반근무로 출근</t>
    </r>
    <r>
      <rPr>
        <rFont val="Malgun Gothic"/>
        <color theme="1"/>
        <sz val="11.0"/>
      </rPr>
      <t xml:space="preserve">
(시청)서울시청 국정감사</t>
    </r>
  </si>
  <si>
    <t>경주 황남동 120호분 발굴조사 기자간담회(강나현)</t>
  </si>
  <si>
    <t>김승희 자녀 학폭 논란 보고서(이희정)</t>
  </si>
  <si>
    <t>봅슬레이x자메이카대표팀 합동훈련(이예원)</t>
  </si>
  <si>
    <t>날씨스케치-연남동(이희령)</t>
  </si>
  <si>
    <t>부동산 세금 인상 관련 주민 인터뷰(이상화)</t>
  </si>
  <si>
    <t>1.날씨스케치-여의도
2.안산 단원구 10대 딸 살인사건 현장(송혜수)</t>
  </si>
  <si>
    <t>1.김범수 카카오 위원장 남부지법 출석(양빈현)
2.담배정보공개 기획 전문가인터뷰(성화선)</t>
  </si>
  <si>
    <t>부산 전국체전 21~22 (이예원)</t>
  </si>
  <si>
    <t>주택연금 금융서비스(김도훈)</t>
  </si>
  <si>
    <t>캄보디아 지인 인터뷰(이자연)</t>
  </si>
  <si>
    <t>거스포옛 상벌위원회(홍지용)</t>
  </si>
  <si>
    <t>1.캄보디아 대학생 유해송환(이서준)
2.센터빌딩 화재2(임지은)</t>
  </si>
  <si>
    <t>1.(시청)김건희 특검 종편풀
2.센터빌딩 화재1(임지은)</t>
  </si>
  <si>
    <t>1.코스피 종가(전다빈)
2.유용원 의원 인터뷰(구민주)
3.장병 처우 관련 당사자 인터뷰(구민주)</t>
  </si>
  <si>
    <t>아침뉴스MNG-인천공항 캄보디아 유해송환(오선민)</t>
  </si>
  <si>
    <t>1.강남역 출근길 스케치
2.G마켓-알리바바 합작 미디어데이(박소연)</t>
  </si>
  <si>
    <t>쇼트트랙 대표팀 귀국(홍지용)</t>
  </si>
  <si>
    <t>캄보디아 구금인 영장실질(임예은)</t>
  </si>
  <si>
    <t>스테이블코인 다큐멘터리(박준우)</t>
  </si>
  <si>
    <t>국가유산기능인 작품전 개막식(김재현)</t>
  </si>
  <si>
    <t>1.김용범 정책실장 미국 출국
2.키성장 클리닉 외경 SK(공다솜)</t>
  </si>
  <si>
    <t>1.K리그 파이널라운드 미디어데이(홍지용)
2.한국교육시설안전원 영상 모니터스케치(이희령)</t>
  </si>
  <si>
    <t>1.영기협 시상식
2.도심 공공주택 복합사업 현장방문 및 간담회(정아람)</t>
  </si>
  <si>
    <t>박경리 문학상 기자간담회(강나현)</t>
  </si>
  <si>
    <t>내일 포럼1</t>
  </si>
  <si>
    <t>인천 킥보드 사고 스케치(양빈현)</t>
  </si>
  <si>
    <t>밀착-포항영일만 APEC 관련 보안문제(정희윤)</t>
  </si>
  <si>
    <t>1.채상병 특검 종편풀2
2.뉴스룸MNG-중앙지법(윤정주)</t>
  </si>
  <si>
    <t>내일 포럼2</t>
  </si>
  <si>
    <t>날씨스케치-합정</t>
  </si>
  <si>
    <t>1.영기협 시상식 대리수상
2.미성년자 호스트 카페 관련 인터뷰 및 스케치(양정진)</t>
  </si>
  <si>
    <t>국방부 국정감사</t>
  </si>
  <si>
    <t>1.담배 유해성(이희정)
2.스테이블코인 다큐멘터리(박준우)</t>
  </si>
  <si>
    <t>1.뉴스룸MNG-중앙지법(박사라)
2.채상병 특검관련자 영장실질심사 결과대기
3.한미관세협상 김용범 실장, 김정관 장관 입국</t>
  </si>
  <si>
    <t>경기 화성 송산그린시티 서측지구(정수아)</t>
  </si>
  <si>
    <t>한국은행 금통위 풀</t>
  </si>
  <si>
    <t>1.서울경찰청 국정감사(이서준)
2.대치동 학원가 중고등학생 킥보드 탑승(양빈현)
3.환율 스케치(전다빈)</t>
  </si>
  <si>
    <t>(시청)1.시청 국점감사
2.고리 2호기 계속 운전 심사(박소연)</t>
  </si>
  <si>
    <t>1.희토류 관련 국가희소금속센터 촬영(박소연)
2.극우단체 기습집회 여부(이희령)
3.수협 대출 사랑제일교회 매입 건물 및 부지 외경(배양진)</t>
  </si>
  <si>
    <t xml:space="preserve">2일차 밀착-포항영일만 APEC 관련 보안문제(정희윤) </t>
  </si>
  <si>
    <t>1.국립중앙박물관 관람객 500만돌파(김재현)
2.이상경 국토차관 발언 시민 인터뷰(리서처)</t>
  </si>
  <si>
    <t>1.중계기 전기료 관련(임지수)
2.수협 사랑제일교회 대출 관련 서류 SK(배양진)</t>
  </si>
  <si>
    <t>1.대한소아내분비학회 기자간담회(공다솜)
2.자살상담전화109 센터 개소식(공다솜)
3.캄보디아 피해자 전화 인터뷰(배양진) 4.담배sk(이희정)</t>
  </si>
  <si>
    <t>강릉 호우 관련 취재(조승현)</t>
  </si>
  <si>
    <t>국토차관 갭투자 아파트 외경(정아람)</t>
  </si>
  <si>
    <t>유엔마약범죄사무소 동남아 태평양 지부
부대표 ZOOM 인터뷰(이지은)</t>
  </si>
  <si>
    <t>뉴스룸MNG-이태원 핼러윈 축제(오원석)</t>
  </si>
  <si>
    <t>이태원 할로윈 동행취재(심가은)</t>
  </si>
  <si>
    <t>1.채상병 특검 종편풀2
2.뉴스룸MNG-중앙지법</t>
  </si>
  <si>
    <t>회장배 스피드스케이팅대회(온누리)</t>
  </si>
  <si>
    <t>국무조정실 자료 스케치(정수아)</t>
  </si>
  <si>
    <t>캄보디아 출장(김영민)13~24복귀</t>
  </si>
  <si>
    <t>1.담배기획 문서 스케치(이희정)
2.인권위원회 매뉴얼 초안 자료 스케치(임지은)
3.홍대 호스트 카페 내부 잠입취재(양정진)</t>
  </si>
  <si>
    <t>태릉국제사격장(이예원)</t>
  </si>
  <si>
    <t>1.스피드스케이팅 취재(온누리)
2.이태원 추모식 현장연결</t>
  </si>
  <si>
    <t>청사일정
이태원 참사3주기 추모식</t>
  </si>
  <si>
    <t>대통령실 근무</t>
  </si>
  <si>
    <t>1.위아자 나눔위크(정수아)
2.이태원 추모 행진 취재(김영민)</t>
  </si>
  <si>
    <t>1.HLL시티 포레스티벌 행사취재(김재현)
2.이주노동자 기획 취재(강희연)
3.갭투자 의록 국토부차관 사퇴 문서스케치</t>
  </si>
  <si>
    <r>
      <rPr>
        <rFont val="Malgun Gothic"/>
        <color rgb="FFFF0000"/>
        <sz val="11.0"/>
      </rPr>
      <t xml:space="preserve">(추가근무)
</t>
    </r>
    <r>
      <rPr>
        <rFont val="Malgun Gothic"/>
        <color theme="1"/>
        <sz val="11.0"/>
      </rPr>
      <t>밀착-양양 연어축제(정희윤)</t>
    </r>
  </si>
  <si>
    <t>이태원 추모식 기자연결(김영민)</t>
  </si>
  <si>
    <t>1.서초 특검 대기
2.한국시리즈 미디어데이(채승기)</t>
  </si>
  <si>
    <t>아세안 정상회의</t>
  </si>
  <si>
    <t>1.배우 이자람 인터뷰(강나현)
2.날씨스케치(공다솜)</t>
  </si>
  <si>
    <t>회장배 스케이팅 대회(온누리)</t>
  </si>
  <si>
    <t>한국시리즈 1차전(이예원)</t>
  </si>
  <si>
    <t>밀착-양양 연어축제(정희윤)</t>
  </si>
  <si>
    <t>출근길 추위 스케치</t>
  </si>
  <si>
    <t>프로배구 남자부 신인 드래프트(오선민)</t>
  </si>
  <si>
    <t>경기남부청 브리핑</t>
  </si>
  <si>
    <t>아세안+3 정상회의</t>
  </si>
  <si>
    <t>1.채상병 특검 종편풀
2.서초상황대기</t>
  </si>
  <si>
    <t>이진숙 소환조사 POOL 취재</t>
  </si>
  <si>
    <t>석근 - 이재명 대통령 ASEAN+3 귀국</t>
  </si>
  <si>
    <t>황교안 전 총리 자택 압수수색</t>
  </si>
  <si>
    <t>APEC 출장(~11/1)
APEC 경주 르포(조보경)</t>
  </si>
  <si>
    <t>프로야구 한국시리즈 2차전(이예원)</t>
  </si>
  <si>
    <r>
      <rPr>
        <rFont val="Malgun Gothic"/>
        <color theme="1"/>
        <sz val="11.0"/>
      </rPr>
      <t xml:space="preserve">(시청)1.날씨스케치-광화문
2.김건희특검 박노수, 김경호 특검보 첫 출근길 도어스테핑
3.오현주 국가안보실 3차장 외신기자클럽 간담회 </t>
    </r>
    <r>
      <rPr>
        <rFont val="Malgun Gothic"/>
        <color rgb="FFFF0000"/>
        <sz val="11.0"/>
      </rPr>
      <t>kill</t>
    </r>
  </si>
  <si>
    <t>코스피 4천 전문가 인터뷰(전다빈)</t>
  </si>
  <si>
    <t>위험천만 전동킥보드 현장취재(김산)</t>
  </si>
  <si>
    <t>1.김건희 논문 표절(이희정)
2.피겨 차준환 입국(이예원)</t>
  </si>
  <si>
    <t>1.KOSPI 4000 취재(김민)
2.통신사 전기료 떠넘기기 관련(임지수)</t>
  </si>
  <si>
    <t>1.장미원골목시장 살인사건 현장(오원석)
2.코스피 4천 종가 스케치(전다빈x)</t>
  </si>
  <si>
    <t>겨울철 필수 생활가전 가습기 현장취재(김도훈)</t>
  </si>
  <si>
    <t>1.연극 밤에먹는무화과 촬영(강나현)
2.프로야구 2차전 팬 인터뷰(이예원)</t>
  </si>
  <si>
    <t>이진숙 전 방통위원장 3차 조사(김휘란)
날씨 한파대비용품 스케치 및 시민 인터뷰(박상욱)</t>
  </si>
  <si>
    <r>
      <rPr>
        <rFont val="Malgun Gothic"/>
        <color rgb="FFFF0000"/>
        <sz val="11.0"/>
      </rPr>
      <t xml:space="preserve">지각
</t>
    </r>
    <r>
      <rPr>
        <rFont val="Malgun Gothic"/>
        <color theme="1"/>
        <sz val="11.0"/>
      </rPr>
      <t>채상병 특검 종편풀</t>
    </r>
  </si>
  <si>
    <t>유홍준 간담회(강나현)</t>
  </si>
  <si>
    <t>육아 정책 관련 인터뷰(이희정)</t>
  </si>
  <si>
    <t>경주 APEC</t>
  </si>
  <si>
    <t>서울 수신조(점심출근)</t>
  </si>
  <si>
    <t>APEC 출장</t>
  </si>
  <si>
    <t>배드민턴 대표팀 (안세영) 귀국(오선민)</t>
  </si>
  <si>
    <t>통신사들 합의서 sk(임지수)</t>
  </si>
  <si>
    <t>이태원참사 트라우마 유족 인터뷰(공다솜)</t>
  </si>
  <si>
    <t>킥보드 업체 홈페이지, 앱 스케치(양빈현)</t>
  </si>
  <si>
    <t>펜싱 국대 진천선수촌 훈련 공개 기자간담회(홍지용)</t>
  </si>
  <si>
    <t>[지금왜] 러시아 떠나려는 몰도바... (백민경)</t>
  </si>
  <si>
    <t>nh투자증권 압수수색(전다빈x)</t>
  </si>
  <si>
    <t>1.남부지법 정진태 재심선고 종편 풀
2.대한민국 범죄예방대상 행사 현장취재(김도훈)</t>
  </si>
  <si>
    <t>인천 미추홀구 킥보드사고(김휘란)</t>
  </si>
  <si>
    <t>아내, 영아 교통사고 사망 인터뷰(김영민)</t>
  </si>
  <si>
    <t>부산-을숙도 유리알락하늘소 피해(김재현)</t>
  </si>
  <si>
    <t>1.김건희 특검 종편풀1
2.이태원 3주기 행사(오원석)</t>
  </si>
  <si>
    <t>서울 수신조(평근)</t>
  </si>
  <si>
    <t>APEC 출장
특보,뉴스룸MNG</t>
  </si>
  <si>
    <t>APEC 출장
뉴스룸MNG</t>
  </si>
  <si>
    <t>피겨 차준환 인터뷰(이예원)</t>
  </si>
  <si>
    <t>LG유플러스 보이스피싱 앱 관련(임지수)</t>
  </si>
  <si>
    <t>1.킥보드 사고 지점 스탠덥(양빈현)
2.소녀상 철거 시위 + 정기 시위(이지은)</t>
  </si>
  <si>
    <t>(밀착) 청소년 픽시 자전거(정희윤)</t>
  </si>
  <si>
    <t>1.소녀상 혐오 시위(이희정)
2.김건희 특검 종편풀2</t>
  </si>
  <si>
    <t>오산 화재 후속 취재(심가은)</t>
  </si>
  <si>
    <t>파주 임진각 mng(김민관)</t>
  </si>
  <si>
    <t>김상현 이병 장례식 취재(김재현)</t>
  </si>
  <si>
    <t>대전-한국시리즈(이예원)</t>
  </si>
  <si>
    <t xml:space="preserve"> '이춘재 연쇄살인사건' 관련 고 윤동일씨 재심 선고</t>
  </si>
  <si>
    <t>장 미셀 바스키아 전시 촬영 (강나현)</t>
  </si>
  <si>
    <t>서울 수신조(조근)</t>
  </si>
  <si>
    <t>APEC 출장
뉴스룸 MNG 연결 프레스센터</t>
  </si>
  <si>
    <t>윤정회 용산구의회 의원 인터뷰(송혜수)</t>
  </si>
  <si>
    <t>(시청)1.김건희 특검 종편풀
2.2026년 예산안 기자설명회
3.중앙일보 건강기능 식품대상 시상식(하혜빈)</t>
  </si>
  <si>
    <t>1.런던베이글 뮤지엄 과로사(박상욱)
2.전기차 충전기 스케치(박상욱)</t>
  </si>
  <si>
    <t>1.클린어벤져스 청소 업체 인터뷰(송혜수)
2.런던베이글 뮤지엄 과로사(이희정)</t>
  </si>
  <si>
    <t>엔비디아 젠슨황 깐부치킨 방문</t>
  </si>
  <si>
    <t>코스피 상황(전다빈)</t>
  </si>
  <si>
    <t>APEC 출장
뉴스룸 MNG 연결 코오롱 호텔</t>
  </si>
  <si>
    <t>핸드볼 H리그 미디어데이(채승기)</t>
  </si>
  <si>
    <t>박지성 JS파운데이션 재능학생 후원행사(홍지용)</t>
  </si>
  <si>
    <t>서울 수신조(석근)</t>
  </si>
  <si>
    <t>APEC 출장 복귀</t>
  </si>
  <si>
    <t>APEC 출장
뉴스룸MNG-예술의 전당</t>
  </si>
  <si>
    <t>(시청)1.한강버스 정식운항 재개 관련 브리핑
2.김건희 특검 종편 풀2</t>
  </si>
  <si>
    <t>APEC 출장
뉴스룸MNG-리한호텔(이승환)</t>
  </si>
  <si>
    <t>홍대 핼러윈 스케치</t>
  </si>
  <si>
    <t>증시 종가(전다빈)</t>
  </si>
  <si>
    <t>1.윤호중 행안부 장관, 인파밀집 점검(김영민)
2.뉴스룸MNG-홍대(김영민)</t>
  </si>
  <si>
    <t>11월</t>
  </si>
  <si>
    <t>뉴스룸MNG-홍대(김산)</t>
  </si>
  <si>
    <t>서울시 유아차 런</t>
  </si>
  <si>
    <t>APEC 출장
뉴스룸MNG-경주(최규진)</t>
  </si>
  <si>
    <t>1.이마트 용산점 반값 세일 취재(정아람)
2.프로야구 LG 잠실구장 우승 세리머니(홍지용)</t>
  </si>
  <si>
    <t>날씨스케치
핼러윈 스케치-홍대,이태원(김산)</t>
  </si>
  <si>
    <t>APEC 출장 복귀
뉴스특보MNG-경주(이승환)</t>
  </si>
  <si>
    <t>1.김건희 특검 주말대기
2.구윤철 부총리, 코리아 그랜드 페스티벌 현장행보(정아람)</t>
  </si>
  <si>
    <t>면목동 반지하 주택 화재(송혜수)</t>
  </si>
  <si>
    <t>야구 대표팀 첫 훈련(오선민)</t>
  </si>
  <si>
    <t>1.jtbc 서울마라톤(오선민)
2.날씨스케치</t>
  </si>
  <si>
    <t>젠슨황 기억하는 그래픽카드 점포(임지수)</t>
  </si>
  <si>
    <t>1.날씨 스케치
2.김건희 특검 종편풀1</t>
  </si>
  <si>
    <t>삼양식품 신제품 발표(임지수)</t>
  </si>
  <si>
    <t>깐부치킨 삼성점 스케치(이상화)</t>
  </si>
  <si>
    <t>1.코스피 지수(전다빈)
2.KIC 한국투자공사 본사(정아람)</t>
  </si>
  <si>
    <r>
      <rPr>
        <rFont val="Malgun Gothic"/>
        <color theme="1"/>
        <sz val="11.0"/>
      </rPr>
      <t>sk AI 서밋(박소연) /</t>
    </r>
    <r>
      <rPr>
        <rFont val="Malgun Gothic"/>
        <color rgb="FFFF0000"/>
        <sz val="11.0"/>
      </rPr>
      <t xml:space="preserve"> 지각으로 현장출근</t>
    </r>
  </si>
  <si>
    <t>날씨스케치(여의도)</t>
  </si>
  <si>
    <t>날씨스케치-북한산(이희정)</t>
  </si>
  <si>
    <t>중국 감금 피해자 인터뷰(양정진)</t>
  </si>
  <si>
    <t>피겨 이해인 인터뷰(오선민)</t>
  </si>
  <si>
    <t>건진 브로커 관련 경기남부청 취재(배양진)</t>
  </si>
  <si>
    <t>1.농식품부 슈링크플레이션 외식업계 간담회(공다솜)
2.증시 종가(전다빈)</t>
  </si>
  <si>
    <t>청백봉사상 시상식(이승필)</t>
  </si>
  <si>
    <t>한학자 구속집행 정지-안양 성심병원</t>
  </si>
  <si>
    <t>킥보드 퇴출 관련 온라인 반응 스케치(양빈현)</t>
  </si>
  <si>
    <t>국유재산 매각지 외경(정아람)</t>
  </si>
  <si>
    <t>강동구 칼부림(심가은)</t>
  </si>
  <si>
    <t>국유재산 매각 관련 등기부등본(연지환)</t>
  </si>
  <si>
    <t>야구 대표팀 훈련(채승기)</t>
  </si>
  <si>
    <t>1.김건희 특검 종편풀2
2.노벨상 인기 헝가리 번역서 북토크 현장취재(강나현)</t>
  </si>
  <si>
    <t>김영환 충북지사 소환조사(박호연 수습)</t>
  </si>
  <si>
    <t>보이스피싱 앱(임지수)</t>
  </si>
  <si>
    <t>서울경찰 출근길 집중단속 종편풀(이서준)</t>
  </si>
  <si>
    <t>1.금융감독원 보험사기 신고 모니터스케치(전다빈)
2.윤희근 경찰청장 내정 관련 기사 스케치(정해성)</t>
  </si>
  <si>
    <t>철강 ‘수출공급망강화 보증상품’ 업무 협약식(박소연)</t>
  </si>
  <si>
    <t>관세청 중국 라부부 키링 안전성 검사 결과 브리핑</t>
  </si>
  <si>
    <t>(오전반차)
2025 힌츠페터 국제 보도상 시상식</t>
  </si>
  <si>
    <t>친일파 후손 땅 스케치 촬영(구민주)</t>
  </si>
  <si>
    <t>1.위안부법폐지국민행동 돌발상황 취재 (이희령)
2.(국립중앙의료원) 일본인 교통사고 피해자2(오원석)</t>
  </si>
  <si>
    <t>(시청)임신 중지 약물 관련 약사회 인터뷰(공다솜)</t>
  </si>
  <si>
    <t>이공계 인력 유출 관련 인터뷰(이상화)</t>
  </si>
  <si>
    <t>친일파 후손 땅 매각 관련 보훈부 문서(구민주)</t>
  </si>
  <si>
    <t>안창호 위원장 현대성윤리문화교육원 입장 취재(임지은)</t>
  </si>
  <si>
    <t>jtbc 마라톤 풀코스 완주한 임산부 인터뷰(오선민)</t>
  </si>
  <si>
    <t>전북현대 K리그1 우승 미디어 데이(홍지용)</t>
  </si>
  <si>
    <t>울릉공항 개항 취재(정아람)</t>
  </si>
  <si>
    <t>1.일본인 모녀 음주 영장실질 동대문 경찰서(오원석)
2.(국립중앙의료원) 일본인 교통사고 피해자1(오원석)</t>
  </si>
  <si>
    <t>6년만의 슈퍼문sk</t>
  </si>
  <si>
    <t>1.강남 영어유치원 입학설명회(이희령)
2.지금 왜(백민경)</t>
  </si>
  <si>
    <t>LA다저스 김혜성 입국 기자회견(채승기)</t>
  </si>
  <si>
    <t>통상본부장 케이뷰티 유통업체 실리콘투 방문(박준우)</t>
  </si>
  <si>
    <t>영상기자협회 교육</t>
  </si>
  <si>
    <t>1.마포 광수단 캄보디아 거점 사기조직 검거 브리핑(임예은)
2.스피드스케이팅 국가대표 출국(채승기)</t>
  </si>
  <si>
    <t>데이터센터 전자파 주민 갈등(임지수)</t>
  </si>
  <si>
    <t>1.적십자 회장 인종차별 발언 인권위 진정서 제출(이자연)
2.밀양시, 합동 투자설명회 현장 sk(김도훈)</t>
  </si>
  <si>
    <t>(시청)1.대한적십자 본사 외경(이자연)
2.APEC 훈풍 탄 K뷰티 산업 취재(박준우)</t>
  </si>
  <si>
    <r>
      <rPr>
        <rFont val="Malgun Gothic"/>
        <color theme="1"/>
        <sz val="11.0"/>
      </rPr>
      <t xml:space="preserve">이배용 소환 조사 후 귀가 </t>
    </r>
    <r>
      <rPr>
        <rFont val="Malgun Gothic"/>
        <color rgb="FFFF0000"/>
        <sz val="11.0"/>
      </rPr>
      <t>kill</t>
    </r>
  </si>
  <si>
    <t>1.채상병 특검 종편풀2
2.김건희 특검 아크로비스타 압색 변호사 인터뷰
3.뉴스룸MNG-아크로비스타(조해언)</t>
  </si>
  <si>
    <t>포브스 Y30 AI summit 현장 중계(김도훈)</t>
  </si>
  <si>
    <t>1.채상병 특검 종편풀1
2.김건희 특검 아크로비스타 압색</t>
  </si>
  <si>
    <t>경영 국가대표 선발전(오선민)</t>
  </si>
  <si>
    <t>밀착-교통사고 조사원(정희윤)</t>
  </si>
  <si>
    <t>1.네이버 미디어 컨퍼런스(임지수)
2.온라인 리딩방 사기 피해자 인터뷰(전다빈)</t>
  </si>
  <si>
    <t>1.현대건설 신사업 쇼케이스(이상화)
2.야끼니꾸 드래곤 라운드 인터뷰(강나현)</t>
  </si>
  <si>
    <t>1.채상병 특검 종편풀1
2.5.18 성폭력 피해자 첫 재판 기자회견1(임지은)</t>
  </si>
  <si>
    <t>1.[지금왜]재정건전성? 통치 강화! 극우식 경제실험(강나윤)
2.신세계백화점 점등식 행사(전다빈)</t>
  </si>
  <si>
    <t>음주운전 단속 동행취재 종편풀</t>
  </si>
  <si>
    <t>[아침&amp;] 성남시장 인터뷰(심가은)</t>
  </si>
  <si>
    <t>1.도넘은 AI 마케팅 주의보(박소연)
2.모니터 스케치(이희령)</t>
  </si>
  <si>
    <t>계엄 막은 사람들 인터뷰(류정화)</t>
  </si>
  <si>
    <t>문체부 국가유산청 입장 발표(강나현)</t>
  </si>
  <si>
    <t>데이터센터 전자파 갈등-시흥(임지수)</t>
  </si>
  <si>
    <t>야구 대표팀 훈련 스케치(전영희)</t>
  </si>
  <si>
    <t>스테이블코인 다큐멘터리- 안산 원곡동 취재(박준우)</t>
  </si>
  <si>
    <t>울산 화력발전소 사고현장(김휘란)</t>
  </si>
  <si>
    <t>밀착-인천공항 자기부상열차(이은진)</t>
  </si>
  <si>
    <t>5.18 성폭력 피해자 첫 재판 기자회견2(임지은)</t>
  </si>
  <si>
    <t>(08:30출발) 서초동 특검 (내란/채상병)</t>
  </si>
  <si>
    <t>1.&lt;MNG&gt; 뉴스룸, 김건희 특검(박현주)
2.오세훈, 명태균 귀가길 Pool</t>
  </si>
  <si>
    <t>(10:00출발) 한국-체코 야구대표팀 경기 sk,int (채승기)</t>
  </si>
  <si>
    <t>1.차범근 축구교실 스케치 및 인터뷰 (전영희)
2.날씨스케치 (전다빈)</t>
  </si>
  <si>
    <t>(07:10출발) 김건희 특검, 오세훈-명태균 조사 (14:30 퇴근)</t>
  </si>
  <si>
    <t>야구 평가전 경기 후 인터뷰(이예원)</t>
  </si>
  <si>
    <t>쿠팡노조위원장 인터뷰(박상욱)</t>
  </si>
  <si>
    <t>홍명보호 축구 대표팀 11월 A매치 소집(천안) 다큐</t>
  </si>
  <si>
    <t>출산으로 인한 연차</t>
  </si>
  <si>
    <t>날씨 스케치(이지은)</t>
  </si>
  <si>
    <t>1.산부인과 전문의 인터뷰(공다솜)
2.앰네스티 관계자 인터뷰(공다솜)</t>
  </si>
  <si>
    <t>(올림픽 테스트-오후)
서울 학원 교습시간 연장 관련 현장취재(심야)(이희령)</t>
  </si>
  <si>
    <t>(시청)학원 심야교습시간 논란(이희정)</t>
  </si>
  <si>
    <t>1.AI교육 확대 관련 학부모 인터뷰(이희령)
2.거래소 시황판(이상화)</t>
  </si>
  <si>
    <t>현대성윤리문화교육원 노트북 검색창 촬영  (임지은)</t>
  </si>
  <si>
    <t>태안 마도해역 수중발굴 조사 성과 언론 공개회 (강나현)</t>
  </si>
  <si>
    <t>(올림픽 테스트-오후)</t>
  </si>
  <si>
    <t>천안-홍명보호 축구 대표팀 11월 A매치 소집(홍지용)</t>
  </si>
  <si>
    <t>천안-홍명보호 축구 대표팀 공개 훈련(홍지용)</t>
  </si>
  <si>
    <t>청와대 이전 관련 스탠드업(이승환)</t>
  </si>
  <si>
    <t>(시청)서울지역 심야교습시간 서울시의회 토론회 (이희령)</t>
  </si>
  <si>
    <t>등하굣길 안전대책 관련 학교 인근 스케치(박상욱)</t>
  </si>
  <si>
    <t>세운4구역 종묘 보존 관련 주민 기자회견 (임지은)</t>
  </si>
  <si>
    <t>1.AI 데이터센터, 갈등 속 혐오시설 전락 문서(임지수)
2.조태용 영장심사 결과 대기</t>
  </si>
  <si>
    <t>김세의 강남서 퇴장(심가은)</t>
  </si>
  <si>
    <t>수어통역 인터뷰(안지현)</t>
  </si>
  <si>
    <t>수화스케치(안지현)</t>
  </si>
  <si>
    <t>홍콩 디즈니랜드(강나현)</t>
  </si>
  <si>
    <t>예테보리 오페라 댄스컴퍼니 간담회(강나현)</t>
  </si>
  <si>
    <t>화면스케치+문서스케치(함민정)</t>
  </si>
  <si>
    <t>(밀착) 중국 불법 콜밴 취재(정희윤)</t>
  </si>
  <si>
    <t>김익재 한국과학기술연구원 AI로봇연구소장 인터뷰(박소연)</t>
  </si>
  <si>
    <t>황교안 체포영장 집행(조해언)</t>
  </si>
  <si>
    <t>부천 정당 현수막(황예린)</t>
  </si>
  <si>
    <t>1.2026년 대학수학능력시험 수험표 배부
2.2026년 대학수학능력시험 예비소집</t>
  </si>
  <si>
    <t>조태용 영장심사 결과 대기</t>
  </si>
  <si>
    <t>리베이트 알선 조직 브로커 검거 브리핑(임예은)</t>
  </si>
  <si>
    <t>뉴스룸MNG-대검(조보경)</t>
  </si>
  <si>
    <t>베트남 보이스피싱범 잡은 피해자 관련 스케치(양정진)</t>
  </si>
  <si>
    <t>홍명보호 축구 대표팀 볼리비아전 사전 기자회견(온누리)</t>
  </si>
  <si>
    <t>계엄막은 국회 보좌진 인터뷰(류정화)</t>
  </si>
  <si>
    <t>1.서해안고속도로 화물차 추돌사고(배양진)
2.온라인 약품구매 연출컷 촬영(공다솜)</t>
  </si>
  <si>
    <t>1.수능 시험장 경기남부 종편풀
2.목욕탕 사기꾼 피해자(김산)</t>
  </si>
  <si>
    <t>1.여주 구양리 태양광 마을 취재(김재현)
2.경기도 구리 아파트 외경(정아람)
3.총리실 TF 설명 문서(조보경)</t>
  </si>
  <si>
    <t>1.부천 트럭 돌진사고(김영민)
2.부천 사고 피해 가족 등 취재(양정진)</t>
  </si>
  <si>
    <t>[아침&amp;-MNG] 이 시각 수능 현장(홍지용)</t>
  </si>
  <si>
    <t>(시청)1.김건희 특검 종편풀
2.오세훈-국토부 장관 면담</t>
  </si>
  <si>
    <t>과기부장관 AI 휴머노이드 현장방문(박준우)</t>
  </si>
  <si>
    <t>1.뉴스룸MNG-중앙지법(정수아)
2.황교안,박성재 영장실질 심사 후 결과대기</t>
  </si>
  <si>
    <t>1.대학수학능력시험 종료 후 수험생 인터뷰(이희령)
2.스테이블코인 다큐멘터리 연출 촬영(박준우)</t>
  </si>
  <si>
    <t>1.2026년 수능대비 경찰 교통관리 종편 풀
2.지금왜?(최수연)</t>
  </si>
  <si>
    <t>전략경제협력 특사 강훈식 대통령 비서실장 출국(이승환)</t>
  </si>
  <si>
    <t>뉴스룸MNG-부천시장(김영민)</t>
  </si>
  <si>
    <t>1.수능 시험장 종편풀
2.날씨스케치(박상욱)</t>
  </si>
  <si>
    <t>1.국회의장 다큐 인터뷰(박창규)
2.합기도 중 하반신 마비 초등학생 부모 인터뷰(김휘란)</t>
  </si>
  <si>
    <t>대릴 커들 미해군 참모총장 기자간담회</t>
  </si>
  <si>
    <t>홍명보호 축구 대표팀 볼리비아전(온누리)</t>
  </si>
  <si>
    <t>독감 관련 병원 스케치 및 인터뷰(박상욱)</t>
  </si>
  <si>
    <t>부천 제일시장 트럭 돌진 사고 목격자 인터뷰(양빈현)</t>
  </si>
  <si>
    <t>황교안,박성재 영장실질 심사 후 결과대기(~05:30)</t>
  </si>
  <si>
    <t>동덕여대 학생 입장 취재 (임지은)</t>
  </si>
  <si>
    <t>1.벤츠코리아 미래전략 컨퍼런스(김도훈)
2.탐지견 경진대회(정아람)</t>
  </si>
  <si>
    <t>구자현 서울고검장 퇴근 도어스테핑</t>
  </si>
  <si>
    <t>1.김건희 특검 종편풀2
2.환율(이상화)
3.파주 일대 광연송수관로 파손 단수</t>
  </si>
  <si>
    <t>문서sk(박사라)</t>
  </si>
  <si>
    <r>
      <rPr>
        <rFont val="Malgun Gothic"/>
        <color rgb="FFFF0000"/>
        <sz val="11.0"/>
      </rPr>
      <t xml:space="preserve">추가근무
</t>
    </r>
    <r>
      <rPr>
        <rFont val="Malgun Gothic"/>
        <color theme="1"/>
        <sz val="11.0"/>
      </rPr>
      <t xml:space="preserve">홍명보호 축구 대표팀 볼리비아전 </t>
    </r>
    <r>
      <rPr>
        <rFont val="Malgun Gothic"/>
        <color rgb="FFFF0000"/>
        <sz val="11.0"/>
      </rPr>
      <t xml:space="preserve">일정 후 복귀만
</t>
    </r>
    <r>
      <rPr>
        <rFont val="Malgun Gothic"/>
        <color theme="1"/>
        <sz val="11.0"/>
      </rPr>
      <t>1.천안 이랜드 물류센터 화재1</t>
    </r>
  </si>
  <si>
    <t>부천 제일시장 돌진사고 운전자 영장실질심사(배양진)</t>
  </si>
  <si>
    <t>밀착-충북 수덕사 미혼남녀 템플스테이(정희윤)</t>
  </si>
  <si>
    <t>천안 이랜드 물류센터 화재2(김지윤)</t>
  </si>
  <si>
    <t xml:space="preserve">1.채상병특검 윤석열 서울구치소 조사 입장
2.수능 후 논술고사-성균관대(이희령) </t>
  </si>
  <si>
    <t>한강버스 중단 사고 현장 점검(류정화)</t>
  </si>
  <si>
    <r>
      <rPr>
        <rFont val="Malgun Gothic"/>
        <color rgb="FFFF0000"/>
        <sz val="11.0"/>
      </rPr>
      <t xml:space="preserve">추가근무
</t>
    </r>
    <r>
      <rPr>
        <rFont val="Malgun Gothic"/>
        <color theme="1"/>
        <sz val="11.0"/>
      </rPr>
      <t>밀착-충북 수덕사 미혼남녀 템플스테이(정희윤)</t>
    </r>
  </si>
  <si>
    <t>뉴스룸 MNG 연결 서울구치소(정인아)</t>
  </si>
  <si>
    <t>1.날씨스케치(이희령)
2.김건희 특검 종편풀2</t>
  </si>
  <si>
    <t>1.국가유산청 기자간담회(강나현)
2.밀라노 장비업체 방문</t>
  </si>
  <si>
    <t>내일로미래로당 경기도당 사무소 취재(정인아)</t>
  </si>
  <si>
    <t>U-16 여자배구 손서연-이서인 인터뷰(오선민)</t>
  </si>
  <si>
    <t>야구대표팀 귀국(이예원)</t>
  </si>
  <si>
    <t>1.축구대표팀 훈련 및 기자회견(온누리)
2.최고조 주한가나대사 인터뷰(홍지용)</t>
  </si>
  <si>
    <r>
      <rPr>
        <rFont val="Malgun Gothic"/>
        <b/>
        <color theme="1"/>
        <sz val="8.0"/>
      </rPr>
      <t>전장연집회 지각</t>
    </r>
    <r>
      <rPr>
        <rFont val="Malgun Gothic"/>
        <b/>
        <color theme="1"/>
        <sz val="10.0"/>
      </rPr>
      <t xml:space="preserve">
사전연락O</t>
    </r>
  </si>
  <si>
    <t>신정동 연쇄추돌 사고 현장(양빈현)</t>
  </si>
  <si>
    <t>경의선 숲길 날씨 스케치 + 시민 인터뷰(박상욱)</t>
  </si>
  <si>
    <t>멈춰선 한강버스 선착장 취재(오원석)</t>
  </si>
  <si>
    <t>홍명보호 축구대표팀 가나전(온누리)~23:40</t>
  </si>
  <si>
    <t>이천 각목치기 팸 관련 모텔 취재(배양진)</t>
  </si>
  <si>
    <t>택배노조 기자회견(박상욱)</t>
  </si>
  <si>
    <t>인천 승용차 돌진 사고 현장(양빈현)</t>
  </si>
  <si>
    <t>진실화해위원회 대국민보고회(임지은)</t>
  </si>
  <si>
    <t>아침&amp; 포천시장 인터뷰(임예은)</t>
  </si>
  <si>
    <t>용인 태권도장 몰카 사건 스케치(송혜수)</t>
  </si>
  <si>
    <t>(검찰)</t>
  </si>
  <si>
    <t>서초동 대기</t>
  </si>
  <si>
    <t>케데헌' 열풍, 외국인 관광객 취재(박소연)</t>
  </si>
  <si>
    <t>고위공직자 부동산 sk(전다빈)</t>
  </si>
  <si>
    <t>1.날씨스케치-광화문(성화선)
2.서울경찰청, 전광훈 소환조사(오원석)
3.김건희 특검 종편풀1</t>
  </si>
  <si>
    <t>임금체불 피해 노동자 인터뷰(이희령)</t>
  </si>
  <si>
    <t>청년 노동자 착취 요식업체 고발 기자회견(이희령)</t>
  </si>
  <si>
    <t>30대 '쉬었음' 구직준비자 인터뷰 (이상화)</t>
  </si>
  <si>
    <t>케데헌 8경 상권 취재(박준우)</t>
  </si>
  <si>
    <t>응급의학의사회 회장 인터뷰(공다솜)</t>
  </si>
  <si>
    <t>프랑스 마르세유-현대 제네시스 신차출시
‘마그마 월드프리미어’(전다빈)</t>
  </si>
  <si>
    <t>손흥민 출국2(홍지용)</t>
  </si>
  <si>
    <t>1.채상병 특검 종편풀2
2.뉴스룸MNG-중앙지법(김혜리)</t>
  </si>
  <si>
    <t>일산 페달 오조작 사고(심가은)</t>
  </si>
  <si>
    <t>1.추위 날씨 스케치 2.증시 스케치
3.국회 앞 응급의학과교수 1인시위
4.인도…갈수록 심각한 대기오염 관련 화상인터뷰(강나윤)</t>
  </si>
  <si>
    <t>손흥민 출국1(홍지용)</t>
  </si>
  <si>
    <t>바둑 국가대표팀 훈련 모습 촬영(정아람)</t>
  </si>
  <si>
    <r>
      <rPr>
        <rFont val="Malgun Gothic"/>
        <color theme="1"/>
        <sz val="11.0"/>
      </rPr>
      <t>청주-'책 사줄게' 프로젝트 서점 취재(성화선)</t>
    </r>
    <r>
      <rPr>
        <rFont val="Malgun Gothic"/>
        <color rgb="FFFF0000"/>
        <sz val="11.0"/>
      </rPr>
      <t>~17:30퇴근
출근22:00~</t>
    </r>
    <r>
      <rPr>
        <rFont val="Malgun Gothic"/>
        <color theme="1"/>
        <sz val="11.0"/>
      </rPr>
      <t xml:space="preserve"> 목포 여객선 사고현장 출발</t>
    </r>
  </si>
  <si>
    <t>외국인 관광객 1인당 지출-아놀자 관계자 인터뷰(박준우)</t>
  </si>
  <si>
    <t>1.페달오조작 관련 기획취재(배양진)
2.위고비 부작용 피해자 인터뷰(김영민)</t>
  </si>
  <si>
    <t>인공지능 발전사 관련 추형석 신구대 교수 인터뷰(정아람)</t>
  </si>
  <si>
    <t>인천 대인고 폭파 협박범 실질심사(김휘란)</t>
  </si>
  <si>
    <t>증시종가(이상화)</t>
  </si>
  <si>
    <t>1.마포청사 광수단 브리핑(임예은)
2.층간소음 관련 피해자 인터뷰 및 스케치(양정진)</t>
  </si>
  <si>
    <t>패스트트랙 1심 선고(김휘란)</t>
  </si>
  <si>
    <t>경북상주-페달 오조작 방지 장치 실험(심가은)</t>
  </si>
  <si>
    <t>1.국토부-LH 합동 공급 주택공급특별본부 현판식(정아람)
2.HJ중공업 압수수색(박상욱)
3.학교비정규직연대회의 총파업(이희령)</t>
  </si>
  <si>
    <t>이치모터스 주가조작 사건 공범 이준수 압송</t>
  </si>
  <si>
    <t>컬링 대표팀 (경기도청) 인터뷰 &amp; 훈련(오선민)</t>
  </si>
  <si>
    <t>목포 여객선 사고현장 취재(임지은)</t>
  </si>
  <si>
    <t>1.신정동 부녀자 살인사건 범인 관련 브리핑(임예은)
2.초록우산 어린이재단 포럼(김도훈)</t>
  </si>
  <si>
    <t>증시 종가(이상화)</t>
  </si>
  <si>
    <t>정명근 화성시장 아침앤 인터뷰(배양진)</t>
  </si>
  <si>
    <t>광복 80주년 기념, 힐링콘서트</t>
  </si>
  <si>
    <t>남녀 성별 인식격차 토론회(공다솜)</t>
  </si>
  <si>
    <t>국과수 ai 보이스피싱 차단 기술 시연(임지수)</t>
  </si>
  <si>
    <t>1.양천구 신월동 아파트 화재(김산)
2.증시 현황</t>
  </si>
  <si>
    <t>서울경찰청 전광훈 2차 소환(오원석)</t>
  </si>
  <si>
    <t>인공지능 발전 관련 이상근 교수 인터뷰(정아람)</t>
  </si>
  <si>
    <t>1.채상병 특검 종편풀2
2.강남 흉기난동 사건 현장 스케치(송혜수)</t>
  </si>
  <si>
    <t>제63회 대한민국체육상 정부포상 전수식(전영희)</t>
  </si>
  <si>
    <t>1.금천구청 김장행사(공다솜)
2.김장 마트 물가(공다솜)</t>
  </si>
  <si>
    <t>서초(내란,채상병) 특검 주말대기</t>
  </si>
  <si>
    <t>G20 영상수신</t>
  </si>
  <si>
    <t>계양산 실종신고 취재(이자연)</t>
  </si>
  <si>
    <t>야간 근무 조</t>
  </si>
  <si>
    <t>날씨sk (하늘공원 or 상암경기장 앞 공원)</t>
  </si>
  <si>
    <t>(검찰 기자실) x</t>
  </si>
  <si>
    <t>(14:00 복귀) 프랑스 마르세유-현대 제네시스 신차출시
‘마그마 월드프리미어’(전다빈)</t>
  </si>
  <si>
    <t>안성 골판지 제조공장 화재(김산)</t>
  </si>
  <si>
    <t>포항 철강단지 취재(박준우)</t>
  </si>
  <si>
    <t>1.인권위 '양평군 공무원 사망사건' 브리핑(임지은)
2.환율 관련 하나은행 딜링룸(이상화)</t>
  </si>
  <si>
    <r>
      <rPr>
        <rFont val="Malgun Gothic"/>
        <color theme="1"/>
        <sz val="11.0"/>
      </rPr>
      <t xml:space="preserve">안세영 입국(오선민) </t>
    </r>
    <r>
      <rPr>
        <rFont val="Malgun Gothic"/>
        <color rgb="FFFF0000"/>
        <sz val="11.0"/>
      </rPr>
      <t>kill</t>
    </r>
  </si>
  <si>
    <t>KBO리그 시상식(채승기)</t>
  </si>
  <si>
    <t>신혜식 경찰출석(오원석)</t>
  </si>
  <si>
    <t>서울대 M.AX 얼라이언스 지원 MOU 행사</t>
  </si>
  <si>
    <t>동국대 성추행 피해자 인터뷰(김영민)</t>
  </si>
  <si>
    <t>바둑 프로기사 인터뷰(정아람)</t>
  </si>
  <si>
    <t>1.채상병 특검 종편풀2
2.서울 강남 치과의원 외경(이희령)</t>
  </si>
  <si>
    <t>한국농아인협회 sk(안지현)</t>
  </si>
  <si>
    <t>1.전광훈 기자회견(오원석)
2.경실련 인터뷰(정인아)</t>
  </si>
  <si>
    <t>1.개정 노동조합법 시행령 폐기 기자회견(이희령)
2.양천구 주택화재 피의자 영장실질(김휘란)</t>
  </si>
  <si>
    <t>1.쉬었음 사례자 인터뷰 (이상화)
2.구더기 사망 유족 인터뷰(양정진)
3.파주 구더기 사망 피해자 자택 스케치(양정진)</t>
  </si>
  <si>
    <t>계란관련 마트 취재(성화선)</t>
  </si>
  <si>
    <t>나로호 발사(정아람)</t>
  </si>
  <si>
    <t>고환율 마트 수입 다변화(전다빈)</t>
  </si>
  <si>
    <t>(시청)동국대 성추행 교수 사무실 동행(김영민)</t>
  </si>
  <si>
    <t>대산석유화학단지 상권취재(박소연)</t>
  </si>
  <si>
    <t>이륜차 PM 단속현장 동행취재 종편 풀</t>
  </si>
  <si>
    <t>1.고환율 여파 남대문 수입상가(전다빈)
2.하나은행 딜링룸-환율</t>
  </si>
  <si>
    <t>경사노위-민주노총 26년 만의 상견례(이희령)</t>
  </si>
  <si>
    <t>(밀착) 공항 아이돌 출국(정희윤)</t>
  </si>
  <si>
    <t>이순재 빈소</t>
  </si>
  <si>
    <r>
      <rPr>
        <rFont val="Malgun Gothic"/>
        <color rgb="FFFF0000"/>
        <sz val="11.0"/>
      </rPr>
      <t>지하철 출입문 고장으로 지각</t>
    </r>
    <r>
      <rPr>
        <rFont val="Malgun Gothic"/>
        <color theme="1"/>
        <sz val="11.0"/>
      </rPr>
      <t xml:space="preserve">
1.LG CNS 데이터센터 내부(임지수)
2.시흥 금 직거래 강도사건(심가은)</t>
    </r>
  </si>
  <si>
    <t>1.날씨스케치
2.채상병 특검 종편풀1</t>
  </si>
  <si>
    <t>1.해외 스미싱조직 검거 브리핑(오원석)
2.계엄다큐-한동훈 인터뷰(이한길)</t>
  </si>
  <si>
    <t>농아인 임시대의원 총회(안지현)</t>
  </si>
  <si>
    <t>1.날씨스케치
2.국가인권위원회 건물 앞 기자회견(오원석)</t>
  </si>
  <si>
    <t>1.신장 적출 환자 인터뷰(임지은)
2.대형트럭 사각지대 안전장치(전다빈)</t>
  </si>
  <si>
    <t>익일2:00</t>
  </si>
  <si>
    <t>나로호 발사(정아람)
뉴스룸MNG-나로호(정아람)</t>
  </si>
  <si>
    <t>스피드스케이팅 김준호 이나현 김민선 등 인터뷰(온누리)</t>
  </si>
  <si>
    <t>1.계엄리포트(최연수)
2.계엄리포트(황예린)</t>
  </si>
  <si>
    <t>(열린포럼)
청와대 복귀 앞둔 주변 분위기(김재현)</t>
  </si>
  <si>
    <t>계엄리포트(김안수)</t>
  </si>
  <si>
    <t>인천 납치살해미수 범행 장소 스케치(양빈현)</t>
  </si>
  <si>
    <t>우주의학 관련 인터뷰(공다솜)</t>
  </si>
  <si>
    <t>[지금왜]가장 큰 '돌발 변수'된 다카이치(백민경)</t>
  </si>
  <si>
    <t>1.수능 이의신청 관련 문서(이희정)
2.고교학점제 관련 인터뷰(이희령)</t>
  </si>
  <si>
    <t>파트타임스터디 파산 관련 피해자 인터뷰(송혜수)</t>
  </si>
  <si>
    <t>약국, 약사회 취재(성화선)</t>
  </si>
  <si>
    <t>안산 노상원 집-롯데리아(심가은)</t>
  </si>
  <si>
    <t>상도유치원 신축 이전식(이희정)</t>
  </si>
  <si>
    <t>서부지법 문다혜 항소심 첫 공판(임예은)</t>
  </si>
  <si>
    <t>1.무연고 장례식(공다솜)
2.줌 인터뷰 스케치 촬영(이지은)</t>
  </si>
  <si>
    <t>네이버 두나무 공동기자회견(박준우)</t>
  </si>
  <si>
    <t>의정부지법 포천 아동학대 관련 영장실질심사(양정진)</t>
  </si>
  <si>
    <r>
      <rPr>
        <rFont val="Malgun Gothic"/>
        <color rgb="FFFF0000"/>
        <sz val="11.0"/>
      </rPr>
      <t>(야근 후 해외출장)</t>
    </r>
    <r>
      <rPr>
        <rFont val="Malgun Gothic"/>
        <color theme="1"/>
        <sz val="11.0"/>
      </rPr>
      <t>1.이순재 영결식(강나현)
2.홍콩 아파트 화재(이도성)27~</t>
    </r>
  </si>
  <si>
    <t>업비트 해킹 피해 홈페이지 스케치(박준우)</t>
  </si>
  <si>
    <t>남양주 왕숙지구 분양 현장(전다빈)</t>
  </si>
  <si>
    <t>전주-김병기 서예가 인터뷰(강나현)</t>
  </si>
  <si>
    <t>의협 성분명처방 여론조사 발표 기자회견(공다솜)</t>
  </si>
  <si>
    <t>임대인 인터뷰(이상화)</t>
  </si>
  <si>
    <t>국세청, 주한미국상공회의소 간담회(김민)</t>
  </si>
  <si>
    <t>탁구대표팀 출국 스케치+인터뷰(채승기)</t>
  </si>
  <si>
    <t>스피드스케이팅 조승민,박지우 인터뷰 (채승기)</t>
  </si>
  <si>
    <t>민주당 패스트트랙 결심 출석(양빈현)</t>
  </si>
  <si>
    <t>전세난 아파트 외경, 부동산 스케치(전다빈)</t>
  </si>
  <si>
    <t>홍콩 아파트 화재(이도성)27~</t>
  </si>
  <si>
    <t>1.날씨스케치-광화문(박상욱)
2.김건희 특검 종편풀</t>
  </si>
  <si>
    <t>우원식 국회의장 이가혁라이브 출연 스케치</t>
  </si>
  <si>
    <t>일본 북해도-한일 야구 올드올스타 레전드매치
(채승기)11/29~12/1</t>
  </si>
  <si>
    <t>명동 환전소+남대문 수입상가 취재(정아람)</t>
  </si>
  <si>
    <t>피겨 국가대표 선발전 1차(오선민)</t>
  </si>
  <si>
    <t>피겨 국가대표 선발전 1차 마지막날2(강나현)</t>
  </si>
  <si>
    <t>1. 이마트24 플래그십 스토어(이상화)
2. 책 스케치(강나현)</t>
  </si>
  <si>
    <t>1. 휴일 스케치
2. 쿠팡개인정보 유출 시민인터뷰(공다솜)</t>
  </si>
  <si>
    <t>피겨 국가대표 선발전 1차 마지막날1(강나현)</t>
  </si>
  <si>
    <t>명단</t>
  </si>
  <si>
    <t>합계</t>
  </si>
  <si>
    <r>
      <rPr>
        <rFont val="Malgun Gothic"/>
        <color theme="1"/>
        <sz val="11.0"/>
      </rPr>
      <t xml:space="preserve">일본 북해도-한일 야구 올드올스타 레전드매치
(채승기)11/29~12/1 </t>
    </r>
    <r>
      <rPr>
        <rFont val="Malgun Gothic"/>
        <color rgb="FFFF0000"/>
        <sz val="11.0"/>
      </rPr>
      <t>복귀</t>
    </r>
  </si>
  <si>
    <t>제미나이3로 수능 풀어보니(박소연)</t>
  </si>
  <si>
    <t>1.금감원장-출입기자단 간담회(전다빈)
2.민주화운동기념관 특별전시 간담회(강나현)</t>
  </si>
  <si>
    <t>해경청 수사결과 브리핑(김휘란)</t>
  </si>
  <si>
    <t>(계엄 1년 기획) 교사 인터뷰(이희령)</t>
  </si>
  <si>
    <t>1.비상계엄 1주년 경찰 입장 표명 화상회의(양정진)
2.계엄 1년 노상원 집 스탠드업(심가은)</t>
  </si>
  <si>
    <t>내란 1년 다큐 앵커 촬영(이한길)</t>
  </si>
  <si>
    <t>초고층 건물 대피층 취재(임예은)</t>
  </si>
  <si>
    <t>(법조지원-홍승재) 
쿠팡 소장 제출(임지수)</t>
  </si>
  <si>
    <r>
      <rPr>
        <rFont val="Malgun Gothic"/>
        <color theme="1"/>
        <sz val="11.0"/>
      </rPr>
      <t>홍콩 아파트 화재(이도성)27~</t>
    </r>
    <r>
      <rPr>
        <rFont val="Malgun Gothic"/>
        <color rgb="FFFF0000"/>
        <sz val="11.0"/>
      </rPr>
      <t>복귀</t>
    </r>
  </si>
  <si>
    <t>인권위 전원위(임지은)</t>
  </si>
  <si>
    <t>K리그 시상식(홍지용)</t>
  </si>
  <si>
    <r>
      <rPr>
        <rFont val="Malgun Gothic"/>
        <color theme="1"/>
        <sz val="11.0"/>
      </rPr>
      <t xml:space="preserve">1.밀착-서해선 승객 불편(이은진) </t>
    </r>
    <r>
      <rPr>
        <rFont val="Malgun Gothic"/>
        <color rgb="FFFF0000"/>
        <sz val="11.0"/>
      </rPr>
      <t xml:space="preserve">빈손
</t>
    </r>
    <r>
      <rPr>
        <rFont val="Malgun Gothic"/>
        <color theme="1"/>
        <sz val="11.0"/>
      </rPr>
      <t>2.쿠팡 개인정보유출 관련 시민 인터뷰(박준우)</t>
    </r>
  </si>
  <si>
    <t>뉴스룸MNG-국회(오대영)</t>
  </si>
  <si>
    <t>(아침&amp;) 경기도교육감 인터뷰 중계(이희령)</t>
  </si>
  <si>
    <t>사이버보험 전문가 인터뷰(박준우)</t>
  </si>
  <si>
    <t>계엄 대학생 인터뷰(공다솜)</t>
  </si>
  <si>
    <t>뉴스룸MNG-지법(조해언)</t>
  </si>
  <si>
    <t>계엄 1주년 스탠드업(김필준)</t>
  </si>
  <si>
    <t>1.출근길 추위스케치
2.작은 노벨상 수상자 나야 마리 아이트 방한(강나현)</t>
  </si>
  <si>
    <t>윤가은 감독 라운드인터뷰(강나현)</t>
  </si>
  <si>
    <t>1.갤럭시Z트라이폴드 미디어데이(박소연)
2.쿠팡 본사 스케치(박준우)</t>
  </si>
  <si>
    <t>&lt;25년 겨울철 에너지절약 캠페인&gt; 출범식(이지은)</t>
  </si>
  <si>
    <t>1.팩트체크-쿠팡 내가 모르는 로그인 정보(김혜미)
2.스노보드 이상호 선수 화상 인터뷰(홍지용)</t>
  </si>
  <si>
    <t>교촌 치킨 관련 촬영(성화선)</t>
  </si>
  <si>
    <t>쇼트트랙 대표팀 귀국인터뷰(이예원)</t>
  </si>
  <si>
    <t>조아제약 시상식(이예원)</t>
  </si>
  <si>
    <t>전국지휘관회의</t>
  </si>
  <si>
    <t>계엄 관련 전시 (강나현)</t>
  </si>
  <si>
    <t>뉴스룸MNG-국회 경내(최재원)</t>
  </si>
  <si>
    <t>1.계엄 1주년 스탠덥(김필준)
2.쿠팡포비아 관련 시민 인터뷰(박소연)</t>
  </si>
  <si>
    <t>추경호 영장실질심사 결과대기 종편풀(~5:20)</t>
  </si>
  <si>
    <t>1.김건희 특검종편풀2
2.뉴스룸MNG-국회 부감</t>
  </si>
  <si>
    <t>뉴스룸MNG-대기</t>
  </si>
  <si>
    <t>계엄 기획 중학교 교사 인터뷰(이희령)</t>
  </si>
  <si>
    <t>1.김건희 특검 종편풀1
2.감사원 브리핑(정인아)
3.날씨스케치</t>
  </si>
  <si>
    <t>1.통관부호 도용 의심 제보자 인터뷰(박소연)
2.국회 사진전 관람 시민 인터뷰(최재원)
3.뉴스룸MNG-지법</t>
  </si>
  <si>
    <t>탄핵 집회 참가자 인터뷰(공다솜)</t>
  </si>
  <si>
    <t>1.계엄일 국회지킨 시민 인터뷰(공다솜)
2.뉴스룸MNG-국회 앞(김휘란)</t>
  </si>
  <si>
    <t>1.특보MNG-국회(최수연)
2.촛불행동 내란정당 해산 기자회견(이자연)</t>
  </si>
  <si>
    <t>(밀착) 사라져가는 군부대(정희윤)</t>
  </si>
  <si>
    <t>홍대 계엄 1주년 기념 및 윤어게인 집회 스케치(양정진)</t>
  </si>
  <si>
    <t>뉴스룸MNG-보수집회(오원석)</t>
  </si>
  <si>
    <t>전문대학교육협의회 정기총회 현안과제 논의(이지은)</t>
  </si>
  <si>
    <t>김종철 방송미디어통신위원장 후보자 첫 출근(노진호)</t>
  </si>
  <si>
    <t>아침&amp;MNG-오산시장(양정진)</t>
  </si>
  <si>
    <t>폭설스케치-파주</t>
  </si>
  <si>
    <t>태안화력발전 노동자 인터뷰(박상욱)</t>
  </si>
  <si>
    <t>건설현장 추락사고 피해자, 가족 인터뷰(임지은)</t>
  </si>
  <si>
    <t>동덕여대 시위(김영민)</t>
  </si>
  <si>
    <t>1.기독언론상 시상식(이자연)
2.폭설스케치-광화문</t>
  </si>
  <si>
    <t>뉴스룸MNG-날씨(이희령)</t>
  </si>
  <si>
    <t>폭설스케치-홍대</t>
  </si>
  <si>
    <t>수능성적표 배부 종편 풀(이희령)</t>
  </si>
  <si>
    <t>기아 80주년 기념식(박소연)</t>
  </si>
  <si>
    <t>류신환 방미통위 비상임위원 출근길 스케치(노진호)</t>
  </si>
  <si>
    <t>쿠팡 피해자 인터뷰(임지수)</t>
  </si>
  <si>
    <t>1.김건희 특검 종편풀2
2.한중 우호의 밤 행사(김도훈)</t>
  </si>
  <si>
    <t>1.날씨스케치
2.김건희 특검 종편풀1</t>
  </si>
  <si>
    <t>날씨스케치(수습)</t>
  </si>
  <si>
    <t>국회 라이브 대기</t>
  </si>
  <si>
    <t>1.불교 조계종 지몽스님 인터뷰(김재현)
2.제2윤드로저 관련 제보자 int(이자연)</t>
  </si>
  <si>
    <t>1.[지금왜]흑인부터 백인까지 한국 화장품은.(백민경)
2.[지금왜]통치가 된 계엄 후 365일(강나윤)</t>
  </si>
  <si>
    <t>충주 화곡중학교 건설현장 취재(임지은)</t>
  </si>
  <si>
    <t>상암동 날씨 스케치(수습)</t>
  </si>
  <si>
    <t>1.초등학교 등교길 날씨 스케치(수습)
2.탈쿠팡 관련 시민 인터뷰(박준우)</t>
  </si>
  <si>
    <t>코리아컵 결승</t>
  </si>
  <si>
    <t>1. 송파구 교회 결혼식 깽판 취재 (조유리 수습)
2. 서초특검 종편풀2</t>
  </si>
  <si>
    <t>계엄 1주년 광화문 보수집회 및 여의도 진보집회</t>
  </si>
  <si>
    <t>가락시장 수십억 곗돈 들고 계주 도망(윤정환 수습)</t>
  </si>
  <si>
    <t>1.서초특검 종편풀1
2.관봉권 쿠팡 특검 현판식</t>
  </si>
  <si>
    <t>뉴스룸MNG-계엄 1주년 여의도 진보집회(송혜수)</t>
  </si>
  <si>
    <t>고용노동부 감사결과보고서(이희령)</t>
  </si>
  <si>
    <t>추경호 기소 브리핑(박현주)</t>
  </si>
  <si>
    <t>강남, 용산 아파트 스케치(전다빈)</t>
  </si>
  <si>
    <t>지하철 소매치기로 인해 20분간 정차(영상 스케치 함)</t>
  </si>
  <si>
    <t>LGU+비서 앱, 또 기술적 오류 전화받는 모습(임지수)</t>
  </si>
  <si>
    <t>쿠키런+국가유산 전시 간담회 (강나현)</t>
  </si>
  <si>
    <t>일구회 시상식(전영희)</t>
  </si>
  <si>
    <t>고덕아르테온 외부인 벌금 논란 스케치(송혜수)</t>
  </si>
  <si>
    <t>1.김건희 특검 종편풀2
2.2025 한국체육기자연맹 시상식(오선민)</t>
  </si>
  <si>
    <t>전국법관대표회의(김태형)</t>
  </si>
  <si>
    <t>KBO 골든글러브 시상식(이예원)</t>
  </si>
  <si>
    <t>박성중 전 의원 인터뷰 시도(정인아)</t>
  </si>
  <si>
    <t>초등생 사망 교통사고 현장 스케치(송혜수)</t>
  </si>
  <si>
    <t>FC서울 린가드, 김기동 감독 기자회견(홍지용)</t>
  </si>
  <si>
    <t>황석영 기자간담회(강나현)</t>
  </si>
  <si>
    <t>밀착-외국인 근로자 채운 시골마을(정희윤)</t>
  </si>
  <si>
    <t>1.김건희 특검 종편풀2
2.대통령실 이전2</t>
  </si>
  <si>
    <t>쿠팡 본사 압수수색1</t>
  </si>
  <si>
    <t>쿠팡 탈퇴 시민 거리인터뷰(전다빈)</t>
  </si>
  <si>
    <t>2대통령실 이전1(최규진)
1복잡한 쿠팡 회원 탈퇴 스케치(인턴)</t>
  </si>
  <si>
    <t>쿠팡 본사 압수수색2</t>
  </si>
  <si>
    <t>1.SRT 수서역 취재(김재현)
2.한국지방세연구원 외경(박상욱)</t>
  </si>
  <si>
    <t>전주-직장내 괴롭힘 피해자 유가족 인터뷰(박상욱)</t>
  </si>
  <si>
    <t>쿠팡본사 압수수색 종편 풀</t>
  </si>
  <si>
    <t>1.김건희 특검 종편 풀2
2.뉴스룸MNG-지법(여도현)</t>
  </si>
  <si>
    <t>사랑이 1년 후 취재(성화선)</t>
  </si>
  <si>
    <t>쌍방울 직원 인터뷰(박현주)</t>
  </si>
  <si>
    <t>쇼트트랙 임종언 김길리 인터뷰(온누리)</t>
  </si>
  <si>
    <t>중랑구 교통사고 취재(강나윤)</t>
  </si>
  <si>
    <t>은값 폭등 금거래소 및 금은방 취재(김재현)</t>
  </si>
  <si>
    <t>쿠팡 고발 기자회견(박준우)</t>
  </si>
  <si>
    <t>1.김건희 특검 종편 풀1
2.쿠팡 본사 압수수색1(배양진)</t>
  </si>
  <si>
    <r>
      <rPr>
        <rFont val="Malgun Gothic"/>
        <color theme="1"/>
        <sz val="11.0"/>
      </rPr>
      <t>쿠팡 본사 압수수색2(배양진)-</t>
    </r>
    <r>
      <rPr>
        <rFont val="Malgun Gothic"/>
        <color rgb="FFFF0000"/>
        <sz val="11.0"/>
      </rPr>
      <t>앞에서 다함</t>
    </r>
  </si>
  <si>
    <t>전재수 해수부 장관 귀국 기자회견(송혜수)</t>
  </si>
  <si>
    <t>1.김건희 특검 종편풀1
2.박주민 서울시장 출마 기자회견(조보경)</t>
  </si>
  <si>
    <t>국민성장펀드 출범식(정아람)</t>
  </si>
  <si>
    <t>의협 정례브리핑(공다솜)</t>
  </si>
  <si>
    <t>연예인 지망생 사기 int(박현주)</t>
  </si>
  <si>
    <t xml:space="preserve">(시청)김건희 특검 종편풀2
</t>
  </si>
  <si>
    <t>용인 아파트 50대 투신사건(심가은)</t>
  </si>
  <si>
    <t>인천 경찰 과잉체포 피해 청소년 인터뷰(김산)</t>
  </si>
  <si>
    <t>서울교통공사 노사협상</t>
  </si>
  <si>
    <r>
      <rPr>
        <rFont val="Malgun Gothic"/>
        <color theme="1"/>
        <sz val="11.0"/>
      </rPr>
      <t xml:space="preserve">강남 역삼동 염산 뿌린 남성 관련 스케치(양정진) </t>
    </r>
    <r>
      <rPr>
        <rFont val="Malgun Gothic"/>
        <color rgb="FFFF0000"/>
        <sz val="11.0"/>
      </rPr>
      <t>kill</t>
    </r>
  </si>
  <si>
    <t>쿠팡 형사고소(임지수)</t>
  </si>
  <si>
    <t>용인 아들 살해 후 투신 현장취재(배양진)</t>
  </si>
  <si>
    <t>홍명보 감독 귀국(홍지용)</t>
  </si>
  <si>
    <t>노조 조끼 혐오 관련 항의행동(하혜빈)</t>
  </si>
  <si>
    <t>기능성 주사 관련 시민 인터뷰(최연수)</t>
  </si>
  <si>
    <t>1.남부지법 노모 폭행치사 피의자 영장실질심사(양정진)
2.노모 존속폭행치사 현장 스케치(양빈현)</t>
  </si>
  <si>
    <t>호루라기재단 시상식(김휘란)</t>
  </si>
  <si>
    <t>박완주 성추행 피해자 int(박사라)</t>
  </si>
  <si>
    <t>편의점 특화매장 (전다빈)</t>
  </si>
  <si>
    <t>송석준 발언 관련 해병대연대 회장 인터뷰 (유선의)</t>
  </si>
  <si>
    <t>1.뉴스룸MNG-상암 날씨 (김휘란)
2.폭설대비, 종편 풀-중랑천</t>
  </si>
  <si>
    <t>날씨 스케치 / 불광천</t>
  </si>
  <si>
    <t>서초 특검 종편풀</t>
  </si>
  <si>
    <t>영철버거 추모현장(강나윤)</t>
  </si>
  <si>
    <t>남부지법 모친 살해 20대 영장실질심사(김산)</t>
  </si>
  <si>
    <t>등록금 인상 관련 인터뷰(최연수)</t>
  </si>
  <si>
    <t>1.대장~홍대 광역철도 착공기념식(김재현)
2.쿠팡 관련 핸드폰 촬영(박소연)</t>
  </si>
  <si>
    <t>용인 모친 살해 현장 스케치(송혜수)</t>
  </si>
  <si>
    <t>국가인공지능전략위원회 출범 100일 기자간담회(정아람)</t>
  </si>
  <si>
    <t>통일교 압수수색-용산1(김영민)</t>
  </si>
  <si>
    <t>쿠팡 특검 종편풀1</t>
  </si>
  <si>
    <t>(시청)통일교 김규환 전 의원 기자회견(정해성)</t>
  </si>
  <si>
    <t>통일교 압수수색-가평1(김산)</t>
  </si>
  <si>
    <t>(오전반차)1.통일교 회계자료 문서 스케치(정혜성)
2.통일교 내부 자료(이자연)</t>
  </si>
  <si>
    <t>메이드인 코리아 제작보고회(강나현)</t>
  </si>
  <si>
    <t>송파구 차고지 갈등 취재(김휘란)</t>
  </si>
  <si>
    <t>1.쿠팡 특검 종편풀2
2.통일교 압수수색-용산3(김영민)</t>
  </si>
  <si>
    <t>통일교 압수수색 야간 종편풀</t>
  </si>
  <si>
    <t>1.통일교 압수수색-가평2(김산)
2.뉴스룸MNG-통일교(김산)</t>
  </si>
  <si>
    <t>1.통일교 압수수색-용산2(김영민)
2.의협 기자회견(공다솜)</t>
  </si>
  <si>
    <t>강서구 미성년자 특수공갈 사건 취재(박호연)</t>
  </si>
  <si>
    <t>npu 업체 미디어데이(임지수)</t>
  </si>
  <si>
    <t>신제품 챗gpt 5.2 와 제미나이3비교(박소연)</t>
  </si>
  <si>
    <t>스피드스케이팅 국가대표 귀국(채승기)</t>
  </si>
  <si>
    <t>1.기후변화행동연구소 부소장 인터뷰(박상욱)
2.서울시 교육감 입장문 발표(최연수)</t>
  </si>
  <si>
    <t>쿠팡 특검 종편풀2</t>
  </si>
  <si>
    <t>통일교 문서 스케치(정해성)</t>
  </si>
  <si>
    <t>인천공항사장 간담회(박준우)</t>
  </si>
  <si>
    <r>
      <rPr>
        <rFont val="Malgun Gothic"/>
        <color theme="1"/>
        <sz val="11.0"/>
      </rPr>
      <t xml:space="preserve">125회 한국영상기자협회 이달의 기자상 시상식 </t>
    </r>
    <r>
      <rPr>
        <rFont val="Malgun Gothic"/>
        <color rgb="FFFF0000"/>
        <sz val="11.0"/>
      </rPr>
      <t>수상</t>
    </r>
    <r>
      <rPr>
        <rFont val="Malgun Gothic"/>
        <color theme="1"/>
        <sz val="11.0"/>
      </rPr>
      <t xml:space="preserve">
통일교 문서 스케치(김영민)</t>
    </r>
  </si>
  <si>
    <t>도수치료 시민인터뷰(공다솜)</t>
  </si>
  <si>
    <t>125회 한국영상기자협회 이달의 기자상 시상식 촬영</t>
  </si>
  <si>
    <t>1.위성락 국가안보실장 출국(이승환)
2.주가조작 피해자 인터뷰(정아람)</t>
  </si>
  <si>
    <t>밀착-유기견 보호소(정희윤)</t>
  </si>
  <si>
    <t>금융감독원장, 자산운용사 CEO 간담회(정아람)</t>
  </si>
  <si>
    <t>쿠팡 헤롤드 로저스 대표 팔로우1</t>
  </si>
  <si>
    <t>1.육아휴직 아버지 인터뷰(정아람)
2.쿠팡 헤롤드 로저스 대표 팔로우2</t>
  </si>
  <si>
    <t>황석영 작가 간담회(강나현)</t>
  </si>
  <si>
    <t>1.쿠팡 특검 종편풀2
2.대한약사회 인터뷰(김서하)</t>
  </si>
  <si>
    <t>명지병원 모발센터(공다솜)</t>
  </si>
  <si>
    <t>(시청)1.하나은행 딜링룸
2.영화 아바타 초대형 부스 오픈(강나현)</t>
  </si>
  <si>
    <t>1.고양 자유학교 사태해결 촉구 기자회견(최연수)
2.고양 자유학교 스케치(최연수)</t>
  </si>
  <si>
    <r>
      <rPr>
        <rFont val="Malgun Gothic"/>
        <color theme="1"/>
        <sz val="11.0"/>
      </rPr>
      <t xml:space="preserve">밀라노 동계올림픽 중계단 프로필 촬영2(강나현)
</t>
    </r>
    <r>
      <rPr>
        <rFont val="Malgun Gothic"/>
        <color rgb="FFFF0000"/>
        <sz val="11.0"/>
      </rPr>
      <t>17:00~ 열린포럼 참석</t>
    </r>
  </si>
  <si>
    <t>1.불법촬영물사이트 화면스케치+기자 취재 장면(윤정환)
2.뉴스룸MNG-김현 의원(정인아)</t>
  </si>
  <si>
    <t>한학자 서울구치소 방문조사(김지윤)</t>
  </si>
  <si>
    <t>1.김건희 특검 김기현 자택 압수수색(연지환)
2.탈모치료 성지병원 밑대기(공다솜)</t>
  </si>
  <si>
    <t>밀라노 동계올림픽 중계단 프로필 촬영1(오선민,채승기)</t>
  </si>
  <si>
    <t>아바타 개봉 극장 스케치 +인터뷰(강나현)</t>
  </si>
  <si>
    <t>약물 과다복용 당사자 인터뷰(김서하)</t>
  </si>
  <si>
    <t>1.안전기준 위반 화장품 해외직구 sk (공다솜)
2.알리, 테무 화장품 직구 시민인터뷰(공다솜)</t>
  </si>
  <si>
    <t>강서구 룸술집 특수절도 사건(박호연)</t>
  </si>
  <si>
    <t>1.카카오 서울지부 폭발물 신고
2.KT분당 사옥 스케치
3.삼성전자 수원 본사</t>
  </si>
  <si>
    <t>보니 앤 클라이드 프레스콜(강나현)</t>
  </si>
  <si>
    <t>1.안창호 인권위원장 참석 행사(김영민)
2.여의도역 신안산선 공사 현장에서 추락 사고1(양정진)</t>
  </si>
  <si>
    <t>여의도역 신안산선 공사 현장에서 추락 사고2(양정진)</t>
  </si>
  <si>
    <t>1.쿠팡특검 종편풀2
2.우리사주 관련 변호사 인터뷰(정아람)
3.잠실동 30 공사장 크레인 전도1(송혜수)</t>
  </si>
  <si>
    <t>기상청 2026년 주요정책 브리핑(박상욱)</t>
  </si>
  <si>
    <t>(시청)스노보드 빅에어 유승은 선수 인터뷰(홍지용)</t>
  </si>
  <si>
    <t>1.쿠팡특검 종편풀1
2.쿠팡 소장 제출(임지수)</t>
  </si>
  <si>
    <t>페이커 기자회견(유요한)</t>
  </si>
  <si>
    <t>쿠팡 산재은폐 매뉴얼 관련 사례발표회(이희령)</t>
  </si>
  <si>
    <t>플라스틱 컵 관련 취재(하혜빈)</t>
  </si>
  <si>
    <t>잠실동 30 공사장 크레인 전도2(송혜수)</t>
  </si>
  <si>
    <t>1.아미 베라 미국 민주당 연방 하원의원 줌 인터뷰(이지은)
2.음란물 사이트 첫페이지 sk(이자연)
3.법률사무소 위더피플 홈페이지 sk(박준우)
4.쿠팡 내부 문건 문서스케치(이희령)</t>
  </si>
  <si>
    <t>윤석화 빈소(강나현)</t>
  </si>
  <si>
    <t>1.쿠팡특검 종편풀2
2.강남 미디어 윈터페스타 행사 스케치 및 인터뷰(박호연)</t>
  </si>
  <si>
    <t>밀착-오토바이 불법주정차(이은진)</t>
  </si>
  <si>
    <t>수지 자이 에디시온 모델하우스(김재현)</t>
  </si>
  <si>
    <t>청약 해지 고민 시민 인터뷰(김재현)</t>
  </si>
  <si>
    <t>전재수 의원 조사 후 퇴장 종편 풀</t>
  </si>
  <si>
    <t>또 보안 사고낸 쿠팡 사례자 인터뷰(박소연)</t>
  </si>
  <si>
    <t>약물 과다복용(김서하)</t>
  </si>
  <si>
    <t>1.방송통신미디어심의위원회 사이트스케치(윤정환)
2.관저 이전 감사보고서(박현주)
3.결실련 보고서(박소연)</t>
  </si>
  <si>
    <t>(시청)하나은행 환율(이상화)</t>
  </si>
  <si>
    <t>홍명보장학재단 장학금 수여식(홍지용)</t>
  </si>
  <si>
    <t>1.타투이스트 지회장 의료법 위반 선고기일(김영민)
2.대흥동 흉기살해 유족 인터뷰(김휘란)</t>
  </si>
  <si>
    <t>경찰청 국수본 전재수 출석(정해성)</t>
  </si>
  <si>
    <t>1.쿠팡특검 종편풀1
2.쿠팡특검 한국은행 압수수색(김영민)</t>
  </si>
  <si>
    <t>서울남부지법 민주당 패스트트랙 선고(김산)</t>
  </si>
  <si>
    <t>1.경찰청 국수본 전재수 퇴장 종편 풀
2.뉴스룸MNG-국수본(김산)</t>
  </si>
  <si>
    <t>크리스마스 마켓 스케치+인터뷰(양정진)</t>
  </si>
  <si>
    <t>1.쇼트트랙 김아랑 은퇴식(이예원)
2.정희원 유튜브 채널 모니터 스케치(김태형)</t>
  </si>
  <si>
    <t>1.서초특검 대기
2.김건희 특검, 윤석열 소환조사</t>
  </si>
  <si>
    <t>뉴스룸MNG-김건희특검(조해언)</t>
  </si>
  <si>
    <t>이준석 특검 조사후 귀가 종편 풀</t>
  </si>
  <si>
    <t>강화도 화재 교회sk(이자연)</t>
  </si>
  <si>
    <t>1.개혁신당 이준석 의원 소환조사
2.날씨SK</t>
  </si>
  <si>
    <t>1.윤석화 발인, 영결식
2.쿠팡 시민 인터뷰(정아람)</t>
  </si>
  <si>
    <t>일정X</t>
  </si>
  <si>
    <t>캐나다 쇼트트랙대표 줌인터뷰(이예원)</t>
  </si>
  <si>
    <t>한국디지털 디엔에이센터 설명회(강나현)</t>
  </si>
  <si>
    <t>PBV 돌풍..전기 미니밴 기아 PV5 촬영(김도훈)</t>
  </si>
  <si>
    <t>김건희특검, 김기현 의원 소환 후 귀가</t>
  </si>
  <si>
    <t>김건희 특검 종편풀1
진천 출장 출발</t>
  </si>
  <si>
    <t>(대만/22일~26일)쿠팡 김범석 관련 취재(정아람)</t>
  </si>
  <si>
    <t>Avmov 스케치(김영민)</t>
  </si>
  <si>
    <t>안세영 등 배드민턴 대표팀 귀국(오선민)</t>
  </si>
  <si>
    <t>정희원 관련 문서 및 화면 스케치(김태형)</t>
  </si>
  <si>
    <t>김규환 측 통일교 윤영호 고소장 제출(김영민)</t>
  </si>
  <si>
    <t>쿠팡 탈세 관련 예치 집행(김민)</t>
  </si>
  <si>
    <t>진천 출장 출발</t>
  </si>
  <si>
    <t>신한카드 개인정보 유출 관련 인터뷰(이상화)</t>
  </si>
  <si>
    <t>택배과로사대책위 김범석 고발 기자회견(이희령)</t>
  </si>
  <si>
    <t>1.김건희 특검 종편풀1
2.관훈언론상 시상식(정해성)</t>
  </si>
  <si>
    <t>야구 송성문 귀국(오선민)</t>
  </si>
  <si>
    <t>진천선수촌 훈련공개</t>
  </si>
  <si>
    <t>신한카드 홈페이지 사과문(전다빈)</t>
  </si>
  <si>
    <t>관봉권 특검 쿠팡풀필먼트 압수수색(배양진)</t>
  </si>
  <si>
    <t>봅슬레이 대표팀 귀국(오선민)</t>
  </si>
  <si>
    <t>1.Ai교육 종합계획 기자회견(공다솜)
2.토머스 컨트리맨 전 미국 국무부 차관보 줌 인터뷰(이지은)</t>
  </si>
  <si>
    <t>뉴스룸MNG-광화문 날씨(하혜빈)</t>
  </si>
  <si>
    <t>1.김건희 특검 종편풀1
2.신한카드 본사 외경1</t>
  </si>
  <si>
    <t>4.5일제 기업 인터뷰(공다솜)</t>
  </si>
  <si>
    <t>국수본 UPF 회장 소환 후 귀가 종편풀1</t>
  </si>
  <si>
    <t>(시청)1.김건희 특검 종편풀2
2.신한카드 본사 외경2 3. 하나은행 딜링룸 환율(김재현)
3.국수본 UPF 회장 소환 후 귀가 종편풀2</t>
  </si>
  <si>
    <t>문서스케치(정인아)</t>
  </si>
  <si>
    <t>가습기살균제 피해자 인터뷰(박상욱)</t>
  </si>
  <si>
    <t>한국배터리산업협회 인터뷰 촬영(강나윤)</t>
  </si>
  <si>
    <t>서학개미 인터뷰(김재현)</t>
  </si>
  <si>
    <t>정희원 관련 스케치(김태형)</t>
  </si>
  <si>
    <t>1.밀착-크리스마스 봉사(정희윤)
2.성탄 구유(강나현)</t>
  </si>
  <si>
    <t>송파구 아파트 화재(김휘란)</t>
  </si>
  <si>
    <t>뉴스룸MNG-광화문 날씨(박상욱)</t>
  </si>
  <si>
    <t>여의도 순복음 교회 예배(강나현)</t>
  </si>
  <si>
    <t>성탄절 휴일스케치</t>
  </si>
  <si>
    <t>쿠팡 측 기습 입장문 문서스케치(전다빈)</t>
  </si>
  <si>
    <t>정부 환율 개입 관련 시민 인터뷰(이상화)</t>
  </si>
  <si>
    <t>컬링 슈퍼리그 올스타전(강나현)</t>
  </si>
  <si>
    <t>김건희 특검 휴일 대기</t>
  </si>
  <si>
    <t>식약처 가이드라인 문서스케치(최연수)</t>
  </si>
  <si>
    <t>쿠팡 사태 관련 4대 종교 기자회견(강나현)</t>
  </si>
  <si>
    <t>마약혐의, 황하나 영장실질심사(배양진)</t>
  </si>
  <si>
    <t>쿠팡 1·2차 과로방지 합의 미이행 규탄 기자회견(이희령)</t>
  </si>
  <si>
    <t>박진 전 인권위 사무총장 특수본 참고인 출석(임지은)</t>
  </si>
  <si>
    <t>김건희 특검 종편풀2
뉴스룸 MNG 국수본(김산)</t>
  </si>
  <si>
    <t>통일교 신천지 법률안 취재(김안수)</t>
  </si>
  <si>
    <t>성탄절 인파 속 실종아동 찾아낸 경찰 인터뷰(조유리)</t>
  </si>
  <si>
    <t>전국 남녀 스프린트 및 스피드 선수권대회(채승기)</t>
  </si>
  <si>
    <t>문서스케치(박상욱)</t>
  </si>
  <si>
    <t>뉴스룸 MNG 중앙지법(김혜리)</t>
  </si>
  <si>
    <t>강릉-컬링 믹스더블 인터뷰(오선민)</t>
  </si>
  <si>
    <t>전국 남녀 스프린트 및 스피드 선수권대회 2일차(온누리)</t>
  </si>
  <si>
    <t>통일교 전 비서실장 한일해저터널 청탁 소환조사2(김산)</t>
  </si>
  <si>
    <t>통일교 전 비서실장 한일해저터널 청탁 소환조사1(김산)</t>
  </si>
  <si>
    <t>밀착-무안공항 참사 1주기(이은진)28~29</t>
  </si>
  <si>
    <t>장기기증협회 기증자 가족 인터뷰(신혜지 리더)</t>
  </si>
  <si>
    <t>가평 풀빌라 사고(조유리)</t>
  </si>
  <si>
    <t>대한항공 탁구단 합동훈련(이희정)</t>
  </si>
  <si>
    <t>대형차량 우회전 사각지대 운전 시연(정영재)</t>
  </si>
  <si>
    <t>쿠팡 보상안 관련 시민 인터뷰(박소연)</t>
  </si>
  <si>
    <t>쿠팡 고소장 스케치(김필준)</t>
  </si>
  <si>
    <t>국가수사본부 바비엥3주상복합 스케치(양정진)</t>
  </si>
  <si>
    <t>(시청)김건희 특검 수사결과 종합브리핑</t>
  </si>
  <si>
    <t>밀착-연말기획 &lt;지하의 노동자들&gt;(이상엽)</t>
  </si>
  <si>
    <t>스피드스케이팅 대표팀 훈련 스케치(채승기)</t>
  </si>
  <si>
    <t>쿠팡 1인당 5만원 보상안 스케치(박소연)
쿠팡 CPO 서면 인터뷰 문서 sk(임지수)</t>
  </si>
  <si>
    <t>방미통위원장 첫 행보 '온라인피해365센터' 방문(노진호)</t>
  </si>
  <si>
    <t>제주SK FC, 신임 감독 세르지우 선임 기자회견(홍지용)</t>
  </si>
  <si>
    <t>기획예산처 장관 출근길(이상화)</t>
  </si>
  <si>
    <t>독자 AI 파운데이션 모델 프로젝트 1차 발표회(박소연)</t>
  </si>
  <si>
    <t>통일부 북한자료센터 노동신문 열람(신진)</t>
  </si>
  <si>
    <t>기획예산처 장관 후보자 도어스테핑(김재현)</t>
  </si>
  <si>
    <t>국가브랜드컨퍼런스 - 안세영 참석(오선민)</t>
  </si>
  <si>
    <t>KT 소액결제 피해 사고 관련 발표(김재현)</t>
  </si>
  <si>
    <t>1.이가혁라이브MNG-이용우 의원
2.뉴스룸MNG-국회(정인아)</t>
  </si>
  <si>
    <t>홍대 술집 무단침입 관련(김서하)</t>
  </si>
  <si>
    <t>강훈식 대통령 비서실장 귀국(이승환)</t>
  </si>
  <si>
    <t>쇼트트랙 곽윤기·김아랑 인터뷰(이예원)</t>
  </si>
  <si>
    <t>대형마트 새벽시간 배송센터(이상화)</t>
  </si>
  <si>
    <t>실노동시간 단축 로드맵 추진단 결과 대국민 보고(하혜빈)</t>
  </si>
  <si>
    <r>
      <rPr>
        <rFont val="Malgun Gothic"/>
        <color rgb="FFFF0000"/>
        <sz val="11.0"/>
      </rPr>
      <t xml:space="preserve">개인사정으로 지각
</t>
    </r>
    <r>
      <rPr>
        <rFont val="Malgun Gothic"/>
        <color theme="1"/>
        <sz val="11.0"/>
      </rPr>
      <t>문서스케치(황예린)</t>
    </r>
  </si>
  <si>
    <t>시흥 교제살인 영장실질(김휘란)</t>
  </si>
  <si>
    <t>하늘공원 일몰</t>
  </si>
  <si>
    <t>쿠팡 부천신선센터 알바생 인터뷰(박현주)</t>
  </si>
  <si>
    <t>안성기 회고전(강나현)</t>
  </si>
  <si>
    <t>문서스케치(이승환)</t>
  </si>
  <si>
    <t>경기 시흥 교제살인 피해자 유족 인터뷰(조유리)</t>
  </si>
  <si>
    <t>독립기념관 2025 포상 계획안 문서 스케치(임지은)</t>
  </si>
  <si>
    <t>차병원 첫 출산(전다빈)</t>
  </si>
  <si>
    <t>뮷즈 열풍 국중박 취재(강나현)</t>
  </si>
  <si>
    <t>새해 출산율(공다솜)</t>
  </si>
  <si>
    <t>뉴스룸MNG-보신각(하혜빈)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</si>
</sst>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5">
    <font>
      <sz val="10.0"/>
      <color rgb="FF000000"/>
      <name val="Arial"/>
      <scheme val="minor"/>
    </font>
    <font>
      <b/>
      <sz val="11.0"/>
      <color theme="1"/>
      <name val="Malgun Gothic"/>
    </font>
    <font>
      <b/>
      <sz val="11.0"/>
      <color theme="1"/>
      <name val="Arial"/>
      <scheme val="minor"/>
    </font>
    <font>
      <sz val="7.0"/>
      <color theme="1"/>
      <name val="Arial"/>
      <scheme val="minor"/>
    </font>
    <font>
      <b/>
      <sz val="14.0"/>
      <color theme="1"/>
      <name val="Malgun Gothic"/>
    </font>
    <font>
      <b/>
      <sz val="13.0"/>
      <color theme="1"/>
      <name val="Malgun Gothic"/>
    </font>
    <font>
      <sz val="22.0"/>
      <color theme="1"/>
      <name val="Arial"/>
      <scheme val="minor"/>
    </font>
    <font>
      <sz val="72.0"/>
      <color theme="1"/>
      <name val="Arial"/>
      <scheme val="minor"/>
    </font>
    <font>
      <b/>
      <sz val="13.0"/>
      <color rgb="FFFFFFFF"/>
      <name val="Malgun Gothic"/>
    </font>
    <font>
      <b/>
      <sz val="11.0"/>
      <color theme="1"/>
      <name val="나눔고딕"/>
    </font>
    <font>
      <b/>
      <sz val="11.0"/>
      <color rgb="FFFFFFFF"/>
      <name val="Malgun Gothic"/>
    </font>
    <font>
      <b/>
      <sz val="11.0"/>
      <color rgb="FF000000"/>
      <name val="나눔고딕"/>
    </font>
    <font>
      <b/>
      <sz val="22.0"/>
      <color theme="1"/>
      <name val="Arial"/>
      <scheme val="minor"/>
    </font>
    <font>
      <b/>
      <sz val="7.0"/>
      <color theme="1"/>
      <name val="Arial"/>
      <scheme val="minor"/>
    </font>
    <font>
      <sz val="11.0"/>
      <color rgb="FFFF9900"/>
      <name val="Malgun Gothic"/>
    </font>
    <font>
      <sz val="11.0"/>
      <color theme="1"/>
      <name val="Malgun Gothic"/>
    </font>
    <font>
      <color theme="1"/>
      <name val="Arial"/>
      <scheme val="minor"/>
    </font>
    <font>
      <sz val="11.0"/>
      <color rgb="FFFFFFFF"/>
      <name val="Malgun Gothic"/>
    </font>
    <font>
      <sz val="12.0"/>
      <color rgb="FF000000"/>
      <name val="굴림"/>
    </font>
    <font>
      <sz val="11.0"/>
      <color rgb="FF000000"/>
      <name val="Malgun Gothic"/>
    </font>
    <font>
      <sz val="11.0"/>
      <color rgb="FF000000"/>
      <name val="굴림"/>
    </font>
    <font>
      <sz val="11.0"/>
      <color rgb="FFFF0000"/>
      <name val="Malgun Gothic"/>
    </font>
    <font>
      <color rgb="FF38393B"/>
      <name val="&quot;맑은 고딕&quot;"/>
    </font>
    <font>
      <color theme="1"/>
      <name val="함초롬바탕"/>
    </font>
    <font>
      <b/>
      <sz val="11.0"/>
      <color rgb="FFCC0000"/>
      <name val="Malgun Gothic"/>
    </font>
    <font>
      <b/>
      <sz val="11.0"/>
      <color rgb="FFFF0000"/>
      <name val="Malgun Gothic"/>
    </font>
    <font>
      <sz val="11.0"/>
      <color rgb="FF434343"/>
      <name val="Malgun Gothic"/>
    </font>
    <font>
      <sz val="11.0"/>
      <color rgb="FF434343"/>
      <name val="굴림"/>
    </font>
    <font>
      <sz val="11.0"/>
      <color theme="1"/>
      <name val="Arial"/>
      <scheme val="minor"/>
    </font>
    <font>
      <sz val="11.0"/>
      <color rgb="FF0000FF"/>
      <name val="Malgun Gothic"/>
    </font>
    <font>
      <color rgb="FF0000FF"/>
      <name val="Malgun Gothic"/>
    </font>
    <font>
      <b/>
      <sz val="11.0"/>
      <color rgb="FF000000"/>
      <name val="Malgun Gothic"/>
    </font>
    <font>
      <u/>
      <sz val="11.0"/>
      <color rgb="FF0000FF"/>
      <name val="Malgun Gothic"/>
    </font>
    <font>
      <sz val="12.0"/>
      <color rgb="FF000000"/>
      <name val="Malgun Gothic"/>
    </font>
    <font>
      <color theme="1"/>
      <name val="Arial"/>
    </font>
    <font>
      <sz val="12.0"/>
      <color theme="1"/>
      <name val="나눔고딕"/>
    </font>
    <font>
      <sz val="11.0"/>
      <color rgb="FF434343"/>
      <name val="&quot;Malgun Gothic&quot;"/>
    </font>
    <font>
      <b/>
      <sz val="11.0"/>
      <color rgb="FF434343"/>
      <name val="Malgun Gothic"/>
    </font>
    <font>
      <sz val="12.0"/>
      <color rgb="FFFFFFFF"/>
      <name val="굴림"/>
    </font>
    <font>
      <b/>
      <sz val="11.0"/>
      <color rgb="FFD5A6BD"/>
      <name val="Malgun Gothic"/>
    </font>
    <font>
      <sz val="12.0"/>
      <color theme="1"/>
      <name val="Malgun Gothic"/>
    </font>
    <font>
      <sz val="11.0"/>
      <color theme="1"/>
      <name val="굴림"/>
    </font>
    <font>
      <b/>
      <sz val="10.0"/>
      <color theme="1"/>
      <name val="Malgun Gothic"/>
    </font>
    <font>
      <sz val="12.0"/>
      <color theme="1"/>
      <name val="굴림"/>
    </font>
    <font>
      <b/>
      <sz val="13.0"/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F8FAFD"/>
        <bgColor rgb="FFF8FAFD"/>
      </patternFill>
    </fill>
    <fill>
      <patternFill patternType="solid">
        <fgColor rgb="FFCCCCCC"/>
        <bgColor rgb="FFCCCCCC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A2C4C9"/>
        <bgColor rgb="FFA2C4C9"/>
      </patternFill>
    </fill>
    <fill>
      <patternFill patternType="solid">
        <fgColor rgb="FFB7E1CD"/>
        <bgColor rgb="FFB7E1CD"/>
      </patternFill>
    </fill>
  </fills>
  <borders count="5">
    <border/>
    <border>
      <top style="thin">
        <color rgb="FFE1E3E1"/>
      </top>
    </border>
    <border>
      <left style="thin">
        <color rgb="FF284E3F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284E3F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left" readingOrder="0"/>
    </xf>
    <xf borderId="0" fillId="2" fontId="3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4" numFmtId="20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left" readingOrder="0" vertical="center"/>
    </xf>
    <xf borderId="0" fillId="0" fontId="7" numFmtId="0" xfId="0" applyAlignment="1" applyFont="1">
      <alignment horizontal="center" readingOrder="0" vertical="center"/>
    </xf>
    <xf borderId="0" fillId="0" fontId="4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5" fontId="4" numFmtId="0" xfId="0" applyAlignment="1" applyFill="1" applyFont="1">
      <alignment horizontal="center" shrinkToFit="0" vertical="center" wrapText="0"/>
    </xf>
    <xf borderId="0" fillId="5" fontId="5" numFmtId="0" xfId="0" applyAlignment="1" applyFont="1">
      <alignment horizontal="center" shrinkToFit="0" vertical="center" wrapText="0"/>
    </xf>
    <xf borderId="0" fillId="5" fontId="1" numFmtId="0" xfId="0" applyAlignment="1" applyFont="1">
      <alignment shrinkToFit="0" vertical="center" wrapText="0"/>
    </xf>
    <xf borderId="0" fillId="5" fontId="1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left"/>
    </xf>
    <xf borderId="0" fillId="0" fontId="5" numFmtId="0" xfId="0" applyAlignment="1" applyFont="1">
      <alignment horizontal="center" shrinkToFit="0" vertical="center" wrapText="0"/>
    </xf>
    <xf borderId="0" fillId="3" fontId="4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4" fontId="4" numFmtId="20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left" readingOrder="0"/>
    </xf>
    <xf borderId="0" fillId="3" fontId="4" numFmtId="20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2" fontId="4" numFmtId="20" xfId="0" applyAlignment="1" applyFont="1" applyNumberFormat="1">
      <alignment horizontal="center"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6" fontId="4" numFmtId="20" xfId="0" applyAlignment="1" applyFill="1" applyFont="1" applyNumberFormat="1">
      <alignment horizontal="center" readingOrder="0" shrinkToFit="0" vertical="center" wrapText="0"/>
    </xf>
    <xf borderId="0" fillId="4" fontId="4" numFmtId="46" xfId="0" applyAlignment="1" applyFont="1" applyNumberFormat="1">
      <alignment horizontal="center" readingOrder="0" shrinkToFit="0" vertical="center" wrapText="0"/>
    </xf>
    <xf borderId="0" fillId="0" fontId="12" numFmtId="0" xfId="0" applyAlignment="1" applyFont="1">
      <alignment horizontal="left" readingOrder="0"/>
    </xf>
    <xf borderId="0" fillId="2" fontId="13" numFmtId="0" xfId="0" applyAlignment="1" applyFont="1">
      <alignment horizontal="center" readingOrder="0"/>
    </xf>
    <xf borderId="0" fillId="3" fontId="13" numFmtId="0" xfId="0" applyAlignment="1" applyFont="1">
      <alignment horizontal="center" readingOrder="0"/>
    </xf>
    <xf borderId="0" fillId="4" fontId="13" numFmtId="0" xfId="0" applyAlignment="1" applyFont="1">
      <alignment horizontal="center" readingOrder="0"/>
    </xf>
    <xf borderId="0" fillId="0" fontId="1" numFmtId="20" xfId="0" applyAlignment="1" applyFont="1" applyNumberFormat="1">
      <alignment horizontal="center"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5" numFmtId="0" xfId="0" applyAlignment="1" applyFont="1">
      <alignment horizontal="center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5" numFmtId="0" xfId="0" applyAlignment="1" applyFont="1">
      <alignment shrinkToFit="0" vertical="center" wrapText="0"/>
    </xf>
    <xf borderId="0" fillId="5" fontId="15" numFmtId="0" xfId="0" applyAlignment="1" applyFont="1">
      <alignment shrinkToFit="0" vertical="center" wrapText="0"/>
    </xf>
    <xf borderId="0" fillId="5" fontId="15" numFmtId="0" xfId="0" applyAlignment="1" applyFont="1">
      <alignment horizontal="center" shrinkToFit="0" vertical="center" wrapText="0"/>
    </xf>
    <xf borderId="0" fillId="5" fontId="6" numFmtId="0" xfId="0" applyAlignment="1" applyFont="1">
      <alignment horizontal="left"/>
    </xf>
    <xf borderId="0" fillId="5" fontId="16" numFmtId="0" xfId="0" applyFont="1"/>
    <xf borderId="0" fillId="7" fontId="1" numFmtId="20" xfId="0" applyAlignment="1" applyFill="1" applyFont="1" applyNumberFormat="1">
      <alignment horizontal="center" readingOrder="0" shrinkToFit="0" vertical="center" wrapText="0"/>
    </xf>
    <xf borderId="0" fillId="4" fontId="1" numFmtId="20" xfId="0" applyAlignment="1" applyFont="1" applyNumberFormat="1">
      <alignment horizontal="center"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3" fontId="1" numFmtId="20" xfId="0" applyAlignment="1" applyFont="1" applyNumberFormat="1">
      <alignment horizontal="center" readingOrder="0" shrinkToFit="0" vertical="center" wrapText="0"/>
    </xf>
    <xf borderId="0" fillId="5" fontId="6" numFmtId="0" xfId="0" applyAlignment="1" applyFont="1">
      <alignment horizontal="left" readingOrder="0"/>
    </xf>
    <xf borderId="0" fillId="0" fontId="10" numFmtId="20" xfId="0" applyAlignment="1" applyFont="1" applyNumberFormat="1">
      <alignment horizontal="center" readingOrder="0" shrinkToFit="0" vertical="center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4" fontId="1" numFmtId="0" xfId="0" applyAlignment="1" applyFont="1">
      <alignment horizontal="center" readingOrder="0" shrinkToFit="0" vertical="center" wrapText="0"/>
    </xf>
    <xf borderId="0" fillId="2" fontId="1" numFmtId="20" xfId="0" applyAlignment="1" applyFont="1" applyNumberFormat="1">
      <alignment horizontal="center" readingOrder="0" shrinkToFit="0" vertical="center" wrapText="0"/>
    </xf>
    <xf borderId="0" fillId="0" fontId="15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shrinkToFit="0" vertical="center" wrapText="0"/>
    </xf>
    <xf borderId="0" fillId="5" fontId="17" numFmtId="0" xfId="0" applyAlignment="1" applyFont="1">
      <alignment horizontal="center" shrinkToFit="0" vertical="center" wrapText="0"/>
    </xf>
    <xf borderId="0" fillId="8" fontId="1" numFmtId="20" xfId="0" applyAlignment="1" applyFill="1" applyFont="1" applyNumberFormat="1">
      <alignment horizontal="center" readingOrder="0" shrinkToFit="0" vertical="center" wrapText="0"/>
    </xf>
    <xf borderId="0" fillId="0" fontId="20" numFmtId="0" xfId="0" applyAlignment="1" applyFont="1">
      <alignment readingOrder="0" shrinkToFit="0" vertical="center" wrapText="0"/>
    </xf>
    <xf borderId="0" fillId="0" fontId="21" numFmtId="0" xfId="0" applyAlignment="1" applyFont="1">
      <alignment readingOrder="0" shrinkToFit="0" vertical="center" wrapText="0"/>
    </xf>
    <xf borderId="0" fillId="0" fontId="22" numFmtId="0" xfId="0" applyAlignment="1" applyFont="1">
      <alignment horizontal="left" readingOrder="0" shrinkToFit="0" vertical="center" wrapText="0"/>
    </xf>
    <xf borderId="0" fillId="0" fontId="19" numFmtId="0" xfId="0" applyAlignment="1" applyFont="1">
      <alignment shrinkToFit="0" vertical="center" wrapText="0"/>
    </xf>
    <xf borderId="0" fillId="0" fontId="19" numFmtId="0" xfId="0" applyAlignment="1" applyFont="1">
      <alignment horizontal="center" shrinkToFit="0" vertical="center" wrapText="0"/>
    </xf>
    <xf borderId="0" fillId="0" fontId="19" numFmtId="0" xfId="0" applyAlignment="1" applyFont="1">
      <alignment horizontal="center" readingOrder="0" shrinkToFit="0" vertical="center" wrapText="0"/>
    </xf>
    <xf quotePrefix="1" borderId="0" fillId="0" fontId="15" numFmtId="0" xfId="0" applyAlignment="1" applyFont="1">
      <alignment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5" fontId="1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23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4" fontId="10" numFmtId="20" xfId="0" applyAlignment="1" applyFont="1" applyNumberForma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0" fontId="24" numFmtId="0" xfId="0" applyAlignment="1" applyFont="1">
      <alignment horizontal="center" readingOrder="0" shrinkToFit="0" vertical="center" wrapText="0"/>
    </xf>
    <xf borderId="0" fillId="0" fontId="25" numFmtId="0" xfId="0" applyAlignment="1" applyFont="1">
      <alignment readingOrder="0" shrinkToFit="0" vertical="center" wrapText="0"/>
    </xf>
    <xf borderId="0" fillId="0" fontId="26" numFmtId="0" xfId="0" applyAlignment="1" applyFont="1">
      <alignment readingOrder="0" shrinkToFit="0" vertical="center" wrapText="0"/>
    </xf>
    <xf borderId="0" fillId="0" fontId="27" numFmtId="0" xfId="0" applyAlignment="1" applyFont="1">
      <alignment readingOrder="0" shrinkToFit="0" vertical="center" wrapText="0"/>
    </xf>
    <xf borderId="0" fillId="9" fontId="1" numFmtId="20" xfId="0" applyAlignment="1" applyFill="1" applyFont="1" applyNumberFormat="1">
      <alignment horizontal="center" readingOrder="0" shrinkToFit="0" vertical="center" wrapText="0"/>
    </xf>
    <xf borderId="0" fillId="0" fontId="28" numFmtId="0" xfId="0" applyAlignment="1" applyFont="1">
      <alignment readingOrder="0" shrinkToFit="0" vertical="center" wrapText="0"/>
    </xf>
    <xf borderId="0" fillId="0" fontId="15" numFmtId="0" xfId="0" applyAlignment="1" applyFont="1">
      <alignment horizontal="left" readingOrder="0" shrinkToFit="0" vertical="center" wrapText="0"/>
    </xf>
    <xf borderId="0" fillId="0" fontId="29" numFmtId="0" xfId="0" applyAlignment="1" applyFont="1">
      <alignment readingOrder="0" shrinkToFit="0" vertical="center" wrapText="0"/>
    </xf>
    <xf borderId="0" fillId="5" fontId="1" numFmtId="0" xfId="0" applyAlignment="1" applyFont="1">
      <alignment horizontal="center" readingOrder="0" shrinkToFit="0" vertical="center" wrapText="0"/>
    </xf>
    <xf borderId="0" fillId="0" fontId="30" numFmtId="0" xfId="0" applyAlignment="1" applyFont="1">
      <alignment readingOrder="0" shrinkToFit="0" vertical="center" wrapText="0"/>
    </xf>
    <xf borderId="0" fillId="4" fontId="31" numFmtId="0" xfId="0" applyAlignment="1" applyFont="1">
      <alignment horizontal="center" readingOrder="0" shrinkToFit="0" vertical="center" wrapText="0"/>
    </xf>
    <xf borderId="0" fillId="10" fontId="17" numFmtId="0" xfId="0" applyAlignment="1" applyFill="1" applyFont="1">
      <alignment readingOrder="0" shrinkToFit="0" vertical="center" wrapText="0"/>
    </xf>
    <xf borderId="0" fillId="0" fontId="32" numFmtId="0" xfId="0" applyAlignment="1" applyFont="1">
      <alignment readingOrder="0" shrinkToFit="0" vertical="center" wrapText="0"/>
    </xf>
    <xf borderId="0" fillId="7" fontId="1" numFmtId="0" xfId="0" applyAlignment="1" applyFont="1">
      <alignment horizontal="center" readingOrder="0" shrinkToFit="0" vertical="center" wrapText="0"/>
    </xf>
    <xf borderId="0" fillId="11" fontId="1" numFmtId="0" xfId="0" applyAlignment="1" applyFill="1" applyFont="1">
      <alignment horizontal="center" readingOrder="0" shrinkToFit="0" vertical="center" wrapText="0"/>
    </xf>
    <xf borderId="0" fillId="11" fontId="1" numFmtId="0" xfId="0" applyAlignment="1" applyFont="1">
      <alignment horizontal="center" shrinkToFit="0" vertical="center" wrapText="0"/>
    </xf>
    <xf borderId="0" fillId="11" fontId="15" numFmtId="0" xfId="0" applyAlignment="1" applyFont="1">
      <alignment readingOrder="0" shrinkToFit="0" vertical="center" wrapText="0"/>
    </xf>
    <xf borderId="0" fillId="11" fontId="15" numFmtId="0" xfId="0" applyAlignment="1" applyFont="1">
      <alignment horizontal="center" shrinkToFit="0" vertical="center" wrapText="0"/>
    </xf>
    <xf borderId="0" fillId="0" fontId="33" numFmtId="0" xfId="0" applyAlignment="1" applyFont="1">
      <alignment readingOrder="0" shrinkToFit="0" vertical="center" wrapText="0"/>
    </xf>
    <xf borderId="0" fillId="7" fontId="1" numFmtId="0" xfId="0" applyAlignment="1" applyFont="1">
      <alignment horizontal="center" shrinkToFit="0" vertical="center" wrapText="0"/>
    </xf>
    <xf borderId="0" fillId="7" fontId="15" numFmtId="0" xfId="0" applyAlignment="1" applyFont="1">
      <alignment readingOrder="0" shrinkToFit="0" vertical="center" wrapText="0"/>
    </xf>
    <xf borderId="0" fillId="7" fontId="15" numFmtId="0" xfId="0" applyAlignment="1" applyFont="1">
      <alignment horizontal="center" readingOrder="0" shrinkToFit="0" vertical="center" wrapText="0"/>
    </xf>
    <xf borderId="0" fillId="7" fontId="15" numFmtId="0" xfId="0" applyAlignment="1" applyFont="1">
      <alignment horizontal="center" shrinkToFit="0" vertical="center" wrapText="0"/>
    </xf>
    <xf borderId="0" fillId="12" fontId="1" numFmtId="20" xfId="0" applyAlignment="1" applyFill="1" applyFont="1" applyNumberFormat="1">
      <alignment horizontal="center" readingOrder="0" shrinkToFit="0" vertical="center" wrapText="0"/>
    </xf>
    <xf borderId="0" fillId="7" fontId="15" numFmtId="0" xfId="0" applyAlignment="1" applyFont="1">
      <alignment shrinkToFit="0" vertical="center" wrapText="0"/>
    </xf>
    <xf borderId="0" fillId="13" fontId="1" numFmtId="0" xfId="0" applyAlignment="1" applyFill="1" applyFont="1">
      <alignment horizontal="center" readingOrder="0" shrinkToFit="0" vertical="center" wrapText="0"/>
    </xf>
    <xf borderId="0" fillId="13" fontId="1" numFmtId="0" xfId="0" applyAlignment="1" applyFont="1">
      <alignment horizontal="center" shrinkToFit="0" vertical="center" wrapText="0"/>
    </xf>
    <xf borderId="0" fillId="13" fontId="15" numFmtId="0" xfId="0" applyAlignment="1" applyFont="1">
      <alignment shrinkToFit="0" vertical="center" wrapText="0"/>
    </xf>
    <xf borderId="0" fillId="13" fontId="15" numFmtId="0" xfId="0" applyAlignment="1" applyFont="1">
      <alignment horizontal="center" shrinkToFit="0" vertical="center" wrapText="0"/>
    </xf>
    <xf borderId="0" fillId="0" fontId="31" numFmtId="0" xfId="0" applyAlignment="1" applyFont="1">
      <alignment horizontal="center" readingOrder="0" shrinkToFit="0" vertical="center" wrapText="0"/>
    </xf>
    <xf borderId="0" fillId="4" fontId="31" numFmtId="20" xfId="0" applyAlignment="1" applyFont="1" applyNumberFormat="1">
      <alignment horizontal="center" readingOrder="0" shrinkToFit="0" vertical="center" wrapText="0"/>
    </xf>
    <xf borderId="0" fillId="14" fontId="1" numFmtId="20" xfId="0" applyAlignment="1" applyFill="1" applyFont="1" applyNumberFormat="1">
      <alignment horizontal="center" readingOrder="0" shrinkToFit="0" vertical="center" wrapText="0"/>
    </xf>
    <xf borderId="0" fillId="15" fontId="1" numFmtId="20" xfId="0" applyAlignment="1" applyFill="1" applyFont="1" applyNumberFormat="1">
      <alignment horizontal="center" readingOrder="0" shrinkToFit="0" vertical="center" wrapText="0"/>
    </xf>
    <xf borderId="0" fillId="0" fontId="34" numFmtId="0" xfId="0" applyAlignment="1" applyFont="1">
      <alignment vertical="bottom"/>
    </xf>
    <xf borderId="0" fillId="16" fontId="10" numFmtId="20" xfId="0" applyAlignment="1" applyFill="1" applyFont="1" applyNumberFormat="1">
      <alignment horizontal="center" readingOrder="0" shrinkToFit="0" vertical="center" wrapText="0"/>
    </xf>
    <xf borderId="0" fillId="0" fontId="31" numFmtId="0" xfId="0" applyAlignment="1" applyFont="1">
      <alignment readingOrder="0" shrinkToFit="0" vertical="center" wrapText="0"/>
    </xf>
    <xf borderId="0" fillId="9" fontId="1" numFmtId="0" xfId="0" applyAlignment="1" applyFont="1">
      <alignment horizontal="center" readingOrder="0" shrinkToFit="0" vertical="center" wrapText="0"/>
    </xf>
    <xf borderId="0" fillId="14" fontId="1" numFmtId="0" xfId="0" applyAlignment="1" applyFont="1">
      <alignment horizontal="center" readingOrder="0" shrinkToFit="0" vertical="center" wrapText="0"/>
    </xf>
    <xf borderId="0" fillId="0" fontId="35" numFmtId="0" xfId="0" applyAlignment="1" applyFont="1">
      <alignment readingOrder="0" shrinkToFit="0" vertical="center" wrapText="0"/>
    </xf>
    <xf borderId="1" fillId="17" fontId="19" numFmtId="0" xfId="0" applyAlignment="1" applyBorder="1" applyFill="1" applyFont="1">
      <alignment readingOrder="0" shrinkToFit="0" vertical="center" wrapText="0"/>
    </xf>
    <xf borderId="0" fillId="7" fontId="36" numFmtId="0" xfId="0" applyAlignment="1" applyFont="1">
      <alignment horizontal="left" readingOrder="0" shrinkToFit="0" vertical="center" wrapText="1"/>
    </xf>
    <xf borderId="0" fillId="5" fontId="16" numFmtId="0" xfId="0" applyAlignment="1" applyFont="1">
      <alignment readingOrder="0"/>
    </xf>
    <xf borderId="0" fillId="18" fontId="1" numFmtId="0" xfId="0" applyAlignment="1" applyFill="1" applyFont="1">
      <alignment horizontal="center" readingOrder="0" shrinkToFit="0" vertical="center" wrapText="0"/>
    </xf>
    <xf borderId="0" fillId="18" fontId="1" numFmtId="0" xfId="0" applyAlignment="1" applyFont="1">
      <alignment horizontal="center" shrinkToFit="0" vertical="center" wrapText="0"/>
    </xf>
    <xf borderId="0" fillId="18" fontId="15" numFmtId="0" xfId="0" applyAlignment="1" applyFont="1">
      <alignment readingOrder="0" shrinkToFit="0" vertical="center" wrapText="0"/>
    </xf>
    <xf borderId="0" fillId="18" fontId="15" numFmtId="0" xfId="0" applyAlignment="1" applyFont="1">
      <alignment horizontal="center" shrinkToFit="0" vertical="center" wrapText="0"/>
    </xf>
    <xf borderId="0" fillId="19" fontId="1" numFmtId="0" xfId="0" applyAlignment="1" applyFill="1" applyFont="1">
      <alignment horizontal="center" readingOrder="0" shrinkToFit="0" vertical="center" wrapText="0"/>
    </xf>
    <xf borderId="0" fillId="19" fontId="1" numFmtId="0" xfId="0" applyAlignment="1" applyFont="1">
      <alignment horizontal="center" shrinkToFit="0" vertical="center" wrapText="0"/>
    </xf>
    <xf borderId="0" fillId="19" fontId="15" numFmtId="0" xfId="0" applyAlignment="1" applyFont="1">
      <alignment shrinkToFit="0" vertical="center" wrapText="0"/>
    </xf>
    <xf borderId="0" fillId="19" fontId="15" numFmtId="0" xfId="0" applyAlignment="1" applyFont="1">
      <alignment horizontal="center" shrinkToFit="0" vertical="center" wrapText="0"/>
    </xf>
    <xf borderId="0" fillId="8" fontId="1" numFmtId="0" xfId="0" applyAlignment="1" applyFont="1">
      <alignment horizontal="center" readingOrder="0" shrinkToFit="0" vertical="center" wrapText="0"/>
    </xf>
    <xf borderId="2" fillId="13" fontId="37" numFmtId="0" xfId="0" applyAlignment="1" applyBorder="1" applyFont="1">
      <alignment horizontal="center" shrinkToFit="0" vertical="center" wrapText="0"/>
    </xf>
    <xf borderId="3" fillId="13" fontId="37" numFmtId="0" xfId="0" applyAlignment="1" applyBorder="1" applyFont="1">
      <alignment horizontal="center" shrinkToFit="0" vertical="center" wrapText="0"/>
    </xf>
    <xf borderId="3" fillId="13" fontId="34" numFmtId="0" xfId="0" applyAlignment="1" applyBorder="1" applyFont="1">
      <alignment shrinkToFit="0" vertical="center" wrapText="0"/>
    </xf>
    <xf borderId="4" fillId="13" fontId="34" numFmtId="0" xfId="0" applyAlignment="1" applyBorder="1" applyFont="1">
      <alignment shrinkToFit="0" vertical="center" wrapText="0"/>
    </xf>
    <xf borderId="0" fillId="0" fontId="34" numFmtId="0" xfId="0" applyAlignment="1" applyFont="1">
      <alignment vertical="bottom"/>
    </xf>
    <xf borderId="0" fillId="7" fontId="36" numFmtId="0" xfId="0" applyAlignment="1" applyFont="1">
      <alignment horizontal="left" shrinkToFit="0" vertical="center" wrapText="1"/>
    </xf>
    <xf borderId="0" fillId="2" fontId="10" numFmtId="20" xfId="0" applyAlignment="1" applyFont="1" applyNumberFormat="1">
      <alignment horizontal="center" readingOrder="0" shrinkToFit="0" vertical="center" wrapText="0"/>
    </xf>
    <xf borderId="0" fillId="18" fontId="15" numFmtId="0" xfId="0" applyAlignment="1" applyFont="1">
      <alignment shrinkToFit="0" vertical="center" wrapText="0"/>
    </xf>
    <xf borderId="0" fillId="20" fontId="1" numFmtId="0" xfId="0" applyAlignment="1" applyFill="1" applyFont="1">
      <alignment horizontal="center" readingOrder="0" shrinkToFit="0" vertical="center" wrapText="0"/>
    </xf>
    <xf borderId="0" fillId="20" fontId="1" numFmtId="0" xfId="0" applyAlignment="1" applyFont="1">
      <alignment horizontal="center" shrinkToFit="0" vertical="center" wrapText="0"/>
    </xf>
    <xf borderId="0" fillId="20" fontId="15" numFmtId="0" xfId="0" applyAlignment="1" applyFont="1">
      <alignment shrinkToFit="0" vertical="center" wrapText="0"/>
    </xf>
    <xf borderId="0" fillId="20" fontId="15" numFmtId="0" xfId="0" applyAlignment="1" applyFont="1">
      <alignment horizontal="center" shrinkToFit="0" vertical="center" wrapText="0"/>
    </xf>
    <xf borderId="0" fillId="5" fontId="15" numFmtId="0" xfId="0" applyAlignment="1" applyFont="1">
      <alignment readingOrder="0" shrinkToFit="0" vertical="center" wrapText="0"/>
    </xf>
    <xf borderId="0" fillId="21" fontId="15" numFmtId="0" xfId="0" applyAlignment="1" applyFill="1" applyFont="1">
      <alignment shrinkToFit="0" vertical="center" wrapText="0"/>
    </xf>
    <xf borderId="0" fillId="21" fontId="1" numFmtId="0" xfId="0" applyAlignment="1" applyFont="1">
      <alignment horizontal="center" readingOrder="0" shrinkToFit="0" vertical="center" wrapText="0"/>
    </xf>
    <xf borderId="0" fillId="21" fontId="1" numFmtId="20" xfId="0" applyAlignment="1" applyFont="1" applyNumberFormat="1">
      <alignment horizontal="center" readingOrder="0" shrinkToFit="0" vertical="center" wrapText="0"/>
    </xf>
    <xf borderId="0" fillId="21" fontId="1" numFmtId="0" xfId="0" applyAlignment="1" applyFont="1">
      <alignment horizontal="center" shrinkToFit="0" vertical="center" wrapText="0"/>
    </xf>
    <xf borderId="0" fillId="21" fontId="15" numFmtId="0" xfId="0" applyAlignment="1" applyFont="1">
      <alignment readingOrder="0" shrinkToFit="0" vertical="center" wrapText="0"/>
    </xf>
    <xf borderId="0" fillId="21" fontId="15" numFmtId="0" xfId="0" applyAlignment="1" applyFont="1">
      <alignment horizontal="center" shrinkToFit="0" vertical="center" wrapText="0"/>
    </xf>
    <xf borderId="0" fillId="22" fontId="1" numFmtId="0" xfId="0" applyAlignment="1" applyFill="1" applyFont="1">
      <alignment horizontal="center" readingOrder="0" shrinkToFit="0" vertical="center" wrapText="0"/>
    </xf>
    <xf borderId="0" fillId="22" fontId="1" numFmtId="0" xfId="0" applyAlignment="1" applyFont="1">
      <alignment horizontal="center" shrinkToFit="0" vertical="center" wrapText="0"/>
    </xf>
    <xf borderId="0" fillId="22" fontId="15" numFmtId="0" xfId="0" applyAlignment="1" applyFont="1">
      <alignment shrinkToFit="0" vertical="center" wrapText="0"/>
    </xf>
    <xf borderId="0" fillId="22" fontId="15" numFmtId="0" xfId="0" applyAlignment="1" applyFont="1">
      <alignment horizontal="center" readingOrder="0" shrinkToFit="0" vertical="center" wrapText="0"/>
    </xf>
    <xf borderId="0" fillId="22" fontId="15" numFmtId="0" xfId="0" applyAlignment="1" applyFont="1">
      <alignment horizontal="center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0" fillId="0" fontId="38" numFmtId="0" xfId="0" applyAlignment="1" applyFont="1">
      <alignment readingOrder="0" shrinkToFit="0" vertical="center" wrapText="0"/>
    </xf>
    <xf borderId="0" fillId="12" fontId="39" numFmtId="20" xfId="0" applyAlignment="1" applyFont="1" applyNumberFormat="1">
      <alignment horizontal="center" readingOrder="0" shrinkToFit="0" vertical="center" wrapText="0"/>
    </xf>
    <xf borderId="0" fillId="0" fontId="40" numFmtId="0" xfId="0" applyAlignment="1" applyFont="1">
      <alignment readingOrder="0" shrinkToFit="0" vertical="center" wrapText="0"/>
    </xf>
    <xf borderId="0" fillId="0" fontId="41" numFmtId="0" xfId="0" applyAlignment="1" applyFont="1">
      <alignment readingOrder="0" shrinkToFit="0" vertical="center" wrapText="0"/>
    </xf>
    <xf borderId="0" fillId="0" fontId="42" numFmtId="0" xfId="0" applyAlignment="1" applyFont="1">
      <alignment horizontal="center" readingOrder="0" shrinkToFit="0" vertical="center" wrapText="0"/>
    </xf>
    <xf borderId="0" fillId="0" fontId="43" numFmtId="0" xfId="0" applyAlignment="1" applyFont="1">
      <alignment readingOrder="0" shrinkToFit="0" vertical="center" wrapText="0"/>
    </xf>
    <xf borderId="0" fillId="4" fontId="1" numFmtId="0" xfId="0" applyAlignment="1" applyFont="1">
      <alignment horizontal="center" shrinkToFit="0" vertical="center" wrapText="0"/>
    </xf>
    <xf borderId="0" fillId="3" fontId="1" numFmtId="0" xfId="0" applyAlignment="1" applyFont="1">
      <alignment horizontal="center" shrinkToFit="0" vertical="center" wrapText="0"/>
    </xf>
    <xf borderId="0" fillId="0" fontId="44" numFmtId="0" xfId="0" applyAlignment="1" applyFont="1">
      <alignment horizontal="center" readingOrder="0" shrinkToFit="0" vertical="center" wrapText="0"/>
    </xf>
    <xf borderId="0" fillId="0" fontId="44" numFmtId="0" xfId="0" applyAlignment="1" applyFont="1">
      <alignment horizontal="center" readingOrder="0" shrinkToFit="0" vertical="center" wrapText="0"/>
    </xf>
    <xf borderId="0" fillId="0" fontId="44" numFmtId="0" xfId="0" applyAlignment="1" applyFont="1">
      <alignment readingOrder="0" shrinkToFit="0" vertical="center" wrapText="0"/>
    </xf>
    <xf borderId="0" fillId="0" fontId="44" numFmtId="0" xfId="0" applyAlignment="1" applyFont="1">
      <alignment shrinkToFit="0" vertical="center" wrapText="0"/>
    </xf>
    <xf borderId="0" fillId="0" fontId="44" numFmtId="0" xfId="0" applyAlignment="1" applyFont="1">
      <alignment readingOrder="0"/>
    </xf>
    <xf borderId="0" fillId="0" fontId="44" numFmtId="0" xfId="0" applyFont="1"/>
    <xf borderId="0" fillId="0" fontId="31" numFmtId="20" xfId="0" applyAlignment="1" applyFont="1" applyNumberFormat="1">
      <alignment horizontal="center" readingOrder="0" shrinkToFit="0" vertical="center" wrapText="0"/>
    </xf>
    <xf borderId="0" fillId="5" fontId="10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>
        <color theme="0"/>
      </font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>
        <i/>
        <color rgb="FFFFFFFF"/>
      </font>
      <fill>
        <patternFill patternType="solid">
          <fgColor rgb="FF6FA8DC"/>
          <bgColor rgb="FF6FA8DC"/>
        </patternFill>
      </fill>
      <border/>
    </dxf>
  </dxfs>
  <tableStyles count="32">
    <tableStyle count="4" pivot="0" name="24년12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년01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년02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년03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년03월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년04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년04월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년05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년05월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년06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년06월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년07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년07월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년08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년08월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년09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년09월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6년03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6년03월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6년04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6년04월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6년02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6년02월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6년01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6년01월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년10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년10월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년11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년11월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년일정통계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년12월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5년12월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I838" displayName="이사십이월" name="이사십이월" id="1">
  <autoFilter ref="$B$1:$I$838">
    <filterColumn colId="1">
      <filters blank="1">
        <filter val="야퇴"/>
        <filter val="대휴"/>
        <filter val="건강검진"/>
        <filter val="검찰"/>
        <filter val="대기"/>
        <filter val="국방부"/>
        <filter val="청사"/>
        <filter val="석근"/>
        <filter val="대통령실"/>
        <filter val="야퇴."/>
        <filter val="국회"/>
        <filter val="연장"/>
        <filter val="조근"/>
        <filter val="추가"/>
        <filter val="헌법재판소"/>
        <filter val="야근"/>
        <filter val="휴가."/>
      </filters>
    </filterColumn>
  </autoFilter>
  <tableColumns count="8">
    <tableColumn name="이름" id="1"/>
    <tableColumn name="근무" id="2"/>
    <tableColumn name="출근" id="3"/>
    <tableColumn name="퇴근" id="4"/>
    <tableColumn name="일정" id="5"/>
    <tableColumn name="일정수" id="6"/>
    <tableColumn name="출장" id="7"/>
    <tableColumn name="영상 단독" id="8"/>
  </tableColumns>
  <tableStyleInfo name="24년12월-style" showColumnStripes="0" showFirstColumn="1" showLastColumn="1" showRowStripes="1"/>
</table>
</file>

<file path=xl/tables/table2.xml><?xml version="1.0" encoding="utf-8"?>
<table xmlns="http://schemas.openxmlformats.org/spreadsheetml/2006/main" ref="B1:I864" displayName="이오일월" name="이오일월" id="2">
  <autoFilter ref="$B$1:$I$864">
    <filterColumn colId="1">
      <filters blank="1">
        <filter val="야퇴"/>
        <filter val="수원"/>
        <filter val="검찰"/>
        <filter val="국방부"/>
        <filter val="대기"/>
        <filter val="석근"/>
        <filter val="대통령실"/>
        <filter val="연장"/>
        <filter val="조근"/>
        <filter val="헌법재판소"/>
        <filter val="추가"/>
        <filter val="야근"/>
      </filters>
    </filterColumn>
  </autoFilter>
  <tableColumns count="8">
    <tableColumn name="이름" id="1"/>
    <tableColumn name="근무" id="2"/>
    <tableColumn name="출근" id="3"/>
    <tableColumn name="퇴근" id="4"/>
    <tableColumn name="일정" id="5"/>
    <tableColumn name="일정수" id="6"/>
    <tableColumn name="출장" id="7"/>
    <tableColumn name="영상 단독" id="8"/>
  </tableColumns>
  <tableStyleInfo name="25년01월-style" showColumnStripes="0" showFirstColumn="1" showLastColumn="1" showRowStripes="1"/>
</table>
</file>

<file path=xl/tables/table3.xml><?xml version="1.0" encoding="utf-8"?>
<table xmlns="http://schemas.openxmlformats.org/spreadsheetml/2006/main" ref="B1:I864" displayName="이오이월" name="이오이월" id="3">
  <autoFilter ref="$B$1:$I$864">
    <filterColumn colId="1">
      <filters blank="1">
        <filter val="야퇴"/>
        <filter val="수원"/>
        <filter val="검찰"/>
        <filter val="대기"/>
        <filter val="국방부"/>
        <filter val="석근"/>
        <filter val="대통령실"/>
        <filter val="연장"/>
        <filter val="서울청사"/>
        <filter val="조근"/>
        <filter val="추가"/>
        <filter val="헌법재판소"/>
        <filter val="야근"/>
        <filter val="광주"/>
        <filter val="경남"/>
      </filters>
    </filterColumn>
  </autoFilter>
  <tableColumns count="8">
    <tableColumn name="이름" id="1"/>
    <tableColumn name="근무" id="2"/>
    <tableColumn name="출근" id="3"/>
    <tableColumn name="퇴근" id="4"/>
    <tableColumn name="일정" id="5"/>
    <tableColumn name="일정수" id="6"/>
    <tableColumn name="출장" id="7"/>
    <tableColumn name="영상 단독" id="8"/>
  </tableColumns>
  <tableStyleInfo name="25년02월-style" showColumnStripes="0" showFirstColumn="1" showLastColumn="1" showRowStripes="1"/>
</table>
</file>

<file path=xl/tables/table4.xml><?xml version="1.0" encoding="utf-8"?>
<table xmlns="http://schemas.openxmlformats.org/spreadsheetml/2006/main" ref="B1:I864" displayName="이오삼월" name="이오삼월" id="4">
  <autoFilter ref="$B$1:$I$864">
    <filterColumn colId="1">
      <filters blank="1">
        <filter val="야퇴"/>
        <filter val="수원"/>
        <filter val="교육"/>
        <filter val="검찰"/>
        <filter val="대기"/>
        <filter val="청사"/>
        <filter val="국방부"/>
        <filter val="탐사"/>
        <filter val="석근"/>
        <filter val="대통령실"/>
        <filter val="국회"/>
        <filter val="연장"/>
        <filter val="조근"/>
        <filter val="헌법재판소"/>
        <filter val="야근"/>
      </filters>
    </filterColumn>
  </autoFilter>
  <tableColumns count="8">
    <tableColumn name="이름" id="1"/>
    <tableColumn name="근무" id="2"/>
    <tableColumn name="출근" id="3"/>
    <tableColumn name="퇴근" id="4"/>
    <tableColumn name="일정" id="5"/>
    <tableColumn name="일정수" id="6"/>
    <tableColumn name="출장" id="7"/>
    <tableColumn name="영상 단독" id="8"/>
  </tableColumns>
  <tableStyleInfo name="25년03월-style" showColumnStripes="0" showFirstColumn="1" showLastColumn="1" showRowStripes="1"/>
</table>
</file>

<file path=xl/tables/table5.xml><?xml version="1.0" encoding="utf-8"?>
<table xmlns="http://schemas.openxmlformats.org/spreadsheetml/2006/main" ref="K1:K864" displayName="표1" name="표1" id="5">
  <tableColumns count="1">
    <tableColumn name="오디오맨" id="1"/>
  </tableColumns>
  <tableStyleInfo name="25년03월-style 2" showColumnStripes="0" showFirstColumn="1" showLastColumn="1" showRowStripes="1"/>
</table>
</file>

<file path=xl/tables/table6.xml><?xml version="1.0" encoding="utf-8"?>
<table xmlns="http://schemas.openxmlformats.org/spreadsheetml/2006/main" ref="B1:I864" displayName="이오사월" name="이오사월" id="6">
  <autoFilter ref="$B$1:$I$864">
    <filterColumn colId="1">
      <filters blank="1">
        <filter val="국방부"/>
        <filter val="청사"/>
        <filter val="탐사"/>
        <filter val="대통령실"/>
        <filter val="조근"/>
        <filter val="야근"/>
        <filter val="야퇴"/>
        <filter val="수원"/>
        <filter val="검찰"/>
        <filter val="대기"/>
        <filter val="석근"/>
        <filter val="국회"/>
        <filter val="연장"/>
        <filter val="1"/>
        <filter val="2"/>
        <filter val="3"/>
        <filter val="4"/>
        <filter val="헌법재판소"/>
        <filter val="5"/>
        <filter val="6"/>
        <filter val="7"/>
        <filter val="x"/>
      </filters>
    </filterColumn>
  </autoFilter>
  <tableColumns count="8">
    <tableColumn name="이름" id="1"/>
    <tableColumn name="근무" id="2"/>
    <tableColumn name="출근" id="3"/>
    <tableColumn name="퇴근" id="4"/>
    <tableColumn name="일정" id="5"/>
    <tableColumn name="일정수" id="6"/>
    <tableColumn name="출장" id="7"/>
    <tableColumn name="영상 단독" id="8"/>
  </tableColumns>
  <tableStyleInfo name="25년04월-style" showColumnStripes="0" showFirstColumn="1" showLastColumn="1" showRowStripes="1"/>
</table>
</file>

<file path=xl/tables/table7.xml><?xml version="1.0" encoding="utf-8"?>
<table xmlns="http://schemas.openxmlformats.org/spreadsheetml/2006/main" ref="K1:K864" displayName="표2_2" name="표2_2" id="7">
  <tableColumns count="1">
    <tableColumn name="오디오맨" id="1"/>
  </tableColumns>
  <tableStyleInfo name="25년04월-style 2" showColumnStripes="0" showFirstColumn="1" showLastColumn="1" showRowStripes="1"/>
</table>
</file>

<file path=xl/tables/table8.xml><?xml version="1.0" encoding="utf-8"?>
<table xmlns="http://schemas.openxmlformats.org/spreadsheetml/2006/main" ref="B1:I864" displayName="이오오월" name="이오오월" id="8">
  <autoFilter ref="$B$1:$I$864">
    <filterColumn colId="1">
      <filters blank="1">
        <filter val="수원"/>
        <filter val="야퇴"/>
        <filter val="검찰"/>
        <filter val="대기"/>
        <filter val="청사"/>
        <filter val="국방부"/>
        <filter val="탐사"/>
        <filter val="석근"/>
        <filter val="대통령실"/>
        <filter val="국회"/>
        <filter val="연장"/>
        <filter val="조근"/>
        <filter val="야근"/>
      </filters>
    </filterColumn>
  </autoFilter>
  <tableColumns count="8">
    <tableColumn name="이름" id="1"/>
    <tableColumn name="근무" id="2"/>
    <tableColumn name="출근" id="3"/>
    <tableColumn name="퇴근" id="4"/>
    <tableColumn name="일정" id="5"/>
    <tableColumn name="일정수" id="6"/>
    <tableColumn name="출장" id="7"/>
    <tableColumn name="영상 단독" id="8"/>
  </tableColumns>
  <tableStyleInfo name="25년05월-style" showColumnStripes="0" showFirstColumn="1" showLastColumn="1" showRowStripes="1"/>
</table>
</file>

<file path=xl/tables/table9.xml><?xml version="1.0" encoding="utf-8"?>
<table xmlns="http://schemas.openxmlformats.org/spreadsheetml/2006/main" ref="K1:K864" displayName="표2_3" name="표2_3" id="9">
  <tableColumns count="1">
    <tableColumn name="오디오맨" id="1"/>
  </tableColumns>
  <tableStyleInfo name="25년05월-style 2" showColumnStripes="0" showFirstColumn="1" showLastColumn="1" showRowStripes="1"/>
</table>
</file>

<file path=xl/tables/table10.xml><?xml version="1.0" encoding="utf-8"?>
<table xmlns="http://schemas.openxmlformats.org/spreadsheetml/2006/main" ref="B1:I864" displayName="이오육월" name="이오육월" id="10">
  <autoFilter ref="$B$1:$I$864">
    <filterColumn colId="1">
      <filters blank="1">
        <filter val="야퇴"/>
        <filter val="수원"/>
        <filter val="검찰"/>
        <filter val="대기"/>
        <filter val="국방부"/>
        <filter val="청사"/>
        <filter val="탐사"/>
        <filter val="석근"/>
        <filter val="대통령실"/>
        <filter val="국회"/>
        <filter val="연장"/>
        <filter val="조근"/>
        <filter val="야근"/>
      </filters>
    </filterColumn>
  </autoFilter>
  <tableColumns count="8">
    <tableColumn name="이름" id="1"/>
    <tableColumn name="근무" id="2"/>
    <tableColumn name="출근" id="3"/>
    <tableColumn name="퇴근" id="4"/>
    <tableColumn name="일정" id="5"/>
    <tableColumn name="일정수" id="6"/>
    <tableColumn name="출장" id="7"/>
    <tableColumn name="영상 단독" id="8"/>
  </tableColumns>
  <tableStyleInfo name="25년06월-style" showColumnStripes="0" showFirstColumn="1" showLastColumn="1" showRowStripes="1"/>
</table>
</file>

<file path=xl/tables/table11.xml><?xml version="1.0" encoding="utf-8"?>
<table xmlns="http://schemas.openxmlformats.org/spreadsheetml/2006/main" ref="K1:K864" displayName="표2_4" name="표2_4" id="11">
  <tableColumns count="1">
    <tableColumn name="오디오맨" id="1"/>
  </tableColumns>
  <tableStyleInfo name="25년06월-style 2" showColumnStripes="0" showFirstColumn="1" showLastColumn="1" showRowStripes="1"/>
</table>
</file>

<file path=xl/tables/table12.xml><?xml version="1.0" encoding="utf-8"?>
<table xmlns="http://schemas.openxmlformats.org/spreadsheetml/2006/main" ref="B1:I864" displayName="이오칠월" name="이오칠월" id="12">
  <autoFilter ref="$B$1:$I$864">
    <filterColumn colId="1">
      <filters blank="1">
        <filter val="수원"/>
        <filter val="야퇴"/>
        <filter val="검찰"/>
        <filter val="국방부"/>
        <filter val="탐사"/>
        <filter val="대기"/>
        <filter val="청사"/>
        <filter val="석근"/>
        <filter val="대통령실"/>
        <filter val="국회"/>
        <filter val="연장"/>
        <filter val="출장"/>
        <filter val="조근"/>
        <filter val="야근"/>
      </filters>
    </filterColumn>
  </autoFilter>
  <tableColumns count="8">
    <tableColumn name="이름" id="1"/>
    <tableColumn name="근무" id="2"/>
    <tableColumn name="출근" id="3"/>
    <tableColumn name="퇴근" id="4"/>
    <tableColumn name="일정" id="5"/>
    <tableColumn name="일정수" id="6"/>
    <tableColumn name="출장" id="7"/>
    <tableColumn name="영상 단독" id="8"/>
  </tableColumns>
  <tableStyleInfo name="25년07월-style" showColumnStripes="0" showFirstColumn="1" showLastColumn="1" showRowStripes="1"/>
</table>
</file>

<file path=xl/tables/table13.xml><?xml version="1.0" encoding="utf-8"?>
<table xmlns="http://schemas.openxmlformats.org/spreadsheetml/2006/main" ref="K1:K864" displayName="표2_5" name="표2_5" id="13">
  <tableColumns count="1">
    <tableColumn name="오디오맨" id="1"/>
  </tableColumns>
  <tableStyleInfo name="25년07월-style 2" showColumnStripes="0" showFirstColumn="1" showLastColumn="1" showRowStripes="1"/>
</table>
</file>

<file path=xl/tables/table14.xml><?xml version="1.0" encoding="utf-8"?>
<table xmlns="http://schemas.openxmlformats.org/spreadsheetml/2006/main" ref="B1:I864" displayName="이오팔월" name="이오팔월" id="14">
  <autoFilter ref="$B$1:$I$864">
    <filterColumn colId="1">
      <filters blank="1">
        <filter val="야퇴"/>
        <filter val="수원"/>
        <filter val="제크반"/>
        <filter val="검찰"/>
        <filter val="국방부"/>
        <filter val="대기"/>
        <filter val="청사"/>
        <filter val="석근"/>
        <filter val="대통령실"/>
        <filter val="국회"/>
        <filter val="연장"/>
        <filter val="조근"/>
        <filter val="오전&#10;반차"/>
        <filter val="야근"/>
      </filters>
    </filterColumn>
  </autoFilter>
  <tableColumns count="8">
    <tableColumn name="이름" id="1"/>
    <tableColumn name="근무" id="2"/>
    <tableColumn name="출근" id="3"/>
    <tableColumn name="퇴근" id="4"/>
    <tableColumn name="일정" id="5"/>
    <tableColumn name="일정수" id="6"/>
    <tableColumn name="출장" id="7"/>
    <tableColumn name="영상 단독" id="8"/>
  </tableColumns>
  <tableStyleInfo name="25년08월-style" showColumnStripes="0" showFirstColumn="1" showLastColumn="1" showRowStripes="1"/>
</table>
</file>

<file path=xl/tables/table15.xml><?xml version="1.0" encoding="utf-8"?>
<table xmlns="http://schemas.openxmlformats.org/spreadsheetml/2006/main" ref="K1:K864" displayName="표2_6" name="표2_6" id="15">
  <tableColumns count="1">
    <tableColumn name="오디오맨" id="1"/>
  </tableColumns>
  <tableStyleInfo name="25년08월-style 2" showColumnStripes="0" showFirstColumn="1" showLastColumn="1" showRowStripes="1"/>
</table>
</file>

<file path=xl/tables/table16.xml><?xml version="1.0" encoding="utf-8"?>
<table xmlns="http://schemas.openxmlformats.org/spreadsheetml/2006/main" ref="B1:I864" displayName="이오구월" name="이오구월" id="16">
  <autoFilter ref="$B$1:$I$864">
    <filterColumn colId="1">
      <filters blank="1">
        <filter val="수원"/>
        <filter val="야퇴"/>
        <filter val="검찰"/>
        <filter val="국방부"/>
        <filter val="대기"/>
        <filter val="청사"/>
        <filter val="석근"/>
        <filter val="대통령실"/>
        <filter val="국회"/>
        <filter val="연장"/>
        <filter val="조근"/>
        <filter val="야근"/>
      </filters>
    </filterColumn>
  </autoFilter>
  <tableColumns count="8">
    <tableColumn name="이름" id="1"/>
    <tableColumn name="근무" id="2"/>
    <tableColumn name="출근" id="3"/>
    <tableColumn name="퇴근" id="4"/>
    <tableColumn name="일정" id="5"/>
    <tableColumn name="일정수" id="6"/>
    <tableColumn name="출장" id="7"/>
    <tableColumn name="영상 단독" id="8"/>
  </tableColumns>
  <tableStyleInfo name="25년09월-style" showColumnStripes="0" showFirstColumn="1" showLastColumn="1" showRowStripes="1"/>
</table>
</file>

<file path=xl/tables/table17.xml><?xml version="1.0" encoding="utf-8"?>
<table xmlns="http://schemas.openxmlformats.org/spreadsheetml/2006/main" ref="K1:K864" displayName="표2_7" name="표2_7" id="17">
  <tableColumns count="1">
    <tableColumn name="오디오맨" id="1"/>
  </tableColumns>
  <tableStyleInfo name="25년09월-style 2" showColumnStripes="0" showFirstColumn="1" showLastColumn="1" showRowStripes="1"/>
</table>
</file>

<file path=xl/tables/table18.xml><?xml version="1.0" encoding="utf-8"?>
<table xmlns="http://schemas.openxmlformats.org/spreadsheetml/2006/main" ref="B1:I838" displayName="공_2" name="공_2" id="18">
  <autoFilter ref="$B$1:$I$838">
    <filterColumn colId="1">
      <filters blank="1">
        <filter val="야퇴"/>
        <filter val="수원"/>
        <filter val="데스크"/>
        <filter val="일반"/>
        <filter val="밀라노"/>
        <filter val="철야"/>
        <filter val="철야 퇴근"/>
        <filter val="검찰"/>
        <filter val="대기"/>
        <filter val="국방부"/>
        <filter val="해외출장"/>
        <filter val="석근"/>
        <filter val="제크"/>
        <filter val="시청"/>
        <filter val="법조"/>
        <filter val="연장"/>
        <filter val="뉴스대기"/>
        <filter val="청와대"/>
        <filter val="조근"/>
        <filter val="야근"/>
      </filters>
    </filterColumn>
  </autoFilter>
  <tableColumns count="8">
    <tableColumn name="이름" id="1"/>
    <tableColumn name="근무" id="2"/>
    <tableColumn name="출근" id="3"/>
    <tableColumn name="퇴근" id="4"/>
    <tableColumn name="일정" id="5"/>
    <tableColumn name="일정수" id="6"/>
    <tableColumn name="출장" id="7"/>
    <tableColumn name="영상 단독" id="8"/>
  </tableColumns>
  <tableStyleInfo name="26년03월-style" showColumnStripes="0" showFirstColumn="1" showLastColumn="1" showRowStripes="1"/>
</table>
</file>

<file path=xl/tables/table19.xml><?xml version="1.0" encoding="utf-8"?>
<table xmlns="http://schemas.openxmlformats.org/spreadsheetml/2006/main" ref="K1:K838" displayName="표2_12" name="표2_12" id="19">
  <tableColumns count="1">
    <tableColumn name="오디오맨" id="1"/>
  </tableColumns>
  <tableStyleInfo name="26년03월-style 2" showColumnStripes="0" showFirstColumn="1" showLastColumn="1" showRowStripes="1"/>
</table>
</file>

<file path=xl/tables/table20.xml><?xml version="1.0" encoding="utf-8"?>
<table xmlns="http://schemas.openxmlformats.org/spreadsheetml/2006/main" ref="B1:I838" displayName="공_3" name="공_3" id="20">
  <autoFilter ref="$B$1:$I$838"/>
  <tableColumns count="8">
    <tableColumn name="이름" id="1"/>
    <tableColumn name="근무" id="2"/>
    <tableColumn name="출근" id="3"/>
    <tableColumn name="퇴근" id="4"/>
    <tableColumn name="일정" id="5"/>
    <tableColumn name="일정수" id="6"/>
    <tableColumn name="출장" id="7"/>
    <tableColumn name="영상 단독" id="8"/>
  </tableColumns>
  <tableStyleInfo name="26년04월-style" showColumnStripes="0" showFirstColumn="1" showLastColumn="1" showRowStripes="1"/>
</table>
</file>

<file path=xl/tables/table21.xml><?xml version="1.0" encoding="utf-8"?>
<table xmlns="http://schemas.openxmlformats.org/spreadsheetml/2006/main" ref="K1:K838" displayName="표2_13" name="표2_13" id="21">
  <tableColumns count="1">
    <tableColumn name="오디오맨" id="1"/>
  </tableColumns>
  <tableStyleInfo name="26년04월-style 2" showColumnStripes="0" showFirstColumn="1" showLastColumn="1" showRowStripes="1"/>
</table>
</file>

<file path=xl/tables/table22.xml><?xml version="1.0" encoding="utf-8"?>
<table xmlns="http://schemas.openxmlformats.org/spreadsheetml/2006/main" ref="B1:I838" displayName="공" name="공" id="22">
  <autoFilter ref="$B$1:$I$838"/>
  <tableColumns count="8">
    <tableColumn name="이름" id="1"/>
    <tableColumn name="근무" id="2"/>
    <tableColumn name="출근" id="3"/>
    <tableColumn name="퇴근" id="4"/>
    <tableColumn name="일정" id="5"/>
    <tableColumn name="일정수" id="6"/>
    <tableColumn name="출장" id="7"/>
    <tableColumn name="영상 단독" id="8"/>
  </tableColumns>
  <tableStyleInfo name="26년02월-style" showColumnStripes="0" showFirstColumn="1" showLastColumn="1" showRowStripes="1"/>
</table>
</file>

<file path=xl/tables/table23.xml><?xml version="1.0" encoding="utf-8"?>
<table xmlns="http://schemas.openxmlformats.org/spreadsheetml/2006/main" ref="K1:K838" displayName="표2" name="표2" id="23">
  <tableColumns count="1">
    <tableColumn name="오디오맨" id="1"/>
  </tableColumns>
  <tableStyleInfo name="26년02월-style 2" showColumnStripes="0" showFirstColumn="1" showLastColumn="1" showRowStripes="1"/>
</table>
</file>

<file path=xl/tables/table24.xml><?xml version="1.0" encoding="utf-8"?>
<table xmlns="http://schemas.openxmlformats.org/spreadsheetml/2006/main" ref="B1:I763" displayName="이육일" name="이육일" id="24">
  <autoFilter ref="$B$1:$I$763"/>
  <tableColumns count="8">
    <tableColumn name="이름" id="1"/>
    <tableColumn name="근무" id="2"/>
    <tableColumn name="출근" id="3"/>
    <tableColumn name="퇴근" id="4"/>
    <tableColumn name="일정" id="5"/>
    <tableColumn name="일정수" id="6"/>
    <tableColumn name="출장" id="7"/>
    <tableColumn name="영상 단독" id="8"/>
  </tableColumns>
  <tableStyleInfo name="26년01월-style" showColumnStripes="0" showFirstColumn="1" showLastColumn="1" showRowStripes="1"/>
</table>
</file>

<file path=xl/tables/table25.xml><?xml version="1.0" encoding="utf-8"?>
<table xmlns="http://schemas.openxmlformats.org/spreadsheetml/2006/main" ref="K1:K763" displayName="표2_11" name="표2_11" id="25">
  <tableColumns count="1">
    <tableColumn name="오디오맨" id="1"/>
  </tableColumns>
  <tableStyleInfo name="26년01월-style 2" showColumnStripes="0" showFirstColumn="1" showLastColumn="1" showRowStripes="1"/>
</table>
</file>

<file path=xl/tables/table26.xml><?xml version="1.0" encoding="utf-8"?>
<table xmlns="http://schemas.openxmlformats.org/spreadsheetml/2006/main" ref="B1:I864" displayName="이오십월" name="이오십월" id="26">
  <autoFilter ref="$B$1:$I$864">
    <filterColumn colId="1">
      <filters blank="1">
        <filter val="수원"/>
        <filter val="야퇴"/>
        <filter val="검찰"/>
        <filter val="국방부"/>
        <filter val="청사"/>
        <filter val="대기"/>
        <filter val="석근"/>
        <filter val="대통령실"/>
        <filter val="국회"/>
        <filter val="연장"/>
        <filter val="조근"/>
        <filter val="야근"/>
      </filters>
    </filterColumn>
  </autoFilter>
  <tableColumns count="8">
    <tableColumn name="이름" id="1"/>
    <tableColumn name="근무" id="2"/>
    <tableColumn name="출근" id="3"/>
    <tableColumn name="퇴근" id="4"/>
    <tableColumn name="일정" id="5"/>
    <tableColumn name="일정수" id="6"/>
    <tableColumn name="출장" id="7"/>
    <tableColumn name="영상 단독" id="8"/>
  </tableColumns>
  <tableStyleInfo name="25년10월-style" showColumnStripes="0" showFirstColumn="1" showLastColumn="1" showRowStripes="1"/>
</table>
</file>

<file path=xl/tables/table27.xml><?xml version="1.0" encoding="utf-8"?>
<table xmlns="http://schemas.openxmlformats.org/spreadsheetml/2006/main" ref="K1:K864" displayName="표2_8" name="표2_8" id="27">
  <tableColumns count="1">
    <tableColumn name="오디오맨" id="1"/>
  </tableColumns>
  <tableStyleInfo name="25년10월-style 2" showColumnStripes="0" showFirstColumn="1" showLastColumn="1" showRowStripes="1"/>
</table>
</file>

<file path=xl/tables/table28.xml><?xml version="1.0" encoding="utf-8"?>
<table xmlns="http://schemas.openxmlformats.org/spreadsheetml/2006/main" ref="B1:I864" displayName="이오십일" name="이오십일" id="28">
  <autoFilter ref="$B$1:$I$864">
    <filterColumn colId="1">
      <filters blank="1">
        <filter val="야퇴"/>
        <filter val="수원"/>
        <filter val="검찰"/>
        <filter val="대기"/>
        <filter val="국방부"/>
        <filter val="청사"/>
        <filter val="석근"/>
        <filter val="대통령실"/>
        <filter val="국회"/>
        <filter val="연장"/>
        <filter val="전장연집회 지각&#10;사전연락O"/>
        <filter val="조근"/>
        <filter val="야근"/>
      </filters>
    </filterColumn>
  </autoFilter>
  <tableColumns count="8">
    <tableColumn name="이름" id="1"/>
    <tableColumn name="근무" id="2"/>
    <tableColumn name="출근" id="3"/>
    <tableColumn name="퇴근" id="4"/>
    <tableColumn name="일정" id="5"/>
    <tableColumn name="일정수" id="6"/>
    <tableColumn name="출장" id="7"/>
    <tableColumn name="영상 단독" id="8"/>
  </tableColumns>
  <tableStyleInfo name="25년11월-style" showColumnStripes="0" showFirstColumn="1" showLastColumn="1" showRowStripes="1"/>
</table>
</file>

<file path=xl/tables/table29.xml><?xml version="1.0" encoding="utf-8"?>
<table xmlns="http://schemas.openxmlformats.org/spreadsheetml/2006/main" ref="K1:K864" displayName="표2_9" name="표2_9" id="29">
  <tableColumns count="1">
    <tableColumn name="오디오맨" id="1"/>
  </tableColumns>
  <tableStyleInfo name="25년11월-style 2" showColumnStripes="0" showFirstColumn="1" showLastColumn="1" showRowStripes="1"/>
</table>
</file>

<file path=xl/tables/table30.xml><?xml version="1.0" encoding="utf-8"?>
<table xmlns="http://schemas.openxmlformats.org/spreadsheetml/2006/main" ref="A1:O27" displayName="통계25" name="통계25" id="30">
  <tableColumns count="15">
    <tableColumn name="No." id="1"/>
    <tableColumn name="명단" id="2"/>
    <tableColumn name="1월" id="3"/>
    <tableColumn name="2월" id="4"/>
    <tableColumn name="3월" id="5"/>
    <tableColumn name="4월" id="6"/>
    <tableColumn name="5월" id="7"/>
    <tableColumn name="6월" id="8"/>
    <tableColumn name="7월" id="9"/>
    <tableColumn name="8월" id="10"/>
    <tableColumn name="9월" id="11"/>
    <tableColumn name="10월" id="12"/>
    <tableColumn name="11월" id="13"/>
    <tableColumn name="12월" id="14"/>
    <tableColumn name="합계" id="15"/>
  </tableColumns>
  <tableStyleInfo name="25년일정통계-style" showColumnStripes="0" showFirstColumn="1" showLastColumn="1" showRowStripes="1"/>
</table>
</file>

<file path=xl/tables/table31.xml><?xml version="1.0" encoding="utf-8"?>
<table xmlns="http://schemas.openxmlformats.org/spreadsheetml/2006/main" ref="B1:I864" displayName="이오십이" name="이오십이" id="31">
  <autoFilter ref="$B$1:$I$864">
    <filterColumn colId="1">
      <filters blank="1">
        <filter val="수원"/>
        <filter val="야퇴"/>
        <filter val="데스크"/>
        <filter val="검찰"/>
        <filter val="국방부"/>
        <filter val="대기"/>
        <filter val="청사"/>
        <filter val="석근"/>
        <filter val="대통령실"/>
        <filter val="국회"/>
        <filter val="연장"/>
        <filter val="조근"/>
        <filter val="야근"/>
      </filters>
    </filterColumn>
  </autoFilter>
  <tableColumns count="8">
    <tableColumn name="이름" id="1"/>
    <tableColumn name="근무" id="2"/>
    <tableColumn name="출근" id="3"/>
    <tableColumn name="퇴근" id="4"/>
    <tableColumn name="일정" id="5"/>
    <tableColumn name="일정수" id="6"/>
    <tableColumn name="출장" id="7"/>
    <tableColumn name="영상 단독" id="8"/>
  </tableColumns>
  <tableStyleInfo name="25년12월-style" showColumnStripes="0" showFirstColumn="1" showLastColumn="1" showRowStripes="1"/>
</table>
</file>

<file path=xl/tables/table32.xml><?xml version="1.0" encoding="utf-8"?>
<table xmlns="http://schemas.openxmlformats.org/spreadsheetml/2006/main" ref="K1:K864" displayName="표2_10" name="표2_10" id="32">
  <tableColumns count="1">
    <tableColumn name="오디오맨" id="1"/>
  </tableColumns>
  <tableStyleInfo name="25년12월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2.xml"/><Relationship Id="rId5" Type="http://schemas.openxmlformats.org/officeDocument/2006/relationships/table" Target="../tables/table1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2.ai/" TargetMode="External"/><Relationship Id="rId2" Type="http://schemas.openxmlformats.org/officeDocument/2006/relationships/drawing" Target="../drawings/drawing9.xml"/><Relationship Id="rId5" Type="http://schemas.openxmlformats.org/officeDocument/2006/relationships/table" Target="../tables/table14.xml"/><Relationship Id="rId6" Type="http://schemas.openxmlformats.org/officeDocument/2006/relationships/table" Target="../tables/table1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4" Type="http://schemas.openxmlformats.org/officeDocument/2006/relationships/table" Target="../tables/table18.xml"/><Relationship Id="rId5" Type="http://schemas.openxmlformats.org/officeDocument/2006/relationships/table" Target="../tables/table1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20.xml"/><Relationship Id="rId5" Type="http://schemas.openxmlformats.org/officeDocument/2006/relationships/table" Target="../tables/table2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4" Type="http://schemas.openxmlformats.org/officeDocument/2006/relationships/table" Target="../tables/table22.xml"/><Relationship Id="rId5" Type="http://schemas.openxmlformats.org/officeDocument/2006/relationships/table" Target="../tables/table2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4" Type="http://schemas.openxmlformats.org/officeDocument/2006/relationships/table" Target="../tables/table24.xml"/><Relationship Id="rId5" Type="http://schemas.openxmlformats.org/officeDocument/2006/relationships/table" Target="../tables/table2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.ai/" TargetMode="External"/><Relationship Id="rId2" Type="http://schemas.openxmlformats.org/officeDocument/2006/relationships/drawing" Target="../drawings/drawing15.xml"/><Relationship Id="rId5" Type="http://schemas.openxmlformats.org/officeDocument/2006/relationships/table" Target="../tables/table26.xml"/><Relationship Id="rId6" Type="http://schemas.openxmlformats.org/officeDocument/2006/relationships/table" Target="../tables/table27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4" Type="http://schemas.openxmlformats.org/officeDocument/2006/relationships/table" Target="../tables/table28.xml"/><Relationship Id="rId5" Type="http://schemas.openxmlformats.org/officeDocument/2006/relationships/table" Target="../tables/table29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30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4" Type="http://schemas.openxmlformats.org/officeDocument/2006/relationships/table" Target="../tables/table31.xml"/><Relationship Id="rId5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8.25"/>
    <col customWidth="1" min="3" max="3" width="10.75"/>
    <col customWidth="1" min="4" max="5" width="8.88"/>
    <col customWidth="1" min="6" max="6" width="57.0"/>
    <col customWidth="1" min="7" max="7" width="8.88"/>
    <col customWidth="1" min="8" max="8" width="10.63"/>
    <col customWidth="1" min="9" max="9" width="11.38"/>
    <col customWidth="1" min="10" max="10" width="8.5"/>
    <col customWidth="1" min="11" max="13" width="12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5"/>
      <c r="K1" s="6" t="s">
        <v>9</v>
      </c>
      <c r="L1" s="7" t="s">
        <v>10</v>
      </c>
      <c r="M1" s="8" t="s">
        <v>11</v>
      </c>
    </row>
    <row r="2" ht="42.0" hidden="1" customHeight="1">
      <c r="A2" s="1">
        <v>1.0</v>
      </c>
      <c r="B2" s="9" t="s">
        <v>12</v>
      </c>
      <c r="C2" s="10" t="s">
        <v>13</v>
      </c>
      <c r="D2" s="11"/>
      <c r="E2" s="11"/>
      <c r="F2" s="12"/>
      <c r="G2" s="13"/>
      <c r="H2" s="13"/>
      <c r="I2" s="13"/>
      <c r="J2" s="14" t="s">
        <v>14</v>
      </c>
      <c r="K2" s="15" t="s">
        <v>15</v>
      </c>
    </row>
    <row r="3" ht="42.0" hidden="1" customHeight="1">
      <c r="A3" s="1">
        <v>2.0</v>
      </c>
      <c r="B3" s="9" t="s">
        <v>16</v>
      </c>
      <c r="C3" s="10" t="s">
        <v>13</v>
      </c>
      <c r="D3" s="16"/>
      <c r="E3" s="16"/>
      <c r="F3" s="17"/>
      <c r="G3" s="13"/>
      <c r="H3" s="13"/>
      <c r="I3" s="13"/>
      <c r="J3" s="14" t="s">
        <v>15</v>
      </c>
    </row>
    <row r="4" ht="42.0" customHeight="1">
      <c r="A4" s="1">
        <v>3.0</v>
      </c>
      <c r="B4" s="9" t="s">
        <v>17</v>
      </c>
      <c r="C4" s="10"/>
      <c r="D4" s="16"/>
      <c r="E4" s="16"/>
      <c r="F4" s="17" t="s">
        <v>18</v>
      </c>
      <c r="G4" s="2">
        <v>1.0</v>
      </c>
      <c r="H4" s="2">
        <v>1.0</v>
      </c>
      <c r="I4" s="2">
        <v>1.0</v>
      </c>
      <c r="J4" s="14" t="s">
        <v>19</v>
      </c>
    </row>
    <row r="5" ht="42.0" hidden="1" customHeight="1">
      <c r="A5" s="1">
        <v>4.0</v>
      </c>
      <c r="B5" s="9" t="s">
        <v>20</v>
      </c>
      <c r="C5" s="10" t="s">
        <v>13</v>
      </c>
      <c r="D5" s="16"/>
      <c r="E5" s="16"/>
      <c r="F5" s="17"/>
      <c r="G5" s="13"/>
      <c r="H5" s="13"/>
      <c r="I5" s="13"/>
      <c r="J5" s="14"/>
    </row>
    <row r="6" ht="42.0" hidden="1" customHeight="1">
      <c r="A6" s="1">
        <v>5.0</v>
      </c>
      <c r="B6" s="9" t="s">
        <v>21</v>
      </c>
      <c r="C6" s="10" t="s">
        <v>13</v>
      </c>
      <c r="D6" s="16"/>
      <c r="E6" s="16"/>
      <c r="F6" s="12"/>
      <c r="G6" s="13"/>
      <c r="H6" s="13"/>
      <c r="I6" s="13"/>
      <c r="J6" s="14"/>
    </row>
    <row r="7" ht="42.0" hidden="1" customHeight="1">
      <c r="A7" s="1">
        <v>6.0</v>
      </c>
      <c r="B7" s="9" t="s">
        <v>22</v>
      </c>
      <c r="C7" s="10" t="s">
        <v>13</v>
      </c>
      <c r="D7" s="16"/>
      <c r="E7" s="16"/>
      <c r="F7" s="12"/>
      <c r="G7" s="13"/>
      <c r="H7" s="13"/>
      <c r="I7" s="13"/>
      <c r="J7" s="14"/>
    </row>
    <row r="8" ht="42.0" hidden="1" customHeight="1">
      <c r="A8" s="1">
        <v>7.0</v>
      </c>
      <c r="B8" s="9" t="s">
        <v>23</v>
      </c>
      <c r="C8" s="10" t="s">
        <v>13</v>
      </c>
      <c r="D8" s="16"/>
      <c r="E8" s="16"/>
      <c r="F8" s="17"/>
      <c r="G8" s="13"/>
      <c r="H8" s="13"/>
      <c r="I8" s="13"/>
      <c r="J8" s="14"/>
    </row>
    <row r="9" ht="42.0" hidden="1" customHeight="1">
      <c r="A9" s="1">
        <v>8.0</v>
      </c>
      <c r="B9" s="9" t="s">
        <v>24</v>
      </c>
      <c r="C9" s="10" t="s">
        <v>13</v>
      </c>
      <c r="D9" s="16"/>
      <c r="E9" s="16"/>
      <c r="F9" s="12"/>
      <c r="G9" s="13"/>
      <c r="H9" s="13"/>
      <c r="I9" s="13"/>
      <c r="J9" s="14"/>
    </row>
    <row r="10" ht="42.0" hidden="1" customHeight="1">
      <c r="A10" s="1">
        <v>9.0</v>
      </c>
      <c r="B10" s="9" t="s">
        <v>25</v>
      </c>
      <c r="C10" s="10" t="s">
        <v>13</v>
      </c>
      <c r="D10" s="16"/>
      <c r="E10" s="16"/>
      <c r="F10" s="17"/>
      <c r="G10" s="13"/>
      <c r="H10" s="2"/>
      <c r="I10" s="2"/>
      <c r="J10" s="14"/>
    </row>
    <row r="11" ht="42.0" customHeight="1">
      <c r="A11" s="1">
        <v>10.0</v>
      </c>
      <c r="B11" s="9" t="s">
        <v>26</v>
      </c>
      <c r="C11" s="10" t="s">
        <v>27</v>
      </c>
      <c r="D11" s="16"/>
      <c r="E11" s="16"/>
      <c r="F11" s="17" t="s">
        <v>28</v>
      </c>
      <c r="G11" s="2">
        <v>1.0</v>
      </c>
      <c r="H11" s="13"/>
      <c r="I11" s="2">
        <v>1.0</v>
      </c>
    </row>
    <row r="12" ht="42.0" hidden="1" customHeight="1">
      <c r="A12" s="1">
        <v>11.0</v>
      </c>
      <c r="B12" s="9" t="s">
        <v>29</v>
      </c>
      <c r="C12" s="10" t="s">
        <v>13</v>
      </c>
      <c r="D12" s="16"/>
      <c r="E12" s="16"/>
      <c r="F12" s="17"/>
      <c r="G12" s="13"/>
      <c r="H12" s="13"/>
      <c r="I12" s="13"/>
      <c r="J12" s="14"/>
    </row>
    <row r="13" ht="42.0" hidden="1" customHeight="1">
      <c r="A13" s="1">
        <v>12.0</v>
      </c>
      <c r="B13" s="9" t="s">
        <v>30</v>
      </c>
      <c r="C13" s="10" t="s">
        <v>13</v>
      </c>
      <c r="D13" s="16"/>
      <c r="E13" s="16"/>
      <c r="F13" s="17"/>
      <c r="G13" s="13"/>
      <c r="H13" s="13"/>
      <c r="I13" s="13"/>
      <c r="J13" s="14"/>
    </row>
    <row r="14" ht="42.0" hidden="1" customHeight="1">
      <c r="A14" s="1">
        <v>13.0</v>
      </c>
      <c r="B14" s="9" t="s">
        <v>31</v>
      </c>
      <c r="C14" s="10" t="s">
        <v>13</v>
      </c>
      <c r="D14" s="16"/>
      <c r="E14" s="16"/>
      <c r="F14" s="17"/>
      <c r="G14" s="13"/>
      <c r="H14" s="13"/>
      <c r="I14" s="13"/>
      <c r="J14" s="14"/>
    </row>
    <row r="15" ht="42.0" hidden="1" customHeight="1">
      <c r="A15" s="1">
        <v>14.0</v>
      </c>
      <c r="B15" s="9" t="s">
        <v>32</v>
      </c>
      <c r="C15" s="10" t="s">
        <v>13</v>
      </c>
      <c r="D15" s="16"/>
      <c r="E15" s="16"/>
      <c r="F15" s="12"/>
      <c r="G15" s="13"/>
      <c r="H15" s="13"/>
      <c r="I15" s="13"/>
      <c r="J15" s="14"/>
    </row>
    <row r="16" ht="42.0" hidden="1" customHeight="1">
      <c r="A16" s="1">
        <v>15.0</v>
      </c>
      <c r="B16" s="9" t="s">
        <v>33</v>
      </c>
      <c r="C16" s="10" t="s">
        <v>13</v>
      </c>
      <c r="D16" s="16"/>
      <c r="E16" s="16"/>
      <c r="F16" s="12"/>
      <c r="G16" s="13"/>
      <c r="H16" s="13"/>
      <c r="I16" s="13"/>
      <c r="J16" s="14"/>
    </row>
    <row r="17" ht="42.0" hidden="1" customHeight="1">
      <c r="A17" s="1">
        <v>16.0</v>
      </c>
      <c r="B17" s="9" t="s">
        <v>34</v>
      </c>
      <c r="C17" s="10" t="s">
        <v>13</v>
      </c>
      <c r="D17" s="16"/>
      <c r="E17" s="16"/>
      <c r="F17" s="17"/>
      <c r="G17" s="13"/>
      <c r="H17" s="2"/>
      <c r="I17" s="2"/>
      <c r="J17" s="14"/>
    </row>
    <row r="18" ht="42.0" hidden="1" customHeight="1">
      <c r="A18" s="1">
        <v>17.0</v>
      </c>
      <c r="B18" s="9" t="s">
        <v>35</v>
      </c>
      <c r="C18" s="10" t="s">
        <v>13</v>
      </c>
      <c r="D18" s="16"/>
      <c r="E18" s="16"/>
      <c r="F18" s="12"/>
      <c r="G18" s="13"/>
      <c r="H18" s="13"/>
      <c r="I18" s="13"/>
      <c r="J18" s="14"/>
    </row>
    <row r="19" ht="42.0" customHeight="1">
      <c r="A19" s="1">
        <v>18.0</v>
      </c>
      <c r="B19" s="9" t="s">
        <v>36</v>
      </c>
      <c r="C19" s="10"/>
      <c r="D19" s="16"/>
      <c r="E19" s="16"/>
      <c r="F19" s="17" t="s">
        <v>37</v>
      </c>
      <c r="G19" s="2">
        <v>1.0</v>
      </c>
      <c r="H19" s="13"/>
      <c r="I19" s="13"/>
      <c r="J19" s="14"/>
    </row>
    <row r="20" ht="42.0" customHeight="1">
      <c r="A20" s="1">
        <v>19.0</v>
      </c>
      <c r="B20" s="9" t="s">
        <v>38</v>
      </c>
      <c r="C20" s="10" t="s">
        <v>39</v>
      </c>
      <c r="D20" s="16"/>
      <c r="E20" s="16"/>
      <c r="F20" s="17" t="s">
        <v>40</v>
      </c>
      <c r="G20" s="2">
        <v>1.0</v>
      </c>
      <c r="H20" s="13"/>
      <c r="I20" s="2">
        <v>1.0</v>
      </c>
      <c r="J20" s="14"/>
    </row>
    <row r="21" ht="42.0" hidden="1" customHeight="1">
      <c r="A21" s="1">
        <v>20.0</v>
      </c>
      <c r="B21" s="9" t="s">
        <v>41</v>
      </c>
      <c r="C21" s="10" t="s">
        <v>13</v>
      </c>
      <c r="D21" s="16"/>
      <c r="E21" s="16"/>
      <c r="F21" s="17"/>
      <c r="G21" s="13"/>
      <c r="H21" s="13"/>
      <c r="I21" s="13"/>
      <c r="J21" s="14"/>
    </row>
    <row r="22" ht="42.0" hidden="1" customHeight="1">
      <c r="A22" s="1">
        <v>21.0</v>
      </c>
      <c r="B22" s="9" t="s">
        <v>42</v>
      </c>
      <c r="C22" s="10" t="s">
        <v>13</v>
      </c>
      <c r="D22" s="16"/>
      <c r="E22" s="16"/>
      <c r="F22" s="12"/>
      <c r="G22" s="13"/>
      <c r="H22" s="13"/>
      <c r="I22" s="13"/>
      <c r="J22" s="14"/>
    </row>
    <row r="23" ht="42.0" customHeight="1">
      <c r="A23" s="1">
        <v>22.0</v>
      </c>
      <c r="B23" s="9" t="s">
        <v>43</v>
      </c>
      <c r="C23" s="10" t="s">
        <v>44</v>
      </c>
      <c r="D23" s="16"/>
      <c r="E23" s="16"/>
      <c r="F23" s="12"/>
      <c r="G23" s="13"/>
      <c r="H23" s="13"/>
      <c r="I23" s="13"/>
      <c r="J23" s="14"/>
    </row>
    <row r="24" ht="42.0" hidden="1" customHeight="1">
      <c r="A24" s="1">
        <v>23.0</v>
      </c>
      <c r="B24" s="9" t="s">
        <v>45</v>
      </c>
      <c r="C24" s="10" t="s">
        <v>13</v>
      </c>
      <c r="D24" s="16"/>
      <c r="E24" s="16"/>
      <c r="F24" s="12"/>
      <c r="G24" s="13"/>
      <c r="H24" s="13"/>
      <c r="I24" s="13"/>
      <c r="J24" s="14"/>
    </row>
    <row r="25" ht="42.0" hidden="1" customHeight="1">
      <c r="A25" s="1">
        <v>24.0</v>
      </c>
      <c r="B25" s="9" t="s">
        <v>46</v>
      </c>
      <c r="C25" s="10" t="s">
        <v>13</v>
      </c>
      <c r="D25" s="11"/>
      <c r="E25" s="16"/>
      <c r="F25" s="17"/>
      <c r="G25" s="13"/>
      <c r="H25" s="13"/>
      <c r="I25" s="13"/>
      <c r="J25" s="14"/>
    </row>
    <row r="26" ht="42.0" hidden="1" customHeight="1">
      <c r="A26" s="1">
        <v>25.0</v>
      </c>
      <c r="B26" s="9" t="s">
        <v>47</v>
      </c>
      <c r="C26" s="10" t="s">
        <v>13</v>
      </c>
      <c r="D26" s="16"/>
      <c r="E26" s="16"/>
      <c r="F26" s="12"/>
      <c r="G26" s="13"/>
      <c r="H26" s="13"/>
      <c r="I26" s="13"/>
      <c r="J26" s="14"/>
    </row>
    <row r="27" ht="42.0" customHeight="1">
      <c r="A27" s="1">
        <v>26.0</v>
      </c>
      <c r="B27" s="9" t="s">
        <v>48</v>
      </c>
      <c r="C27" s="10" t="s">
        <v>49</v>
      </c>
      <c r="D27" s="16"/>
      <c r="E27" s="16"/>
      <c r="F27" s="17" t="s">
        <v>50</v>
      </c>
      <c r="G27" s="2">
        <v>2.0</v>
      </c>
      <c r="H27" s="13"/>
      <c r="I27" s="2">
        <v>1.0</v>
      </c>
      <c r="J27" s="14"/>
    </row>
    <row r="28" ht="42.0" customHeight="1">
      <c r="A28" s="1">
        <v>27.0</v>
      </c>
      <c r="B28" s="18"/>
      <c r="C28" s="19"/>
      <c r="D28" s="18"/>
      <c r="E28" s="18"/>
      <c r="F28" s="20"/>
      <c r="G28" s="21"/>
      <c r="H28" s="21"/>
      <c r="I28" s="21"/>
      <c r="J28" s="22"/>
    </row>
    <row r="29" ht="42.0" customHeight="1">
      <c r="A29" s="1">
        <v>28.0</v>
      </c>
      <c r="B29" s="9" t="s">
        <v>12</v>
      </c>
      <c r="C29" s="10" t="s">
        <v>39</v>
      </c>
      <c r="D29" s="16"/>
      <c r="E29" s="16"/>
      <c r="F29" s="17" t="s">
        <v>51</v>
      </c>
      <c r="G29" s="2">
        <v>1.0</v>
      </c>
      <c r="H29" s="13"/>
      <c r="I29" s="13"/>
      <c r="J29" s="14" t="s">
        <v>14</v>
      </c>
      <c r="K29" s="15" t="s">
        <v>52</v>
      </c>
    </row>
    <row r="30" ht="42.0" customHeight="1">
      <c r="A30" s="1">
        <v>29.0</v>
      </c>
      <c r="B30" s="9" t="s">
        <v>16</v>
      </c>
      <c r="C30" s="10" t="s">
        <v>39</v>
      </c>
      <c r="D30" s="16"/>
      <c r="E30" s="16"/>
      <c r="F30" s="17" t="s">
        <v>53</v>
      </c>
      <c r="G30" s="2">
        <v>1.0</v>
      </c>
      <c r="H30" s="13"/>
      <c r="I30" s="2">
        <v>1.0</v>
      </c>
      <c r="J30" s="14" t="s">
        <v>52</v>
      </c>
    </row>
    <row r="31" ht="42.0" customHeight="1">
      <c r="A31" s="1">
        <v>30.0</v>
      </c>
      <c r="B31" s="9" t="s">
        <v>17</v>
      </c>
      <c r="C31" s="10" t="s">
        <v>54</v>
      </c>
      <c r="D31" s="16"/>
      <c r="E31" s="16"/>
      <c r="F31" s="17" t="s">
        <v>55</v>
      </c>
      <c r="G31" s="2">
        <v>1.0</v>
      </c>
      <c r="H31" s="2">
        <v>1.0</v>
      </c>
      <c r="I31" s="13"/>
      <c r="J31" s="14" t="s">
        <v>56</v>
      </c>
    </row>
    <row r="32" ht="42.0" customHeight="1">
      <c r="A32" s="1">
        <v>31.0</v>
      </c>
      <c r="B32" s="9" t="s">
        <v>20</v>
      </c>
      <c r="C32" s="23"/>
      <c r="D32" s="16"/>
      <c r="E32" s="16"/>
      <c r="F32" s="17" t="s">
        <v>57</v>
      </c>
      <c r="G32" s="2">
        <v>1.0</v>
      </c>
      <c r="H32" s="13"/>
      <c r="I32" s="13"/>
      <c r="J32" s="14"/>
    </row>
    <row r="33" ht="42.0" hidden="1" customHeight="1">
      <c r="A33" s="1">
        <v>32.0</v>
      </c>
      <c r="B33" s="9" t="s">
        <v>21</v>
      </c>
      <c r="C33" s="10" t="s">
        <v>58</v>
      </c>
      <c r="D33" s="16"/>
      <c r="E33" s="16"/>
      <c r="F33" s="12"/>
      <c r="G33" s="13"/>
      <c r="H33" s="13"/>
      <c r="I33" s="13"/>
      <c r="J33" s="14"/>
    </row>
    <row r="34" ht="42.0" customHeight="1">
      <c r="A34" s="1">
        <v>33.0</v>
      </c>
      <c r="B34" s="9" t="s">
        <v>22</v>
      </c>
      <c r="C34" s="10" t="s">
        <v>59</v>
      </c>
      <c r="D34" s="16"/>
      <c r="E34" s="16"/>
      <c r="F34" s="12"/>
      <c r="G34" s="13"/>
      <c r="H34" s="13"/>
      <c r="I34" s="13"/>
      <c r="J34" s="14"/>
    </row>
    <row r="35" ht="42.0" customHeight="1">
      <c r="A35" s="1">
        <v>34.0</v>
      </c>
      <c r="B35" s="9" t="s">
        <v>23</v>
      </c>
      <c r="C35" s="10" t="s">
        <v>54</v>
      </c>
      <c r="D35" s="16"/>
      <c r="E35" s="16"/>
      <c r="F35" s="17" t="s">
        <v>60</v>
      </c>
      <c r="G35" s="2">
        <v>1.0</v>
      </c>
      <c r="H35" s="13"/>
      <c r="I35" s="13"/>
      <c r="J35" s="14"/>
    </row>
    <row r="36" ht="42.0" customHeight="1">
      <c r="A36" s="1">
        <v>35.0</v>
      </c>
      <c r="B36" s="9" t="s">
        <v>24</v>
      </c>
      <c r="C36" s="10" t="s">
        <v>27</v>
      </c>
      <c r="D36" s="16"/>
      <c r="E36" s="16"/>
      <c r="F36" s="17" t="s">
        <v>61</v>
      </c>
      <c r="G36" s="2">
        <v>1.0</v>
      </c>
      <c r="H36" s="13"/>
      <c r="I36" s="13"/>
      <c r="J36" s="14"/>
    </row>
    <row r="37" ht="42.0" customHeight="1">
      <c r="A37" s="1">
        <v>36.0</v>
      </c>
      <c r="B37" s="9" t="s">
        <v>25</v>
      </c>
      <c r="C37" s="10" t="s">
        <v>62</v>
      </c>
      <c r="D37" s="16"/>
      <c r="E37" s="16"/>
      <c r="F37" s="12"/>
      <c r="G37" s="13"/>
      <c r="H37" s="13"/>
      <c r="I37" s="13"/>
      <c r="J37" s="14"/>
    </row>
    <row r="38" ht="42.0" customHeight="1">
      <c r="A38" s="1">
        <v>37.0</v>
      </c>
      <c r="B38" s="9" t="s">
        <v>26</v>
      </c>
      <c r="C38" s="10" t="s">
        <v>44</v>
      </c>
      <c r="D38" s="16"/>
      <c r="E38" s="16"/>
      <c r="F38" s="12"/>
      <c r="G38" s="13"/>
      <c r="H38" s="13"/>
      <c r="I38" s="13"/>
      <c r="J38" s="14"/>
    </row>
    <row r="39" ht="42.0" customHeight="1">
      <c r="A39" s="1">
        <v>38.0</v>
      </c>
      <c r="B39" s="9" t="s">
        <v>29</v>
      </c>
      <c r="C39" s="10" t="s">
        <v>63</v>
      </c>
      <c r="D39" s="16"/>
      <c r="E39" s="16"/>
      <c r="F39" s="12"/>
      <c r="G39" s="13"/>
      <c r="H39" s="13"/>
      <c r="I39" s="13"/>
      <c r="J39" s="14"/>
    </row>
    <row r="40" ht="42.0" customHeight="1">
      <c r="A40" s="1">
        <v>39.0</v>
      </c>
      <c r="B40" s="9" t="s">
        <v>30</v>
      </c>
      <c r="C40" s="10" t="s">
        <v>64</v>
      </c>
      <c r="D40" s="16"/>
      <c r="E40" s="16"/>
      <c r="F40" s="12"/>
      <c r="G40" s="13"/>
      <c r="H40" s="13"/>
      <c r="I40" s="13"/>
      <c r="J40" s="14"/>
    </row>
    <row r="41" ht="42.0" customHeight="1">
      <c r="A41" s="1">
        <v>40.0</v>
      </c>
      <c r="B41" s="9" t="s">
        <v>31</v>
      </c>
      <c r="C41" s="10" t="s">
        <v>54</v>
      </c>
      <c r="D41" s="16"/>
      <c r="E41" s="16"/>
      <c r="F41" s="17" t="s">
        <v>65</v>
      </c>
      <c r="G41" s="2">
        <v>1.0</v>
      </c>
      <c r="H41" s="13"/>
      <c r="I41" s="2">
        <v>1.0</v>
      </c>
      <c r="J41" s="14"/>
    </row>
    <row r="42" ht="42.0" hidden="1" customHeight="1">
      <c r="A42" s="1">
        <v>41.0</v>
      </c>
      <c r="B42" s="9" t="s">
        <v>32</v>
      </c>
      <c r="C42" s="10" t="s">
        <v>66</v>
      </c>
      <c r="D42" s="16"/>
      <c r="E42" s="16"/>
      <c r="F42" s="12"/>
      <c r="G42" s="13"/>
      <c r="H42" s="13"/>
      <c r="I42" s="13"/>
      <c r="J42" s="14"/>
    </row>
    <row r="43" ht="42.0" customHeight="1">
      <c r="A43" s="1">
        <v>42.0</v>
      </c>
      <c r="B43" s="9" t="s">
        <v>67</v>
      </c>
      <c r="C43" s="10"/>
      <c r="D43" s="16"/>
      <c r="E43" s="16"/>
      <c r="F43" s="17" t="s">
        <v>68</v>
      </c>
      <c r="G43" s="2">
        <v>1.0</v>
      </c>
      <c r="H43" s="13"/>
      <c r="I43" s="13"/>
      <c r="J43" s="14"/>
    </row>
    <row r="44" ht="42.0" customHeight="1">
      <c r="A44" s="1">
        <v>43.0</v>
      </c>
      <c r="B44" s="9" t="s">
        <v>34</v>
      </c>
      <c r="C44" s="10" t="s">
        <v>69</v>
      </c>
      <c r="D44" s="16"/>
      <c r="E44" s="16"/>
      <c r="F44" s="17" t="s">
        <v>70</v>
      </c>
      <c r="G44" s="2">
        <v>1.0</v>
      </c>
      <c r="H44" s="13"/>
      <c r="I44" s="13"/>
      <c r="J44" s="14"/>
    </row>
    <row r="45" ht="42.0" customHeight="1">
      <c r="A45" s="1">
        <v>44.0</v>
      </c>
      <c r="B45" s="9" t="s">
        <v>35</v>
      </c>
      <c r="C45" s="10" t="s">
        <v>69</v>
      </c>
      <c r="D45" s="16"/>
      <c r="E45" s="16"/>
      <c r="F45" s="12"/>
      <c r="G45" s="13"/>
      <c r="H45" s="13"/>
      <c r="I45" s="13"/>
      <c r="J45" s="14"/>
    </row>
    <row r="46" ht="42.0" customHeight="1">
      <c r="A46" s="1">
        <v>45.0</v>
      </c>
      <c r="B46" s="9" t="s">
        <v>36</v>
      </c>
      <c r="C46" s="10"/>
      <c r="D46" s="16"/>
      <c r="E46" s="16"/>
      <c r="F46" s="12"/>
      <c r="G46" s="13"/>
      <c r="H46" s="13"/>
      <c r="I46" s="13"/>
      <c r="J46" s="14"/>
    </row>
    <row r="47" ht="42.0" customHeight="1">
      <c r="A47" s="1">
        <v>46.0</v>
      </c>
      <c r="B47" s="9" t="s">
        <v>38</v>
      </c>
      <c r="C47" s="10" t="s">
        <v>69</v>
      </c>
      <c r="D47" s="16"/>
      <c r="E47" s="16"/>
      <c r="F47" s="12"/>
      <c r="G47" s="13"/>
      <c r="H47" s="13"/>
      <c r="I47" s="13"/>
      <c r="J47" s="14"/>
    </row>
    <row r="48" ht="42.0" customHeight="1">
      <c r="A48" s="1">
        <v>47.0</v>
      </c>
      <c r="B48" s="9" t="s">
        <v>41</v>
      </c>
      <c r="C48" s="10"/>
      <c r="D48" s="16"/>
      <c r="E48" s="16"/>
      <c r="F48" s="12"/>
      <c r="G48" s="13"/>
      <c r="H48" s="13"/>
      <c r="I48" s="13"/>
      <c r="J48" s="14"/>
    </row>
    <row r="49" ht="42.0" hidden="1" customHeight="1">
      <c r="A49" s="1">
        <v>48.0</v>
      </c>
      <c r="B49" s="9" t="s">
        <v>42</v>
      </c>
      <c r="C49" s="10" t="s">
        <v>58</v>
      </c>
      <c r="D49" s="16"/>
      <c r="E49" s="16"/>
      <c r="F49" s="12"/>
      <c r="G49" s="13"/>
      <c r="H49" s="13"/>
      <c r="I49" s="13"/>
      <c r="J49" s="14"/>
    </row>
    <row r="50" ht="42.0" customHeight="1">
      <c r="A50" s="1">
        <v>49.0</v>
      </c>
      <c r="B50" s="9" t="s">
        <v>43</v>
      </c>
      <c r="C50" s="10"/>
      <c r="D50" s="16"/>
      <c r="E50" s="16"/>
      <c r="F50" s="17" t="s">
        <v>71</v>
      </c>
      <c r="G50" s="2">
        <v>1.0</v>
      </c>
      <c r="H50" s="13"/>
      <c r="I50" s="13"/>
      <c r="J50" s="14"/>
    </row>
    <row r="51" ht="42.0" customHeight="1">
      <c r="A51" s="1">
        <v>50.0</v>
      </c>
      <c r="B51" s="9" t="s">
        <v>45</v>
      </c>
      <c r="C51" s="10" t="s">
        <v>54</v>
      </c>
      <c r="D51" s="16"/>
      <c r="E51" s="16"/>
      <c r="F51" s="17" t="s">
        <v>72</v>
      </c>
      <c r="G51" s="2">
        <v>1.0</v>
      </c>
      <c r="H51" s="13"/>
      <c r="I51" s="13"/>
      <c r="J51" s="14"/>
    </row>
    <row r="52" ht="42.0" hidden="1" customHeight="1">
      <c r="A52" s="1">
        <v>51.0</v>
      </c>
      <c r="B52" s="9" t="s">
        <v>46</v>
      </c>
      <c r="C52" s="10" t="s">
        <v>58</v>
      </c>
      <c r="D52" s="16"/>
      <c r="E52" s="16"/>
      <c r="F52" s="12"/>
      <c r="G52" s="13"/>
      <c r="H52" s="13"/>
      <c r="I52" s="13"/>
      <c r="J52" s="14"/>
    </row>
    <row r="53" ht="42.0" hidden="1" customHeight="1">
      <c r="A53" s="1">
        <v>52.0</v>
      </c>
      <c r="B53" s="9" t="s">
        <v>47</v>
      </c>
      <c r="C53" s="10" t="s">
        <v>58</v>
      </c>
      <c r="D53" s="16"/>
      <c r="E53" s="16"/>
      <c r="F53" s="12"/>
      <c r="G53" s="13"/>
      <c r="H53" s="13"/>
      <c r="I53" s="13"/>
      <c r="J53" s="14"/>
    </row>
    <row r="54" ht="42.0" customHeight="1">
      <c r="A54" s="1">
        <v>53.0</v>
      </c>
      <c r="B54" s="9" t="s">
        <v>48</v>
      </c>
      <c r="C54" s="10"/>
      <c r="D54" s="16"/>
      <c r="E54" s="16"/>
      <c r="F54" s="17" t="s">
        <v>73</v>
      </c>
      <c r="G54" s="2">
        <v>1.0</v>
      </c>
      <c r="H54" s="13"/>
      <c r="I54" s="13"/>
      <c r="J54" s="14"/>
    </row>
    <row r="55" ht="42.0" customHeight="1">
      <c r="A55" s="1">
        <v>54.0</v>
      </c>
      <c r="B55" s="18"/>
      <c r="C55" s="19"/>
      <c r="D55" s="18"/>
      <c r="E55" s="18"/>
      <c r="F55" s="20"/>
      <c r="G55" s="21"/>
      <c r="H55" s="21"/>
      <c r="I55" s="21"/>
      <c r="J55" s="22"/>
    </row>
    <row r="56" ht="42.0" hidden="1" customHeight="1">
      <c r="A56" s="1">
        <v>55.0</v>
      </c>
      <c r="B56" s="9" t="s">
        <v>12</v>
      </c>
      <c r="C56" s="10" t="s">
        <v>66</v>
      </c>
      <c r="D56" s="16"/>
      <c r="E56" s="16"/>
      <c r="F56" s="12"/>
      <c r="G56" s="13"/>
      <c r="H56" s="13"/>
      <c r="I56" s="13"/>
      <c r="J56" s="14" t="s">
        <v>14</v>
      </c>
      <c r="K56" s="15" t="s">
        <v>74</v>
      </c>
    </row>
    <row r="57" ht="42.0" customHeight="1">
      <c r="A57" s="1">
        <v>56.0</v>
      </c>
      <c r="B57" s="9" t="s">
        <v>16</v>
      </c>
      <c r="C57" s="10"/>
      <c r="D57" s="24" t="s">
        <v>75</v>
      </c>
      <c r="E57" s="16"/>
      <c r="F57" s="17" t="s">
        <v>76</v>
      </c>
      <c r="G57" s="2">
        <v>2.0</v>
      </c>
      <c r="H57" s="13"/>
      <c r="I57" s="13"/>
      <c r="J57" s="14" t="s">
        <v>74</v>
      </c>
    </row>
    <row r="58" ht="42.0" customHeight="1">
      <c r="A58" s="1">
        <v>57.0</v>
      </c>
      <c r="B58" s="9" t="s">
        <v>17</v>
      </c>
      <c r="C58" s="10" t="s">
        <v>54</v>
      </c>
      <c r="D58" s="16"/>
      <c r="E58" s="16"/>
      <c r="F58" s="17" t="s">
        <v>55</v>
      </c>
      <c r="G58" s="2">
        <v>1.0</v>
      </c>
      <c r="H58" s="2">
        <v>1.0</v>
      </c>
      <c r="I58" s="13"/>
      <c r="J58" s="14" t="s">
        <v>77</v>
      </c>
    </row>
    <row r="59" ht="42.0" customHeight="1">
      <c r="A59" s="1">
        <v>58.0</v>
      </c>
      <c r="B59" s="9" t="s">
        <v>20</v>
      </c>
      <c r="C59" s="10"/>
      <c r="D59" s="16"/>
      <c r="E59" s="16"/>
      <c r="F59" s="12"/>
      <c r="G59" s="13"/>
      <c r="H59" s="13"/>
      <c r="I59" s="13"/>
      <c r="J59" s="14"/>
    </row>
    <row r="60" ht="42.0" hidden="1" customHeight="1">
      <c r="A60" s="1">
        <v>59.0</v>
      </c>
      <c r="B60" s="9" t="s">
        <v>21</v>
      </c>
      <c r="C60" s="10" t="s">
        <v>58</v>
      </c>
      <c r="D60" s="16"/>
      <c r="E60" s="16"/>
      <c r="F60" s="12"/>
      <c r="G60" s="13"/>
      <c r="H60" s="13"/>
      <c r="I60" s="13"/>
      <c r="J60" s="14"/>
    </row>
    <row r="61" ht="42.0" customHeight="1">
      <c r="A61" s="1">
        <v>60.0</v>
      </c>
      <c r="B61" s="9" t="s">
        <v>22</v>
      </c>
      <c r="C61" s="10" t="s">
        <v>27</v>
      </c>
      <c r="D61" s="24" t="s">
        <v>75</v>
      </c>
      <c r="E61" s="16"/>
      <c r="F61" s="17" t="s">
        <v>78</v>
      </c>
      <c r="G61" s="2">
        <v>1.0</v>
      </c>
      <c r="H61" s="13"/>
      <c r="I61" s="13"/>
      <c r="J61" s="14"/>
    </row>
    <row r="62" ht="42.0" customHeight="1">
      <c r="A62" s="1">
        <v>61.0</v>
      </c>
      <c r="B62" s="9" t="s">
        <v>23</v>
      </c>
      <c r="C62" s="10" t="s">
        <v>54</v>
      </c>
      <c r="D62" s="16"/>
      <c r="E62" s="16"/>
      <c r="F62" s="17" t="s">
        <v>79</v>
      </c>
      <c r="G62" s="2">
        <v>2.0</v>
      </c>
      <c r="H62" s="13"/>
      <c r="I62" s="13"/>
      <c r="J62" s="14"/>
    </row>
    <row r="63" ht="42.0" customHeight="1">
      <c r="A63" s="1">
        <v>62.0</v>
      </c>
      <c r="B63" s="9" t="s">
        <v>24</v>
      </c>
      <c r="C63" s="25" t="s">
        <v>80</v>
      </c>
      <c r="D63" s="24" t="s">
        <v>75</v>
      </c>
      <c r="E63" s="16"/>
      <c r="F63" s="17" t="s">
        <v>81</v>
      </c>
      <c r="G63" s="13"/>
      <c r="H63" s="13"/>
      <c r="I63" s="13"/>
      <c r="J63" s="14"/>
    </row>
    <row r="64" ht="42.0" customHeight="1">
      <c r="A64" s="1">
        <v>63.0</v>
      </c>
      <c r="B64" s="9" t="s">
        <v>25</v>
      </c>
      <c r="C64" s="10" t="s">
        <v>62</v>
      </c>
      <c r="D64" s="16"/>
      <c r="E64" s="16"/>
      <c r="F64" s="12"/>
      <c r="G64" s="13"/>
      <c r="H64" s="13"/>
      <c r="I64" s="13"/>
      <c r="J64" s="14"/>
    </row>
    <row r="65" ht="42.0" customHeight="1">
      <c r="A65" s="1">
        <v>64.0</v>
      </c>
      <c r="B65" s="9" t="s">
        <v>26</v>
      </c>
      <c r="C65" s="10" t="s">
        <v>39</v>
      </c>
      <c r="D65" s="24" t="s">
        <v>75</v>
      </c>
      <c r="E65" s="16"/>
      <c r="F65" s="17" t="s">
        <v>82</v>
      </c>
      <c r="G65" s="2">
        <v>2.0</v>
      </c>
      <c r="H65" s="13"/>
      <c r="I65" s="13"/>
      <c r="J65" s="14"/>
    </row>
    <row r="66" ht="42.0" customHeight="1">
      <c r="A66" s="1">
        <v>65.0</v>
      </c>
      <c r="B66" s="9" t="s">
        <v>29</v>
      </c>
      <c r="C66" s="10" t="s">
        <v>63</v>
      </c>
      <c r="D66" s="16"/>
      <c r="E66" s="16"/>
      <c r="F66" s="12"/>
      <c r="G66" s="13"/>
      <c r="H66" s="13"/>
      <c r="I66" s="13"/>
      <c r="J66" s="14"/>
    </row>
    <row r="67" ht="42.0" customHeight="1">
      <c r="A67" s="1">
        <v>66.0</v>
      </c>
      <c r="B67" s="9" t="s">
        <v>30</v>
      </c>
      <c r="C67" s="10" t="s">
        <v>64</v>
      </c>
      <c r="D67" s="16"/>
      <c r="E67" s="16"/>
      <c r="F67" s="12"/>
      <c r="G67" s="13"/>
      <c r="H67" s="13"/>
      <c r="I67" s="13"/>
      <c r="J67" s="14"/>
    </row>
    <row r="68" ht="42.0" customHeight="1">
      <c r="A68" s="1">
        <v>67.0</v>
      </c>
      <c r="B68" s="9" t="s">
        <v>31</v>
      </c>
      <c r="C68" s="10" t="s">
        <v>54</v>
      </c>
      <c r="D68" s="16"/>
      <c r="E68" s="16"/>
      <c r="F68" s="17" t="s">
        <v>83</v>
      </c>
      <c r="G68" s="2">
        <v>1.0</v>
      </c>
      <c r="H68" s="13"/>
      <c r="I68" s="13"/>
      <c r="J68" s="14"/>
    </row>
    <row r="69" ht="42.0" hidden="1" customHeight="1">
      <c r="A69" s="1">
        <v>68.0</v>
      </c>
      <c r="B69" s="9" t="s">
        <v>32</v>
      </c>
      <c r="C69" s="10" t="s">
        <v>58</v>
      </c>
      <c r="D69" s="16"/>
      <c r="E69" s="16"/>
      <c r="F69" s="12"/>
      <c r="G69" s="13"/>
      <c r="H69" s="13"/>
      <c r="I69" s="13"/>
      <c r="J69" s="14"/>
    </row>
    <row r="70" ht="42.0" customHeight="1">
      <c r="A70" s="1">
        <v>69.0</v>
      </c>
      <c r="B70" s="9" t="s">
        <v>67</v>
      </c>
      <c r="C70" s="10"/>
      <c r="D70" s="24" t="s">
        <v>75</v>
      </c>
      <c r="E70" s="16"/>
      <c r="F70" s="17" t="s">
        <v>84</v>
      </c>
      <c r="G70" s="2">
        <v>2.0</v>
      </c>
      <c r="H70" s="13"/>
      <c r="I70" s="13"/>
      <c r="J70" s="14"/>
    </row>
    <row r="71" ht="42.0" customHeight="1">
      <c r="A71" s="1">
        <v>70.0</v>
      </c>
      <c r="B71" s="9" t="s">
        <v>34</v>
      </c>
      <c r="C71" s="10" t="s">
        <v>69</v>
      </c>
      <c r="D71" s="24" t="s">
        <v>75</v>
      </c>
      <c r="E71" s="16"/>
      <c r="F71" s="17" t="s">
        <v>85</v>
      </c>
      <c r="G71" s="2">
        <v>2.0</v>
      </c>
      <c r="H71" s="13"/>
      <c r="I71" s="13"/>
      <c r="J71" s="14"/>
    </row>
    <row r="72" ht="42.0" customHeight="1">
      <c r="A72" s="1">
        <v>71.0</v>
      </c>
      <c r="B72" s="9" t="s">
        <v>35</v>
      </c>
      <c r="C72" s="23"/>
      <c r="D72" s="16"/>
      <c r="E72" s="16"/>
      <c r="F72" s="12"/>
      <c r="G72" s="13"/>
      <c r="H72" s="13"/>
      <c r="I72" s="13"/>
      <c r="J72" s="14"/>
    </row>
    <row r="73" ht="42.0" customHeight="1">
      <c r="A73" s="1">
        <v>72.0</v>
      </c>
      <c r="B73" s="9" t="s">
        <v>36</v>
      </c>
      <c r="C73" s="10" t="s">
        <v>39</v>
      </c>
      <c r="D73" s="24" t="s">
        <v>75</v>
      </c>
      <c r="E73" s="16"/>
      <c r="F73" s="17" t="s">
        <v>86</v>
      </c>
      <c r="G73" s="2">
        <v>1.0</v>
      </c>
      <c r="H73" s="13"/>
      <c r="I73" s="13"/>
      <c r="J73" s="14"/>
    </row>
    <row r="74" ht="42.0" customHeight="1">
      <c r="A74" s="1">
        <v>73.0</v>
      </c>
      <c r="B74" s="9" t="s">
        <v>38</v>
      </c>
      <c r="C74" s="10" t="s">
        <v>69</v>
      </c>
      <c r="D74" s="24" t="s">
        <v>75</v>
      </c>
      <c r="E74" s="16"/>
      <c r="F74" s="17" t="s">
        <v>87</v>
      </c>
      <c r="G74" s="2">
        <v>3.0</v>
      </c>
      <c r="H74" s="13"/>
      <c r="I74" s="13"/>
      <c r="J74" s="14"/>
    </row>
    <row r="75" ht="42.0" hidden="1" customHeight="1">
      <c r="A75" s="1">
        <v>74.0</v>
      </c>
      <c r="B75" s="9" t="s">
        <v>41</v>
      </c>
      <c r="C75" s="10" t="s">
        <v>58</v>
      </c>
      <c r="D75" s="16"/>
      <c r="E75" s="16"/>
      <c r="F75" s="12"/>
      <c r="G75" s="13"/>
      <c r="H75" s="13"/>
      <c r="I75" s="13"/>
      <c r="J75" s="14"/>
    </row>
    <row r="76" ht="42.0" hidden="1" customHeight="1">
      <c r="A76" s="1">
        <v>75.0</v>
      </c>
      <c r="B76" s="9" t="s">
        <v>42</v>
      </c>
      <c r="C76" s="10" t="s">
        <v>58</v>
      </c>
      <c r="D76" s="16"/>
      <c r="E76" s="16"/>
      <c r="F76" s="12"/>
      <c r="G76" s="13"/>
      <c r="H76" s="13"/>
      <c r="I76" s="13"/>
      <c r="J76" s="14"/>
    </row>
    <row r="77" ht="42.0" customHeight="1">
      <c r="A77" s="1">
        <v>76.0</v>
      </c>
      <c r="B77" s="9" t="s">
        <v>43</v>
      </c>
      <c r="C77" s="10" t="s">
        <v>69</v>
      </c>
      <c r="D77" s="24" t="s">
        <v>75</v>
      </c>
      <c r="E77" s="16"/>
      <c r="F77" s="17" t="s">
        <v>88</v>
      </c>
      <c r="G77" s="2">
        <v>2.0</v>
      </c>
      <c r="H77" s="13"/>
      <c r="I77" s="13"/>
      <c r="J77" s="14"/>
    </row>
    <row r="78" ht="42.0" customHeight="1">
      <c r="A78" s="1">
        <v>77.0</v>
      </c>
      <c r="B78" s="9" t="s">
        <v>45</v>
      </c>
      <c r="C78" s="10" t="s">
        <v>54</v>
      </c>
      <c r="D78" s="24" t="s">
        <v>75</v>
      </c>
      <c r="E78" s="16"/>
      <c r="F78" s="17" t="s">
        <v>89</v>
      </c>
      <c r="G78" s="2">
        <v>2.0</v>
      </c>
      <c r="H78" s="13"/>
      <c r="I78" s="13"/>
      <c r="J78" s="14"/>
    </row>
    <row r="79" ht="42.0" customHeight="1">
      <c r="A79" s="1">
        <v>78.0</v>
      </c>
      <c r="B79" s="9" t="s">
        <v>46</v>
      </c>
      <c r="C79" s="10" t="s">
        <v>90</v>
      </c>
      <c r="D79" s="24" t="s">
        <v>75</v>
      </c>
      <c r="E79" s="16"/>
      <c r="F79" s="17" t="s">
        <v>91</v>
      </c>
      <c r="G79" s="2">
        <v>1.0</v>
      </c>
      <c r="H79" s="13"/>
      <c r="I79" s="13"/>
      <c r="J79" s="14"/>
    </row>
    <row r="80" ht="42.0" customHeight="1">
      <c r="A80" s="1">
        <v>79.0</v>
      </c>
      <c r="B80" s="9" t="s">
        <v>47</v>
      </c>
      <c r="C80" s="10" t="s">
        <v>90</v>
      </c>
      <c r="D80" s="24" t="s">
        <v>75</v>
      </c>
      <c r="E80" s="16"/>
      <c r="F80" s="17" t="s">
        <v>92</v>
      </c>
      <c r="G80" s="2">
        <v>1.0</v>
      </c>
      <c r="H80" s="13"/>
      <c r="I80" s="13"/>
      <c r="J80" s="14"/>
    </row>
    <row r="81" ht="42.0" customHeight="1">
      <c r="A81" s="1">
        <v>80.0</v>
      </c>
      <c r="B81" s="9" t="s">
        <v>48</v>
      </c>
      <c r="C81" s="10"/>
      <c r="D81" s="24" t="s">
        <v>75</v>
      </c>
      <c r="E81" s="16"/>
      <c r="F81" s="17" t="s">
        <v>93</v>
      </c>
      <c r="G81" s="2">
        <v>2.0</v>
      </c>
      <c r="H81" s="13"/>
      <c r="I81" s="13"/>
      <c r="J81" s="14"/>
    </row>
    <row r="82" ht="42.0" customHeight="1">
      <c r="A82" s="1">
        <v>81.0</v>
      </c>
      <c r="B82" s="18"/>
      <c r="C82" s="19"/>
      <c r="D82" s="18"/>
      <c r="E82" s="18"/>
      <c r="F82" s="20"/>
      <c r="G82" s="21"/>
      <c r="H82" s="21"/>
      <c r="I82" s="21"/>
      <c r="J82" s="22"/>
    </row>
    <row r="83" ht="42.0" hidden="1" customHeight="1">
      <c r="A83" s="1">
        <v>82.0</v>
      </c>
      <c r="B83" s="9" t="s">
        <v>12</v>
      </c>
      <c r="C83" s="10" t="s">
        <v>58</v>
      </c>
      <c r="D83" s="16"/>
      <c r="E83" s="16"/>
      <c r="F83" s="12"/>
      <c r="G83" s="13"/>
      <c r="H83" s="13"/>
      <c r="I83" s="13"/>
      <c r="J83" s="14" t="s">
        <v>14</v>
      </c>
      <c r="K83" s="15" t="s">
        <v>94</v>
      </c>
    </row>
    <row r="84" ht="42.0" hidden="1" customHeight="1">
      <c r="A84" s="1">
        <v>83.0</v>
      </c>
      <c r="B84" s="9" t="s">
        <v>16</v>
      </c>
      <c r="C84" s="10" t="s">
        <v>66</v>
      </c>
      <c r="D84" s="16"/>
      <c r="E84" s="16"/>
      <c r="F84" s="12"/>
      <c r="G84" s="13"/>
      <c r="H84" s="13"/>
      <c r="I84" s="13"/>
      <c r="J84" s="14" t="s">
        <v>94</v>
      </c>
    </row>
    <row r="85" ht="42.0" customHeight="1">
      <c r="A85" s="1">
        <v>84.0</v>
      </c>
      <c r="B85" s="9" t="s">
        <v>17</v>
      </c>
      <c r="C85" s="10" t="s">
        <v>54</v>
      </c>
      <c r="D85" s="16"/>
      <c r="E85" s="16"/>
      <c r="F85" s="17" t="s">
        <v>55</v>
      </c>
      <c r="G85" s="2">
        <v>1.0</v>
      </c>
      <c r="H85" s="2">
        <v>1.0</v>
      </c>
      <c r="I85" s="13"/>
      <c r="J85" s="14" t="s">
        <v>95</v>
      </c>
    </row>
    <row r="86" ht="42.0" customHeight="1">
      <c r="A86" s="1">
        <v>85.0</v>
      </c>
      <c r="B86" s="9" t="s">
        <v>20</v>
      </c>
      <c r="C86" s="10"/>
      <c r="D86" s="16"/>
      <c r="E86" s="16"/>
      <c r="F86" s="12"/>
      <c r="G86" s="13"/>
      <c r="H86" s="13"/>
      <c r="I86" s="13"/>
      <c r="J86" s="14"/>
    </row>
    <row r="87" ht="42.0" hidden="1" customHeight="1">
      <c r="A87" s="1">
        <v>86.0</v>
      </c>
      <c r="B87" s="9" t="s">
        <v>21</v>
      </c>
      <c r="C87" s="10" t="s">
        <v>58</v>
      </c>
      <c r="D87" s="16"/>
      <c r="E87" s="16"/>
      <c r="F87" s="12"/>
      <c r="G87" s="13"/>
      <c r="H87" s="13"/>
      <c r="I87" s="13"/>
      <c r="J87" s="14"/>
    </row>
    <row r="88" ht="42.0" customHeight="1">
      <c r="A88" s="1">
        <v>87.0</v>
      </c>
      <c r="B88" s="9" t="s">
        <v>22</v>
      </c>
      <c r="C88" s="10" t="s">
        <v>44</v>
      </c>
      <c r="D88" s="16"/>
      <c r="E88" s="16"/>
      <c r="F88" s="17" t="s">
        <v>96</v>
      </c>
      <c r="G88" s="13"/>
      <c r="H88" s="13"/>
      <c r="I88" s="13"/>
      <c r="J88" s="14"/>
    </row>
    <row r="89" ht="42.0" customHeight="1">
      <c r="A89" s="1">
        <v>88.0</v>
      </c>
      <c r="B89" s="9" t="s">
        <v>23</v>
      </c>
      <c r="C89" s="10" t="s">
        <v>54</v>
      </c>
      <c r="D89" s="16"/>
      <c r="E89" s="26">
        <v>0.8958333333333334</v>
      </c>
      <c r="F89" s="17" t="s">
        <v>97</v>
      </c>
      <c r="G89" s="2">
        <v>2.0</v>
      </c>
      <c r="H89" s="13"/>
      <c r="I89" s="13"/>
      <c r="J89" s="14"/>
    </row>
    <row r="90" ht="42.0" customHeight="1">
      <c r="A90" s="1">
        <v>89.0</v>
      </c>
      <c r="B90" s="9" t="s">
        <v>24</v>
      </c>
      <c r="C90" s="10"/>
      <c r="D90" s="16"/>
      <c r="E90" s="26">
        <v>0.8541666666666666</v>
      </c>
      <c r="F90" s="17" t="s">
        <v>98</v>
      </c>
      <c r="G90" s="2">
        <v>2.0</v>
      </c>
      <c r="H90" s="13"/>
      <c r="I90" s="13"/>
      <c r="J90" s="14"/>
    </row>
    <row r="91" ht="42.0" customHeight="1">
      <c r="A91" s="1">
        <v>90.0</v>
      </c>
      <c r="B91" s="9" t="s">
        <v>25</v>
      </c>
      <c r="C91" s="10" t="s">
        <v>62</v>
      </c>
      <c r="D91" s="16"/>
      <c r="E91" s="16"/>
      <c r="F91" s="12"/>
      <c r="G91" s="13"/>
      <c r="H91" s="13"/>
      <c r="I91" s="13"/>
      <c r="J91" s="14"/>
    </row>
    <row r="92" ht="42.0" customHeight="1">
      <c r="A92" s="1">
        <v>91.0</v>
      </c>
      <c r="B92" s="9" t="s">
        <v>26</v>
      </c>
      <c r="C92" s="10" t="s">
        <v>27</v>
      </c>
      <c r="D92" s="16"/>
      <c r="E92" s="16"/>
      <c r="F92" s="17" t="s">
        <v>99</v>
      </c>
      <c r="G92" s="2">
        <v>1.0</v>
      </c>
      <c r="H92" s="13"/>
      <c r="I92" s="13"/>
      <c r="J92" s="14"/>
    </row>
    <row r="93" ht="42.0" customHeight="1">
      <c r="A93" s="1">
        <v>92.0</v>
      </c>
      <c r="B93" s="9" t="s">
        <v>29</v>
      </c>
      <c r="C93" s="10" t="s">
        <v>63</v>
      </c>
      <c r="D93" s="16"/>
      <c r="E93" s="16"/>
      <c r="F93" s="12"/>
      <c r="G93" s="13"/>
      <c r="H93" s="13"/>
      <c r="I93" s="13"/>
      <c r="J93" s="14"/>
    </row>
    <row r="94" ht="42.0" customHeight="1">
      <c r="A94" s="1">
        <v>93.0</v>
      </c>
      <c r="B94" s="9" t="s">
        <v>30</v>
      </c>
      <c r="C94" s="10" t="s">
        <v>64</v>
      </c>
      <c r="D94" s="16"/>
      <c r="E94" s="16"/>
      <c r="F94" s="12"/>
      <c r="G94" s="13"/>
      <c r="H94" s="13"/>
      <c r="I94" s="13"/>
      <c r="J94" s="14"/>
    </row>
    <row r="95" ht="42.0" customHeight="1">
      <c r="A95" s="1">
        <v>94.0</v>
      </c>
      <c r="B95" s="9" t="s">
        <v>31</v>
      </c>
      <c r="C95" s="10" t="s">
        <v>54</v>
      </c>
      <c r="D95" s="16"/>
      <c r="E95" s="26">
        <v>0.9236111111111112</v>
      </c>
      <c r="F95" s="17" t="s">
        <v>100</v>
      </c>
      <c r="G95" s="2">
        <v>2.0</v>
      </c>
      <c r="H95" s="13"/>
      <c r="I95" s="13"/>
      <c r="J95" s="14"/>
    </row>
    <row r="96" ht="42.0" hidden="1" customHeight="1">
      <c r="A96" s="1">
        <v>95.0</v>
      </c>
      <c r="B96" s="9" t="s">
        <v>32</v>
      </c>
      <c r="C96" s="10" t="s">
        <v>58</v>
      </c>
      <c r="D96" s="16"/>
      <c r="E96" s="16"/>
      <c r="F96" s="12"/>
      <c r="G96" s="13"/>
      <c r="H96" s="13"/>
      <c r="I96" s="13"/>
      <c r="J96" s="14"/>
    </row>
    <row r="97" ht="42.0" customHeight="1">
      <c r="A97" s="1">
        <v>96.0</v>
      </c>
      <c r="B97" s="9" t="s">
        <v>67</v>
      </c>
      <c r="C97" s="10" t="s">
        <v>39</v>
      </c>
      <c r="D97" s="16"/>
      <c r="E97" s="16"/>
      <c r="F97" s="17" t="s">
        <v>99</v>
      </c>
      <c r="G97" s="2">
        <v>1.0</v>
      </c>
      <c r="H97" s="13"/>
      <c r="I97" s="13"/>
      <c r="J97" s="14"/>
    </row>
    <row r="98" ht="42.0" customHeight="1">
      <c r="A98" s="1">
        <v>97.0</v>
      </c>
      <c r="B98" s="9" t="s">
        <v>34</v>
      </c>
      <c r="C98" s="10" t="s">
        <v>69</v>
      </c>
      <c r="D98" s="16"/>
      <c r="E98" s="16"/>
      <c r="F98" s="17" t="s">
        <v>99</v>
      </c>
      <c r="G98" s="2">
        <v>1.0</v>
      </c>
      <c r="H98" s="13"/>
      <c r="I98" s="13"/>
      <c r="J98" s="14"/>
    </row>
    <row r="99" ht="42.0" customHeight="1">
      <c r="A99" s="1">
        <v>98.0</v>
      </c>
      <c r="B99" s="9" t="s">
        <v>35</v>
      </c>
      <c r="C99" s="10"/>
      <c r="D99" s="16"/>
      <c r="E99" s="16"/>
      <c r="F99" s="17" t="s">
        <v>101</v>
      </c>
      <c r="G99" s="2">
        <v>1.0</v>
      </c>
      <c r="H99" s="2">
        <v>1.0</v>
      </c>
      <c r="I99" s="13"/>
      <c r="J99" s="14"/>
    </row>
    <row r="100" ht="42.0" customHeight="1">
      <c r="A100" s="1">
        <v>99.0</v>
      </c>
      <c r="B100" s="9" t="s">
        <v>36</v>
      </c>
      <c r="C100" s="10"/>
      <c r="D100" s="16"/>
      <c r="E100" s="16"/>
      <c r="F100" s="17" t="s">
        <v>102</v>
      </c>
      <c r="G100" s="2">
        <v>1.0</v>
      </c>
      <c r="H100" s="13"/>
      <c r="I100" s="13"/>
      <c r="J100" s="14"/>
    </row>
    <row r="101" ht="42.0" customHeight="1">
      <c r="A101" s="1">
        <v>100.0</v>
      </c>
      <c r="B101" s="9" t="s">
        <v>38</v>
      </c>
      <c r="C101" s="23"/>
      <c r="D101" s="16"/>
      <c r="E101" s="16"/>
      <c r="F101" s="17" t="s">
        <v>103</v>
      </c>
      <c r="G101" s="2">
        <v>1.0</v>
      </c>
      <c r="H101" s="13"/>
      <c r="I101" s="13"/>
      <c r="J101" s="14"/>
    </row>
    <row r="102" ht="42.0" customHeight="1">
      <c r="A102" s="1">
        <v>101.0</v>
      </c>
      <c r="B102" s="9" t="s">
        <v>41</v>
      </c>
      <c r="C102" s="10" t="s">
        <v>69</v>
      </c>
      <c r="D102" s="16"/>
      <c r="E102" s="16"/>
      <c r="F102" s="17" t="s">
        <v>104</v>
      </c>
      <c r="G102" s="2">
        <v>1.0</v>
      </c>
      <c r="H102" s="13"/>
      <c r="I102" s="13"/>
      <c r="J102" s="14"/>
    </row>
    <row r="103" ht="42.0" hidden="1" customHeight="1">
      <c r="A103" s="1">
        <v>102.0</v>
      </c>
      <c r="B103" s="9" t="s">
        <v>42</v>
      </c>
      <c r="C103" s="10" t="s">
        <v>58</v>
      </c>
      <c r="D103" s="16"/>
      <c r="E103" s="16"/>
      <c r="F103" s="12"/>
      <c r="G103" s="13"/>
      <c r="H103" s="13"/>
      <c r="I103" s="13"/>
      <c r="J103" s="14"/>
    </row>
    <row r="104" ht="42.0" customHeight="1">
      <c r="A104" s="1">
        <v>103.0</v>
      </c>
      <c r="B104" s="9" t="s">
        <v>43</v>
      </c>
      <c r="C104" s="10" t="s">
        <v>69</v>
      </c>
      <c r="D104" s="16"/>
      <c r="E104" s="16"/>
      <c r="F104" s="17" t="s">
        <v>105</v>
      </c>
      <c r="G104" s="2">
        <v>1.0</v>
      </c>
      <c r="H104" s="13"/>
      <c r="I104" s="13"/>
      <c r="J104" s="14"/>
    </row>
    <row r="105" ht="42.0" customHeight="1">
      <c r="A105" s="1">
        <v>104.0</v>
      </c>
      <c r="B105" s="9" t="s">
        <v>45</v>
      </c>
      <c r="C105" s="10" t="s">
        <v>54</v>
      </c>
      <c r="D105" s="16"/>
      <c r="E105" s="16"/>
      <c r="F105" s="17" t="s">
        <v>106</v>
      </c>
      <c r="G105" s="2">
        <v>1.0</v>
      </c>
      <c r="H105" s="13"/>
      <c r="I105" s="13"/>
      <c r="J105" s="14"/>
    </row>
    <row r="106" ht="42.0" customHeight="1">
      <c r="A106" s="1">
        <v>105.0</v>
      </c>
      <c r="B106" s="9" t="s">
        <v>46</v>
      </c>
      <c r="C106" s="10" t="s">
        <v>39</v>
      </c>
      <c r="D106" s="16"/>
      <c r="E106" s="16"/>
      <c r="F106" s="17" t="s">
        <v>107</v>
      </c>
      <c r="G106" s="2">
        <v>2.0</v>
      </c>
      <c r="H106" s="13"/>
      <c r="I106" s="13"/>
      <c r="J106" s="14"/>
    </row>
    <row r="107" ht="42.0" hidden="1" customHeight="1">
      <c r="A107" s="1">
        <v>106.0</v>
      </c>
      <c r="B107" s="9" t="s">
        <v>47</v>
      </c>
      <c r="C107" s="10" t="s">
        <v>58</v>
      </c>
      <c r="D107" s="16"/>
      <c r="E107" s="16"/>
      <c r="F107" s="12"/>
      <c r="G107" s="13"/>
      <c r="H107" s="13"/>
      <c r="I107" s="13"/>
      <c r="J107" s="14"/>
    </row>
    <row r="108" ht="42.0" customHeight="1">
      <c r="A108" s="1">
        <v>107.0</v>
      </c>
      <c r="B108" s="9" t="s">
        <v>48</v>
      </c>
      <c r="C108" s="10"/>
      <c r="D108" s="16"/>
      <c r="E108" s="16"/>
      <c r="F108" s="17" t="s">
        <v>108</v>
      </c>
      <c r="G108" s="2">
        <v>2.0</v>
      </c>
      <c r="H108" s="13"/>
      <c r="I108" s="13"/>
      <c r="J108" s="14"/>
    </row>
    <row r="109" ht="42.0" customHeight="1">
      <c r="A109" s="1">
        <v>108.0</v>
      </c>
      <c r="B109" s="18"/>
      <c r="C109" s="19"/>
      <c r="D109" s="18"/>
      <c r="E109" s="18"/>
      <c r="F109" s="20"/>
      <c r="G109" s="21"/>
      <c r="H109" s="21"/>
      <c r="I109" s="21"/>
      <c r="J109" s="27"/>
    </row>
    <row r="110" ht="42.0" hidden="1" customHeight="1">
      <c r="A110" s="1">
        <v>109.0</v>
      </c>
      <c r="B110" s="9" t="s">
        <v>12</v>
      </c>
      <c r="C110" s="10" t="s">
        <v>58</v>
      </c>
      <c r="D110" s="16"/>
      <c r="E110" s="16"/>
      <c r="F110" s="12"/>
      <c r="G110" s="13"/>
      <c r="H110" s="13"/>
      <c r="I110" s="13"/>
      <c r="J110" s="27" t="s">
        <v>14</v>
      </c>
      <c r="K110" s="15" t="s">
        <v>109</v>
      </c>
    </row>
    <row r="111" ht="42.0" customHeight="1">
      <c r="A111" s="1">
        <v>110.0</v>
      </c>
      <c r="B111" s="9" t="s">
        <v>16</v>
      </c>
      <c r="C111" s="10"/>
      <c r="D111" s="28">
        <v>0.3541666666666667</v>
      </c>
      <c r="E111" s="16"/>
      <c r="F111" s="17" t="s">
        <v>110</v>
      </c>
      <c r="G111" s="2">
        <v>1.0</v>
      </c>
      <c r="H111" s="13"/>
      <c r="I111" s="13"/>
      <c r="J111" s="27" t="s">
        <v>109</v>
      </c>
    </row>
    <row r="112" ht="42.0" customHeight="1">
      <c r="A112" s="1">
        <v>111.0</v>
      </c>
      <c r="B112" s="9" t="s">
        <v>17</v>
      </c>
      <c r="C112" s="10"/>
      <c r="D112" s="16"/>
      <c r="E112" s="16"/>
      <c r="F112" s="12"/>
      <c r="G112" s="13"/>
      <c r="H112" s="13"/>
      <c r="I112" s="13"/>
      <c r="J112" s="27" t="s">
        <v>111</v>
      </c>
    </row>
    <row r="113" ht="42.0" customHeight="1">
      <c r="A113" s="1">
        <v>112.0</v>
      </c>
      <c r="B113" s="9" t="s">
        <v>20</v>
      </c>
      <c r="C113" s="23"/>
      <c r="D113" s="28">
        <v>0.3125</v>
      </c>
      <c r="E113" s="16"/>
      <c r="F113" s="17" t="s">
        <v>112</v>
      </c>
      <c r="G113" s="2">
        <v>1.0</v>
      </c>
      <c r="H113" s="13"/>
      <c r="I113" s="13"/>
      <c r="J113" s="22"/>
    </row>
    <row r="114" ht="42.0" hidden="1" customHeight="1">
      <c r="A114" s="1">
        <v>113.0</v>
      </c>
      <c r="B114" s="9" t="s">
        <v>21</v>
      </c>
      <c r="C114" s="10" t="s">
        <v>58</v>
      </c>
      <c r="D114" s="16"/>
      <c r="E114" s="16"/>
      <c r="F114" s="12"/>
      <c r="G114" s="13"/>
      <c r="H114" s="13"/>
      <c r="I114" s="13"/>
      <c r="J114" s="22"/>
    </row>
    <row r="115" ht="42.0" customHeight="1">
      <c r="A115" s="1">
        <v>114.0</v>
      </c>
      <c r="B115" s="9" t="s">
        <v>22</v>
      </c>
      <c r="C115" s="10" t="s">
        <v>39</v>
      </c>
      <c r="D115" s="16"/>
      <c r="E115" s="16"/>
      <c r="F115" s="17" t="s">
        <v>113</v>
      </c>
      <c r="G115" s="2">
        <v>1.0</v>
      </c>
      <c r="H115" s="13"/>
      <c r="I115" s="13"/>
      <c r="J115" s="22"/>
    </row>
    <row r="116" ht="42.0" customHeight="1">
      <c r="A116" s="1">
        <v>115.0</v>
      </c>
      <c r="B116" s="9" t="s">
        <v>23</v>
      </c>
      <c r="C116" s="10" t="s">
        <v>69</v>
      </c>
      <c r="D116" s="11">
        <v>0.5416666666666666</v>
      </c>
      <c r="E116" s="11">
        <v>0.8611111111111112</v>
      </c>
      <c r="F116" s="17" t="s">
        <v>114</v>
      </c>
      <c r="G116" s="2">
        <v>1.0</v>
      </c>
      <c r="H116" s="13"/>
      <c r="I116" s="13"/>
      <c r="J116" s="22"/>
    </row>
    <row r="117" ht="42.0" customHeight="1">
      <c r="A117" s="1">
        <v>116.0</v>
      </c>
      <c r="B117" s="9" t="s">
        <v>24</v>
      </c>
      <c r="C117" s="10" t="s">
        <v>69</v>
      </c>
      <c r="D117" s="11">
        <v>0.5416666666666666</v>
      </c>
      <c r="E117" s="11">
        <v>0.875</v>
      </c>
      <c r="F117" s="17" t="s">
        <v>115</v>
      </c>
      <c r="G117" s="2">
        <v>1.0</v>
      </c>
      <c r="H117" s="13"/>
      <c r="I117" s="13"/>
      <c r="J117" s="22"/>
    </row>
    <row r="118" ht="42.0" customHeight="1">
      <c r="A118" s="1">
        <v>117.0</v>
      </c>
      <c r="B118" s="9" t="s">
        <v>116</v>
      </c>
      <c r="C118" s="10" t="s">
        <v>39</v>
      </c>
      <c r="D118" s="16"/>
      <c r="E118" s="16"/>
      <c r="F118" s="17" t="s">
        <v>117</v>
      </c>
      <c r="G118" s="2">
        <v>2.0</v>
      </c>
      <c r="H118" s="13"/>
      <c r="I118" s="13"/>
      <c r="J118" s="22"/>
    </row>
    <row r="119" ht="42.0" customHeight="1">
      <c r="A119" s="1">
        <v>118.0</v>
      </c>
      <c r="B119" s="9" t="s">
        <v>26</v>
      </c>
      <c r="C119" s="10" t="s">
        <v>44</v>
      </c>
      <c r="D119" s="16"/>
      <c r="E119" s="16"/>
      <c r="F119" s="29" t="s">
        <v>118</v>
      </c>
      <c r="G119" s="30">
        <v>2.0</v>
      </c>
      <c r="H119" s="13"/>
      <c r="I119" s="13"/>
      <c r="J119" s="22"/>
    </row>
    <row r="120" ht="42.0" customHeight="1">
      <c r="A120" s="1">
        <v>119.0</v>
      </c>
      <c r="B120" s="9" t="s">
        <v>29</v>
      </c>
      <c r="C120" s="10" t="s">
        <v>63</v>
      </c>
      <c r="D120" s="16"/>
      <c r="E120" s="16"/>
      <c r="F120" s="12"/>
      <c r="G120" s="13"/>
      <c r="H120" s="13"/>
      <c r="I120" s="13"/>
      <c r="J120" s="22"/>
    </row>
    <row r="121" ht="42.0" customHeight="1">
      <c r="A121" s="1">
        <v>120.0</v>
      </c>
      <c r="B121" s="9" t="s">
        <v>30</v>
      </c>
      <c r="C121" s="10" t="s">
        <v>64</v>
      </c>
      <c r="D121" s="16"/>
      <c r="E121" s="16"/>
      <c r="F121" s="12"/>
      <c r="G121" s="13"/>
      <c r="H121" s="13"/>
      <c r="I121" s="13"/>
      <c r="J121" s="22"/>
    </row>
    <row r="122" ht="42.0" customHeight="1">
      <c r="A122" s="1">
        <v>121.0</v>
      </c>
      <c r="B122" s="9" t="s">
        <v>31</v>
      </c>
      <c r="C122" s="10" t="s">
        <v>49</v>
      </c>
      <c r="D122" s="11">
        <v>0.4583333333333333</v>
      </c>
      <c r="E122" s="11">
        <v>0.8055555555555556</v>
      </c>
      <c r="F122" s="17" t="s">
        <v>119</v>
      </c>
      <c r="G122" s="2">
        <v>1.0</v>
      </c>
      <c r="H122" s="13"/>
      <c r="I122" s="13"/>
      <c r="J122" s="22"/>
    </row>
    <row r="123" ht="42.0" hidden="1" customHeight="1">
      <c r="A123" s="1">
        <v>122.0</v>
      </c>
      <c r="B123" s="9" t="s">
        <v>32</v>
      </c>
      <c r="C123" s="10" t="s">
        <v>58</v>
      </c>
      <c r="D123" s="16"/>
      <c r="E123" s="16"/>
      <c r="F123" s="12"/>
      <c r="G123" s="13"/>
      <c r="H123" s="13"/>
      <c r="I123" s="13"/>
      <c r="J123" s="22"/>
    </row>
    <row r="124" ht="42.0" hidden="1" customHeight="1">
      <c r="A124" s="1">
        <v>123.0</v>
      </c>
      <c r="B124" s="9" t="s">
        <v>67</v>
      </c>
      <c r="C124" s="10" t="s">
        <v>58</v>
      </c>
      <c r="D124" s="16"/>
      <c r="E124" s="16"/>
      <c r="F124" s="12"/>
      <c r="G124" s="13"/>
      <c r="H124" s="13"/>
      <c r="I124" s="13"/>
      <c r="J124" s="22"/>
    </row>
    <row r="125" ht="42.0" customHeight="1">
      <c r="A125" s="1">
        <v>124.0</v>
      </c>
      <c r="B125" s="9" t="s">
        <v>34</v>
      </c>
      <c r="C125" s="10" t="s">
        <v>49</v>
      </c>
      <c r="D125" s="11">
        <v>0.4583333333333333</v>
      </c>
      <c r="E125" s="16"/>
      <c r="F125" s="17" t="s">
        <v>120</v>
      </c>
      <c r="G125" s="2">
        <v>1.0</v>
      </c>
      <c r="H125" s="13"/>
      <c r="I125" s="13"/>
      <c r="J125" s="22"/>
    </row>
    <row r="126" ht="42.0" customHeight="1">
      <c r="A126" s="1">
        <v>125.0</v>
      </c>
      <c r="B126" s="9" t="s">
        <v>35</v>
      </c>
      <c r="C126" s="10"/>
      <c r="D126" s="16"/>
      <c r="E126" s="16"/>
      <c r="F126" s="17" t="s">
        <v>101</v>
      </c>
      <c r="G126" s="2">
        <v>1.0</v>
      </c>
      <c r="H126" s="2">
        <v>1.0</v>
      </c>
      <c r="I126" s="13"/>
      <c r="J126" s="22"/>
    </row>
    <row r="127" ht="42.0" customHeight="1">
      <c r="A127" s="1">
        <v>126.0</v>
      </c>
      <c r="B127" s="9" t="s">
        <v>36</v>
      </c>
      <c r="C127" s="10" t="s">
        <v>39</v>
      </c>
      <c r="D127" s="16"/>
      <c r="E127" s="16"/>
      <c r="F127" s="17" t="s">
        <v>121</v>
      </c>
      <c r="G127" s="2">
        <v>1.0</v>
      </c>
      <c r="H127" s="2">
        <v>1.0</v>
      </c>
      <c r="I127" s="13"/>
      <c r="J127" s="22"/>
    </row>
    <row r="128" ht="42.0" customHeight="1">
      <c r="A128" s="1">
        <v>127.0</v>
      </c>
      <c r="B128" s="9" t="s">
        <v>38</v>
      </c>
      <c r="C128" s="10" t="s">
        <v>49</v>
      </c>
      <c r="D128" s="16"/>
      <c r="E128" s="16"/>
      <c r="F128" s="12"/>
      <c r="G128" s="13"/>
      <c r="H128" s="13"/>
      <c r="I128" s="13"/>
      <c r="J128" s="22"/>
    </row>
    <row r="129" ht="42.0" customHeight="1">
      <c r="A129" s="1">
        <v>128.0</v>
      </c>
      <c r="B129" s="9" t="s">
        <v>41</v>
      </c>
      <c r="C129" s="10"/>
      <c r="D129" s="28">
        <v>0.3541666666666667</v>
      </c>
      <c r="E129" s="16"/>
      <c r="F129" s="17" t="s">
        <v>122</v>
      </c>
      <c r="G129" s="2">
        <v>1.0</v>
      </c>
      <c r="H129" s="13"/>
      <c r="I129" s="13"/>
      <c r="J129" s="22"/>
    </row>
    <row r="130" ht="42.0" hidden="1" customHeight="1">
      <c r="A130" s="1">
        <v>129.0</v>
      </c>
      <c r="B130" s="9" t="s">
        <v>42</v>
      </c>
      <c r="C130" s="10" t="s">
        <v>58</v>
      </c>
      <c r="D130" s="16"/>
      <c r="E130" s="16"/>
      <c r="F130" s="12"/>
      <c r="G130" s="13"/>
      <c r="H130" s="13"/>
      <c r="I130" s="13"/>
      <c r="J130" s="22"/>
    </row>
    <row r="131" ht="42.0" customHeight="1">
      <c r="A131" s="1">
        <v>130.0</v>
      </c>
      <c r="B131" s="9" t="s">
        <v>43</v>
      </c>
      <c r="C131" s="10" t="s">
        <v>39</v>
      </c>
      <c r="D131" s="28">
        <v>0.25</v>
      </c>
      <c r="E131" s="16"/>
      <c r="F131" s="17" t="s">
        <v>123</v>
      </c>
      <c r="G131" s="2">
        <v>2.0</v>
      </c>
      <c r="H131" s="13"/>
      <c r="I131" s="13"/>
      <c r="J131" s="22"/>
    </row>
    <row r="132" ht="42.0" customHeight="1">
      <c r="A132" s="1">
        <v>131.0</v>
      </c>
      <c r="B132" s="9" t="s">
        <v>45</v>
      </c>
      <c r="C132" s="10" t="s">
        <v>44</v>
      </c>
      <c r="D132" s="16"/>
      <c r="E132" s="16"/>
      <c r="F132" s="17" t="s">
        <v>124</v>
      </c>
      <c r="G132" s="13"/>
      <c r="H132" s="13"/>
      <c r="I132" s="13"/>
      <c r="J132" s="22"/>
    </row>
    <row r="133" ht="42.0" customHeight="1">
      <c r="A133" s="1">
        <v>132.0</v>
      </c>
      <c r="B133" s="9" t="s">
        <v>46</v>
      </c>
      <c r="C133" s="10" t="s">
        <v>27</v>
      </c>
      <c r="D133" s="16"/>
      <c r="E133" s="16"/>
      <c r="F133" s="17" t="s">
        <v>125</v>
      </c>
      <c r="G133" s="2">
        <v>1.0</v>
      </c>
      <c r="H133" s="13"/>
      <c r="I133" s="13"/>
      <c r="J133" s="22"/>
    </row>
    <row r="134" ht="42.0" hidden="1" customHeight="1">
      <c r="A134" s="1">
        <v>133.0</v>
      </c>
      <c r="B134" s="9" t="s">
        <v>47</v>
      </c>
      <c r="C134" s="10" t="s">
        <v>66</v>
      </c>
      <c r="D134" s="16"/>
      <c r="E134" s="16"/>
      <c r="F134" s="12"/>
      <c r="G134" s="13"/>
      <c r="H134" s="13"/>
      <c r="I134" s="13"/>
      <c r="J134" s="22"/>
    </row>
    <row r="135" ht="42.0" customHeight="1">
      <c r="A135" s="1">
        <v>134.0</v>
      </c>
      <c r="B135" s="9" t="s">
        <v>48</v>
      </c>
      <c r="C135" s="23"/>
      <c r="D135" s="28">
        <v>0.3541666666666667</v>
      </c>
      <c r="E135" s="16"/>
      <c r="F135" s="17" t="s">
        <v>126</v>
      </c>
      <c r="G135" s="2">
        <v>2.0</v>
      </c>
      <c r="H135" s="13"/>
      <c r="I135" s="13"/>
      <c r="J135" s="22"/>
    </row>
    <row r="136" ht="42.0" customHeight="1">
      <c r="A136" s="1">
        <v>135.0</v>
      </c>
      <c r="B136" s="18"/>
      <c r="C136" s="19"/>
      <c r="D136" s="18"/>
      <c r="E136" s="18"/>
      <c r="F136" s="20"/>
      <c r="G136" s="21"/>
      <c r="H136" s="21"/>
      <c r="I136" s="21"/>
      <c r="J136" s="22"/>
    </row>
    <row r="137" ht="42.0" customHeight="1">
      <c r="A137" s="1">
        <v>136.0</v>
      </c>
      <c r="B137" s="9" t="s">
        <v>12</v>
      </c>
      <c r="C137" s="10"/>
      <c r="D137" s="16"/>
      <c r="E137" s="16"/>
      <c r="F137" s="17" t="s">
        <v>127</v>
      </c>
      <c r="G137" s="2">
        <v>2.0</v>
      </c>
      <c r="H137" s="13"/>
      <c r="I137" s="13"/>
      <c r="J137" s="27" t="s">
        <v>14</v>
      </c>
      <c r="K137" s="15" t="s">
        <v>128</v>
      </c>
    </row>
    <row r="138" ht="42.0" customHeight="1">
      <c r="A138" s="1">
        <v>137.0</v>
      </c>
      <c r="B138" s="9" t="s">
        <v>16</v>
      </c>
      <c r="C138" s="10" t="s">
        <v>69</v>
      </c>
      <c r="D138" s="16"/>
      <c r="E138" s="11">
        <v>0.8333333333333334</v>
      </c>
      <c r="F138" s="17" t="s">
        <v>129</v>
      </c>
      <c r="G138" s="2">
        <v>1.0</v>
      </c>
      <c r="H138" s="13"/>
      <c r="I138" s="13"/>
      <c r="J138" s="27" t="s">
        <v>128</v>
      </c>
    </row>
    <row r="139" ht="42.0" customHeight="1">
      <c r="A139" s="1">
        <v>138.0</v>
      </c>
      <c r="B139" s="9" t="s">
        <v>17</v>
      </c>
      <c r="C139" s="10" t="s">
        <v>54</v>
      </c>
      <c r="D139" s="16"/>
      <c r="E139" s="26">
        <v>0.8194444444444444</v>
      </c>
      <c r="F139" s="17" t="s">
        <v>130</v>
      </c>
      <c r="G139" s="2">
        <v>1.0</v>
      </c>
      <c r="H139" s="13"/>
      <c r="I139" s="13"/>
      <c r="J139" s="27" t="s">
        <v>131</v>
      </c>
    </row>
    <row r="140" ht="42.0" customHeight="1">
      <c r="A140" s="1">
        <v>139.0</v>
      </c>
      <c r="B140" s="9" t="s">
        <v>20</v>
      </c>
      <c r="C140" s="23"/>
      <c r="D140" s="16"/>
      <c r="E140" s="16"/>
      <c r="F140" s="17" t="s">
        <v>132</v>
      </c>
      <c r="G140" s="2">
        <v>1.0</v>
      </c>
      <c r="H140" s="13"/>
      <c r="I140" s="13"/>
      <c r="J140" s="27"/>
    </row>
    <row r="141" ht="42.0" hidden="1" customHeight="1">
      <c r="A141" s="1">
        <v>140.0</v>
      </c>
      <c r="B141" s="9" t="s">
        <v>21</v>
      </c>
      <c r="C141" s="10" t="s">
        <v>58</v>
      </c>
      <c r="D141" s="16"/>
      <c r="E141" s="16"/>
      <c r="F141" s="12"/>
      <c r="G141" s="13"/>
      <c r="H141" s="13"/>
      <c r="I141" s="13"/>
      <c r="J141" s="27"/>
    </row>
    <row r="142" ht="42.0" customHeight="1">
      <c r="A142" s="1">
        <v>141.0</v>
      </c>
      <c r="B142" s="9" t="s">
        <v>22</v>
      </c>
      <c r="C142" s="10"/>
      <c r="D142" s="16"/>
      <c r="E142" s="16"/>
      <c r="F142" s="17" t="s">
        <v>133</v>
      </c>
      <c r="G142" s="2">
        <v>1.0</v>
      </c>
      <c r="H142" s="13"/>
      <c r="I142" s="13"/>
      <c r="J142" s="27"/>
    </row>
    <row r="143" ht="42.0" customHeight="1">
      <c r="A143" s="1">
        <v>142.0</v>
      </c>
      <c r="B143" s="9" t="s">
        <v>23</v>
      </c>
      <c r="C143" s="10" t="s">
        <v>54</v>
      </c>
      <c r="D143" s="16"/>
      <c r="E143" s="16"/>
      <c r="F143" s="17" t="s">
        <v>134</v>
      </c>
      <c r="G143" s="2">
        <v>1.0</v>
      </c>
      <c r="H143" s="13"/>
      <c r="I143" s="13"/>
      <c r="J143" s="22"/>
    </row>
    <row r="144" ht="42.0" customHeight="1">
      <c r="A144" s="1">
        <v>143.0</v>
      </c>
      <c r="B144" s="9" t="s">
        <v>24</v>
      </c>
      <c r="C144" s="10" t="s">
        <v>69</v>
      </c>
      <c r="D144" s="16"/>
      <c r="E144" s="11">
        <v>0.875</v>
      </c>
      <c r="F144" s="17" t="s">
        <v>135</v>
      </c>
      <c r="G144" s="2">
        <v>1.0</v>
      </c>
      <c r="H144" s="13"/>
      <c r="I144" s="13"/>
      <c r="J144" s="22"/>
    </row>
    <row r="145" ht="42.0" customHeight="1">
      <c r="A145" s="1">
        <v>144.0</v>
      </c>
      <c r="B145" s="9" t="s">
        <v>116</v>
      </c>
      <c r="C145" s="10"/>
      <c r="D145" s="16"/>
      <c r="E145" s="11">
        <v>0.8194444444444444</v>
      </c>
      <c r="F145" s="17" t="s">
        <v>136</v>
      </c>
      <c r="G145" s="2">
        <v>1.0</v>
      </c>
      <c r="H145" s="13"/>
      <c r="I145" s="13"/>
      <c r="J145" s="22"/>
    </row>
    <row r="146" ht="42.0" hidden="1" customHeight="1">
      <c r="A146" s="1">
        <v>145.0</v>
      </c>
      <c r="B146" s="9" t="s">
        <v>26</v>
      </c>
      <c r="C146" s="10" t="s">
        <v>58</v>
      </c>
      <c r="D146" s="16"/>
      <c r="E146" s="16"/>
      <c r="F146" s="12"/>
      <c r="G146" s="13"/>
      <c r="H146" s="13"/>
      <c r="I146" s="13"/>
      <c r="J146" s="22"/>
    </row>
    <row r="147" ht="42.0" customHeight="1">
      <c r="A147" s="1">
        <v>146.0</v>
      </c>
      <c r="B147" s="9" t="s">
        <v>29</v>
      </c>
      <c r="C147" s="10" t="s">
        <v>63</v>
      </c>
      <c r="D147" s="16"/>
      <c r="E147" s="16"/>
      <c r="F147" s="12"/>
      <c r="G147" s="13"/>
      <c r="H147" s="13"/>
      <c r="I147" s="13"/>
      <c r="J147" s="22"/>
    </row>
    <row r="148" ht="42.0" customHeight="1">
      <c r="A148" s="1">
        <v>147.0</v>
      </c>
      <c r="B148" s="9" t="s">
        <v>30</v>
      </c>
      <c r="C148" s="10" t="s">
        <v>64</v>
      </c>
      <c r="D148" s="16"/>
      <c r="E148" s="26">
        <v>0.8125</v>
      </c>
      <c r="F148" s="17" t="s">
        <v>137</v>
      </c>
      <c r="G148" s="2"/>
      <c r="H148" s="13"/>
      <c r="I148" s="13"/>
      <c r="J148" s="22"/>
    </row>
    <row r="149" ht="42.0" customHeight="1">
      <c r="A149" s="1">
        <v>148.0</v>
      </c>
      <c r="B149" s="9" t="s">
        <v>31</v>
      </c>
      <c r="C149" s="10" t="s">
        <v>54</v>
      </c>
      <c r="D149" s="16"/>
      <c r="E149" s="16"/>
      <c r="F149" s="17" t="s">
        <v>138</v>
      </c>
      <c r="G149" s="2">
        <v>1.0</v>
      </c>
      <c r="H149" s="13"/>
      <c r="I149" s="13"/>
      <c r="J149" s="22"/>
    </row>
    <row r="150" ht="42.0" customHeight="1">
      <c r="A150" s="1">
        <v>149.0</v>
      </c>
      <c r="B150" s="9" t="s">
        <v>32</v>
      </c>
      <c r="C150" s="10" t="s">
        <v>59</v>
      </c>
      <c r="D150" s="16"/>
      <c r="E150" s="16"/>
      <c r="F150" s="12"/>
      <c r="G150" s="13"/>
      <c r="H150" s="13"/>
      <c r="I150" s="13"/>
      <c r="J150" s="22"/>
    </row>
    <row r="151" ht="42.0" hidden="1" customHeight="1">
      <c r="A151" s="1">
        <v>150.0</v>
      </c>
      <c r="B151" s="9" t="s">
        <v>67</v>
      </c>
      <c r="C151" s="10" t="s">
        <v>66</v>
      </c>
      <c r="D151" s="16"/>
      <c r="E151" s="16"/>
      <c r="F151" s="12"/>
      <c r="G151" s="13"/>
      <c r="H151" s="13"/>
      <c r="I151" s="13"/>
      <c r="J151" s="22"/>
    </row>
    <row r="152" ht="42.0" customHeight="1">
      <c r="A152" s="1">
        <v>151.0</v>
      </c>
      <c r="B152" s="9" t="s">
        <v>34</v>
      </c>
      <c r="C152" s="10" t="s">
        <v>27</v>
      </c>
      <c r="D152" s="16"/>
      <c r="E152" s="16"/>
      <c r="F152" s="17" t="s">
        <v>139</v>
      </c>
      <c r="G152" s="2">
        <v>2.0</v>
      </c>
      <c r="H152" s="13"/>
      <c r="I152" s="2">
        <v>1.0</v>
      </c>
      <c r="J152" s="22"/>
    </row>
    <row r="153" ht="42.0" customHeight="1">
      <c r="A153" s="1">
        <v>152.0</v>
      </c>
      <c r="B153" s="9" t="s">
        <v>35</v>
      </c>
      <c r="C153" s="10"/>
      <c r="D153" s="16"/>
      <c r="E153" s="16"/>
      <c r="F153" s="17" t="s">
        <v>101</v>
      </c>
      <c r="G153" s="2">
        <v>1.0</v>
      </c>
      <c r="H153" s="2">
        <v>1.0</v>
      </c>
      <c r="I153" s="13"/>
      <c r="J153" s="22"/>
    </row>
    <row r="154" ht="42.0" customHeight="1">
      <c r="A154" s="1">
        <v>153.0</v>
      </c>
      <c r="B154" s="9" t="s">
        <v>36</v>
      </c>
      <c r="C154" s="23"/>
      <c r="D154" s="16"/>
      <c r="E154" s="16"/>
      <c r="F154" s="17" t="s">
        <v>121</v>
      </c>
      <c r="G154" s="2">
        <v>1.0</v>
      </c>
      <c r="H154" s="2">
        <v>1.0</v>
      </c>
      <c r="I154" s="13"/>
      <c r="J154" s="22"/>
    </row>
    <row r="155" ht="42.0" customHeight="1">
      <c r="A155" s="1">
        <v>154.0</v>
      </c>
      <c r="B155" s="9" t="s">
        <v>38</v>
      </c>
      <c r="C155" s="10"/>
      <c r="D155" s="16"/>
      <c r="E155" s="16"/>
      <c r="F155" s="17" t="s">
        <v>140</v>
      </c>
      <c r="G155" s="2">
        <v>1.0</v>
      </c>
      <c r="H155" s="13"/>
      <c r="I155" s="13"/>
      <c r="J155" s="22"/>
    </row>
    <row r="156" ht="42.0" hidden="1" customHeight="1">
      <c r="A156" s="1">
        <v>155.0</v>
      </c>
      <c r="B156" s="9" t="s">
        <v>41</v>
      </c>
      <c r="C156" s="10" t="s">
        <v>58</v>
      </c>
      <c r="D156" s="16"/>
      <c r="E156" s="16"/>
      <c r="F156" s="12"/>
      <c r="G156" s="13"/>
      <c r="H156" s="13"/>
      <c r="I156" s="13"/>
      <c r="J156" s="22"/>
    </row>
    <row r="157" ht="42.0" hidden="1" customHeight="1">
      <c r="A157" s="1">
        <v>156.0</v>
      </c>
      <c r="B157" s="9" t="s">
        <v>42</v>
      </c>
      <c r="C157" s="10" t="s">
        <v>58</v>
      </c>
      <c r="D157" s="16"/>
      <c r="E157" s="16"/>
      <c r="F157" s="12"/>
      <c r="G157" s="13"/>
      <c r="H157" s="13"/>
      <c r="I157" s="13"/>
      <c r="J157" s="22"/>
    </row>
    <row r="158" ht="42.0" customHeight="1">
      <c r="A158" s="1">
        <v>157.0</v>
      </c>
      <c r="B158" s="9" t="s">
        <v>43</v>
      </c>
      <c r="C158" s="10" t="s">
        <v>39</v>
      </c>
      <c r="D158" s="28">
        <v>0.22916666666666666</v>
      </c>
      <c r="E158" s="16"/>
      <c r="F158" s="17" t="s">
        <v>141</v>
      </c>
      <c r="G158" s="2">
        <v>2.0</v>
      </c>
      <c r="H158" s="13"/>
      <c r="I158" s="13"/>
      <c r="J158" s="22"/>
    </row>
    <row r="159" ht="42.0" customHeight="1">
      <c r="A159" s="1">
        <v>158.0</v>
      </c>
      <c r="B159" s="9" t="s">
        <v>45</v>
      </c>
      <c r="C159" s="10" t="s">
        <v>54</v>
      </c>
      <c r="D159" s="16"/>
      <c r="E159" s="26">
        <v>0.875</v>
      </c>
      <c r="F159" s="17" t="s">
        <v>142</v>
      </c>
      <c r="G159" s="2">
        <v>2.0</v>
      </c>
      <c r="H159" s="13"/>
      <c r="I159" s="13"/>
      <c r="J159" s="22"/>
    </row>
    <row r="160" ht="42.0" customHeight="1">
      <c r="A160" s="1">
        <v>159.0</v>
      </c>
      <c r="B160" s="9" t="s">
        <v>46</v>
      </c>
      <c r="C160" s="10" t="s">
        <v>44</v>
      </c>
      <c r="D160" s="16"/>
      <c r="E160" s="16"/>
      <c r="F160" s="12"/>
      <c r="G160" s="13"/>
      <c r="H160" s="13"/>
      <c r="I160" s="13"/>
      <c r="J160" s="22"/>
    </row>
    <row r="161" ht="42.0" customHeight="1">
      <c r="A161" s="1">
        <v>160.0</v>
      </c>
      <c r="B161" s="9" t="s">
        <v>47</v>
      </c>
      <c r="C161" s="10" t="s">
        <v>69</v>
      </c>
      <c r="D161" s="16"/>
      <c r="E161" s="11">
        <v>0.875</v>
      </c>
      <c r="F161" s="17" t="s">
        <v>143</v>
      </c>
      <c r="G161" s="2">
        <v>1.0</v>
      </c>
      <c r="H161" s="13"/>
      <c r="I161" s="13"/>
      <c r="J161" s="22"/>
    </row>
    <row r="162" ht="42.0" customHeight="1">
      <c r="A162" s="1">
        <v>161.0</v>
      </c>
      <c r="B162" s="9" t="s">
        <v>48</v>
      </c>
      <c r="C162" s="10" t="s">
        <v>39</v>
      </c>
      <c r="D162" s="16"/>
      <c r="E162" s="16"/>
      <c r="F162" s="17" t="s">
        <v>144</v>
      </c>
      <c r="G162" s="2">
        <v>2.0</v>
      </c>
      <c r="H162" s="13"/>
      <c r="I162" s="13"/>
      <c r="J162" s="22"/>
    </row>
    <row r="163" ht="42.0" customHeight="1">
      <c r="A163" s="1">
        <v>162.0</v>
      </c>
      <c r="B163" s="18"/>
      <c r="C163" s="19"/>
      <c r="D163" s="18"/>
      <c r="E163" s="18"/>
      <c r="F163" s="20"/>
      <c r="G163" s="21"/>
      <c r="H163" s="21"/>
      <c r="I163" s="21"/>
      <c r="J163" s="22"/>
    </row>
    <row r="164" ht="42.0" customHeight="1">
      <c r="A164" s="1">
        <v>163.0</v>
      </c>
      <c r="B164" s="9" t="s">
        <v>12</v>
      </c>
      <c r="C164" s="10" t="s">
        <v>145</v>
      </c>
      <c r="D164" s="11">
        <v>0.4166666666666667</v>
      </c>
      <c r="E164" s="26">
        <v>0.0</v>
      </c>
      <c r="F164" s="17" t="s">
        <v>146</v>
      </c>
      <c r="G164" s="2">
        <v>1.0</v>
      </c>
      <c r="H164" s="13"/>
      <c r="I164" s="13"/>
      <c r="J164" s="27" t="s">
        <v>14</v>
      </c>
      <c r="K164" s="15" t="s">
        <v>147</v>
      </c>
    </row>
    <row r="165" ht="42.0" customHeight="1">
      <c r="A165" s="1">
        <v>164.0</v>
      </c>
      <c r="B165" s="9" t="s">
        <v>16</v>
      </c>
      <c r="C165" s="10" t="s">
        <v>145</v>
      </c>
      <c r="D165" s="16"/>
      <c r="E165" s="16"/>
      <c r="F165" s="17" t="s">
        <v>148</v>
      </c>
      <c r="G165" s="2">
        <v>1.0</v>
      </c>
      <c r="H165" s="13"/>
      <c r="I165" s="13"/>
      <c r="J165" s="27" t="s">
        <v>147</v>
      </c>
    </row>
    <row r="166" ht="42.0" hidden="1" customHeight="1">
      <c r="A166" s="1">
        <v>165.0</v>
      </c>
      <c r="B166" s="9" t="s">
        <v>17</v>
      </c>
      <c r="C166" s="10" t="s">
        <v>13</v>
      </c>
      <c r="D166" s="16"/>
      <c r="E166" s="16"/>
      <c r="F166" s="17"/>
      <c r="G166" s="13"/>
      <c r="H166" s="13"/>
      <c r="I166" s="13"/>
      <c r="J166" s="27" t="s">
        <v>149</v>
      </c>
    </row>
    <row r="167" ht="42.0" customHeight="1">
      <c r="A167" s="1">
        <v>166.0</v>
      </c>
      <c r="B167" s="9" t="s">
        <v>20</v>
      </c>
      <c r="C167" s="10" t="s">
        <v>145</v>
      </c>
      <c r="D167" s="11">
        <v>0.4375</v>
      </c>
      <c r="E167" s="26">
        <v>0.0</v>
      </c>
      <c r="F167" s="17" t="s">
        <v>150</v>
      </c>
      <c r="G167" s="2">
        <v>1.0</v>
      </c>
      <c r="H167" s="13"/>
      <c r="I167" s="13"/>
      <c r="J167" s="27" t="s">
        <v>151</v>
      </c>
    </row>
    <row r="168" ht="42.0" hidden="1" customHeight="1">
      <c r="A168" s="1">
        <v>167.0</v>
      </c>
      <c r="B168" s="9" t="s">
        <v>21</v>
      </c>
      <c r="C168" s="10" t="s">
        <v>13</v>
      </c>
      <c r="D168" s="16"/>
      <c r="E168" s="16"/>
      <c r="F168" s="12"/>
      <c r="G168" s="13"/>
      <c r="H168" s="13"/>
      <c r="I168" s="13"/>
      <c r="J168" s="27" t="s">
        <v>152</v>
      </c>
    </row>
    <row r="169" ht="42.0" customHeight="1">
      <c r="A169" s="1">
        <v>168.0</v>
      </c>
      <c r="B169" s="9" t="s">
        <v>22</v>
      </c>
      <c r="C169" s="10" t="s">
        <v>145</v>
      </c>
      <c r="D169" s="11">
        <v>0.3958333333333333</v>
      </c>
      <c r="E169" s="26">
        <v>0.9166666666666666</v>
      </c>
      <c r="F169" s="17" t="s">
        <v>153</v>
      </c>
      <c r="G169" s="2">
        <v>2.0</v>
      </c>
      <c r="H169" s="13"/>
      <c r="I169" s="13"/>
      <c r="J169" s="27" t="s">
        <v>154</v>
      </c>
    </row>
    <row r="170" ht="42.0" hidden="1" customHeight="1">
      <c r="A170" s="1">
        <v>169.0</v>
      </c>
      <c r="B170" s="9" t="s">
        <v>23</v>
      </c>
      <c r="C170" s="10" t="s">
        <v>13</v>
      </c>
      <c r="D170" s="16"/>
      <c r="E170" s="16"/>
      <c r="F170" s="12"/>
      <c r="G170" s="13"/>
      <c r="H170" s="13"/>
      <c r="I170" s="13"/>
      <c r="J170" s="22"/>
    </row>
    <row r="171" ht="42.0" hidden="1" customHeight="1">
      <c r="A171" s="1">
        <v>170.0</v>
      </c>
      <c r="B171" s="9" t="s">
        <v>24</v>
      </c>
      <c r="C171" s="10" t="s">
        <v>13</v>
      </c>
      <c r="D171" s="16"/>
      <c r="E171" s="16"/>
      <c r="F171" s="12"/>
      <c r="G171" s="13"/>
      <c r="H171" s="13"/>
      <c r="I171" s="13"/>
      <c r="J171" s="22"/>
    </row>
    <row r="172" ht="42.0" customHeight="1">
      <c r="A172" s="1">
        <v>171.0</v>
      </c>
      <c r="B172" s="9" t="s">
        <v>25</v>
      </c>
      <c r="C172" s="10" t="s">
        <v>27</v>
      </c>
      <c r="D172" s="28">
        <v>0.5833333333333334</v>
      </c>
      <c r="E172" s="16"/>
      <c r="F172" s="17" t="s">
        <v>155</v>
      </c>
      <c r="G172" s="2">
        <v>1.0</v>
      </c>
      <c r="H172" s="13"/>
      <c r="I172" s="13"/>
      <c r="J172" s="22"/>
    </row>
    <row r="173" ht="42.0" hidden="1" customHeight="1">
      <c r="A173" s="1">
        <v>172.0</v>
      </c>
      <c r="B173" s="9" t="s">
        <v>26</v>
      </c>
      <c r="C173" s="10" t="s">
        <v>13</v>
      </c>
      <c r="D173" s="16"/>
      <c r="E173" s="16"/>
      <c r="F173" s="12"/>
      <c r="G173" s="13"/>
      <c r="H173" s="13"/>
      <c r="I173" s="13"/>
      <c r="J173" s="22"/>
    </row>
    <row r="174" ht="42.0" customHeight="1">
      <c r="A174" s="1">
        <v>173.0</v>
      </c>
      <c r="B174" s="9" t="s">
        <v>29</v>
      </c>
      <c r="C174" s="10"/>
      <c r="D174" s="11">
        <v>0.375</v>
      </c>
      <c r="E174" s="26">
        <v>0.9583333333333334</v>
      </c>
      <c r="F174" s="12"/>
      <c r="G174" s="13"/>
      <c r="H174" s="13"/>
      <c r="I174" s="13"/>
      <c r="J174" s="22"/>
    </row>
    <row r="175" ht="42.0" customHeight="1">
      <c r="A175" s="1">
        <v>174.0</v>
      </c>
      <c r="B175" s="9" t="s">
        <v>30</v>
      </c>
      <c r="C175" s="10" t="s">
        <v>64</v>
      </c>
      <c r="D175" s="16"/>
      <c r="E175" s="16"/>
      <c r="F175" s="12"/>
      <c r="G175" s="13"/>
      <c r="H175" s="13"/>
      <c r="I175" s="13"/>
      <c r="J175" s="22"/>
    </row>
    <row r="176" ht="42.0" customHeight="1">
      <c r="A176" s="1">
        <v>175.0</v>
      </c>
      <c r="B176" s="9" t="s">
        <v>31</v>
      </c>
      <c r="C176" s="10"/>
      <c r="D176" s="11">
        <v>0.375</v>
      </c>
      <c r="E176" s="26">
        <v>0.9791666666666666</v>
      </c>
      <c r="F176" s="17" t="s">
        <v>156</v>
      </c>
      <c r="G176" s="2">
        <v>1.0</v>
      </c>
      <c r="H176" s="13"/>
      <c r="I176" s="13"/>
      <c r="J176" s="22"/>
    </row>
    <row r="177" ht="42.0" hidden="1" customHeight="1">
      <c r="A177" s="1">
        <v>176.0</v>
      </c>
      <c r="B177" s="9" t="s">
        <v>32</v>
      </c>
      <c r="C177" s="10" t="s">
        <v>13</v>
      </c>
      <c r="D177" s="16"/>
      <c r="E177" s="16"/>
      <c r="F177" s="12"/>
      <c r="G177" s="13"/>
      <c r="H177" s="13"/>
      <c r="I177" s="13"/>
      <c r="J177" s="22"/>
    </row>
    <row r="178" ht="42.0" customHeight="1">
      <c r="A178" s="1">
        <v>177.0</v>
      </c>
      <c r="B178" s="9" t="s">
        <v>67</v>
      </c>
      <c r="C178" s="10" t="s">
        <v>145</v>
      </c>
      <c r="D178" s="16"/>
      <c r="E178" s="26">
        <v>0.8888888888888888</v>
      </c>
      <c r="F178" s="29" t="s">
        <v>157</v>
      </c>
      <c r="G178" s="2">
        <v>1.0</v>
      </c>
      <c r="H178" s="13"/>
      <c r="I178" s="13"/>
      <c r="J178" s="22"/>
    </row>
    <row r="179" ht="42.0" customHeight="1">
      <c r="A179" s="1">
        <v>178.0</v>
      </c>
      <c r="B179" s="9" t="s">
        <v>34</v>
      </c>
      <c r="C179" s="10" t="s">
        <v>44</v>
      </c>
      <c r="D179" s="16"/>
      <c r="E179" s="16"/>
      <c r="F179" s="12"/>
      <c r="G179" s="13"/>
      <c r="H179" s="13"/>
      <c r="I179" s="13"/>
      <c r="J179" s="22"/>
    </row>
    <row r="180" ht="42.0" customHeight="1">
      <c r="A180" s="1">
        <v>179.0</v>
      </c>
      <c r="B180" s="9" t="s">
        <v>35</v>
      </c>
      <c r="C180" s="10"/>
      <c r="D180" s="16"/>
      <c r="E180" s="16"/>
      <c r="F180" s="17" t="s">
        <v>101</v>
      </c>
      <c r="G180" s="2">
        <v>1.0</v>
      </c>
      <c r="H180" s="2">
        <v>1.0</v>
      </c>
      <c r="I180" s="13"/>
      <c r="J180" s="22"/>
    </row>
    <row r="181" ht="42.0" customHeight="1">
      <c r="A181" s="1">
        <v>180.0</v>
      </c>
      <c r="B181" s="9" t="s">
        <v>36</v>
      </c>
      <c r="C181" s="23"/>
      <c r="D181" s="16"/>
      <c r="E181" s="16"/>
      <c r="F181" s="17" t="s">
        <v>121</v>
      </c>
      <c r="G181" s="2">
        <v>1.0</v>
      </c>
      <c r="H181" s="2">
        <v>1.0</v>
      </c>
      <c r="I181" s="13"/>
      <c r="J181" s="22"/>
    </row>
    <row r="182" ht="42.0" customHeight="1">
      <c r="A182" s="1">
        <v>181.0</v>
      </c>
      <c r="B182" s="9" t="s">
        <v>38</v>
      </c>
      <c r="C182" s="10" t="s">
        <v>39</v>
      </c>
      <c r="D182" s="11">
        <v>0.375</v>
      </c>
      <c r="E182" s="26">
        <v>0.9791666666666666</v>
      </c>
      <c r="F182" s="17" t="s">
        <v>158</v>
      </c>
      <c r="G182" s="2">
        <v>1.0</v>
      </c>
      <c r="H182" s="13"/>
      <c r="I182" s="13"/>
      <c r="J182" s="22"/>
    </row>
    <row r="183" ht="42.0" customHeight="1">
      <c r="A183" s="1">
        <v>182.0</v>
      </c>
      <c r="B183" s="9" t="s">
        <v>41</v>
      </c>
      <c r="C183" s="10" t="s">
        <v>49</v>
      </c>
      <c r="D183" s="16"/>
      <c r="E183" s="26">
        <v>0.8958333333333334</v>
      </c>
      <c r="F183" s="17" t="s">
        <v>159</v>
      </c>
      <c r="G183" s="2">
        <v>1.0</v>
      </c>
      <c r="H183" s="13"/>
      <c r="I183" s="13"/>
      <c r="J183" s="22"/>
    </row>
    <row r="184" ht="42.0" customHeight="1">
      <c r="A184" s="1">
        <v>183.0</v>
      </c>
      <c r="B184" s="9" t="s">
        <v>42</v>
      </c>
      <c r="C184" s="10" t="s">
        <v>145</v>
      </c>
      <c r="D184" s="11">
        <v>0.4166666666666667</v>
      </c>
      <c r="E184" s="26">
        <v>0.9791666666666666</v>
      </c>
      <c r="F184" s="17" t="s">
        <v>160</v>
      </c>
      <c r="G184" s="2">
        <v>1.0</v>
      </c>
      <c r="H184" s="13"/>
      <c r="I184" s="13"/>
      <c r="J184" s="22"/>
    </row>
    <row r="185" ht="42.0" customHeight="1">
      <c r="A185" s="1">
        <v>184.0</v>
      </c>
      <c r="B185" s="9" t="s">
        <v>43</v>
      </c>
      <c r="C185" s="10"/>
      <c r="D185" s="16"/>
      <c r="E185" s="16"/>
      <c r="F185" s="12"/>
      <c r="G185" s="13"/>
      <c r="H185" s="13"/>
      <c r="I185" s="13"/>
      <c r="J185" s="22"/>
    </row>
    <row r="186" ht="42.0" customHeight="1">
      <c r="A186" s="1">
        <v>185.0</v>
      </c>
      <c r="B186" s="9" t="s">
        <v>45</v>
      </c>
      <c r="C186" s="10" t="s">
        <v>145</v>
      </c>
      <c r="D186" s="11">
        <v>0.4166666666666667</v>
      </c>
      <c r="E186" s="26">
        <v>0.9375</v>
      </c>
      <c r="F186" s="17" t="s">
        <v>161</v>
      </c>
      <c r="G186" s="2">
        <v>1.0</v>
      </c>
      <c r="H186" s="13"/>
      <c r="I186" s="13"/>
      <c r="J186" s="22"/>
    </row>
    <row r="187" ht="42.0" customHeight="1">
      <c r="A187" s="1">
        <v>186.0</v>
      </c>
      <c r="B187" s="9" t="s">
        <v>46</v>
      </c>
      <c r="C187" s="10" t="s">
        <v>145</v>
      </c>
      <c r="D187" s="16"/>
      <c r="E187" s="26">
        <v>0.8958333333333334</v>
      </c>
      <c r="F187" s="17" t="s">
        <v>162</v>
      </c>
      <c r="G187" s="2">
        <v>2.0</v>
      </c>
      <c r="H187" s="13"/>
      <c r="I187" s="13"/>
      <c r="J187" s="22"/>
    </row>
    <row r="188" ht="42.0" hidden="1" customHeight="1">
      <c r="A188" s="1">
        <v>187.0</v>
      </c>
      <c r="B188" s="9" t="s">
        <v>47</v>
      </c>
      <c r="C188" s="10" t="s">
        <v>13</v>
      </c>
      <c r="D188" s="16"/>
      <c r="E188" s="16"/>
      <c r="F188" s="12"/>
      <c r="G188" s="13"/>
      <c r="H188" s="13"/>
      <c r="I188" s="13"/>
      <c r="J188" s="22"/>
    </row>
    <row r="189" ht="42.0" hidden="1" customHeight="1">
      <c r="A189" s="1">
        <v>188.0</v>
      </c>
      <c r="B189" s="9" t="s">
        <v>48</v>
      </c>
      <c r="C189" s="10" t="s">
        <v>13</v>
      </c>
      <c r="D189" s="16"/>
      <c r="E189" s="16"/>
      <c r="F189" s="12"/>
      <c r="G189" s="13"/>
      <c r="H189" s="13"/>
      <c r="I189" s="13"/>
      <c r="J189" s="22"/>
    </row>
    <row r="190" ht="42.0" customHeight="1">
      <c r="A190" s="1">
        <v>189.0</v>
      </c>
      <c r="B190" s="18"/>
      <c r="C190" s="19"/>
      <c r="D190" s="18"/>
      <c r="E190" s="18"/>
      <c r="F190" s="20"/>
      <c r="G190" s="21"/>
      <c r="H190" s="21"/>
      <c r="I190" s="21"/>
      <c r="J190" s="22"/>
    </row>
    <row r="191" ht="42.0" hidden="1" customHeight="1">
      <c r="A191" s="1">
        <v>190.0</v>
      </c>
      <c r="B191" s="9" t="s">
        <v>12</v>
      </c>
      <c r="C191" s="10" t="s">
        <v>13</v>
      </c>
      <c r="D191" s="16"/>
      <c r="E191" s="16"/>
      <c r="F191" s="12"/>
      <c r="G191" s="13"/>
      <c r="H191" s="13"/>
      <c r="I191" s="13"/>
      <c r="J191" s="27" t="s">
        <v>14</v>
      </c>
      <c r="K191" s="15" t="s">
        <v>163</v>
      </c>
    </row>
    <row r="192" ht="42.0" hidden="1" customHeight="1">
      <c r="A192" s="1">
        <v>191.0</v>
      </c>
      <c r="B192" s="9" t="s">
        <v>16</v>
      </c>
      <c r="C192" s="10" t="s">
        <v>13</v>
      </c>
      <c r="D192" s="16"/>
      <c r="E192" s="16"/>
      <c r="F192" s="12"/>
      <c r="G192" s="13"/>
      <c r="H192" s="13"/>
      <c r="I192" s="13"/>
      <c r="J192" s="27" t="s">
        <v>163</v>
      </c>
    </row>
    <row r="193" ht="42.0" customHeight="1">
      <c r="A193" s="1">
        <v>192.0</v>
      </c>
      <c r="B193" s="9" t="s">
        <v>17</v>
      </c>
      <c r="C193" s="10" t="s">
        <v>145</v>
      </c>
      <c r="D193" s="16"/>
      <c r="E193" s="16"/>
      <c r="F193" s="17" t="s">
        <v>164</v>
      </c>
      <c r="G193" s="2">
        <v>2.0</v>
      </c>
      <c r="H193" s="13"/>
      <c r="I193" s="13"/>
      <c r="J193" s="27" t="s">
        <v>19</v>
      </c>
    </row>
    <row r="194" ht="42.0" hidden="1" customHeight="1">
      <c r="A194" s="1">
        <v>193.0</v>
      </c>
      <c r="B194" s="9" t="s">
        <v>20</v>
      </c>
      <c r="C194" s="10" t="s">
        <v>13</v>
      </c>
      <c r="D194" s="16"/>
      <c r="E194" s="16"/>
      <c r="F194" s="17"/>
      <c r="G194" s="13"/>
      <c r="H194" s="13"/>
      <c r="I194" s="13"/>
      <c r="J194" s="27" t="s">
        <v>165</v>
      </c>
    </row>
    <row r="195" ht="42.0" hidden="1" customHeight="1">
      <c r="A195" s="1">
        <v>194.0</v>
      </c>
      <c r="B195" s="9" t="s">
        <v>21</v>
      </c>
      <c r="C195" s="10" t="s">
        <v>13</v>
      </c>
      <c r="D195" s="16"/>
      <c r="E195" s="16"/>
      <c r="F195" s="12"/>
      <c r="G195" s="13"/>
      <c r="H195" s="13"/>
      <c r="I195" s="13"/>
      <c r="J195" s="27" t="s">
        <v>166</v>
      </c>
    </row>
    <row r="196" ht="42.0" hidden="1" customHeight="1">
      <c r="A196" s="1">
        <v>195.0</v>
      </c>
      <c r="B196" s="9" t="s">
        <v>22</v>
      </c>
      <c r="C196" s="10" t="s">
        <v>13</v>
      </c>
      <c r="D196" s="16"/>
      <c r="E196" s="16"/>
      <c r="F196" s="12"/>
      <c r="G196" s="13"/>
      <c r="H196" s="13"/>
      <c r="I196" s="13"/>
      <c r="J196" s="27" t="s">
        <v>167</v>
      </c>
    </row>
    <row r="197" ht="42.0" customHeight="1">
      <c r="A197" s="1">
        <v>196.0</v>
      </c>
      <c r="B197" s="9" t="s">
        <v>23</v>
      </c>
      <c r="C197" s="10" t="s">
        <v>27</v>
      </c>
      <c r="D197" s="16"/>
      <c r="E197" s="16"/>
      <c r="F197" s="12"/>
      <c r="G197" s="13"/>
      <c r="H197" s="13"/>
      <c r="I197" s="13"/>
      <c r="J197" s="22"/>
    </row>
    <row r="198" ht="42.0" customHeight="1">
      <c r="A198" s="1">
        <v>197.0</v>
      </c>
      <c r="B198" s="9" t="s">
        <v>24</v>
      </c>
      <c r="C198" s="10" t="s">
        <v>145</v>
      </c>
      <c r="D198" s="16"/>
      <c r="E198" s="26">
        <v>0.8333333333333334</v>
      </c>
      <c r="F198" s="17" t="s">
        <v>168</v>
      </c>
      <c r="G198" s="2">
        <v>2.0</v>
      </c>
      <c r="H198" s="13"/>
      <c r="I198" s="13"/>
      <c r="J198" s="22"/>
    </row>
    <row r="199" ht="42.0" customHeight="1">
      <c r="A199" s="1">
        <v>198.0</v>
      </c>
      <c r="B199" s="9" t="s">
        <v>25</v>
      </c>
      <c r="C199" s="10" t="s">
        <v>44</v>
      </c>
      <c r="D199" s="16"/>
      <c r="E199" s="16"/>
      <c r="F199" s="31" t="s">
        <v>169</v>
      </c>
      <c r="G199" s="30">
        <v>1.0</v>
      </c>
      <c r="H199" s="13"/>
      <c r="I199" s="13"/>
      <c r="J199" s="22"/>
    </row>
    <row r="200" ht="42.0" hidden="1" customHeight="1">
      <c r="A200" s="1">
        <v>199.0</v>
      </c>
      <c r="B200" s="9" t="s">
        <v>26</v>
      </c>
      <c r="C200" s="10" t="s">
        <v>13</v>
      </c>
      <c r="D200" s="16"/>
      <c r="E200" s="16"/>
      <c r="F200" s="12"/>
      <c r="G200" s="13"/>
      <c r="H200" s="13"/>
      <c r="I200" s="13"/>
      <c r="J200" s="22"/>
    </row>
    <row r="201" ht="42.0" hidden="1" customHeight="1">
      <c r="A201" s="1">
        <v>200.0</v>
      </c>
      <c r="B201" s="9" t="s">
        <v>29</v>
      </c>
      <c r="C201" s="10" t="s">
        <v>13</v>
      </c>
      <c r="D201" s="16"/>
      <c r="E201" s="16"/>
      <c r="F201" s="12"/>
      <c r="G201" s="13"/>
      <c r="H201" s="13"/>
      <c r="I201" s="13"/>
      <c r="J201" s="22"/>
    </row>
    <row r="202" ht="42.0" hidden="1" customHeight="1">
      <c r="A202" s="1">
        <v>201.0</v>
      </c>
      <c r="B202" s="9" t="s">
        <v>30</v>
      </c>
      <c r="C202" s="10" t="s">
        <v>13</v>
      </c>
      <c r="D202" s="16"/>
      <c r="E202" s="16"/>
      <c r="F202" s="12"/>
      <c r="G202" s="13"/>
      <c r="H202" s="13"/>
      <c r="I202" s="13"/>
      <c r="J202" s="22"/>
    </row>
    <row r="203" ht="42.0" hidden="1" customHeight="1">
      <c r="A203" s="1">
        <v>202.0</v>
      </c>
      <c r="B203" s="9" t="s">
        <v>31</v>
      </c>
      <c r="C203" s="10" t="s">
        <v>13</v>
      </c>
      <c r="D203" s="16"/>
      <c r="E203" s="16"/>
      <c r="F203" s="12"/>
      <c r="G203" s="13"/>
      <c r="H203" s="13"/>
      <c r="I203" s="13"/>
      <c r="J203" s="22"/>
    </row>
    <row r="204" ht="42.0" hidden="1" customHeight="1">
      <c r="A204" s="1">
        <v>203.0</v>
      </c>
      <c r="B204" s="9" t="s">
        <v>32</v>
      </c>
      <c r="C204" s="10" t="s">
        <v>13</v>
      </c>
      <c r="D204" s="16"/>
      <c r="E204" s="16"/>
      <c r="F204" s="12"/>
      <c r="G204" s="13"/>
      <c r="H204" s="13"/>
      <c r="I204" s="13"/>
      <c r="J204" s="22"/>
    </row>
    <row r="205" ht="42.0" hidden="1" customHeight="1">
      <c r="A205" s="1">
        <v>204.0</v>
      </c>
      <c r="B205" s="9" t="s">
        <v>67</v>
      </c>
      <c r="C205" s="10" t="s">
        <v>13</v>
      </c>
      <c r="D205" s="16"/>
      <c r="E205" s="16"/>
      <c r="F205" s="12"/>
      <c r="G205" s="13"/>
      <c r="H205" s="13"/>
      <c r="I205" s="13"/>
      <c r="J205" s="22"/>
    </row>
    <row r="206" ht="42.0" customHeight="1">
      <c r="A206" s="1">
        <v>205.0</v>
      </c>
      <c r="B206" s="9" t="s">
        <v>34</v>
      </c>
      <c r="C206" s="10" t="s">
        <v>39</v>
      </c>
      <c r="D206" s="16"/>
      <c r="E206" s="16"/>
      <c r="F206" s="17" t="s">
        <v>170</v>
      </c>
      <c r="G206" s="2">
        <v>1.0</v>
      </c>
      <c r="H206" s="13"/>
      <c r="I206" s="13"/>
      <c r="J206" s="22"/>
    </row>
    <row r="207" ht="42.0" customHeight="1">
      <c r="A207" s="1">
        <v>206.0</v>
      </c>
      <c r="B207" s="9" t="s">
        <v>35</v>
      </c>
      <c r="C207" s="10"/>
      <c r="D207" s="16"/>
      <c r="E207" s="16"/>
      <c r="F207" s="17" t="s">
        <v>101</v>
      </c>
      <c r="G207" s="2">
        <v>1.0</v>
      </c>
      <c r="H207" s="2">
        <v>1.0</v>
      </c>
      <c r="I207" s="13"/>
      <c r="J207" s="22"/>
    </row>
    <row r="208" ht="42.0" customHeight="1">
      <c r="A208" s="1">
        <v>207.0</v>
      </c>
      <c r="B208" s="9" t="s">
        <v>36</v>
      </c>
      <c r="C208" s="23"/>
      <c r="D208" s="16"/>
      <c r="E208" s="16"/>
      <c r="F208" s="17" t="s">
        <v>121</v>
      </c>
      <c r="G208" s="2">
        <v>1.0</v>
      </c>
      <c r="H208" s="2">
        <v>1.0</v>
      </c>
      <c r="I208" s="13"/>
      <c r="J208" s="22"/>
    </row>
    <row r="209" ht="42.0" hidden="1" customHeight="1">
      <c r="A209" s="1">
        <v>208.0</v>
      </c>
      <c r="B209" s="9" t="s">
        <v>38</v>
      </c>
      <c r="C209" s="10" t="s">
        <v>13</v>
      </c>
      <c r="D209" s="16"/>
      <c r="E209" s="16"/>
      <c r="F209" s="12"/>
      <c r="G209" s="13"/>
      <c r="H209" s="13"/>
      <c r="I209" s="13"/>
      <c r="J209" s="22"/>
    </row>
    <row r="210" ht="42.0" hidden="1" customHeight="1">
      <c r="A210" s="1">
        <v>209.0</v>
      </c>
      <c r="B210" s="9" t="s">
        <v>41</v>
      </c>
      <c r="C210" s="10" t="s">
        <v>13</v>
      </c>
      <c r="D210" s="16"/>
      <c r="E210" s="16"/>
      <c r="F210" s="12"/>
      <c r="G210" s="13"/>
      <c r="H210" s="13"/>
      <c r="I210" s="13"/>
      <c r="J210" s="22"/>
    </row>
    <row r="211" ht="42.0" hidden="1" customHeight="1">
      <c r="A211" s="1">
        <v>210.0</v>
      </c>
      <c r="B211" s="9" t="s">
        <v>42</v>
      </c>
      <c r="C211" s="10" t="s">
        <v>13</v>
      </c>
      <c r="D211" s="16"/>
      <c r="E211" s="16"/>
      <c r="F211" s="12"/>
      <c r="G211" s="13"/>
      <c r="H211" s="13"/>
      <c r="I211" s="13"/>
      <c r="J211" s="22"/>
    </row>
    <row r="212" ht="42.0" customHeight="1">
      <c r="A212" s="1">
        <v>211.0</v>
      </c>
      <c r="B212" s="9" t="s">
        <v>43</v>
      </c>
      <c r="C212" s="10" t="s">
        <v>145</v>
      </c>
      <c r="D212" s="16"/>
      <c r="E212" s="16"/>
      <c r="F212" s="17" t="s">
        <v>171</v>
      </c>
      <c r="G212" s="2">
        <v>1.0</v>
      </c>
      <c r="H212" s="13"/>
      <c r="I212" s="13"/>
      <c r="J212" s="22"/>
    </row>
    <row r="213" ht="42.0" hidden="1" customHeight="1">
      <c r="A213" s="1">
        <v>212.0</v>
      </c>
      <c r="B213" s="9" t="s">
        <v>45</v>
      </c>
      <c r="C213" s="10" t="s">
        <v>13</v>
      </c>
      <c r="D213" s="16"/>
      <c r="E213" s="16"/>
      <c r="F213" s="12"/>
      <c r="G213" s="13"/>
      <c r="H213" s="13"/>
      <c r="I213" s="13"/>
      <c r="J213" s="22"/>
    </row>
    <row r="214" ht="42.0" hidden="1" customHeight="1">
      <c r="A214" s="1">
        <v>213.0</v>
      </c>
      <c r="B214" s="9" t="s">
        <v>46</v>
      </c>
      <c r="C214" s="10" t="s">
        <v>13</v>
      </c>
      <c r="D214" s="16"/>
      <c r="E214" s="16"/>
      <c r="F214" s="12"/>
      <c r="G214" s="13"/>
      <c r="H214" s="13"/>
      <c r="I214" s="13"/>
      <c r="J214" s="22"/>
    </row>
    <row r="215" ht="42.0" customHeight="1">
      <c r="A215" s="1">
        <v>214.0</v>
      </c>
      <c r="B215" s="9" t="s">
        <v>47</v>
      </c>
      <c r="C215" s="23"/>
      <c r="D215" s="16"/>
      <c r="E215" s="16"/>
      <c r="F215" s="17" t="s">
        <v>172</v>
      </c>
      <c r="G215" s="2">
        <v>1.0</v>
      </c>
      <c r="H215" s="13"/>
      <c r="I215" s="13"/>
      <c r="J215" s="22"/>
    </row>
    <row r="216" ht="42.0" customHeight="1">
      <c r="A216" s="1">
        <v>215.0</v>
      </c>
      <c r="B216" s="9" t="s">
        <v>116</v>
      </c>
      <c r="C216" s="10" t="s">
        <v>145</v>
      </c>
      <c r="D216" s="16"/>
      <c r="E216" s="16"/>
      <c r="F216" s="17" t="s">
        <v>173</v>
      </c>
      <c r="G216" s="2">
        <v>2.0</v>
      </c>
      <c r="H216" s="13"/>
      <c r="I216" s="13"/>
      <c r="J216" s="22"/>
    </row>
    <row r="217" ht="42.0" customHeight="1">
      <c r="A217" s="1">
        <v>216.0</v>
      </c>
      <c r="B217" s="18"/>
      <c r="C217" s="19"/>
      <c r="D217" s="18"/>
      <c r="E217" s="18"/>
      <c r="F217" s="20"/>
      <c r="G217" s="21"/>
      <c r="H217" s="21"/>
      <c r="I217" s="21"/>
      <c r="J217" s="22"/>
    </row>
    <row r="218" ht="42.0" customHeight="1">
      <c r="A218" s="1">
        <v>217.0</v>
      </c>
      <c r="B218" s="9" t="s">
        <v>12</v>
      </c>
      <c r="C218" s="10" t="s">
        <v>69</v>
      </c>
      <c r="D218" s="16"/>
      <c r="E218" s="11">
        <v>0.9166666666666666</v>
      </c>
      <c r="F218" s="17" t="s">
        <v>174</v>
      </c>
      <c r="G218" s="2">
        <v>1.0</v>
      </c>
      <c r="H218" s="13"/>
      <c r="I218" s="13"/>
      <c r="J218" s="27" t="s">
        <v>14</v>
      </c>
      <c r="K218" s="15" t="s">
        <v>175</v>
      </c>
    </row>
    <row r="219" ht="42.0" customHeight="1">
      <c r="A219" s="1">
        <v>218.0</v>
      </c>
      <c r="B219" s="9" t="s">
        <v>16</v>
      </c>
      <c r="C219" s="10" t="s">
        <v>39</v>
      </c>
      <c r="D219" s="16"/>
      <c r="E219" s="16"/>
      <c r="F219" s="17" t="s">
        <v>176</v>
      </c>
      <c r="G219" s="2">
        <v>1.0</v>
      </c>
      <c r="H219" s="13"/>
      <c r="I219" s="13"/>
      <c r="J219" s="27" t="s">
        <v>175</v>
      </c>
    </row>
    <row r="220" ht="42.0" customHeight="1">
      <c r="A220" s="1">
        <v>219.0</v>
      </c>
      <c r="B220" s="9" t="s">
        <v>17</v>
      </c>
      <c r="C220" s="10" t="s">
        <v>39</v>
      </c>
      <c r="D220" s="28">
        <v>0.25</v>
      </c>
      <c r="E220" s="16"/>
      <c r="F220" s="17" t="s">
        <v>177</v>
      </c>
      <c r="G220" s="2">
        <v>1.0</v>
      </c>
      <c r="H220" s="13"/>
      <c r="I220" s="13"/>
      <c r="J220" s="27" t="s">
        <v>56</v>
      </c>
    </row>
    <row r="221" ht="42.0" customHeight="1">
      <c r="A221" s="1">
        <v>220.0</v>
      </c>
      <c r="B221" s="9" t="s">
        <v>20</v>
      </c>
      <c r="C221" s="23"/>
      <c r="D221" s="16"/>
      <c r="E221" s="16"/>
      <c r="F221" s="17" t="s">
        <v>178</v>
      </c>
      <c r="G221" s="2">
        <v>1.0</v>
      </c>
      <c r="H221" s="13"/>
      <c r="I221" s="13"/>
      <c r="J221" s="22"/>
    </row>
    <row r="222" ht="42.0" hidden="1" customHeight="1">
      <c r="A222" s="1">
        <v>221.0</v>
      </c>
      <c r="B222" s="9" t="s">
        <v>21</v>
      </c>
      <c r="C222" s="10" t="s">
        <v>58</v>
      </c>
      <c r="D222" s="16"/>
      <c r="E222" s="16"/>
      <c r="F222" s="12"/>
      <c r="G222" s="13"/>
      <c r="H222" s="13"/>
      <c r="I222" s="13"/>
      <c r="J222" s="22"/>
    </row>
    <row r="223" ht="42.0" customHeight="1">
      <c r="A223" s="1">
        <v>222.0</v>
      </c>
      <c r="B223" s="9" t="s">
        <v>22</v>
      </c>
      <c r="C223" s="10"/>
      <c r="D223" s="16"/>
      <c r="E223" s="16"/>
      <c r="F223" s="17" t="s">
        <v>179</v>
      </c>
      <c r="G223" s="2">
        <v>2.0</v>
      </c>
      <c r="H223" s="13"/>
      <c r="I223" s="13"/>
      <c r="J223" s="22"/>
    </row>
    <row r="224" ht="42.0" customHeight="1">
      <c r="A224" s="1">
        <v>223.0</v>
      </c>
      <c r="B224" s="9" t="s">
        <v>23</v>
      </c>
      <c r="C224" s="10" t="s">
        <v>44</v>
      </c>
      <c r="D224" s="16"/>
      <c r="E224" s="16"/>
      <c r="F224" s="12"/>
      <c r="G224" s="13"/>
      <c r="H224" s="13"/>
      <c r="I224" s="13"/>
      <c r="J224" s="22"/>
    </row>
    <row r="225" ht="42.0" hidden="1" customHeight="1">
      <c r="A225" s="1">
        <v>224.0</v>
      </c>
      <c r="B225" s="9" t="s">
        <v>24</v>
      </c>
      <c r="C225" s="10" t="s">
        <v>58</v>
      </c>
      <c r="D225" s="16"/>
      <c r="E225" s="16"/>
      <c r="F225" s="12"/>
      <c r="G225" s="13"/>
      <c r="H225" s="13"/>
      <c r="I225" s="13"/>
      <c r="J225" s="22"/>
    </row>
    <row r="226" ht="42.0" customHeight="1">
      <c r="A226" s="1">
        <v>225.0</v>
      </c>
      <c r="B226" s="9" t="s">
        <v>116</v>
      </c>
      <c r="C226" s="10"/>
      <c r="D226" s="16"/>
      <c r="E226" s="16"/>
      <c r="F226" s="17" t="s">
        <v>180</v>
      </c>
      <c r="G226" s="2">
        <v>1.0</v>
      </c>
      <c r="H226" s="13"/>
      <c r="I226" s="13"/>
      <c r="J226" s="22"/>
    </row>
    <row r="227" ht="42.0" customHeight="1">
      <c r="A227" s="1">
        <v>226.0</v>
      </c>
      <c r="B227" s="9" t="s">
        <v>26</v>
      </c>
      <c r="C227" s="10" t="s">
        <v>69</v>
      </c>
      <c r="D227" s="16"/>
      <c r="E227" s="26">
        <v>0.9375</v>
      </c>
      <c r="F227" s="17" t="s">
        <v>181</v>
      </c>
      <c r="G227" s="2">
        <v>2.0</v>
      </c>
      <c r="H227" s="13"/>
      <c r="I227" s="13"/>
      <c r="J227" s="22"/>
    </row>
    <row r="228" ht="42.0" customHeight="1">
      <c r="A228" s="1">
        <v>227.0</v>
      </c>
      <c r="B228" s="9" t="s">
        <v>29</v>
      </c>
      <c r="C228" s="10" t="s">
        <v>59</v>
      </c>
      <c r="D228" s="16"/>
      <c r="E228" s="16"/>
      <c r="F228" s="17" t="s">
        <v>182</v>
      </c>
      <c r="G228" s="2">
        <v>1.0</v>
      </c>
      <c r="H228" s="13"/>
      <c r="I228" s="13"/>
      <c r="J228" s="22"/>
    </row>
    <row r="229" ht="42.0" customHeight="1">
      <c r="A229" s="1">
        <v>228.0</v>
      </c>
      <c r="B229" s="9" t="s">
        <v>30</v>
      </c>
      <c r="C229" s="10" t="s">
        <v>64</v>
      </c>
      <c r="D229" s="16"/>
      <c r="E229" s="16"/>
      <c r="F229" s="12"/>
      <c r="G229" s="13"/>
      <c r="H229" s="13"/>
      <c r="I229" s="13"/>
      <c r="J229" s="22"/>
    </row>
    <row r="230" ht="42.0" customHeight="1">
      <c r="A230" s="1">
        <v>229.0</v>
      </c>
      <c r="B230" s="9" t="s">
        <v>31</v>
      </c>
      <c r="C230" s="10"/>
      <c r="D230" s="16"/>
      <c r="E230" s="16"/>
      <c r="F230" s="17" t="s">
        <v>183</v>
      </c>
      <c r="G230" s="2">
        <v>2.0</v>
      </c>
      <c r="H230" s="13"/>
      <c r="I230" s="2">
        <v>2.0</v>
      </c>
      <c r="J230" s="22"/>
    </row>
    <row r="231" ht="42.0" customHeight="1">
      <c r="A231" s="1">
        <v>230.0</v>
      </c>
      <c r="B231" s="9" t="s">
        <v>32</v>
      </c>
      <c r="C231" s="10"/>
      <c r="D231" s="28">
        <v>0.3541666666666667</v>
      </c>
      <c r="E231" s="16"/>
      <c r="F231" s="17" t="s">
        <v>184</v>
      </c>
      <c r="G231" s="2">
        <v>1.0</v>
      </c>
      <c r="H231" s="13"/>
      <c r="I231" s="13"/>
      <c r="J231" s="22"/>
    </row>
    <row r="232" ht="42.0" hidden="1" customHeight="1">
      <c r="A232" s="1">
        <v>231.0</v>
      </c>
      <c r="B232" s="9" t="s">
        <v>67</v>
      </c>
      <c r="C232" s="10" t="s">
        <v>58</v>
      </c>
      <c r="D232" s="16"/>
      <c r="E232" s="16"/>
      <c r="F232" s="12"/>
      <c r="G232" s="13"/>
      <c r="H232" s="13"/>
      <c r="I232" s="13"/>
      <c r="J232" s="22"/>
    </row>
    <row r="233" ht="42.0" customHeight="1">
      <c r="A233" s="1">
        <v>232.0</v>
      </c>
      <c r="B233" s="9" t="s">
        <v>34</v>
      </c>
      <c r="C233" s="10" t="s">
        <v>54</v>
      </c>
      <c r="D233" s="28">
        <v>0.3472222222222222</v>
      </c>
      <c r="E233" s="16"/>
      <c r="F233" s="17" t="s">
        <v>185</v>
      </c>
      <c r="G233" s="2">
        <v>2.0</v>
      </c>
      <c r="H233" s="13"/>
      <c r="I233" s="13"/>
      <c r="J233" s="22"/>
    </row>
    <row r="234" ht="42.0" customHeight="1">
      <c r="A234" s="1">
        <v>233.0</v>
      </c>
      <c r="B234" s="9" t="s">
        <v>35</v>
      </c>
      <c r="C234" s="10"/>
      <c r="D234" s="16"/>
      <c r="E234" s="16"/>
      <c r="F234" s="17" t="s">
        <v>101</v>
      </c>
      <c r="G234" s="2">
        <v>1.0</v>
      </c>
      <c r="H234" s="2">
        <v>1.0</v>
      </c>
      <c r="I234" s="13"/>
      <c r="J234" s="22"/>
    </row>
    <row r="235" ht="42.0" customHeight="1">
      <c r="A235" s="1">
        <v>234.0</v>
      </c>
      <c r="B235" s="9" t="s">
        <v>36</v>
      </c>
      <c r="C235" s="10" t="s">
        <v>54</v>
      </c>
      <c r="D235" s="16"/>
      <c r="E235" s="16"/>
      <c r="F235" s="17" t="s">
        <v>121</v>
      </c>
      <c r="G235" s="2">
        <v>1.0</v>
      </c>
      <c r="H235" s="2">
        <v>1.0</v>
      </c>
      <c r="I235" s="13"/>
      <c r="J235" s="22"/>
    </row>
    <row r="236" ht="42.0" customHeight="1">
      <c r="A236" s="1">
        <v>235.0</v>
      </c>
      <c r="B236" s="9" t="s">
        <v>38</v>
      </c>
      <c r="C236" s="10" t="s">
        <v>54</v>
      </c>
      <c r="D236" s="16"/>
      <c r="E236" s="26">
        <v>0.8125</v>
      </c>
      <c r="F236" s="17" t="s">
        <v>186</v>
      </c>
      <c r="G236" s="2">
        <v>2.0</v>
      </c>
      <c r="H236" s="13"/>
      <c r="I236" s="2">
        <v>1.0</v>
      </c>
      <c r="J236" s="22"/>
    </row>
    <row r="237" ht="42.0" customHeight="1">
      <c r="A237" s="1">
        <v>236.0</v>
      </c>
      <c r="B237" s="9" t="s">
        <v>41</v>
      </c>
      <c r="C237" s="10" t="s">
        <v>27</v>
      </c>
      <c r="D237" s="16"/>
      <c r="E237" s="16"/>
      <c r="F237" s="17" t="s">
        <v>187</v>
      </c>
      <c r="G237" s="2">
        <v>2.0</v>
      </c>
      <c r="H237" s="13"/>
      <c r="I237" s="13"/>
      <c r="J237" s="22"/>
    </row>
    <row r="238" ht="42.0" customHeight="1">
      <c r="A238" s="1">
        <v>237.0</v>
      </c>
      <c r="B238" s="9" t="s">
        <v>42</v>
      </c>
      <c r="C238" s="10"/>
      <c r="D238" s="28">
        <v>0.3541666666666667</v>
      </c>
      <c r="E238" s="16"/>
      <c r="F238" s="17" t="s">
        <v>188</v>
      </c>
      <c r="G238" s="2">
        <v>3.0</v>
      </c>
      <c r="H238" s="13"/>
      <c r="I238" s="2">
        <v>2.0</v>
      </c>
      <c r="J238" s="22"/>
    </row>
    <row r="239" ht="42.0" customHeight="1">
      <c r="A239" s="1">
        <v>238.0</v>
      </c>
      <c r="B239" s="9" t="s">
        <v>43</v>
      </c>
      <c r="C239" s="10" t="s">
        <v>54</v>
      </c>
      <c r="D239" s="16"/>
      <c r="E239" s="16"/>
      <c r="F239" s="29" t="s">
        <v>189</v>
      </c>
      <c r="G239" s="2">
        <v>1.0</v>
      </c>
      <c r="H239" s="13"/>
      <c r="I239" s="13"/>
      <c r="J239" s="22"/>
    </row>
    <row r="240" ht="42.0" hidden="1" customHeight="1">
      <c r="A240" s="1">
        <v>239.0</v>
      </c>
      <c r="B240" s="9" t="s">
        <v>45</v>
      </c>
      <c r="C240" s="10" t="s">
        <v>58</v>
      </c>
      <c r="D240" s="16"/>
      <c r="E240" s="16"/>
      <c r="F240" s="12"/>
      <c r="G240" s="13"/>
      <c r="H240" s="13"/>
      <c r="I240" s="13"/>
      <c r="J240" s="22"/>
    </row>
    <row r="241" ht="42.0" hidden="1" customHeight="1">
      <c r="A241" s="1">
        <v>240.0</v>
      </c>
      <c r="B241" s="9" t="s">
        <v>46</v>
      </c>
      <c r="C241" s="10" t="s">
        <v>66</v>
      </c>
      <c r="D241" s="16"/>
      <c r="E241" s="16"/>
      <c r="F241" s="12"/>
      <c r="G241" s="13"/>
      <c r="H241" s="13"/>
      <c r="I241" s="13"/>
      <c r="J241" s="22"/>
    </row>
    <row r="242" ht="42.0" customHeight="1">
      <c r="A242" s="1">
        <v>241.0</v>
      </c>
      <c r="B242" s="9" t="s">
        <v>47</v>
      </c>
      <c r="C242" s="10" t="s">
        <v>69</v>
      </c>
      <c r="D242" s="16"/>
      <c r="E242" s="16"/>
      <c r="F242" s="17" t="s">
        <v>190</v>
      </c>
      <c r="G242" s="2">
        <v>1.0</v>
      </c>
      <c r="H242" s="13"/>
      <c r="I242" s="13"/>
      <c r="J242" s="22"/>
    </row>
    <row r="243" ht="42.0" hidden="1" customHeight="1">
      <c r="A243" s="1">
        <v>242.0</v>
      </c>
      <c r="B243" s="9" t="s">
        <v>48</v>
      </c>
      <c r="C243" s="10" t="s">
        <v>58</v>
      </c>
      <c r="D243" s="16"/>
      <c r="E243" s="16"/>
      <c r="F243" s="12"/>
      <c r="G243" s="13"/>
      <c r="H243" s="13"/>
      <c r="I243" s="13"/>
      <c r="J243" s="22"/>
    </row>
    <row r="244" ht="42.0" customHeight="1">
      <c r="A244" s="1">
        <v>243.0</v>
      </c>
      <c r="B244" s="18"/>
      <c r="C244" s="19"/>
      <c r="D244" s="18"/>
      <c r="E244" s="18"/>
      <c r="F244" s="20"/>
      <c r="G244" s="21"/>
      <c r="H244" s="21"/>
      <c r="I244" s="21"/>
      <c r="J244" s="22"/>
    </row>
    <row r="245" ht="42.0" customHeight="1">
      <c r="A245" s="1">
        <v>244.0</v>
      </c>
      <c r="B245" s="9" t="s">
        <v>12</v>
      </c>
      <c r="C245" s="10" t="s">
        <v>27</v>
      </c>
      <c r="D245" s="28">
        <v>0.6458333333333334</v>
      </c>
      <c r="E245" s="16"/>
      <c r="F245" s="17" t="s">
        <v>191</v>
      </c>
      <c r="G245" s="2">
        <v>1.0</v>
      </c>
      <c r="H245" s="13"/>
      <c r="I245" s="13"/>
      <c r="J245" s="27" t="s">
        <v>14</v>
      </c>
      <c r="K245" s="15" t="s">
        <v>192</v>
      </c>
    </row>
    <row r="246" ht="42.0" hidden="1" customHeight="1">
      <c r="A246" s="1">
        <v>245.0</v>
      </c>
      <c r="B246" s="9" t="s">
        <v>16</v>
      </c>
      <c r="C246" s="10" t="s">
        <v>58</v>
      </c>
      <c r="D246" s="16"/>
      <c r="E246" s="16"/>
      <c r="F246" s="12"/>
      <c r="G246" s="13"/>
      <c r="H246" s="13"/>
      <c r="I246" s="13"/>
      <c r="J246" s="27" t="s">
        <v>192</v>
      </c>
    </row>
    <row r="247" ht="42.0" customHeight="1">
      <c r="A247" s="1">
        <v>246.0</v>
      </c>
      <c r="B247" s="9" t="s">
        <v>17</v>
      </c>
      <c r="C247" s="10"/>
      <c r="D247" s="16"/>
      <c r="E247" s="16"/>
      <c r="F247" s="17" t="s">
        <v>193</v>
      </c>
      <c r="G247" s="2">
        <v>2.0</v>
      </c>
      <c r="H247" s="13"/>
      <c r="I247" s="13"/>
      <c r="J247" s="27" t="s">
        <v>77</v>
      </c>
    </row>
    <row r="248" ht="42.0" customHeight="1">
      <c r="A248" s="1">
        <v>247.0</v>
      </c>
      <c r="B248" s="9" t="s">
        <v>20</v>
      </c>
      <c r="C248" s="23"/>
      <c r="D248" s="16"/>
      <c r="E248" s="16"/>
      <c r="F248" s="17"/>
      <c r="G248" s="13"/>
      <c r="H248" s="13"/>
      <c r="I248" s="13"/>
      <c r="J248" s="22"/>
    </row>
    <row r="249" ht="42.0" hidden="1" customHeight="1">
      <c r="A249" s="1">
        <v>248.0</v>
      </c>
      <c r="B249" s="9" t="s">
        <v>21</v>
      </c>
      <c r="C249" s="10" t="s">
        <v>58</v>
      </c>
      <c r="D249" s="16"/>
      <c r="E249" s="16"/>
      <c r="F249" s="12"/>
      <c r="G249" s="13"/>
      <c r="H249" s="13"/>
      <c r="I249" s="13"/>
      <c r="J249" s="22"/>
    </row>
    <row r="250" ht="42.0" customHeight="1">
      <c r="A250" s="1">
        <v>249.0</v>
      </c>
      <c r="B250" s="9" t="s">
        <v>22</v>
      </c>
      <c r="C250" s="10"/>
      <c r="D250" s="28">
        <v>0.3541666666666667</v>
      </c>
      <c r="E250" s="16"/>
      <c r="F250" s="17" t="s">
        <v>194</v>
      </c>
      <c r="G250" s="2">
        <v>1.0</v>
      </c>
      <c r="H250" s="13"/>
      <c r="I250" s="13"/>
      <c r="J250" s="22"/>
    </row>
    <row r="251" ht="42.0" customHeight="1">
      <c r="A251" s="1">
        <v>250.0</v>
      </c>
      <c r="B251" s="9" t="s">
        <v>23</v>
      </c>
      <c r="C251" s="10"/>
      <c r="D251" s="16"/>
      <c r="E251" s="16"/>
      <c r="F251" s="17" t="s">
        <v>195</v>
      </c>
      <c r="G251" s="2">
        <v>1.0</v>
      </c>
      <c r="H251" s="13"/>
      <c r="I251" s="13"/>
      <c r="J251" s="22"/>
    </row>
    <row r="252" ht="42.0" hidden="1" customHeight="1">
      <c r="A252" s="1">
        <v>251.0</v>
      </c>
      <c r="B252" s="9" t="s">
        <v>24</v>
      </c>
      <c r="C252" s="10" t="s">
        <v>58</v>
      </c>
      <c r="D252" s="16"/>
      <c r="E252" s="16"/>
      <c r="F252" s="12"/>
      <c r="G252" s="13"/>
      <c r="H252" s="13"/>
      <c r="I252" s="13"/>
      <c r="J252" s="22"/>
    </row>
    <row r="253" ht="42.0" customHeight="1">
      <c r="A253" s="1">
        <v>252.0</v>
      </c>
      <c r="B253" s="9" t="s">
        <v>116</v>
      </c>
      <c r="C253" s="10"/>
      <c r="D253" s="28">
        <v>0.3541666666666667</v>
      </c>
      <c r="E253" s="16"/>
      <c r="F253" s="17" t="s">
        <v>196</v>
      </c>
      <c r="G253" s="2">
        <v>1.0</v>
      </c>
      <c r="H253" s="13"/>
      <c r="I253" s="13"/>
      <c r="J253" s="22"/>
    </row>
    <row r="254" ht="42.0" customHeight="1">
      <c r="A254" s="1">
        <v>253.0</v>
      </c>
      <c r="B254" s="9" t="s">
        <v>26</v>
      </c>
      <c r="C254" s="10"/>
      <c r="D254" s="28">
        <v>0.3541666666666667</v>
      </c>
      <c r="E254" s="16"/>
      <c r="F254" s="17" t="s">
        <v>197</v>
      </c>
      <c r="G254" s="2">
        <v>2.0</v>
      </c>
      <c r="H254" s="13"/>
      <c r="I254" s="13"/>
      <c r="J254" s="22"/>
    </row>
    <row r="255" ht="42.0" customHeight="1">
      <c r="A255" s="1">
        <v>254.0</v>
      </c>
      <c r="B255" s="9" t="s">
        <v>29</v>
      </c>
      <c r="C255" s="10" t="s">
        <v>63</v>
      </c>
      <c r="D255" s="16"/>
      <c r="E255" s="16"/>
      <c r="F255" s="17" t="s">
        <v>198</v>
      </c>
      <c r="G255" s="13"/>
      <c r="H255" s="13"/>
      <c r="I255" s="13"/>
      <c r="J255" s="22"/>
    </row>
    <row r="256" ht="42.0" customHeight="1">
      <c r="A256" s="1">
        <v>255.0</v>
      </c>
      <c r="B256" s="9" t="s">
        <v>30</v>
      </c>
      <c r="C256" s="10" t="s">
        <v>64</v>
      </c>
      <c r="D256" s="16"/>
      <c r="E256" s="16"/>
      <c r="F256" s="12"/>
      <c r="G256" s="13"/>
      <c r="H256" s="13"/>
      <c r="I256" s="13"/>
      <c r="J256" s="22"/>
    </row>
    <row r="257" ht="42.0" customHeight="1">
      <c r="A257" s="1">
        <v>256.0</v>
      </c>
      <c r="B257" s="9" t="s">
        <v>31</v>
      </c>
      <c r="C257" s="10"/>
      <c r="D257" s="16"/>
      <c r="E257" s="16"/>
      <c r="F257" s="17" t="s">
        <v>199</v>
      </c>
      <c r="G257" s="2">
        <v>1.0</v>
      </c>
      <c r="H257" s="13"/>
      <c r="I257" s="2">
        <v>1.0</v>
      </c>
      <c r="J257" s="22"/>
    </row>
    <row r="258" ht="42.0" customHeight="1">
      <c r="A258" s="1">
        <v>257.0</v>
      </c>
      <c r="B258" s="9" t="s">
        <v>32</v>
      </c>
      <c r="C258" s="10" t="s">
        <v>69</v>
      </c>
      <c r="D258" s="16"/>
      <c r="E258" s="11">
        <v>0.8402777777777778</v>
      </c>
      <c r="F258" s="17" t="s">
        <v>200</v>
      </c>
      <c r="G258" s="2">
        <v>1.0</v>
      </c>
      <c r="H258" s="13"/>
      <c r="I258" s="13"/>
      <c r="J258" s="22"/>
    </row>
    <row r="259" ht="42.0" customHeight="1">
      <c r="A259" s="1">
        <v>258.0</v>
      </c>
      <c r="B259" s="9" t="s">
        <v>67</v>
      </c>
      <c r="C259" s="10" t="s">
        <v>69</v>
      </c>
      <c r="D259" s="16"/>
      <c r="E259" s="11">
        <v>0.9027777777777778</v>
      </c>
      <c r="F259" s="17" t="s">
        <v>201</v>
      </c>
      <c r="G259" s="2">
        <v>1.0</v>
      </c>
      <c r="H259" s="13"/>
      <c r="I259" s="13"/>
      <c r="J259" s="22"/>
    </row>
    <row r="260" ht="42.0" customHeight="1">
      <c r="A260" s="1">
        <v>259.0</v>
      </c>
      <c r="B260" s="9" t="s">
        <v>34</v>
      </c>
      <c r="C260" s="10" t="s">
        <v>54</v>
      </c>
      <c r="D260" s="28">
        <v>0.375</v>
      </c>
      <c r="E260" s="16"/>
      <c r="F260" s="17" t="s">
        <v>202</v>
      </c>
      <c r="G260" s="2">
        <v>2.0</v>
      </c>
      <c r="H260" s="13"/>
      <c r="I260" s="13"/>
      <c r="J260" s="22"/>
    </row>
    <row r="261" ht="42.0" customHeight="1">
      <c r="A261" s="1">
        <v>260.0</v>
      </c>
      <c r="B261" s="9" t="s">
        <v>35</v>
      </c>
      <c r="C261" s="10"/>
      <c r="D261" s="16"/>
      <c r="E261" s="16"/>
      <c r="F261" s="17" t="s">
        <v>101</v>
      </c>
      <c r="G261" s="2">
        <v>1.0</v>
      </c>
      <c r="H261" s="2">
        <v>1.0</v>
      </c>
      <c r="I261" s="13"/>
      <c r="J261" s="22"/>
    </row>
    <row r="262" ht="42.0" customHeight="1">
      <c r="A262" s="1">
        <v>261.0</v>
      </c>
      <c r="B262" s="9" t="s">
        <v>36</v>
      </c>
      <c r="C262" s="10" t="s">
        <v>54</v>
      </c>
      <c r="D262" s="28">
        <v>0.3125</v>
      </c>
      <c r="E262" s="16"/>
      <c r="F262" s="17" t="s">
        <v>203</v>
      </c>
      <c r="G262" s="2">
        <v>2.0</v>
      </c>
      <c r="H262" s="13"/>
      <c r="I262" s="13"/>
      <c r="J262" s="22"/>
    </row>
    <row r="263" ht="42.0" customHeight="1">
      <c r="A263" s="1">
        <v>262.0</v>
      </c>
      <c r="B263" s="9" t="s">
        <v>38</v>
      </c>
      <c r="C263" s="10" t="s">
        <v>54</v>
      </c>
      <c r="D263" s="32">
        <v>0.3854166666666667</v>
      </c>
      <c r="E263" s="26">
        <v>0.8125</v>
      </c>
      <c r="F263" s="17" t="s">
        <v>204</v>
      </c>
      <c r="G263" s="2">
        <v>1.0</v>
      </c>
      <c r="H263" s="13"/>
      <c r="I263" s="13"/>
      <c r="J263" s="22"/>
    </row>
    <row r="264" ht="42.0" customHeight="1">
      <c r="A264" s="1">
        <v>263.0</v>
      </c>
      <c r="B264" s="9" t="s">
        <v>41</v>
      </c>
      <c r="C264" s="10" t="s">
        <v>44</v>
      </c>
      <c r="D264" s="16"/>
      <c r="E264" s="16"/>
      <c r="F264" s="12"/>
      <c r="G264" s="13"/>
      <c r="H264" s="13"/>
      <c r="I264" s="13"/>
      <c r="J264" s="22"/>
    </row>
    <row r="265" ht="42.0" customHeight="1">
      <c r="A265" s="1">
        <v>264.0</v>
      </c>
      <c r="B265" s="9" t="s">
        <v>42</v>
      </c>
      <c r="C265" s="10" t="s">
        <v>69</v>
      </c>
      <c r="D265" s="16"/>
      <c r="E265" s="11">
        <v>0.8958333333333334</v>
      </c>
      <c r="F265" s="17" t="s">
        <v>205</v>
      </c>
      <c r="G265" s="2">
        <v>1.0</v>
      </c>
      <c r="H265" s="13"/>
      <c r="I265" s="13"/>
      <c r="J265" s="22"/>
    </row>
    <row r="266" ht="42.0" customHeight="1">
      <c r="A266" s="1">
        <v>265.0</v>
      </c>
      <c r="B266" s="9" t="s">
        <v>43</v>
      </c>
      <c r="C266" s="10" t="s">
        <v>39</v>
      </c>
      <c r="D266" s="28">
        <v>0.25</v>
      </c>
      <c r="E266" s="11">
        <v>0.5625</v>
      </c>
      <c r="F266" s="17" t="s">
        <v>206</v>
      </c>
      <c r="G266" s="2">
        <v>2.0</v>
      </c>
      <c r="H266" s="13"/>
      <c r="I266" s="2">
        <v>1.0</v>
      </c>
      <c r="J266" s="22"/>
    </row>
    <row r="267" ht="42.0" customHeight="1">
      <c r="A267" s="1">
        <v>266.0</v>
      </c>
      <c r="B267" s="9" t="s">
        <v>45</v>
      </c>
      <c r="C267" s="10"/>
      <c r="D267" s="32">
        <v>0.3590277777777778</v>
      </c>
      <c r="E267" s="16"/>
      <c r="F267" s="17" t="s">
        <v>207</v>
      </c>
      <c r="G267" s="2">
        <v>3.0</v>
      </c>
      <c r="H267" s="13"/>
      <c r="I267" s="13"/>
      <c r="J267" s="22"/>
    </row>
    <row r="268" ht="42.0" hidden="1" customHeight="1">
      <c r="A268" s="1">
        <v>267.0</v>
      </c>
      <c r="B268" s="9" t="s">
        <v>46</v>
      </c>
      <c r="C268" s="10" t="s">
        <v>58</v>
      </c>
      <c r="D268" s="16"/>
      <c r="E268" s="16"/>
      <c r="F268" s="12"/>
      <c r="G268" s="13"/>
      <c r="H268" s="13"/>
      <c r="I268" s="13"/>
      <c r="J268" s="22"/>
    </row>
    <row r="269" ht="42.0" customHeight="1">
      <c r="A269" s="1">
        <v>268.0</v>
      </c>
      <c r="B269" s="9" t="s">
        <v>47</v>
      </c>
      <c r="C269" s="10" t="s">
        <v>54</v>
      </c>
      <c r="D269" s="28">
        <v>0.375</v>
      </c>
      <c r="E269" s="26">
        <v>0.8541666666666666</v>
      </c>
      <c r="F269" s="17" t="s">
        <v>208</v>
      </c>
      <c r="G269" s="2">
        <v>1.0</v>
      </c>
      <c r="H269" s="13"/>
      <c r="I269" s="13"/>
      <c r="J269" s="22"/>
    </row>
    <row r="270" ht="42.0" hidden="1" customHeight="1">
      <c r="A270" s="1">
        <v>269.0</v>
      </c>
      <c r="B270" s="9" t="s">
        <v>48</v>
      </c>
      <c r="C270" s="10" t="s">
        <v>58</v>
      </c>
      <c r="D270" s="16"/>
      <c r="E270" s="16"/>
      <c r="F270" s="12"/>
      <c r="G270" s="13"/>
      <c r="H270" s="13"/>
      <c r="I270" s="13"/>
      <c r="J270" s="22"/>
    </row>
    <row r="271" ht="42.0" customHeight="1">
      <c r="A271" s="1">
        <v>270.0</v>
      </c>
      <c r="B271" s="18"/>
      <c r="C271" s="19"/>
      <c r="D271" s="18"/>
      <c r="E271" s="18"/>
      <c r="F271" s="20"/>
      <c r="G271" s="21"/>
      <c r="H271" s="21"/>
      <c r="I271" s="21"/>
      <c r="J271" s="22"/>
    </row>
    <row r="272" ht="42.0" customHeight="1">
      <c r="A272" s="1">
        <v>271.0</v>
      </c>
      <c r="B272" s="9" t="s">
        <v>12</v>
      </c>
      <c r="C272" s="10" t="s">
        <v>44</v>
      </c>
      <c r="D272" s="16"/>
      <c r="E272" s="16"/>
      <c r="F272" s="12"/>
      <c r="G272" s="13"/>
      <c r="H272" s="13"/>
      <c r="I272" s="13"/>
      <c r="J272" s="27" t="s">
        <v>14</v>
      </c>
      <c r="K272" s="15" t="s">
        <v>209</v>
      </c>
    </row>
    <row r="273" ht="42.0" hidden="1" customHeight="1">
      <c r="A273" s="1">
        <v>272.0</v>
      </c>
      <c r="B273" s="9" t="s">
        <v>16</v>
      </c>
      <c r="C273" s="10" t="s">
        <v>58</v>
      </c>
      <c r="D273" s="16"/>
      <c r="E273" s="16"/>
      <c r="F273" s="12"/>
      <c r="G273" s="13"/>
      <c r="H273" s="13"/>
      <c r="I273" s="13"/>
      <c r="J273" s="27" t="s">
        <v>209</v>
      </c>
    </row>
    <row r="274" ht="42.0" customHeight="1">
      <c r="A274" s="1">
        <v>273.0</v>
      </c>
      <c r="B274" s="9" t="s">
        <v>17</v>
      </c>
      <c r="C274" s="10" t="s">
        <v>69</v>
      </c>
      <c r="D274" s="16"/>
      <c r="E274" s="11">
        <v>0.8611111111111112</v>
      </c>
      <c r="F274" s="17" t="s">
        <v>210</v>
      </c>
      <c r="G274" s="2">
        <v>2.0</v>
      </c>
      <c r="H274" s="13"/>
      <c r="I274" s="13"/>
      <c r="J274" s="27" t="s">
        <v>95</v>
      </c>
    </row>
    <row r="275" ht="42.0" customHeight="1">
      <c r="A275" s="1">
        <v>274.0</v>
      </c>
      <c r="B275" s="9" t="s">
        <v>20</v>
      </c>
      <c r="C275" s="23"/>
      <c r="D275" s="16"/>
      <c r="E275" s="16"/>
      <c r="F275" s="17" t="s">
        <v>211</v>
      </c>
      <c r="G275" s="2">
        <v>1.0</v>
      </c>
      <c r="H275" s="13"/>
      <c r="I275" s="13"/>
      <c r="J275" s="22"/>
    </row>
    <row r="276" ht="42.0" hidden="1" customHeight="1">
      <c r="A276" s="1">
        <v>275.0</v>
      </c>
      <c r="B276" s="9" t="s">
        <v>21</v>
      </c>
      <c r="C276" s="10" t="s">
        <v>58</v>
      </c>
      <c r="D276" s="16"/>
      <c r="E276" s="16"/>
      <c r="F276" s="12"/>
      <c r="G276" s="13"/>
      <c r="H276" s="13"/>
      <c r="I276" s="13"/>
      <c r="J276" s="22"/>
    </row>
    <row r="277" ht="42.0" customHeight="1">
      <c r="A277" s="1">
        <v>276.0</v>
      </c>
      <c r="B277" s="9" t="s">
        <v>22</v>
      </c>
      <c r="C277" s="10" t="s">
        <v>69</v>
      </c>
      <c r="D277" s="16"/>
      <c r="E277" s="16"/>
      <c r="F277" s="17" t="s">
        <v>212</v>
      </c>
      <c r="G277" s="2">
        <v>2.0</v>
      </c>
      <c r="H277" s="13"/>
      <c r="I277" s="13"/>
      <c r="J277" s="22"/>
    </row>
    <row r="278" ht="42.0" customHeight="1">
      <c r="A278" s="1">
        <v>277.0</v>
      </c>
      <c r="B278" s="9" t="s">
        <v>23</v>
      </c>
      <c r="C278" s="10"/>
      <c r="D278" s="16"/>
      <c r="E278" s="16"/>
      <c r="F278" s="17" t="s">
        <v>213</v>
      </c>
      <c r="G278" s="2">
        <v>1.0</v>
      </c>
      <c r="H278" s="13"/>
      <c r="I278" s="13"/>
      <c r="J278" s="22"/>
    </row>
    <row r="279" ht="42.0" customHeight="1">
      <c r="A279" s="1">
        <v>278.0</v>
      </c>
      <c r="B279" s="9" t="s">
        <v>24</v>
      </c>
      <c r="C279" s="10" t="s">
        <v>27</v>
      </c>
      <c r="D279" s="16"/>
      <c r="E279" s="16"/>
      <c r="F279" s="17" t="s">
        <v>214</v>
      </c>
      <c r="G279" s="2">
        <v>2.0</v>
      </c>
      <c r="H279" s="13"/>
      <c r="I279" s="13"/>
      <c r="J279" s="22"/>
    </row>
    <row r="280" ht="42.0" customHeight="1">
      <c r="A280" s="1">
        <v>279.0</v>
      </c>
      <c r="B280" s="9" t="s">
        <v>116</v>
      </c>
      <c r="C280" s="10"/>
      <c r="D280" s="16"/>
      <c r="E280" s="16"/>
      <c r="F280" s="17" t="s">
        <v>215</v>
      </c>
      <c r="G280" s="2">
        <v>2.0</v>
      </c>
      <c r="H280" s="13"/>
      <c r="I280" s="2">
        <v>1.0</v>
      </c>
      <c r="J280" s="22"/>
    </row>
    <row r="281" ht="42.0" hidden="1" customHeight="1">
      <c r="A281" s="1">
        <v>280.0</v>
      </c>
      <c r="B281" s="9" t="s">
        <v>26</v>
      </c>
      <c r="C281" s="10" t="s">
        <v>58</v>
      </c>
      <c r="D281" s="16"/>
      <c r="E281" s="16"/>
      <c r="F281" s="12"/>
      <c r="G281" s="13"/>
      <c r="H281" s="13"/>
      <c r="I281" s="13"/>
      <c r="J281" s="22"/>
    </row>
    <row r="282" ht="42.0" customHeight="1">
      <c r="A282" s="1">
        <v>281.0</v>
      </c>
      <c r="B282" s="9" t="s">
        <v>29</v>
      </c>
      <c r="C282" s="10" t="s">
        <v>63</v>
      </c>
      <c r="D282" s="16"/>
      <c r="E282" s="16"/>
      <c r="F282" s="12"/>
      <c r="G282" s="13"/>
      <c r="H282" s="13"/>
      <c r="I282" s="13"/>
      <c r="J282" s="22"/>
    </row>
    <row r="283" ht="42.0" customHeight="1">
      <c r="A283" s="1">
        <v>282.0</v>
      </c>
      <c r="B283" s="9" t="s">
        <v>30</v>
      </c>
      <c r="C283" s="10" t="s">
        <v>64</v>
      </c>
      <c r="D283" s="16"/>
      <c r="E283" s="16"/>
      <c r="F283" s="12"/>
      <c r="G283" s="13"/>
      <c r="H283" s="13"/>
      <c r="I283" s="13"/>
      <c r="J283" s="22"/>
    </row>
    <row r="284" ht="42.0" customHeight="1">
      <c r="A284" s="1">
        <v>283.0</v>
      </c>
      <c r="B284" s="9" t="s">
        <v>31</v>
      </c>
      <c r="C284" s="10"/>
      <c r="D284" s="16"/>
      <c r="E284" s="26">
        <v>0.7916666666666666</v>
      </c>
      <c r="F284" s="17" t="s">
        <v>216</v>
      </c>
      <c r="G284" s="2">
        <v>1.0</v>
      </c>
      <c r="H284" s="13"/>
      <c r="I284" s="13"/>
      <c r="J284" s="22"/>
    </row>
    <row r="285" ht="42.0" customHeight="1">
      <c r="A285" s="1">
        <v>284.0</v>
      </c>
      <c r="B285" s="9" t="s">
        <v>32</v>
      </c>
      <c r="C285" s="10" t="s">
        <v>69</v>
      </c>
      <c r="D285" s="16"/>
      <c r="E285" s="16"/>
      <c r="F285" s="17" t="s">
        <v>217</v>
      </c>
      <c r="G285" s="2">
        <v>2.0</v>
      </c>
      <c r="H285" s="13"/>
      <c r="I285" s="13"/>
      <c r="J285" s="22"/>
    </row>
    <row r="286" ht="42.0" customHeight="1">
      <c r="A286" s="1">
        <v>285.0</v>
      </c>
      <c r="B286" s="9" t="s">
        <v>67</v>
      </c>
      <c r="C286" s="10"/>
      <c r="D286" s="16"/>
      <c r="E286" s="26">
        <v>0.7986111111111112</v>
      </c>
      <c r="F286" s="17" t="s">
        <v>218</v>
      </c>
      <c r="G286" s="2">
        <v>2.0</v>
      </c>
      <c r="H286" s="13"/>
      <c r="I286" s="13"/>
      <c r="J286" s="22"/>
    </row>
    <row r="287" ht="42.0" customHeight="1">
      <c r="A287" s="1">
        <v>286.0</v>
      </c>
      <c r="B287" s="9" t="s">
        <v>34</v>
      </c>
      <c r="C287" s="10" t="s">
        <v>54</v>
      </c>
      <c r="D287" s="16"/>
      <c r="E287" s="26">
        <v>0.8611111111111112</v>
      </c>
      <c r="F287" s="17" t="s">
        <v>219</v>
      </c>
      <c r="G287" s="2">
        <v>2.0</v>
      </c>
      <c r="H287" s="13"/>
      <c r="I287" s="2">
        <v>1.0</v>
      </c>
      <c r="J287" s="22"/>
    </row>
    <row r="288" ht="42.0" customHeight="1">
      <c r="A288" s="1">
        <v>287.0</v>
      </c>
      <c r="B288" s="9" t="s">
        <v>35</v>
      </c>
      <c r="C288" s="10"/>
      <c r="D288" s="16"/>
      <c r="E288" s="16"/>
      <c r="F288" s="17" t="s">
        <v>101</v>
      </c>
      <c r="G288" s="2">
        <v>1.0</v>
      </c>
      <c r="H288" s="2">
        <v>1.0</v>
      </c>
      <c r="I288" s="13"/>
      <c r="J288" s="22"/>
    </row>
    <row r="289" ht="42.0" customHeight="1">
      <c r="A289" s="1">
        <v>288.0</v>
      </c>
      <c r="B289" s="9" t="s">
        <v>36</v>
      </c>
      <c r="C289" s="10" t="s">
        <v>54</v>
      </c>
      <c r="D289" s="16"/>
      <c r="E289" s="26">
        <v>0.8263888888888888</v>
      </c>
      <c r="F289" s="17" t="s">
        <v>220</v>
      </c>
      <c r="G289" s="2">
        <v>2.0</v>
      </c>
      <c r="H289" s="13"/>
      <c r="I289" s="13"/>
      <c r="J289" s="22"/>
    </row>
    <row r="290" ht="42.0" customHeight="1">
      <c r="A290" s="1">
        <v>289.0</v>
      </c>
      <c r="B290" s="9" t="s">
        <v>38</v>
      </c>
      <c r="C290" s="10" t="s">
        <v>54</v>
      </c>
      <c r="D290" s="16"/>
      <c r="E290" s="26">
        <v>0.8263888888888888</v>
      </c>
      <c r="F290" s="17" t="s">
        <v>221</v>
      </c>
      <c r="G290" s="2">
        <v>2.0</v>
      </c>
      <c r="H290" s="13"/>
      <c r="I290" s="13"/>
      <c r="J290" s="22"/>
    </row>
    <row r="291" ht="42.0" hidden="1" customHeight="1">
      <c r="A291" s="1">
        <v>290.0</v>
      </c>
      <c r="B291" s="9" t="s">
        <v>41</v>
      </c>
      <c r="C291" s="10" t="s">
        <v>58</v>
      </c>
      <c r="D291" s="16"/>
      <c r="E291" s="16"/>
      <c r="F291" s="12"/>
      <c r="G291" s="13"/>
      <c r="H291" s="13"/>
      <c r="I291" s="13"/>
      <c r="J291" s="22"/>
    </row>
    <row r="292" ht="42.0" customHeight="1">
      <c r="A292" s="1">
        <v>291.0</v>
      </c>
      <c r="B292" s="9" t="s">
        <v>42</v>
      </c>
      <c r="C292" s="10"/>
      <c r="D292" s="16"/>
      <c r="E292" s="16"/>
      <c r="F292" s="17" t="s">
        <v>222</v>
      </c>
      <c r="G292" s="2">
        <v>1.0</v>
      </c>
      <c r="H292" s="13"/>
      <c r="I292" s="13"/>
      <c r="J292" s="22"/>
    </row>
    <row r="293" ht="42.0" customHeight="1">
      <c r="A293" s="1">
        <v>292.0</v>
      </c>
      <c r="B293" s="9" t="s">
        <v>43</v>
      </c>
      <c r="C293" s="10" t="s">
        <v>39</v>
      </c>
      <c r="D293" s="16"/>
      <c r="E293" s="26">
        <v>0.7291666666666666</v>
      </c>
      <c r="F293" s="17" t="s">
        <v>223</v>
      </c>
      <c r="G293" s="2">
        <v>1.0</v>
      </c>
      <c r="H293" s="13"/>
      <c r="I293" s="13"/>
      <c r="J293" s="22"/>
    </row>
    <row r="294" ht="42.0" customHeight="1">
      <c r="A294" s="1">
        <v>293.0</v>
      </c>
      <c r="B294" s="9" t="s">
        <v>45</v>
      </c>
      <c r="C294" s="10"/>
      <c r="D294" s="16"/>
      <c r="E294" s="16"/>
      <c r="F294" s="17" t="s">
        <v>224</v>
      </c>
      <c r="G294" s="2">
        <v>2.0</v>
      </c>
      <c r="H294" s="13"/>
      <c r="I294" s="13"/>
      <c r="J294" s="22"/>
    </row>
    <row r="295" ht="42.0" hidden="1" customHeight="1">
      <c r="A295" s="1">
        <v>294.0</v>
      </c>
      <c r="B295" s="9" t="s">
        <v>46</v>
      </c>
      <c r="C295" s="10" t="s">
        <v>58</v>
      </c>
      <c r="D295" s="16"/>
      <c r="E295" s="16"/>
      <c r="F295" s="12"/>
      <c r="G295" s="13"/>
      <c r="H295" s="13"/>
      <c r="I295" s="13"/>
      <c r="J295" s="22"/>
    </row>
    <row r="296" ht="42.0" customHeight="1">
      <c r="A296" s="1">
        <v>295.0</v>
      </c>
      <c r="B296" s="9" t="s">
        <v>47</v>
      </c>
      <c r="C296" s="10" t="s">
        <v>54</v>
      </c>
      <c r="D296" s="16"/>
      <c r="E296" s="16"/>
      <c r="F296" s="17" t="s">
        <v>225</v>
      </c>
      <c r="G296" s="2">
        <v>3.0</v>
      </c>
      <c r="H296" s="13"/>
      <c r="I296" s="13"/>
      <c r="J296" s="22"/>
    </row>
    <row r="297" ht="42.0" customHeight="1">
      <c r="A297" s="1">
        <v>296.0</v>
      </c>
      <c r="B297" s="9" t="s">
        <v>48</v>
      </c>
      <c r="C297" s="10" t="s">
        <v>39</v>
      </c>
      <c r="D297" s="16"/>
      <c r="E297" s="26">
        <v>0.7152777777777778</v>
      </c>
      <c r="F297" s="17" t="s">
        <v>226</v>
      </c>
      <c r="G297" s="2">
        <v>1.0</v>
      </c>
      <c r="H297" s="13"/>
      <c r="I297" s="13"/>
      <c r="J297" s="22"/>
    </row>
    <row r="298" ht="42.0" customHeight="1">
      <c r="A298" s="1">
        <v>297.0</v>
      </c>
      <c r="B298" s="18"/>
      <c r="C298" s="19"/>
      <c r="D298" s="18"/>
      <c r="E298" s="18"/>
      <c r="F298" s="20"/>
      <c r="G298" s="21"/>
      <c r="H298" s="21"/>
      <c r="I298" s="21"/>
      <c r="J298" s="22"/>
    </row>
    <row r="299" ht="42.0" customHeight="1">
      <c r="A299" s="1">
        <v>298.0</v>
      </c>
      <c r="B299" s="9" t="s">
        <v>12</v>
      </c>
      <c r="C299" s="10"/>
      <c r="D299" s="16"/>
      <c r="E299" s="16"/>
      <c r="F299" s="17" t="s">
        <v>227</v>
      </c>
      <c r="G299" s="2">
        <v>2.0</v>
      </c>
      <c r="H299" s="13"/>
      <c r="I299" s="13"/>
      <c r="J299" s="27" t="s">
        <v>14</v>
      </c>
      <c r="K299" s="15" t="s">
        <v>228</v>
      </c>
    </row>
    <row r="300" ht="42.0" hidden="1" customHeight="1">
      <c r="A300" s="1">
        <v>299.0</v>
      </c>
      <c r="B300" s="9" t="s">
        <v>16</v>
      </c>
      <c r="C300" s="10" t="s">
        <v>58</v>
      </c>
      <c r="D300" s="16"/>
      <c r="E300" s="16"/>
      <c r="F300" s="12"/>
      <c r="G300" s="13"/>
      <c r="H300" s="13"/>
      <c r="I300" s="13"/>
      <c r="J300" s="27" t="s">
        <v>228</v>
      </c>
    </row>
    <row r="301" ht="42.0" customHeight="1">
      <c r="A301" s="1">
        <v>300.0</v>
      </c>
      <c r="B301" s="9" t="s">
        <v>17</v>
      </c>
      <c r="C301" s="10" t="s">
        <v>69</v>
      </c>
      <c r="D301" s="16"/>
      <c r="E301" s="16"/>
      <c r="F301" s="17" t="s">
        <v>229</v>
      </c>
      <c r="G301" s="2">
        <v>2.0</v>
      </c>
      <c r="H301" s="13"/>
      <c r="I301" s="13"/>
      <c r="J301" s="27" t="s">
        <v>111</v>
      </c>
    </row>
    <row r="302" ht="42.0" customHeight="1">
      <c r="A302" s="1">
        <v>301.0</v>
      </c>
      <c r="B302" s="9" t="s">
        <v>20</v>
      </c>
      <c r="C302" s="23"/>
      <c r="D302" s="16"/>
      <c r="E302" s="16"/>
      <c r="F302" s="17" t="s">
        <v>230</v>
      </c>
      <c r="G302" s="2">
        <v>1.0</v>
      </c>
      <c r="H302" s="13"/>
      <c r="I302" s="13"/>
      <c r="J302" s="22"/>
    </row>
    <row r="303" ht="42.0" hidden="1" customHeight="1">
      <c r="A303" s="1">
        <v>302.0</v>
      </c>
      <c r="B303" s="9" t="s">
        <v>21</v>
      </c>
      <c r="C303" s="10" t="s">
        <v>58</v>
      </c>
      <c r="D303" s="16"/>
      <c r="E303" s="16"/>
      <c r="F303" s="12"/>
      <c r="G303" s="13"/>
      <c r="H303" s="13"/>
      <c r="I303" s="13"/>
      <c r="J303" s="22"/>
    </row>
    <row r="304" ht="42.0" customHeight="1">
      <c r="A304" s="1">
        <v>303.0</v>
      </c>
      <c r="B304" s="9" t="s">
        <v>22</v>
      </c>
      <c r="C304" s="10" t="s">
        <v>69</v>
      </c>
      <c r="D304" s="16"/>
      <c r="E304" s="11">
        <v>0.8645833333333334</v>
      </c>
      <c r="F304" s="17" t="s">
        <v>231</v>
      </c>
      <c r="G304" s="2">
        <v>2.0</v>
      </c>
      <c r="H304" s="13"/>
      <c r="I304" s="13"/>
      <c r="J304" s="22"/>
    </row>
    <row r="305" ht="42.0" customHeight="1">
      <c r="A305" s="1">
        <v>304.0</v>
      </c>
      <c r="B305" s="9" t="s">
        <v>23</v>
      </c>
      <c r="C305" s="10" t="s">
        <v>69</v>
      </c>
      <c r="D305" s="16"/>
      <c r="E305" s="11">
        <v>0.8645833333333334</v>
      </c>
      <c r="F305" s="17" t="s">
        <v>232</v>
      </c>
      <c r="G305" s="2">
        <v>2.0</v>
      </c>
      <c r="H305" s="13"/>
      <c r="I305" s="13"/>
      <c r="J305" s="22"/>
    </row>
    <row r="306" ht="42.0" customHeight="1">
      <c r="A306" s="1">
        <v>305.0</v>
      </c>
      <c r="B306" s="9" t="s">
        <v>24</v>
      </c>
      <c r="C306" s="10" t="s">
        <v>44</v>
      </c>
      <c r="D306" s="16"/>
      <c r="E306" s="16"/>
      <c r="F306" s="12"/>
      <c r="G306" s="13"/>
      <c r="H306" s="13"/>
      <c r="I306" s="13"/>
      <c r="J306" s="22"/>
    </row>
    <row r="307" ht="42.0" customHeight="1">
      <c r="A307" s="1">
        <v>306.0</v>
      </c>
      <c r="B307" s="9" t="s">
        <v>116</v>
      </c>
      <c r="C307" s="10"/>
      <c r="D307" s="16"/>
      <c r="E307" s="16"/>
      <c r="F307" s="17" t="s">
        <v>233</v>
      </c>
      <c r="G307" s="2">
        <v>1.0</v>
      </c>
      <c r="H307" s="13"/>
      <c r="I307" s="13"/>
      <c r="J307" s="22"/>
    </row>
    <row r="308" ht="42.0" customHeight="1">
      <c r="A308" s="1">
        <v>307.0</v>
      </c>
      <c r="B308" s="9" t="s">
        <v>26</v>
      </c>
      <c r="C308" s="10" t="s">
        <v>59</v>
      </c>
      <c r="D308" s="16"/>
      <c r="E308" s="16"/>
      <c r="F308" s="12"/>
      <c r="G308" s="13"/>
      <c r="H308" s="13"/>
      <c r="I308" s="13"/>
      <c r="J308" s="22"/>
    </row>
    <row r="309" ht="42.0" customHeight="1">
      <c r="A309" s="1">
        <v>308.0</v>
      </c>
      <c r="B309" s="9" t="s">
        <v>29</v>
      </c>
      <c r="C309" s="10" t="s">
        <v>63</v>
      </c>
      <c r="D309" s="16"/>
      <c r="E309" s="16"/>
      <c r="F309" s="12"/>
      <c r="G309" s="13"/>
      <c r="H309" s="13"/>
      <c r="I309" s="13"/>
      <c r="J309" s="22"/>
    </row>
    <row r="310" ht="42.0" customHeight="1">
      <c r="A310" s="1">
        <v>309.0</v>
      </c>
      <c r="B310" s="9" t="s">
        <v>30</v>
      </c>
      <c r="C310" s="10" t="s">
        <v>64</v>
      </c>
      <c r="D310" s="16"/>
      <c r="E310" s="16"/>
      <c r="F310" s="12"/>
      <c r="G310" s="13"/>
      <c r="H310" s="13"/>
      <c r="I310" s="13"/>
      <c r="J310" s="22"/>
    </row>
    <row r="311" ht="42.0" hidden="1" customHeight="1">
      <c r="A311" s="1">
        <v>310.0</v>
      </c>
      <c r="B311" s="9" t="s">
        <v>31</v>
      </c>
      <c r="C311" s="10" t="s">
        <v>58</v>
      </c>
      <c r="D311" s="16"/>
      <c r="E311" s="16"/>
      <c r="F311" s="12"/>
      <c r="G311" s="13"/>
      <c r="H311" s="13"/>
      <c r="I311" s="13"/>
      <c r="J311" s="22"/>
    </row>
    <row r="312" ht="42.0" customHeight="1">
      <c r="A312" s="1">
        <v>311.0</v>
      </c>
      <c r="B312" s="9" t="s">
        <v>32</v>
      </c>
      <c r="C312" s="10"/>
      <c r="D312" s="16"/>
      <c r="E312" s="16"/>
      <c r="F312" s="17" t="s">
        <v>234</v>
      </c>
      <c r="G312" s="2">
        <v>2.0</v>
      </c>
      <c r="H312" s="13"/>
      <c r="I312" s="13"/>
      <c r="J312" s="22"/>
    </row>
    <row r="313" ht="42.0" hidden="1" customHeight="1">
      <c r="A313" s="1">
        <v>312.0</v>
      </c>
      <c r="B313" s="9" t="s">
        <v>67</v>
      </c>
      <c r="C313" s="10" t="s">
        <v>58</v>
      </c>
      <c r="D313" s="16"/>
      <c r="E313" s="16"/>
      <c r="F313" s="12"/>
      <c r="G313" s="13"/>
      <c r="H313" s="13"/>
      <c r="I313" s="13"/>
      <c r="J313" s="22"/>
    </row>
    <row r="314" ht="42.0" customHeight="1">
      <c r="A314" s="1">
        <v>313.0</v>
      </c>
      <c r="B314" s="9" t="s">
        <v>34</v>
      </c>
      <c r="C314" s="10" t="s">
        <v>54</v>
      </c>
      <c r="D314" s="16"/>
      <c r="E314" s="16"/>
      <c r="F314" s="17" t="s">
        <v>235</v>
      </c>
      <c r="G314" s="2">
        <v>2.0</v>
      </c>
      <c r="H314" s="13"/>
      <c r="I314" s="13"/>
      <c r="J314" s="22"/>
    </row>
    <row r="315" ht="42.0" customHeight="1">
      <c r="A315" s="1">
        <v>314.0</v>
      </c>
      <c r="B315" s="9" t="s">
        <v>35</v>
      </c>
      <c r="C315" s="10"/>
      <c r="D315" s="16"/>
      <c r="E315" s="16"/>
      <c r="F315" s="17" t="s">
        <v>101</v>
      </c>
      <c r="G315" s="2">
        <v>1.0</v>
      </c>
      <c r="H315" s="2">
        <v>1.0</v>
      </c>
      <c r="I315" s="13"/>
      <c r="J315" s="22"/>
    </row>
    <row r="316" ht="42.0" customHeight="1">
      <c r="A316" s="1">
        <v>315.0</v>
      </c>
      <c r="B316" s="9" t="s">
        <v>36</v>
      </c>
      <c r="C316" s="10" t="s">
        <v>54</v>
      </c>
      <c r="D316" s="16"/>
      <c r="E316" s="16"/>
      <c r="F316" s="17" t="s">
        <v>176</v>
      </c>
      <c r="G316" s="2">
        <v>1.0</v>
      </c>
      <c r="H316" s="13"/>
      <c r="I316" s="13"/>
      <c r="J316" s="22"/>
    </row>
    <row r="317" ht="42.0" customHeight="1">
      <c r="A317" s="1">
        <v>316.0</v>
      </c>
      <c r="B317" s="9" t="s">
        <v>38</v>
      </c>
      <c r="C317" s="10" t="s">
        <v>59</v>
      </c>
      <c r="D317" s="16"/>
      <c r="E317" s="16"/>
      <c r="F317" s="12"/>
      <c r="G317" s="13"/>
      <c r="H317" s="13"/>
      <c r="I317" s="13"/>
      <c r="J317" s="22"/>
    </row>
    <row r="318" ht="42.0" customHeight="1">
      <c r="A318" s="1">
        <v>317.0</v>
      </c>
      <c r="B318" s="9" t="s">
        <v>41</v>
      </c>
      <c r="C318" s="10" t="s">
        <v>27</v>
      </c>
      <c r="D318" s="16"/>
      <c r="E318" s="16"/>
      <c r="F318" s="17" t="s">
        <v>236</v>
      </c>
      <c r="G318" s="2">
        <v>2.0</v>
      </c>
      <c r="H318" s="13"/>
      <c r="I318" s="13"/>
      <c r="J318" s="22"/>
    </row>
    <row r="319" ht="42.0" customHeight="1">
      <c r="A319" s="1">
        <v>318.0</v>
      </c>
      <c r="B319" s="9" t="s">
        <v>42</v>
      </c>
      <c r="C319" s="10"/>
      <c r="D319" s="16"/>
      <c r="E319" s="16"/>
      <c r="F319" s="17" t="s">
        <v>237</v>
      </c>
      <c r="G319" s="2">
        <v>2.0</v>
      </c>
      <c r="H319" s="13"/>
      <c r="I319" s="13"/>
      <c r="J319" s="22"/>
    </row>
    <row r="320" ht="42.0" customHeight="1">
      <c r="A320" s="1">
        <v>319.0</v>
      </c>
      <c r="B320" s="9" t="s">
        <v>43</v>
      </c>
      <c r="C320" s="10"/>
      <c r="D320" s="16"/>
      <c r="E320" s="16"/>
      <c r="F320" s="17" t="s">
        <v>238</v>
      </c>
      <c r="G320" s="2">
        <v>1.0</v>
      </c>
      <c r="H320" s="13"/>
      <c r="I320" s="13"/>
      <c r="J320" s="22"/>
    </row>
    <row r="321" ht="42.0" customHeight="1">
      <c r="A321" s="1">
        <v>320.0</v>
      </c>
      <c r="B321" s="9" t="s">
        <v>45</v>
      </c>
      <c r="C321" s="10" t="s">
        <v>39</v>
      </c>
      <c r="D321" s="16"/>
      <c r="E321" s="16"/>
      <c r="F321" s="17" t="s">
        <v>239</v>
      </c>
      <c r="G321" s="2">
        <v>3.0</v>
      </c>
      <c r="H321" s="13"/>
      <c r="I321" s="2">
        <v>2.0</v>
      </c>
      <c r="J321" s="22"/>
    </row>
    <row r="322" ht="42.0" customHeight="1">
      <c r="A322" s="1">
        <v>321.0</v>
      </c>
      <c r="B322" s="9" t="s">
        <v>46</v>
      </c>
      <c r="C322" s="10" t="s">
        <v>39</v>
      </c>
      <c r="D322" s="16"/>
      <c r="E322" s="16"/>
      <c r="F322" s="17" t="s">
        <v>240</v>
      </c>
      <c r="G322" s="2">
        <v>2.0</v>
      </c>
      <c r="H322" s="13"/>
      <c r="I322" s="2">
        <v>1.0</v>
      </c>
      <c r="J322" s="22"/>
    </row>
    <row r="323" ht="42.0" customHeight="1">
      <c r="A323" s="1">
        <v>322.0</v>
      </c>
      <c r="B323" s="9" t="s">
        <v>47</v>
      </c>
      <c r="C323" s="10" t="s">
        <v>54</v>
      </c>
      <c r="D323" s="16"/>
      <c r="E323" s="26">
        <v>0.7986111111111112</v>
      </c>
      <c r="F323" s="17" t="s">
        <v>241</v>
      </c>
      <c r="G323" s="2">
        <v>2.0</v>
      </c>
      <c r="H323" s="13"/>
      <c r="I323" s="13"/>
      <c r="J323" s="22"/>
    </row>
    <row r="324" ht="42.0" customHeight="1">
      <c r="A324" s="1">
        <v>323.0</v>
      </c>
      <c r="B324" s="9" t="s">
        <v>48</v>
      </c>
      <c r="C324" s="10" t="s">
        <v>54</v>
      </c>
      <c r="D324" s="16"/>
      <c r="E324" s="16"/>
      <c r="F324" s="17" t="s">
        <v>242</v>
      </c>
      <c r="G324" s="2">
        <v>2.0</v>
      </c>
      <c r="H324" s="13"/>
      <c r="I324" s="2">
        <v>1.0</v>
      </c>
      <c r="J324" s="22"/>
    </row>
    <row r="325" ht="42.0" customHeight="1">
      <c r="A325" s="1">
        <v>324.0</v>
      </c>
      <c r="B325" s="18"/>
      <c r="C325" s="19"/>
      <c r="D325" s="18"/>
      <c r="E325" s="18"/>
      <c r="F325" s="20"/>
      <c r="G325" s="21"/>
      <c r="H325" s="21"/>
      <c r="I325" s="21"/>
      <c r="J325" s="22"/>
    </row>
    <row r="326" ht="42.0" customHeight="1">
      <c r="A326" s="1">
        <v>325.0</v>
      </c>
      <c r="B326" s="9" t="s">
        <v>12</v>
      </c>
      <c r="C326" s="10" t="s">
        <v>39</v>
      </c>
      <c r="D326" s="16"/>
      <c r="E326" s="16"/>
      <c r="F326" s="17" t="s">
        <v>243</v>
      </c>
      <c r="G326" s="2">
        <v>1.0</v>
      </c>
      <c r="H326" s="13"/>
      <c r="I326" s="13"/>
      <c r="J326" s="27" t="s">
        <v>14</v>
      </c>
      <c r="K326" s="15" t="s">
        <v>244</v>
      </c>
    </row>
    <row r="327" ht="42.0" customHeight="1">
      <c r="A327" s="1">
        <v>326.0</v>
      </c>
      <c r="B327" s="9" t="s">
        <v>16</v>
      </c>
      <c r="C327" s="10" t="s">
        <v>27</v>
      </c>
      <c r="D327" s="16"/>
      <c r="E327" s="16"/>
      <c r="F327" s="17" t="s">
        <v>245</v>
      </c>
      <c r="G327" s="2">
        <v>1.0</v>
      </c>
      <c r="H327" s="13"/>
      <c r="I327" s="13"/>
      <c r="J327" s="27" t="s">
        <v>244</v>
      </c>
    </row>
    <row r="328" ht="42.0" customHeight="1">
      <c r="A328" s="1">
        <v>327.0</v>
      </c>
      <c r="B328" s="9" t="s">
        <v>17</v>
      </c>
      <c r="C328" s="10"/>
      <c r="D328" s="16"/>
      <c r="E328" s="16"/>
      <c r="F328" s="17" t="s">
        <v>246</v>
      </c>
      <c r="G328" s="2">
        <v>1.0</v>
      </c>
      <c r="H328" s="13"/>
      <c r="I328" s="13"/>
      <c r="J328" s="27" t="s">
        <v>131</v>
      </c>
    </row>
    <row r="329" ht="42.0" customHeight="1">
      <c r="A329" s="1">
        <v>328.0</v>
      </c>
      <c r="B329" s="9" t="s">
        <v>20</v>
      </c>
      <c r="C329" s="23"/>
      <c r="D329" s="16"/>
      <c r="E329" s="16"/>
      <c r="F329" s="17" t="s">
        <v>247</v>
      </c>
      <c r="G329" s="2">
        <v>1.0</v>
      </c>
      <c r="H329" s="13"/>
      <c r="I329" s="13"/>
      <c r="J329" s="22"/>
    </row>
    <row r="330" ht="42.0" customHeight="1">
      <c r="A330" s="1">
        <v>329.0</v>
      </c>
      <c r="B330" s="9" t="s">
        <v>116</v>
      </c>
      <c r="C330" s="10"/>
      <c r="D330" s="16"/>
      <c r="E330" s="26">
        <v>0.0</v>
      </c>
      <c r="F330" s="17" t="s">
        <v>248</v>
      </c>
      <c r="G330" s="2">
        <v>1.0</v>
      </c>
      <c r="H330" s="13"/>
      <c r="I330" s="13"/>
      <c r="J330" s="22"/>
    </row>
    <row r="331" ht="42.0" customHeight="1">
      <c r="A331" s="1">
        <v>330.0</v>
      </c>
      <c r="B331" s="9" t="s">
        <v>22</v>
      </c>
      <c r="C331" s="10" t="s">
        <v>69</v>
      </c>
      <c r="D331" s="16"/>
      <c r="E331" s="16"/>
      <c r="F331" s="17" t="s">
        <v>200</v>
      </c>
      <c r="G331" s="2">
        <v>1.0</v>
      </c>
      <c r="H331" s="13"/>
      <c r="I331" s="13"/>
      <c r="J331" s="22"/>
    </row>
    <row r="332" ht="42.0" customHeight="1">
      <c r="A332" s="1">
        <v>331.0</v>
      </c>
      <c r="B332" s="9" t="s">
        <v>23</v>
      </c>
      <c r="C332" s="10"/>
      <c r="D332" s="16"/>
      <c r="E332" s="16"/>
      <c r="F332" s="17" t="s">
        <v>249</v>
      </c>
      <c r="G332" s="2">
        <v>1.0</v>
      </c>
      <c r="H332" s="13"/>
      <c r="I332" s="13"/>
      <c r="J332" s="22"/>
    </row>
    <row r="333" ht="42.0" customHeight="1">
      <c r="A333" s="1">
        <v>332.0</v>
      </c>
      <c r="B333" s="9" t="s">
        <v>24</v>
      </c>
      <c r="C333" s="10" t="s">
        <v>69</v>
      </c>
      <c r="D333" s="11"/>
      <c r="E333" s="11">
        <v>0.8541666666666666</v>
      </c>
      <c r="F333" s="17" t="s">
        <v>250</v>
      </c>
      <c r="G333" s="2">
        <v>1.0</v>
      </c>
      <c r="H333" s="13"/>
      <c r="I333" s="13"/>
      <c r="J333" s="22"/>
    </row>
    <row r="334" ht="42.0" customHeight="1">
      <c r="A334" s="1">
        <v>333.0</v>
      </c>
      <c r="B334" s="9" t="s">
        <v>25</v>
      </c>
      <c r="C334" s="10"/>
      <c r="D334" s="16"/>
      <c r="E334" s="16"/>
      <c r="F334" s="12"/>
      <c r="G334" s="13"/>
      <c r="H334" s="13"/>
      <c r="I334" s="13"/>
      <c r="J334" s="22"/>
    </row>
    <row r="335" ht="42.0" customHeight="1">
      <c r="A335" s="1">
        <v>334.0</v>
      </c>
      <c r="B335" s="9" t="s">
        <v>26</v>
      </c>
      <c r="C335" s="10" t="s">
        <v>54</v>
      </c>
      <c r="D335" s="16"/>
      <c r="E335" s="26">
        <v>0.8680555555555556</v>
      </c>
      <c r="F335" s="17" t="s">
        <v>251</v>
      </c>
      <c r="G335" s="2">
        <v>1.0</v>
      </c>
      <c r="H335" s="13"/>
      <c r="I335" s="13"/>
      <c r="J335" s="22"/>
    </row>
    <row r="336" ht="42.0" customHeight="1">
      <c r="A336" s="1">
        <v>335.0</v>
      </c>
      <c r="B336" s="9" t="s">
        <v>29</v>
      </c>
      <c r="C336" s="10" t="s">
        <v>63</v>
      </c>
      <c r="D336" s="16"/>
      <c r="E336" s="16"/>
      <c r="F336" s="12"/>
      <c r="G336" s="13"/>
      <c r="H336" s="13"/>
      <c r="I336" s="13"/>
      <c r="J336" s="22"/>
    </row>
    <row r="337" ht="42.0" customHeight="1">
      <c r="A337" s="1">
        <v>336.0</v>
      </c>
      <c r="B337" s="9" t="s">
        <v>30</v>
      </c>
      <c r="C337" s="10" t="s">
        <v>64</v>
      </c>
      <c r="D337" s="16"/>
      <c r="E337" s="16"/>
      <c r="F337" s="12"/>
      <c r="G337" s="13"/>
      <c r="H337" s="13"/>
      <c r="I337" s="13"/>
      <c r="J337" s="22"/>
    </row>
    <row r="338" ht="42.0" hidden="1" customHeight="1">
      <c r="A338" s="1">
        <v>337.0</v>
      </c>
      <c r="B338" s="9" t="s">
        <v>31</v>
      </c>
      <c r="C338" s="10" t="s">
        <v>58</v>
      </c>
      <c r="D338" s="16"/>
      <c r="E338" s="16"/>
      <c r="F338" s="12"/>
      <c r="G338" s="13"/>
      <c r="H338" s="13"/>
      <c r="I338" s="13"/>
      <c r="J338" s="22"/>
    </row>
    <row r="339" ht="42.0" customHeight="1">
      <c r="A339" s="1">
        <v>338.0</v>
      </c>
      <c r="B339" s="9" t="s">
        <v>32</v>
      </c>
      <c r="C339" s="10" t="s">
        <v>69</v>
      </c>
      <c r="D339" s="16"/>
      <c r="E339" s="11">
        <v>0.8333333333333334</v>
      </c>
      <c r="F339" s="17" t="s">
        <v>252</v>
      </c>
      <c r="G339" s="2">
        <v>1.0</v>
      </c>
      <c r="H339" s="13"/>
      <c r="I339" s="13"/>
      <c r="J339" s="22"/>
    </row>
    <row r="340" ht="42.0" customHeight="1">
      <c r="A340" s="1">
        <v>339.0</v>
      </c>
      <c r="B340" s="9" t="s">
        <v>67</v>
      </c>
      <c r="C340" s="10" t="s">
        <v>54</v>
      </c>
      <c r="D340" s="16"/>
      <c r="E340" s="26">
        <v>0.8402777777777778</v>
      </c>
      <c r="F340" s="17" t="s">
        <v>253</v>
      </c>
      <c r="G340" s="2">
        <v>1.0</v>
      </c>
      <c r="H340" s="13"/>
      <c r="I340" s="13"/>
      <c r="J340" s="22"/>
    </row>
    <row r="341" ht="42.0" customHeight="1">
      <c r="A341" s="1">
        <v>340.0</v>
      </c>
      <c r="B341" s="9" t="s">
        <v>34</v>
      </c>
      <c r="C341" s="10" t="s">
        <v>59</v>
      </c>
      <c r="D341" s="16"/>
      <c r="E341" s="16"/>
      <c r="F341" s="12"/>
      <c r="G341" s="13"/>
      <c r="H341" s="13"/>
      <c r="I341" s="13"/>
      <c r="J341" s="22"/>
    </row>
    <row r="342" ht="42.0" customHeight="1">
      <c r="A342" s="1">
        <v>341.0</v>
      </c>
      <c r="B342" s="9" t="s">
        <v>35</v>
      </c>
      <c r="C342" s="10" t="s">
        <v>39</v>
      </c>
      <c r="D342" s="16"/>
      <c r="E342" s="16"/>
      <c r="F342" s="17" t="s">
        <v>101</v>
      </c>
      <c r="G342" s="2">
        <v>1.0</v>
      </c>
      <c r="H342" s="2">
        <v>1.0</v>
      </c>
      <c r="I342" s="13"/>
      <c r="J342" s="22"/>
    </row>
    <row r="343" ht="42.0" customHeight="1">
      <c r="A343" s="1">
        <v>342.0</v>
      </c>
      <c r="B343" s="9" t="s">
        <v>36</v>
      </c>
      <c r="C343" s="10" t="s">
        <v>54</v>
      </c>
      <c r="D343" s="16"/>
      <c r="E343" s="16"/>
      <c r="F343" s="17" t="s">
        <v>254</v>
      </c>
      <c r="G343" s="2">
        <v>1.0</v>
      </c>
      <c r="H343" s="13"/>
      <c r="I343" s="13"/>
      <c r="J343" s="22"/>
    </row>
    <row r="344" ht="42.0" customHeight="1">
      <c r="A344" s="1">
        <v>343.0</v>
      </c>
      <c r="B344" s="9" t="s">
        <v>38</v>
      </c>
      <c r="C344" s="10" t="s">
        <v>54</v>
      </c>
      <c r="D344" s="16"/>
      <c r="E344" s="16"/>
      <c r="F344" s="17" t="s">
        <v>255</v>
      </c>
      <c r="G344" s="2">
        <v>1.0</v>
      </c>
      <c r="H344" s="13"/>
      <c r="I344" s="13"/>
      <c r="J344" s="22"/>
    </row>
    <row r="345" ht="42.0" customHeight="1">
      <c r="A345" s="1">
        <v>344.0</v>
      </c>
      <c r="B345" s="9" t="s">
        <v>41</v>
      </c>
      <c r="C345" s="10" t="s">
        <v>44</v>
      </c>
      <c r="D345" s="16"/>
      <c r="E345" s="16"/>
      <c r="F345" s="12"/>
      <c r="G345" s="13"/>
      <c r="H345" s="13"/>
      <c r="I345" s="13"/>
      <c r="J345" s="22"/>
    </row>
    <row r="346" ht="42.0" customHeight="1">
      <c r="A346" s="1">
        <v>345.0</v>
      </c>
      <c r="B346" s="9" t="s">
        <v>42</v>
      </c>
      <c r="C346" s="10"/>
      <c r="D346" s="16"/>
      <c r="E346" s="16"/>
      <c r="F346" s="17" t="s">
        <v>256</v>
      </c>
      <c r="G346" s="2">
        <v>1.0</v>
      </c>
      <c r="H346" s="13"/>
      <c r="I346" s="13"/>
      <c r="J346" s="22"/>
    </row>
    <row r="347" ht="42.0" hidden="1" customHeight="1">
      <c r="A347" s="1">
        <v>346.0</v>
      </c>
      <c r="B347" s="9" t="s">
        <v>43</v>
      </c>
      <c r="C347" s="10" t="s">
        <v>58</v>
      </c>
      <c r="D347" s="16"/>
      <c r="E347" s="16"/>
      <c r="F347" s="12"/>
      <c r="G347" s="13"/>
      <c r="H347" s="13"/>
      <c r="I347" s="13"/>
      <c r="J347" s="22"/>
    </row>
    <row r="348" ht="42.0" customHeight="1">
      <c r="A348" s="1">
        <v>347.0</v>
      </c>
      <c r="B348" s="9" t="s">
        <v>45</v>
      </c>
      <c r="C348" s="10"/>
      <c r="D348" s="16"/>
      <c r="E348" s="16"/>
      <c r="F348" s="17" t="s">
        <v>256</v>
      </c>
      <c r="G348" s="2">
        <v>1.0</v>
      </c>
      <c r="H348" s="13"/>
      <c r="I348" s="13"/>
      <c r="J348" s="22"/>
    </row>
    <row r="349" ht="42.0" customHeight="1">
      <c r="A349" s="1">
        <v>348.0</v>
      </c>
      <c r="B349" s="9" t="s">
        <v>46</v>
      </c>
      <c r="C349" s="23"/>
      <c r="D349" s="16"/>
      <c r="E349" s="16"/>
      <c r="F349" s="29" t="s">
        <v>257</v>
      </c>
      <c r="G349" s="2">
        <v>1.0</v>
      </c>
      <c r="H349" s="13"/>
      <c r="I349" s="13"/>
      <c r="J349" s="22"/>
    </row>
    <row r="350" ht="42.0" hidden="1" customHeight="1">
      <c r="A350" s="1">
        <v>349.0</v>
      </c>
      <c r="B350" s="9" t="s">
        <v>47</v>
      </c>
      <c r="C350" s="10" t="s">
        <v>58</v>
      </c>
      <c r="D350" s="16"/>
      <c r="E350" s="16"/>
      <c r="F350" s="12"/>
      <c r="G350" s="13"/>
      <c r="H350" s="13"/>
      <c r="I350" s="13"/>
      <c r="J350" s="22"/>
    </row>
    <row r="351" ht="42.0" customHeight="1">
      <c r="A351" s="1">
        <v>350.0</v>
      </c>
      <c r="B351" s="9" t="s">
        <v>48</v>
      </c>
      <c r="C351" s="23"/>
      <c r="D351" s="16"/>
      <c r="E351" s="16"/>
      <c r="F351" s="17" t="s">
        <v>258</v>
      </c>
      <c r="G351" s="2">
        <v>1.0</v>
      </c>
      <c r="H351" s="13"/>
      <c r="I351" s="13"/>
      <c r="J351" s="22"/>
    </row>
    <row r="352" ht="42.0" customHeight="1">
      <c r="A352" s="1">
        <v>351.0</v>
      </c>
      <c r="B352" s="18"/>
      <c r="C352" s="19"/>
      <c r="D352" s="18"/>
      <c r="E352" s="18"/>
      <c r="F352" s="20"/>
      <c r="G352" s="21"/>
      <c r="H352" s="21"/>
      <c r="I352" s="21"/>
      <c r="J352" s="22"/>
    </row>
    <row r="353" ht="42.0" customHeight="1">
      <c r="A353" s="1">
        <v>352.0</v>
      </c>
      <c r="B353" s="9" t="s">
        <v>12</v>
      </c>
      <c r="C353" s="10"/>
      <c r="D353" s="16"/>
      <c r="E353" s="26">
        <v>0.9583333333333334</v>
      </c>
      <c r="F353" s="17" t="s">
        <v>259</v>
      </c>
      <c r="G353" s="13"/>
      <c r="H353" s="13"/>
      <c r="I353" s="13"/>
      <c r="J353" s="27" t="s">
        <v>14</v>
      </c>
      <c r="K353" s="15" t="s">
        <v>260</v>
      </c>
    </row>
    <row r="354" ht="42.0" customHeight="1">
      <c r="A354" s="1">
        <v>353.0</v>
      </c>
      <c r="B354" s="9" t="s">
        <v>16</v>
      </c>
      <c r="C354" s="10" t="s">
        <v>44</v>
      </c>
      <c r="D354" s="16"/>
      <c r="E354" s="16"/>
      <c r="F354" s="17" t="s">
        <v>259</v>
      </c>
      <c r="G354" s="13"/>
      <c r="H354" s="13"/>
      <c r="I354" s="13"/>
      <c r="J354" s="27" t="s">
        <v>260</v>
      </c>
    </row>
    <row r="355" ht="42.0" customHeight="1">
      <c r="A355" s="1">
        <v>354.0</v>
      </c>
      <c r="B355" s="9" t="s">
        <v>261</v>
      </c>
      <c r="C355" s="10"/>
      <c r="D355" s="16"/>
      <c r="E355" s="16"/>
      <c r="F355" s="17" t="s">
        <v>259</v>
      </c>
      <c r="G355" s="13"/>
      <c r="H355" s="13"/>
      <c r="I355" s="13"/>
      <c r="J355" s="27" t="s">
        <v>149</v>
      </c>
    </row>
    <row r="356" ht="42.0" customHeight="1">
      <c r="A356" s="1">
        <v>355.0</v>
      </c>
      <c r="B356" s="9" t="s">
        <v>20</v>
      </c>
      <c r="C356" s="10"/>
      <c r="D356" s="16"/>
      <c r="E356" s="26">
        <v>0.8958333333333334</v>
      </c>
      <c r="F356" s="17" t="s">
        <v>259</v>
      </c>
      <c r="G356" s="13"/>
      <c r="H356" s="13"/>
      <c r="I356" s="13"/>
      <c r="J356" s="27" t="s">
        <v>262</v>
      </c>
    </row>
    <row r="357" ht="42.0" customHeight="1">
      <c r="A357" s="1">
        <v>356.0</v>
      </c>
      <c r="B357" s="9" t="s">
        <v>263</v>
      </c>
      <c r="C357" s="10"/>
      <c r="D357" s="16"/>
      <c r="E357" s="16"/>
      <c r="F357" s="17" t="s">
        <v>259</v>
      </c>
      <c r="G357" s="13"/>
      <c r="H357" s="13"/>
      <c r="I357" s="13"/>
      <c r="J357" s="27" t="s">
        <v>264</v>
      </c>
    </row>
    <row r="358" ht="42.0" customHeight="1">
      <c r="A358" s="1">
        <v>357.0</v>
      </c>
      <c r="B358" s="9" t="s">
        <v>22</v>
      </c>
      <c r="C358" s="10"/>
      <c r="D358" s="32">
        <v>0.3125</v>
      </c>
      <c r="E358" s="16"/>
      <c r="F358" s="17" t="s">
        <v>259</v>
      </c>
      <c r="G358" s="13"/>
      <c r="H358" s="13"/>
      <c r="I358" s="13"/>
      <c r="J358" s="27" t="s">
        <v>265</v>
      </c>
    </row>
    <row r="359" ht="42.0" customHeight="1">
      <c r="A359" s="1">
        <v>358.0</v>
      </c>
      <c r="B359" s="9" t="s">
        <v>266</v>
      </c>
      <c r="C359" s="10"/>
      <c r="D359" s="16"/>
      <c r="E359" s="16"/>
      <c r="F359" s="17" t="s">
        <v>259</v>
      </c>
      <c r="G359" s="13"/>
      <c r="H359" s="13"/>
      <c r="I359" s="13"/>
      <c r="J359" s="27"/>
    </row>
    <row r="360" ht="42.0" customHeight="1">
      <c r="A360" s="1">
        <v>359.0</v>
      </c>
      <c r="B360" s="9" t="s">
        <v>24</v>
      </c>
      <c r="C360" s="10"/>
      <c r="D360" s="32">
        <v>0.2916666666666667</v>
      </c>
      <c r="E360" s="26">
        <v>0.9583333333333334</v>
      </c>
      <c r="F360" s="17" t="s">
        <v>259</v>
      </c>
      <c r="G360" s="13"/>
      <c r="H360" s="13"/>
      <c r="I360" s="13"/>
      <c r="J360" s="27" t="s">
        <v>151</v>
      </c>
    </row>
    <row r="361" ht="42.0" customHeight="1">
      <c r="A361" s="1">
        <v>360.0</v>
      </c>
      <c r="B361" s="9" t="s">
        <v>25</v>
      </c>
      <c r="C361" s="10"/>
      <c r="D361" s="16"/>
      <c r="E361" s="26">
        <v>0.875</v>
      </c>
      <c r="F361" s="17" t="s">
        <v>259</v>
      </c>
      <c r="G361" s="13"/>
      <c r="H361" s="13"/>
      <c r="I361" s="13"/>
      <c r="J361" s="27" t="s">
        <v>152</v>
      </c>
    </row>
    <row r="362" ht="42.0" customHeight="1">
      <c r="A362" s="1">
        <v>361.0</v>
      </c>
      <c r="B362" s="9" t="s">
        <v>26</v>
      </c>
      <c r="C362" s="10"/>
      <c r="D362" s="16"/>
      <c r="E362" s="16"/>
      <c r="F362" s="17" t="s">
        <v>259</v>
      </c>
      <c r="G362" s="13"/>
      <c r="H362" s="13"/>
      <c r="I362" s="13"/>
      <c r="J362" s="27" t="s">
        <v>154</v>
      </c>
    </row>
    <row r="363" ht="42.0" customHeight="1">
      <c r="A363" s="1">
        <v>362.0</v>
      </c>
      <c r="B363" s="9" t="s">
        <v>29</v>
      </c>
      <c r="C363" s="10"/>
      <c r="D363" s="16"/>
      <c r="E363" s="16"/>
      <c r="F363" s="17" t="s">
        <v>259</v>
      </c>
      <c r="G363" s="13"/>
      <c r="H363" s="13"/>
      <c r="I363" s="13"/>
      <c r="J363" s="22"/>
    </row>
    <row r="364" ht="42.0" customHeight="1">
      <c r="A364" s="1">
        <v>363.0</v>
      </c>
      <c r="B364" s="9" t="s">
        <v>30</v>
      </c>
      <c r="C364" s="10"/>
      <c r="D364" s="16"/>
      <c r="E364" s="16"/>
      <c r="F364" s="17" t="s">
        <v>259</v>
      </c>
      <c r="G364" s="13"/>
      <c r="H364" s="13"/>
      <c r="I364" s="13"/>
      <c r="J364" s="27" t="s">
        <v>165</v>
      </c>
    </row>
    <row r="365" ht="42.0" customHeight="1">
      <c r="A365" s="1">
        <v>364.0</v>
      </c>
      <c r="B365" s="9" t="s">
        <v>31</v>
      </c>
      <c r="C365" s="10"/>
      <c r="D365" s="16"/>
      <c r="E365" s="26">
        <v>0.8541666666666666</v>
      </c>
      <c r="F365" s="17" t="s">
        <v>259</v>
      </c>
      <c r="G365" s="13"/>
      <c r="H365" s="13"/>
      <c r="I365" s="13"/>
      <c r="J365" s="27" t="s">
        <v>166</v>
      </c>
    </row>
    <row r="366" ht="42.0" customHeight="1">
      <c r="A366" s="1">
        <v>365.0</v>
      </c>
      <c r="B366" s="9" t="s">
        <v>33</v>
      </c>
      <c r="C366" s="10"/>
      <c r="D366" s="16"/>
      <c r="E366" s="16"/>
      <c r="F366" s="17" t="s">
        <v>259</v>
      </c>
      <c r="G366" s="13"/>
      <c r="H366" s="13"/>
      <c r="I366" s="13"/>
      <c r="J366" s="27" t="s">
        <v>167</v>
      </c>
    </row>
    <row r="367" ht="42.0" customHeight="1">
      <c r="A367" s="1">
        <v>366.0</v>
      </c>
      <c r="B367" s="9" t="s">
        <v>267</v>
      </c>
      <c r="C367" s="10"/>
      <c r="D367" s="16"/>
      <c r="E367" s="16"/>
      <c r="F367" s="17" t="s">
        <v>259</v>
      </c>
      <c r="G367" s="13"/>
      <c r="H367" s="13"/>
      <c r="I367" s="13"/>
      <c r="J367" s="22"/>
    </row>
    <row r="368" ht="42.0" customHeight="1">
      <c r="A368" s="1">
        <v>367.0</v>
      </c>
      <c r="B368" s="9" t="s">
        <v>268</v>
      </c>
      <c r="C368" s="10"/>
      <c r="D368" s="16"/>
      <c r="E368" s="16"/>
      <c r="F368" s="17" t="s">
        <v>259</v>
      </c>
      <c r="G368" s="13"/>
      <c r="H368" s="13"/>
      <c r="I368" s="13"/>
      <c r="J368" s="22"/>
    </row>
    <row r="369" ht="42.0" customHeight="1">
      <c r="A369" s="1">
        <v>368.0</v>
      </c>
      <c r="B369" s="9" t="s">
        <v>35</v>
      </c>
      <c r="C369" s="10"/>
      <c r="D369" s="16"/>
      <c r="E369" s="16"/>
      <c r="F369" s="17" t="s">
        <v>101</v>
      </c>
      <c r="G369" s="2">
        <v>1.0</v>
      </c>
      <c r="H369" s="2">
        <v>1.0</v>
      </c>
      <c r="I369" s="13"/>
      <c r="J369" s="22"/>
    </row>
    <row r="370" ht="42.0" customHeight="1">
      <c r="A370" s="1">
        <v>369.0</v>
      </c>
      <c r="B370" s="9" t="s">
        <v>36</v>
      </c>
      <c r="C370" s="10"/>
      <c r="D370" s="16"/>
      <c r="E370" s="16"/>
      <c r="F370" s="17" t="s">
        <v>259</v>
      </c>
      <c r="G370" s="13"/>
      <c r="H370" s="13"/>
      <c r="I370" s="13"/>
      <c r="J370" s="22"/>
    </row>
    <row r="371" ht="42.0" customHeight="1">
      <c r="A371" s="1">
        <v>370.0</v>
      </c>
      <c r="B371" s="9" t="s">
        <v>38</v>
      </c>
      <c r="C371" s="10"/>
      <c r="D371" s="32">
        <v>0.3125</v>
      </c>
      <c r="E371" s="26">
        <v>0.9375</v>
      </c>
      <c r="F371" s="17" t="s">
        <v>259</v>
      </c>
      <c r="G371" s="13"/>
      <c r="H371" s="13"/>
      <c r="I371" s="13"/>
      <c r="J371" s="22"/>
    </row>
    <row r="372" ht="42.0" customHeight="1">
      <c r="A372" s="1">
        <v>371.0</v>
      </c>
      <c r="B372" s="9" t="s">
        <v>41</v>
      </c>
      <c r="C372" s="10"/>
      <c r="D372" s="16"/>
      <c r="E372" s="16"/>
      <c r="F372" s="17" t="s">
        <v>259</v>
      </c>
      <c r="G372" s="13"/>
      <c r="H372" s="13"/>
      <c r="I372" s="13"/>
      <c r="J372" s="22"/>
    </row>
    <row r="373" ht="42.0" customHeight="1">
      <c r="A373" s="1">
        <v>372.0</v>
      </c>
      <c r="B373" s="9" t="s">
        <v>42</v>
      </c>
      <c r="C373" s="10"/>
      <c r="D373" s="16"/>
      <c r="E373" s="26">
        <v>0.8333333333333334</v>
      </c>
      <c r="F373" s="17" t="s">
        <v>259</v>
      </c>
      <c r="G373" s="13"/>
      <c r="H373" s="13"/>
      <c r="I373" s="13"/>
      <c r="J373" s="22"/>
    </row>
    <row r="374" ht="42.0" customHeight="1">
      <c r="A374" s="1">
        <v>373.0</v>
      </c>
      <c r="B374" s="9" t="s">
        <v>43</v>
      </c>
      <c r="C374" s="10"/>
      <c r="D374" s="16"/>
      <c r="E374" s="26">
        <v>0.875</v>
      </c>
      <c r="F374" s="17" t="s">
        <v>259</v>
      </c>
      <c r="G374" s="13"/>
      <c r="H374" s="13"/>
      <c r="I374" s="13"/>
      <c r="J374" s="22"/>
    </row>
    <row r="375" ht="42.0" customHeight="1">
      <c r="A375" s="1">
        <v>374.0</v>
      </c>
      <c r="B375" s="9" t="s">
        <v>45</v>
      </c>
      <c r="C375" s="10"/>
      <c r="D375" s="16"/>
      <c r="E375" s="26">
        <v>0.9583333333333334</v>
      </c>
      <c r="F375" s="17" t="s">
        <v>259</v>
      </c>
      <c r="G375" s="13"/>
      <c r="H375" s="13"/>
      <c r="I375" s="13"/>
      <c r="J375" s="22"/>
    </row>
    <row r="376" ht="42.0" customHeight="1">
      <c r="A376" s="1">
        <v>375.0</v>
      </c>
      <c r="B376" s="9" t="s">
        <v>47</v>
      </c>
      <c r="C376" s="23"/>
      <c r="D376" s="16"/>
      <c r="E376" s="26">
        <v>0.8125</v>
      </c>
      <c r="F376" s="17" t="s">
        <v>259</v>
      </c>
      <c r="G376" s="13"/>
      <c r="H376" s="13"/>
      <c r="I376" s="13"/>
      <c r="J376" s="22"/>
    </row>
    <row r="377" ht="42.0" customHeight="1">
      <c r="A377" s="1">
        <v>376.0</v>
      </c>
      <c r="B377" s="9" t="s">
        <v>48</v>
      </c>
      <c r="C377" s="10"/>
      <c r="D377" s="16"/>
      <c r="E377" s="16"/>
      <c r="F377" s="17" t="s">
        <v>259</v>
      </c>
      <c r="G377" s="13"/>
      <c r="H377" s="13"/>
      <c r="I377" s="13"/>
      <c r="J377" s="22"/>
    </row>
    <row r="378" ht="42.0" customHeight="1">
      <c r="A378" s="1">
        <v>377.0</v>
      </c>
      <c r="B378" s="9"/>
      <c r="C378" s="10"/>
      <c r="D378" s="16"/>
      <c r="E378" s="16"/>
      <c r="F378" s="17"/>
      <c r="G378" s="13"/>
      <c r="H378" s="13"/>
      <c r="I378" s="13"/>
      <c r="J378" s="22"/>
    </row>
    <row r="379" ht="42.0" customHeight="1">
      <c r="A379" s="1">
        <v>378.0</v>
      </c>
      <c r="B379" s="18"/>
      <c r="C379" s="19"/>
      <c r="D379" s="18"/>
      <c r="E379" s="18"/>
      <c r="F379" s="20"/>
      <c r="G379" s="21"/>
      <c r="H379" s="21"/>
      <c r="I379" s="21"/>
      <c r="J379" s="22"/>
    </row>
    <row r="380" ht="42.0" hidden="1" customHeight="1">
      <c r="A380" s="1">
        <v>379.0</v>
      </c>
      <c r="B380" s="9" t="s">
        <v>12</v>
      </c>
      <c r="C380" s="10" t="s">
        <v>13</v>
      </c>
      <c r="D380" s="16"/>
      <c r="E380" s="16"/>
      <c r="F380" s="12"/>
      <c r="G380" s="13"/>
      <c r="H380" s="13"/>
      <c r="I380" s="13"/>
      <c r="J380" s="27" t="s">
        <v>14</v>
      </c>
      <c r="K380" s="15" t="s">
        <v>269</v>
      </c>
    </row>
    <row r="381" ht="42.0" hidden="1" customHeight="1">
      <c r="A381" s="1">
        <v>380.0</v>
      </c>
      <c r="B381" s="9" t="s">
        <v>16</v>
      </c>
      <c r="C381" s="10" t="s">
        <v>13</v>
      </c>
      <c r="D381" s="16"/>
      <c r="E381" s="16"/>
      <c r="F381" s="12"/>
      <c r="G381" s="13"/>
      <c r="H381" s="13"/>
      <c r="I381" s="13"/>
      <c r="J381" s="27" t="s">
        <v>269</v>
      </c>
    </row>
    <row r="382" ht="42.0" customHeight="1">
      <c r="A382" s="1">
        <v>381.0</v>
      </c>
      <c r="B382" s="9" t="s">
        <v>17</v>
      </c>
      <c r="C382" s="10"/>
      <c r="D382" s="16"/>
      <c r="E382" s="16"/>
      <c r="F382" s="17" t="s">
        <v>270</v>
      </c>
      <c r="G382" s="13"/>
      <c r="H382" s="13"/>
      <c r="I382" s="13"/>
      <c r="J382" s="27" t="s">
        <v>19</v>
      </c>
    </row>
    <row r="383" ht="42.0" customHeight="1">
      <c r="A383" s="1">
        <v>382.0</v>
      </c>
      <c r="B383" s="9" t="s">
        <v>261</v>
      </c>
      <c r="C383" s="10" t="s">
        <v>271</v>
      </c>
      <c r="D383" s="16"/>
      <c r="E383" s="16"/>
      <c r="F383" s="17" t="s">
        <v>270</v>
      </c>
      <c r="G383" s="13"/>
      <c r="H383" s="13"/>
      <c r="I383" s="13"/>
      <c r="J383" s="27" t="s">
        <v>262</v>
      </c>
    </row>
    <row r="384" ht="42.0" customHeight="1">
      <c r="A384" s="1">
        <v>383.0</v>
      </c>
      <c r="B384" s="9" t="s">
        <v>268</v>
      </c>
      <c r="C384" s="10" t="s">
        <v>63</v>
      </c>
      <c r="D384" s="16"/>
      <c r="E384" s="16"/>
      <c r="F384" s="17" t="s">
        <v>270</v>
      </c>
      <c r="G384" s="13"/>
      <c r="H384" s="13"/>
      <c r="I384" s="13"/>
      <c r="J384" s="27" t="s">
        <v>264</v>
      </c>
    </row>
    <row r="385" ht="42.0" hidden="1" customHeight="1">
      <c r="A385" s="1">
        <v>384.0</v>
      </c>
      <c r="B385" s="9" t="s">
        <v>22</v>
      </c>
      <c r="C385" s="10" t="s">
        <v>13</v>
      </c>
      <c r="D385" s="16"/>
      <c r="E385" s="16"/>
      <c r="F385" s="12"/>
      <c r="G385" s="13"/>
      <c r="H385" s="13"/>
      <c r="I385" s="13"/>
      <c r="J385" s="27" t="s">
        <v>265</v>
      </c>
    </row>
    <row r="386" ht="42.0" customHeight="1">
      <c r="A386" s="1">
        <v>385.0</v>
      </c>
      <c r="B386" s="9" t="s">
        <v>23</v>
      </c>
      <c r="C386" s="10"/>
      <c r="D386" s="16"/>
      <c r="E386" s="16"/>
      <c r="F386" s="17" t="s">
        <v>270</v>
      </c>
      <c r="G386" s="13"/>
      <c r="H386" s="13"/>
      <c r="I386" s="13"/>
      <c r="J386" s="22"/>
    </row>
    <row r="387" ht="42.0" hidden="1" customHeight="1">
      <c r="A387" s="1">
        <v>386.0</v>
      </c>
      <c r="B387" s="9" t="s">
        <v>24</v>
      </c>
      <c r="C387" s="10" t="s">
        <v>13</v>
      </c>
      <c r="D387" s="16"/>
      <c r="E387" s="16"/>
      <c r="F387" s="12"/>
      <c r="G387" s="13"/>
      <c r="H387" s="13"/>
      <c r="I387" s="13"/>
      <c r="J387" s="27" t="s">
        <v>151</v>
      </c>
    </row>
    <row r="388" ht="42.0" hidden="1" customHeight="1">
      <c r="A388" s="1">
        <v>387.0</v>
      </c>
      <c r="B388" s="9" t="s">
        <v>25</v>
      </c>
      <c r="C388" s="10" t="s">
        <v>13</v>
      </c>
      <c r="D388" s="16"/>
      <c r="E388" s="16"/>
      <c r="F388" s="12"/>
      <c r="G388" s="13"/>
      <c r="H388" s="13"/>
      <c r="I388" s="13"/>
      <c r="J388" s="27" t="s">
        <v>152</v>
      </c>
    </row>
    <row r="389" ht="42.0" customHeight="1">
      <c r="A389" s="1">
        <v>388.0</v>
      </c>
      <c r="B389" s="9" t="s">
        <v>26</v>
      </c>
      <c r="C389" s="10"/>
      <c r="D389" s="16"/>
      <c r="E389" s="16"/>
      <c r="F389" s="17" t="s">
        <v>270</v>
      </c>
      <c r="G389" s="13"/>
      <c r="H389" s="13"/>
      <c r="I389" s="13"/>
      <c r="J389" s="27" t="s">
        <v>154</v>
      </c>
    </row>
    <row r="390" ht="42.0" customHeight="1">
      <c r="A390" s="1">
        <v>389.0</v>
      </c>
      <c r="B390" s="9" t="s">
        <v>29</v>
      </c>
      <c r="C390" s="10" t="s">
        <v>63</v>
      </c>
      <c r="D390" s="16"/>
      <c r="E390" s="16"/>
      <c r="F390" s="17" t="s">
        <v>270</v>
      </c>
      <c r="G390" s="13"/>
      <c r="H390" s="13"/>
      <c r="I390" s="13"/>
      <c r="J390" s="22"/>
    </row>
    <row r="391" ht="42.0" hidden="1" customHeight="1">
      <c r="A391" s="1">
        <v>390.0</v>
      </c>
      <c r="B391" s="9" t="s">
        <v>30</v>
      </c>
      <c r="C391" s="10" t="s">
        <v>13</v>
      </c>
      <c r="D391" s="16"/>
      <c r="E391" s="16"/>
      <c r="F391" s="12"/>
      <c r="G391" s="13"/>
      <c r="H391" s="13"/>
      <c r="I391" s="13"/>
      <c r="J391" s="22"/>
    </row>
    <row r="392" ht="42.0" hidden="1" customHeight="1">
      <c r="A392" s="1">
        <v>391.0</v>
      </c>
      <c r="B392" s="9" t="s">
        <v>31</v>
      </c>
      <c r="C392" s="10" t="s">
        <v>13</v>
      </c>
      <c r="D392" s="16"/>
      <c r="E392" s="16"/>
      <c r="F392" s="12"/>
      <c r="G392" s="13"/>
      <c r="H392" s="13"/>
      <c r="I392" s="13"/>
      <c r="J392" s="22"/>
    </row>
    <row r="393" ht="42.0" customHeight="1">
      <c r="A393" s="1">
        <v>392.0</v>
      </c>
      <c r="B393" s="9" t="s">
        <v>32</v>
      </c>
      <c r="C393" s="10"/>
      <c r="D393" s="16"/>
      <c r="E393" s="26">
        <v>0.8333333333333334</v>
      </c>
      <c r="F393" s="17" t="s">
        <v>270</v>
      </c>
      <c r="G393" s="13"/>
      <c r="H393" s="13"/>
      <c r="I393" s="13"/>
      <c r="J393" s="22"/>
    </row>
    <row r="394" ht="42.0" customHeight="1">
      <c r="A394" s="1">
        <v>393.0</v>
      </c>
      <c r="B394" s="9" t="s">
        <v>67</v>
      </c>
      <c r="C394" s="10"/>
      <c r="D394" s="16"/>
      <c r="E394" s="26">
        <v>0.8125</v>
      </c>
      <c r="F394" s="17" t="s">
        <v>270</v>
      </c>
      <c r="G394" s="13"/>
      <c r="H394" s="13"/>
      <c r="I394" s="13"/>
      <c r="J394" s="22"/>
    </row>
    <row r="395" ht="42.0" customHeight="1">
      <c r="A395" s="1">
        <v>394.0</v>
      </c>
      <c r="B395" s="9" t="s">
        <v>33</v>
      </c>
      <c r="C395" s="10" t="s">
        <v>272</v>
      </c>
      <c r="D395" s="16"/>
      <c r="E395" s="16"/>
      <c r="F395" s="17" t="s">
        <v>270</v>
      </c>
      <c r="G395" s="13"/>
      <c r="H395" s="13"/>
      <c r="I395" s="13"/>
      <c r="J395" s="22"/>
    </row>
    <row r="396" ht="42.0" customHeight="1">
      <c r="A396" s="1">
        <v>395.0</v>
      </c>
      <c r="B396" s="9" t="s">
        <v>35</v>
      </c>
      <c r="C396" s="10"/>
      <c r="D396" s="16"/>
      <c r="E396" s="16"/>
      <c r="F396" s="17" t="s">
        <v>270</v>
      </c>
      <c r="G396" s="13"/>
      <c r="H396" s="13"/>
      <c r="I396" s="13"/>
      <c r="J396" s="22"/>
    </row>
    <row r="397" ht="42.0" customHeight="1">
      <c r="A397" s="1">
        <v>396.0</v>
      </c>
      <c r="B397" s="9" t="s">
        <v>36</v>
      </c>
      <c r="C397" s="10" t="s">
        <v>27</v>
      </c>
      <c r="D397" s="16"/>
      <c r="E397" s="16"/>
      <c r="F397" s="17" t="s">
        <v>270</v>
      </c>
      <c r="G397" s="13"/>
      <c r="H397" s="13"/>
      <c r="I397" s="13"/>
      <c r="J397" s="22"/>
    </row>
    <row r="398" ht="42.0" hidden="1" customHeight="1">
      <c r="A398" s="1">
        <v>397.0</v>
      </c>
      <c r="B398" s="9" t="s">
        <v>38</v>
      </c>
      <c r="C398" s="10" t="s">
        <v>13</v>
      </c>
      <c r="D398" s="16"/>
      <c r="E398" s="16"/>
      <c r="F398" s="12"/>
      <c r="G398" s="13"/>
      <c r="H398" s="13"/>
      <c r="I398" s="13"/>
      <c r="J398" s="22"/>
    </row>
    <row r="399" ht="42.0" hidden="1" customHeight="1">
      <c r="A399" s="1">
        <v>398.0</v>
      </c>
      <c r="B399" s="9" t="s">
        <v>41</v>
      </c>
      <c r="C399" s="10" t="s">
        <v>13</v>
      </c>
      <c r="D399" s="16"/>
      <c r="E399" s="16"/>
      <c r="F399" s="12"/>
      <c r="G399" s="13"/>
      <c r="H399" s="13"/>
      <c r="I399" s="13"/>
      <c r="J399" s="22"/>
    </row>
    <row r="400" ht="42.0" hidden="1" customHeight="1">
      <c r="A400" s="1">
        <v>399.0</v>
      </c>
      <c r="B400" s="9" t="s">
        <v>42</v>
      </c>
      <c r="C400" s="10" t="s">
        <v>13</v>
      </c>
      <c r="D400" s="16"/>
      <c r="E400" s="16"/>
      <c r="F400" s="12"/>
      <c r="G400" s="13"/>
      <c r="H400" s="13"/>
      <c r="I400" s="13"/>
      <c r="J400" s="22"/>
    </row>
    <row r="401" ht="42.0" hidden="1" customHeight="1">
      <c r="A401" s="1">
        <v>400.0</v>
      </c>
      <c r="B401" s="9" t="s">
        <v>43</v>
      </c>
      <c r="C401" s="10" t="s">
        <v>13</v>
      </c>
      <c r="D401" s="16"/>
      <c r="E401" s="16"/>
      <c r="F401" s="12"/>
      <c r="G401" s="13"/>
      <c r="H401" s="13"/>
      <c r="I401" s="13"/>
      <c r="J401" s="22"/>
    </row>
    <row r="402" ht="42.0" hidden="1" customHeight="1">
      <c r="A402" s="1">
        <v>401.0</v>
      </c>
      <c r="B402" s="9" t="s">
        <v>45</v>
      </c>
      <c r="C402" s="10" t="s">
        <v>13</v>
      </c>
      <c r="D402" s="16"/>
      <c r="E402" s="16"/>
      <c r="F402" s="12"/>
      <c r="G402" s="13"/>
      <c r="H402" s="13"/>
      <c r="I402" s="13"/>
      <c r="J402" s="22"/>
    </row>
    <row r="403" ht="42.0" hidden="1" customHeight="1">
      <c r="A403" s="1">
        <v>402.0</v>
      </c>
      <c r="B403" s="9" t="s">
        <v>46</v>
      </c>
      <c r="C403" s="10" t="s">
        <v>13</v>
      </c>
      <c r="D403" s="16"/>
      <c r="E403" s="16"/>
      <c r="F403" s="12"/>
      <c r="G403" s="13"/>
      <c r="H403" s="13"/>
      <c r="I403" s="13"/>
      <c r="J403" s="22"/>
    </row>
    <row r="404" ht="42.0" hidden="1" customHeight="1">
      <c r="A404" s="1">
        <v>403.0</v>
      </c>
      <c r="B404" s="9" t="s">
        <v>47</v>
      </c>
      <c r="C404" s="10" t="s">
        <v>13</v>
      </c>
      <c r="D404" s="16"/>
      <c r="E404" s="16"/>
      <c r="F404" s="12"/>
      <c r="G404" s="13"/>
      <c r="H404" s="13"/>
      <c r="I404" s="13"/>
      <c r="J404" s="22"/>
    </row>
    <row r="405" ht="42.0" hidden="1" customHeight="1">
      <c r="A405" s="1">
        <v>404.0</v>
      </c>
      <c r="B405" s="9" t="s">
        <v>48</v>
      </c>
      <c r="C405" s="10" t="s">
        <v>13</v>
      </c>
      <c r="D405" s="16"/>
      <c r="E405" s="16"/>
      <c r="F405" s="12"/>
      <c r="G405" s="13"/>
      <c r="H405" s="13"/>
      <c r="I405" s="13"/>
      <c r="J405" s="22"/>
    </row>
    <row r="406" ht="42.0" customHeight="1">
      <c r="A406" s="1">
        <v>405.0</v>
      </c>
      <c r="B406" s="18"/>
      <c r="C406" s="19"/>
      <c r="D406" s="18"/>
      <c r="E406" s="18"/>
      <c r="F406" s="20"/>
      <c r="G406" s="21"/>
      <c r="H406" s="21"/>
      <c r="I406" s="21"/>
      <c r="J406" s="22"/>
    </row>
    <row r="407" ht="42.0" customHeight="1">
      <c r="A407" s="1">
        <v>406.0</v>
      </c>
      <c r="B407" s="9" t="s">
        <v>12</v>
      </c>
      <c r="C407" s="10" t="s">
        <v>54</v>
      </c>
      <c r="D407" s="32">
        <v>0.3333333333333333</v>
      </c>
      <c r="E407" s="11"/>
      <c r="F407" s="17" t="s">
        <v>273</v>
      </c>
      <c r="G407" s="13"/>
      <c r="H407" s="13"/>
      <c r="I407" s="13"/>
      <c r="J407" s="27" t="s">
        <v>14</v>
      </c>
      <c r="K407" s="15" t="s">
        <v>274</v>
      </c>
    </row>
    <row r="408" ht="42.0" hidden="1" customHeight="1">
      <c r="A408" s="1">
        <v>407.0</v>
      </c>
      <c r="B408" s="9" t="s">
        <v>16</v>
      </c>
      <c r="C408" s="10" t="s">
        <v>58</v>
      </c>
      <c r="D408" s="16"/>
      <c r="E408" s="16"/>
      <c r="F408" s="17"/>
      <c r="G408" s="13"/>
      <c r="H408" s="13"/>
      <c r="I408" s="13"/>
      <c r="J408" s="27" t="s">
        <v>274</v>
      </c>
    </row>
    <row r="409" ht="42.0" customHeight="1">
      <c r="A409" s="1">
        <v>408.0</v>
      </c>
      <c r="B409" s="9" t="s">
        <v>17</v>
      </c>
      <c r="C409" s="10" t="s">
        <v>69</v>
      </c>
      <c r="D409" s="16"/>
      <c r="E409" s="26">
        <v>0.8333333333333334</v>
      </c>
      <c r="F409" s="17" t="s">
        <v>275</v>
      </c>
      <c r="G409" s="13"/>
      <c r="H409" s="13"/>
      <c r="I409" s="13"/>
      <c r="J409" s="27" t="s">
        <v>56</v>
      </c>
    </row>
    <row r="410" ht="42.0" customHeight="1">
      <c r="A410" s="1">
        <v>409.0</v>
      </c>
      <c r="B410" s="9" t="s">
        <v>20</v>
      </c>
      <c r="C410" s="10"/>
      <c r="D410" s="16"/>
      <c r="E410" s="16"/>
      <c r="F410" s="17"/>
      <c r="G410" s="13"/>
      <c r="H410" s="13"/>
      <c r="I410" s="13"/>
      <c r="J410" s="22"/>
    </row>
    <row r="411" ht="42.0" hidden="1" customHeight="1">
      <c r="A411" s="1">
        <v>410.0</v>
      </c>
      <c r="B411" s="9" t="s">
        <v>21</v>
      </c>
      <c r="C411" s="10" t="s">
        <v>58</v>
      </c>
      <c r="D411" s="16"/>
      <c r="E411" s="16"/>
      <c r="F411" s="12"/>
      <c r="G411" s="13"/>
      <c r="H411" s="13"/>
      <c r="I411" s="13"/>
      <c r="J411" s="22"/>
    </row>
    <row r="412" ht="42.0" hidden="1" customHeight="1">
      <c r="A412" s="1">
        <v>411.0</v>
      </c>
      <c r="B412" s="9" t="s">
        <v>22</v>
      </c>
      <c r="C412" s="10" t="s">
        <v>58</v>
      </c>
      <c r="D412" s="16"/>
      <c r="E412" s="16"/>
      <c r="F412" s="12"/>
      <c r="G412" s="13"/>
      <c r="H412" s="13"/>
      <c r="I412" s="13"/>
      <c r="J412" s="22"/>
    </row>
    <row r="413" ht="42.0" customHeight="1">
      <c r="A413" s="1">
        <v>412.0</v>
      </c>
      <c r="B413" s="9" t="s">
        <v>23</v>
      </c>
      <c r="C413" s="23"/>
      <c r="D413" s="16"/>
      <c r="E413" s="16"/>
      <c r="F413" s="17" t="s">
        <v>276</v>
      </c>
      <c r="G413" s="13"/>
      <c r="H413" s="13"/>
      <c r="I413" s="13"/>
      <c r="J413" s="22"/>
    </row>
    <row r="414" ht="42.0" customHeight="1">
      <c r="A414" s="1">
        <v>413.0</v>
      </c>
      <c r="B414" s="9" t="s">
        <v>24</v>
      </c>
      <c r="C414" s="10" t="s">
        <v>277</v>
      </c>
      <c r="D414" s="11">
        <v>0.3125</v>
      </c>
      <c r="E414" s="16"/>
      <c r="F414" s="17" t="s">
        <v>278</v>
      </c>
      <c r="G414" s="13"/>
      <c r="H414" s="13"/>
      <c r="I414" s="13"/>
      <c r="J414" s="22"/>
    </row>
    <row r="415" ht="42.0" customHeight="1">
      <c r="A415" s="1">
        <v>414.0</v>
      </c>
      <c r="B415" s="9" t="s">
        <v>116</v>
      </c>
      <c r="C415" s="10"/>
      <c r="D415" s="16"/>
      <c r="E415" s="16"/>
      <c r="F415" s="33" t="s">
        <v>279</v>
      </c>
      <c r="G415" s="13"/>
      <c r="H415" s="2"/>
      <c r="I415" s="2"/>
      <c r="J415" s="22"/>
    </row>
    <row r="416" ht="42.0" customHeight="1">
      <c r="A416" s="1">
        <v>415.0</v>
      </c>
      <c r="B416" s="9" t="s">
        <v>26</v>
      </c>
      <c r="C416" s="10" t="s">
        <v>54</v>
      </c>
      <c r="D416" s="16"/>
      <c r="E416" s="16"/>
      <c r="F416" s="17" t="s">
        <v>280</v>
      </c>
      <c r="G416" s="13"/>
      <c r="H416" s="13"/>
      <c r="I416" s="13"/>
      <c r="J416" s="22"/>
    </row>
    <row r="417" ht="42.0" customHeight="1">
      <c r="A417" s="1">
        <v>416.0</v>
      </c>
      <c r="B417" s="9" t="s">
        <v>29</v>
      </c>
      <c r="C417" s="10" t="s">
        <v>63</v>
      </c>
      <c r="D417" s="16"/>
      <c r="E417" s="16"/>
      <c r="F417" s="17"/>
      <c r="G417" s="13"/>
      <c r="H417" s="13"/>
      <c r="I417" s="13"/>
      <c r="J417" s="22"/>
    </row>
    <row r="418" ht="42.0" customHeight="1">
      <c r="A418" s="1">
        <v>417.0</v>
      </c>
      <c r="B418" s="9" t="s">
        <v>30</v>
      </c>
      <c r="C418" s="10" t="s">
        <v>64</v>
      </c>
      <c r="D418" s="16"/>
      <c r="E418" s="16"/>
      <c r="F418" s="17"/>
      <c r="G418" s="13"/>
      <c r="H418" s="13"/>
      <c r="I418" s="13"/>
      <c r="J418" s="22"/>
    </row>
    <row r="419" ht="42.0" customHeight="1">
      <c r="A419" s="1">
        <v>418.0</v>
      </c>
      <c r="B419" s="9" t="s">
        <v>31</v>
      </c>
      <c r="C419" s="23"/>
      <c r="D419" s="16"/>
      <c r="E419" s="16"/>
      <c r="F419" s="17" t="s">
        <v>281</v>
      </c>
      <c r="G419" s="13"/>
      <c r="H419" s="13"/>
      <c r="I419" s="13"/>
      <c r="J419" s="22"/>
    </row>
    <row r="420" ht="42.0" customHeight="1">
      <c r="A420" s="1">
        <v>419.0</v>
      </c>
      <c r="B420" s="9" t="s">
        <v>32</v>
      </c>
      <c r="C420" s="10" t="s">
        <v>54</v>
      </c>
      <c r="D420" s="16"/>
      <c r="E420" s="26">
        <v>0.8333333333333334</v>
      </c>
      <c r="F420" s="17" t="s">
        <v>282</v>
      </c>
      <c r="G420" s="13"/>
      <c r="H420" s="13"/>
      <c r="I420" s="13"/>
      <c r="J420" s="22"/>
    </row>
    <row r="421" ht="42.0" customHeight="1">
      <c r="A421" s="1">
        <v>420.0</v>
      </c>
      <c r="B421" s="9" t="s">
        <v>67</v>
      </c>
      <c r="C421" s="10" t="s">
        <v>54</v>
      </c>
      <c r="D421" s="16"/>
      <c r="E421" s="16"/>
      <c r="F421" s="17" t="s">
        <v>283</v>
      </c>
      <c r="G421" s="13"/>
      <c r="H421" s="13"/>
      <c r="I421" s="13"/>
      <c r="J421" s="22"/>
    </row>
    <row r="422" ht="42.0" customHeight="1">
      <c r="A422" s="1">
        <v>421.0</v>
      </c>
      <c r="B422" s="9" t="s">
        <v>34</v>
      </c>
      <c r="C422" s="10" t="s">
        <v>39</v>
      </c>
      <c r="D422" s="16"/>
      <c r="E422" s="16"/>
      <c r="F422" s="17" t="s">
        <v>284</v>
      </c>
      <c r="G422" s="13"/>
      <c r="H422" s="2"/>
      <c r="I422" s="2"/>
      <c r="J422" s="22"/>
    </row>
    <row r="423" ht="42.0" customHeight="1">
      <c r="A423" s="1">
        <v>422.0</v>
      </c>
      <c r="B423" s="9" t="s">
        <v>35</v>
      </c>
      <c r="C423" s="10" t="s">
        <v>69</v>
      </c>
      <c r="D423" s="16"/>
      <c r="E423" s="26">
        <v>0.8333333333333334</v>
      </c>
      <c r="F423" s="17" t="s">
        <v>285</v>
      </c>
      <c r="G423" s="13"/>
      <c r="H423" s="13"/>
      <c r="I423" s="13"/>
      <c r="J423" s="22"/>
    </row>
    <row r="424" ht="42.0" customHeight="1">
      <c r="A424" s="1">
        <v>423.0</v>
      </c>
      <c r="B424" s="9" t="s">
        <v>36</v>
      </c>
      <c r="C424" s="10" t="s">
        <v>44</v>
      </c>
      <c r="D424" s="16"/>
      <c r="E424" s="16"/>
      <c r="F424" s="17"/>
      <c r="G424" s="13"/>
      <c r="H424" s="13"/>
      <c r="I424" s="13"/>
      <c r="J424" s="22"/>
    </row>
    <row r="425" ht="42.0" customHeight="1">
      <c r="A425" s="1">
        <v>424.0</v>
      </c>
      <c r="B425" s="9" t="s">
        <v>38</v>
      </c>
      <c r="C425" s="10" t="s">
        <v>39</v>
      </c>
      <c r="D425" s="16"/>
      <c r="E425" s="16"/>
      <c r="F425" s="17" t="s">
        <v>286</v>
      </c>
      <c r="G425" s="13"/>
      <c r="H425" s="13"/>
      <c r="I425" s="13"/>
      <c r="J425" s="22"/>
    </row>
    <row r="426" ht="42.0" customHeight="1">
      <c r="A426" s="1">
        <v>425.0</v>
      </c>
      <c r="B426" s="9" t="s">
        <v>41</v>
      </c>
      <c r="C426" s="10" t="s">
        <v>69</v>
      </c>
      <c r="D426" s="16"/>
      <c r="E426" s="26">
        <v>0.8333333333333334</v>
      </c>
      <c r="F426" s="17" t="s">
        <v>287</v>
      </c>
      <c r="G426" s="13"/>
      <c r="H426" s="13"/>
      <c r="I426" s="13"/>
      <c r="J426" s="22"/>
    </row>
    <row r="427" ht="42.0" customHeight="1">
      <c r="A427" s="1">
        <v>426.0</v>
      </c>
      <c r="B427" s="9" t="s">
        <v>42</v>
      </c>
      <c r="C427" s="10"/>
      <c r="D427" s="16"/>
      <c r="E427" s="16"/>
      <c r="F427" s="17" t="s">
        <v>288</v>
      </c>
      <c r="G427" s="13"/>
      <c r="H427" s="13"/>
      <c r="I427" s="13"/>
      <c r="J427" s="22"/>
    </row>
    <row r="428" ht="42.0" customHeight="1">
      <c r="A428" s="1">
        <v>427.0</v>
      </c>
      <c r="B428" s="9" t="s">
        <v>43</v>
      </c>
      <c r="C428" s="10"/>
      <c r="D428" s="16"/>
      <c r="E428" s="16"/>
      <c r="F428" s="17" t="s">
        <v>289</v>
      </c>
      <c r="G428" s="13"/>
      <c r="H428" s="13"/>
      <c r="I428" s="13"/>
      <c r="J428" s="22"/>
    </row>
    <row r="429" ht="42.0" hidden="1" customHeight="1">
      <c r="A429" s="1">
        <v>428.0</v>
      </c>
      <c r="B429" s="9" t="s">
        <v>45</v>
      </c>
      <c r="C429" s="10" t="s">
        <v>58</v>
      </c>
      <c r="D429" s="16"/>
      <c r="E429" s="16"/>
      <c r="F429" s="12"/>
      <c r="G429" s="13"/>
      <c r="H429" s="13"/>
      <c r="I429" s="13"/>
      <c r="J429" s="22"/>
    </row>
    <row r="430" ht="42.0" customHeight="1">
      <c r="A430" s="1">
        <v>429.0</v>
      </c>
      <c r="B430" s="9" t="s">
        <v>46</v>
      </c>
      <c r="C430" s="10"/>
      <c r="D430" s="11"/>
      <c r="E430" s="16"/>
      <c r="F430" s="17" t="s">
        <v>290</v>
      </c>
      <c r="G430" s="13"/>
      <c r="H430" s="13"/>
      <c r="I430" s="13"/>
      <c r="J430" s="22"/>
    </row>
    <row r="431" ht="42.0" customHeight="1">
      <c r="A431" s="1">
        <v>430.0</v>
      </c>
      <c r="B431" s="9" t="s">
        <v>47</v>
      </c>
      <c r="C431" s="10" t="s">
        <v>27</v>
      </c>
      <c r="D431" s="16"/>
      <c r="E431" s="16"/>
      <c r="F431" s="17" t="s">
        <v>291</v>
      </c>
      <c r="G431" s="13"/>
      <c r="H431" s="13"/>
      <c r="I431" s="13"/>
      <c r="J431" s="22"/>
    </row>
    <row r="432" ht="42.0" customHeight="1">
      <c r="A432" s="1">
        <v>431.0</v>
      </c>
      <c r="B432" s="9" t="s">
        <v>48</v>
      </c>
      <c r="C432" s="10"/>
      <c r="D432" s="16"/>
      <c r="E432" s="16"/>
      <c r="F432" s="17" t="s">
        <v>292</v>
      </c>
      <c r="G432" s="13"/>
      <c r="H432" s="13"/>
      <c r="I432" s="13"/>
      <c r="J432" s="22"/>
    </row>
    <row r="433" ht="42.0" customHeight="1">
      <c r="A433" s="1">
        <v>432.0</v>
      </c>
      <c r="B433" s="18"/>
      <c r="C433" s="19"/>
      <c r="D433" s="18"/>
      <c r="E433" s="18"/>
      <c r="F433" s="20"/>
      <c r="G433" s="21"/>
      <c r="H433" s="21"/>
      <c r="I433" s="21"/>
      <c r="J433" s="22"/>
    </row>
    <row r="434" ht="42.0" customHeight="1">
      <c r="A434" s="1">
        <v>433.0</v>
      </c>
      <c r="B434" s="9" t="s">
        <v>12</v>
      </c>
      <c r="C434" s="10" t="s">
        <v>54</v>
      </c>
      <c r="D434" s="16"/>
      <c r="E434" s="16"/>
      <c r="F434" s="17" t="s">
        <v>293</v>
      </c>
      <c r="G434" s="13"/>
      <c r="H434" s="13"/>
      <c r="I434" s="13"/>
      <c r="J434" s="27" t="s">
        <v>14</v>
      </c>
      <c r="K434" s="15" t="s">
        <v>294</v>
      </c>
    </row>
    <row r="435" ht="42.0" customHeight="1">
      <c r="A435" s="1">
        <v>434.0</v>
      </c>
      <c r="B435" s="9" t="s">
        <v>116</v>
      </c>
      <c r="C435" s="10"/>
      <c r="D435" s="16"/>
      <c r="E435" s="26">
        <v>0.8958333333333334</v>
      </c>
      <c r="F435" s="17" t="s">
        <v>295</v>
      </c>
      <c r="G435" s="13"/>
      <c r="H435" s="13"/>
      <c r="I435" s="13"/>
      <c r="J435" s="27" t="s">
        <v>294</v>
      </c>
    </row>
    <row r="436" ht="42.0" customHeight="1">
      <c r="A436" s="1">
        <v>435.0</v>
      </c>
      <c r="B436" s="9" t="s">
        <v>17</v>
      </c>
      <c r="C436" s="10" t="s">
        <v>27</v>
      </c>
      <c r="D436" s="16"/>
      <c r="E436" s="16"/>
      <c r="F436" s="12"/>
      <c r="G436" s="13"/>
      <c r="H436" s="13"/>
      <c r="I436" s="13"/>
      <c r="J436" s="27" t="s">
        <v>77</v>
      </c>
    </row>
    <row r="437" ht="42.0" customHeight="1">
      <c r="A437" s="1">
        <v>436.0</v>
      </c>
      <c r="B437" s="9" t="s">
        <v>20</v>
      </c>
      <c r="C437" s="23"/>
      <c r="D437" s="16"/>
      <c r="E437" s="16"/>
      <c r="F437" s="17" t="s">
        <v>296</v>
      </c>
      <c r="G437" s="13"/>
      <c r="H437" s="13"/>
      <c r="I437" s="13"/>
      <c r="J437" s="22"/>
    </row>
    <row r="438" ht="42.0" hidden="1" customHeight="1">
      <c r="A438" s="1">
        <v>437.0</v>
      </c>
      <c r="B438" s="9" t="s">
        <v>21</v>
      </c>
      <c r="C438" s="10" t="s">
        <v>58</v>
      </c>
      <c r="D438" s="16"/>
      <c r="E438" s="16"/>
      <c r="F438" s="12"/>
      <c r="G438" s="13"/>
      <c r="H438" s="13"/>
      <c r="I438" s="13"/>
      <c r="J438" s="22"/>
    </row>
    <row r="439" ht="42.0" hidden="1" customHeight="1">
      <c r="A439" s="1">
        <v>438.0</v>
      </c>
      <c r="B439" s="9" t="s">
        <v>22</v>
      </c>
      <c r="C439" s="10" t="s">
        <v>58</v>
      </c>
      <c r="D439" s="16"/>
      <c r="E439" s="16"/>
      <c r="F439" s="12"/>
      <c r="G439" s="13"/>
      <c r="H439" s="13"/>
      <c r="I439" s="13"/>
      <c r="J439" s="22"/>
    </row>
    <row r="440" ht="42.0" customHeight="1">
      <c r="A440" s="1">
        <v>439.0</v>
      </c>
      <c r="B440" s="9" t="s">
        <v>23</v>
      </c>
      <c r="C440" s="10" t="s">
        <v>39</v>
      </c>
      <c r="D440" s="16"/>
      <c r="E440" s="16"/>
      <c r="F440" s="17" t="s">
        <v>297</v>
      </c>
      <c r="G440" s="13"/>
      <c r="H440" s="13"/>
      <c r="I440" s="13"/>
      <c r="J440" s="22"/>
    </row>
    <row r="441" ht="42.0" customHeight="1">
      <c r="A441" s="1">
        <v>440.0</v>
      </c>
      <c r="B441" s="9" t="s">
        <v>24</v>
      </c>
      <c r="C441" s="10" t="s">
        <v>277</v>
      </c>
      <c r="D441" s="11">
        <v>0.3125</v>
      </c>
      <c r="E441" s="16"/>
      <c r="F441" s="17" t="s">
        <v>298</v>
      </c>
      <c r="G441" s="13"/>
      <c r="H441" s="13"/>
      <c r="I441" s="13"/>
      <c r="J441" s="22"/>
    </row>
    <row r="442" ht="42.0" customHeight="1">
      <c r="A442" s="1">
        <v>441.0</v>
      </c>
      <c r="B442" s="9" t="s">
        <v>116</v>
      </c>
      <c r="C442" s="10"/>
      <c r="D442" s="16"/>
      <c r="E442" s="16"/>
      <c r="F442" s="17" t="s">
        <v>299</v>
      </c>
      <c r="G442" s="13"/>
      <c r="H442" s="13"/>
      <c r="I442" s="13"/>
      <c r="J442" s="22"/>
    </row>
    <row r="443" ht="42.0" customHeight="1">
      <c r="A443" s="1">
        <v>442.0</v>
      </c>
      <c r="B443" s="9" t="s">
        <v>26</v>
      </c>
      <c r="C443" s="10" t="s">
        <v>54</v>
      </c>
      <c r="D443" s="16"/>
      <c r="E443" s="16"/>
      <c r="F443" s="12"/>
      <c r="G443" s="13"/>
      <c r="H443" s="13"/>
      <c r="I443" s="13"/>
      <c r="J443" s="22"/>
    </row>
    <row r="444" ht="42.0" customHeight="1">
      <c r="A444" s="1">
        <v>443.0</v>
      </c>
      <c r="B444" s="9" t="s">
        <v>29</v>
      </c>
      <c r="C444" s="10" t="s">
        <v>63</v>
      </c>
      <c r="D444" s="16"/>
      <c r="E444" s="16"/>
      <c r="F444" s="12"/>
      <c r="G444" s="13"/>
      <c r="H444" s="13"/>
      <c r="I444" s="13"/>
      <c r="J444" s="22"/>
    </row>
    <row r="445" ht="42.0" customHeight="1">
      <c r="A445" s="1">
        <v>444.0</v>
      </c>
      <c r="B445" s="9" t="s">
        <v>30</v>
      </c>
      <c r="C445" s="10" t="s">
        <v>64</v>
      </c>
      <c r="D445" s="16"/>
      <c r="E445" s="16"/>
      <c r="F445" s="12"/>
      <c r="G445" s="13"/>
      <c r="H445" s="13"/>
      <c r="I445" s="13"/>
      <c r="J445" s="22"/>
    </row>
    <row r="446" ht="42.0" customHeight="1">
      <c r="A446" s="1">
        <v>445.0</v>
      </c>
      <c r="B446" s="9" t="s">
        <v>31</v>
      </c>
      <c r="C446" s="10" t="s">
        <v>69</v>
      </c>
      <c r="D446" s="16"/>
      <c r="E446" s="16"/>
      <c r="F446" s="12"/>
      <c r="G446" s="13"/>
      <c r="H446" s="13"/>
      <c r="I446" s="13"/>
      <c r="J446" s="22"/>
    </row>
    <row r="447" ht="42.0" customHeight="1">
      <c r="A447" s="1">
        <v>446.0</v>
      </c>
      <c r="B447" s="9" t="s">
        <v>32</v>
      </c>
      <c r="C447" s="10" t="s">
        <v>54</v>
      </c>
      <c r="D447" s="16"/>
      <c r="E447" s="16"/>
      <c r="F447" s="12"/>
      <c r="G447" s="13"/>
      <c r="H447" s="13"/>
      <c r="I447" s="13"/>
      <c r="J447" s="22"/>
    </row>
    <row r="448" ht="42.0" customHeight="1">
      <c r="A448" s="1">
        <v>447.0</v>
      </c>
      <c r="B448" s="9" t="s">
        <v>67</v>
      </c>
      <c r="C448" s="10" t="s">
        <v>54</v>
      </c>
      <c r="D448" s="16"/>
      <c r="E448" s="16"/>
      <c r="F448" s="17" t="s">
        <v>300</v>
      </c>
      <c r="G448" s="13"/>
      <c r="H448" s="13"/>
      <c r="I448" s="13"/>
      <c r="J448" s="22"/>
    </row>
    <row r="449" ht="42.0" customHeight="1">
      <c r="A449" s="1">
        <v>448.0</v>
      </c>
      <c r="B449" s="9" t="s">
        <v>34</v>
      </c>
      <c r="C449" s="10"/>
      <c r="D449" s="16"/>
      <c r="E449" s="16"/>
      <c r="F449" s="17" t="s">
        <v>301</v>
      </c>
      <c r="G449" s="13"/>
      <c r="H449" s="13"/>
      <c r="I449" s="13"/>
      <c r="J449" s="22"/>
    </row>
    <row r="450" ht="42.0" hidden="1" customHeight="1">
      <c r="A450" s="1">
        <v>449.0</v>
      </c>
      <c r="B450" s="9" t="s">
        <v>35</v>
      </c>
      <c r="C450" s="10" t="s">
        <v>58</v>
      </c>
      <c r="D450" s="16"/>
      <c r="E450" s="16"/>
      <c r="F450" s="12"/>
      <c r="G450" s="13"/>
      <c r="H450" s="13"/>
      <c r="I450" s="13"/>
      <c r="J450" s="22"/>
    </row>
    <row r="451" ht="42.0" customHeight="1">
      <c r="A451" s="1">
        <v>450.0</v>
      </c>
      <c r="B451" s="9" t="s">
        <v>36</v>
      </c>
      <c r="C451" s="10"/>
      <c r="D451" s="16"/>
      <c r="E451" s="16"/>
      <c r="F451" s="17" t="s">
        <v>302</v>
      </c>
      <c r="G451" s="13"/>
      <c r="H451" s="13"/>
      <c r="I451" s="13"/>
      <c r="J451" s="22"/>
    </row>
    <row r="452" ht="42.0" customHeight="1">
      <c r="A452" s="1">
        <v>451.0</v>
      </c>
      <c r="B452" s="9" t="s">
        <v>38</v>
      </c>
      <c r="C452" s="23"/>
      <c r="D452" s="16"/>
      <c r="E452" s="16"/>
      <c r="F452" s="17" t="s">
        <v>303</v>
      </c>
      <c r="G452" s="13"/>
      <c r="H452" s="13"/>
      <c r="I452" s="13"/>
      <c r="J452" s="22"/>
    </row>
    <row r="453" ht="42.0" hidden="1" customHeight="1">
      <c r="A453" s="1">
        <v>452.0</v>
      </c>
      <c r="B453" s="9" t="s">
        <v>41</v>
      </c>
      <c r="C453" s="10" t="s">
        <v>58</v>
      </c>
      <c r="D453" s="16"/>
      <c r="E453" s="16"/>
      <c r="F453" s="17"/>
      <c r="G453" s="13"/>
      <c r="H453" s="13"/>
      <c r="I453" s="13"/>
      <c r="J453" s="22"/>
    </row>
    <row r="454" ht="42.0" customHeight="1">
      <c r="A454" s="1">
        <v>453.0</v>
      </c>
      <c r="B454" s="9" t="s">
        <v>42</v>
      </c>
      <c r="C454" s="10" t="s">
        <v>69</v>
      </c>
      <c r="D454" s="16"/>
      <c r="E454" s="16"/>
      <c r="F454" s="12"/>
      <c r="G454" s="13"/>
      <c r="H454" s="13"/>
      <c r="I454" s="13"/>
      <c r="J454" s="22"/>
    </row>
    <row r="455" ht="42.0" customHeight="1">
      <c r="A455" s="1">
        <v>454.0</v>
      </c>
      <c r="B455" s="9" t="s">
        <v>43</v>
      </c>
      <c r="C455" s="10" t="s">
        <v>39</v>
      </c>
      <c r="D455" s="16"/>
      <c r="E455" s="16"/>
      <c r="F455" s="17" t="s">
        <v>304</v>
      </c>
      <c r="G455" s="13"/>
      <c r="H455" s="13"/>
      <c r="I455" s="13"/>
      <c r="J455" s="22"/>
    </row>
    <row r="456" ht="42.0" hidden="1" customHeight="1">
      <c r="A456" s="1">
        <v>455.0</v>
      </c>
      <c r="B456" s="9" t="s">
        <v>45</v>
      </c>
      <c r="C456" s="10" t="s">
        <v>66</v>
      </c>
      <c r="D456" s="16"/>
      <c r="E456" s="16"/>
      <c r="F456" s="17" t="s">
        <v>305</v>
      </c>
      <c r="G456" s="13"/>
      <c r="H456" s="13"/>
      <c r="I456" s="13"/>
      <c r="J456" s="22"/>
    </row>
    <row r="457" ht="42.0" customHeight="1">
      <c r="A457" s="1">
        <v>456.0</v>
      </c>
      <c r="B457" s="9" t="s">
        <v>46</v>
      </c>
      <c r="C457" s="10"/>
      <c r="D457" s="16"/>
      <c r="E457" s="16"/>
      <c r="F457" s="17" t="s">
        <v>306</v>
      </c>
      <c r="G457" s="13"/>
      <c r="H457" s="13"/>
      <c r="I457" s="13"/>
      <c r="J457" s="22"/>
    </row>
    <row r="458" ht="42.0" customHeight="1">
      <c r="A458" s="1">
        <v>457.0</v>
      </c>
      <c r="B458" s="9" t="s">
        <v>47</v>
      </c>
      <c r="C458" s="10" t="s">
        <v>44</v>
      </c>
      <c r="D458" s="16"/>
      <c r="E458" s="16"/>
      <c r="F458" s="12"/>
      <c r="G458" s="13"/>
      <c r="H458" s="13"/>
      <c r="I458" s="13"/>
      <c r="J458" s="22"/>
    </row>
    <row r="459" ht="42.0" customHeight="1">
      <c r="A459" s="1">
        <v>458.0</v>
      </c>
      <c r="B459" s="9" t="s">
        <v>48</v>
      </c>
      <c r="C459" s="10"/>
      <c r="D459" s="16"/>
      <c r="E459" s="16"/>
      <c r="F459" s="17" t="s">
        <v>307</v>
      </c>
      <c r="G459" s="13"/>
      <c r="H459" s="13"/>
      <c r="I459" s="13"/>
      <c r="J459" s="22"/>
    </row>
    <row r="460" ht="42.0" customHeight="1">
      <c r="A460" s="1">
        <v>459.0</v>
      </c>
      <c r="B460" s="18"/>
      <c r="C460" s="19"/>
      <c r="D460" s="18"/>
      <c r="E460" s="18"/>
      <c r="F460" s="20"/>
      <c r="G460" s="21"/>
      <c r="H460" s="21"/>
      <c r="I460" s="21"/>
      <c r="J460" s="22"/>
    </row>
    <row r="461" ht="42.0" customHeight="1">
      <c r="A461" s="1">
        <v>460.0</v>
      </c>
      <c r="B461" s="9" t="s">
        <v>12</v>
      </c>
      <c r="C461" s="10" t="s">
        <v>54</v>
      </c>
      <c r="D461" s="16"/>
      <c r="E461" s="16"/>
      <c r="F461" s="17" t="s">
        <v>308</v>
      </c>
      <c r="G461" s="13"/>
      <c r="H461" s="13"/>
      <c r="I461" s="13"/>
      <c r="J461" s="27" t="s">
        <v>14</v>
      </c>
      <c r="K461" s="15" t="s">
        <v>309</v>
      </c>
    </row>
    <row r="462" ht="42.0" customHeight="1">
      <c r="A462" s="1">
        <v>461.0</v>
      </c>
      <c r="B462" s="9" t="s">
        <v>16</v>
      </c>
      <c r="C462" s="10"/>
      <c r="D462" s="16"/>
      <c r="E462" s="16"/>
      <c r="F462" s="17" t="s">
        <v>310</v>
      </c>
      <c r="G462" s="13"/>
      <c r="H462" s="13"/>
      <c r="I462" s="13"/>
      <c r="J462" s="27" t="s">
        <v>309</v>
      </c>
    </row>
    <row r="463" ht="42.0" customHeight="1">
      <c r="A463" s="1">
        <v>462.0</v>
      </c>
      <c r="B463" s="9" t="s">
        <v>17</v>
      </c>
      <c r="C463" s="10" t="s">
        <v>44</v>
      </c>
      <c r="D463" s="16"/>
      <c r="E463" s="16"/>
      <c r="F463" s="12"/>
      <c r="G463" s="13"/>
      <c r="H463" s="13"/>
      <c r="I463" s="13"/>
      <c r="J463" s="27" t="s">
        <v>95</v>
      </c>
    </row>
    <row r="464" ht="42.0" customHeight="1">
      <c r="A464" s="1">
        <v>463.0</v>
      </c>
      <c r="B464" s="9" t="s">
        <v>20</v>
      </c>
      <c r="C464" s="10"/>
      <c r="D464" s="16"/>
      <c r="E464" s="16"/>
      <c r="F464" s="29" t="s">
        <v>311</v>
      </c>
      <c r="G464" s="13"/>
      <c r="H464" s="13"/>
      <c r="I464" s="13"/>
      <c r="J464" s="22"/>
    </row>
    <row r="465" ht="42.0" customHeight="1">
      <c r="A465" s="1">
        <v>464.0</v>
      </c>
      <c r="B465" s="9" t="s">
        <v>21</v>
      </c>
      <c r="C465" s="10" t="s">
        <v>63</v>
      </c>
      <c r="D465" s="16"/>
      <c r="E465" s="16"/>
      <c r="F465" s="12"/>
      <c r="G465" s="13"/>
      <c r="H465" s="13"/>
      <c r="I465" s="13"/>
      <c r="J465" s="22"/>
    </row>
    <row r="466" ht="42.0" customHeight="1">
      <c r="A466" s="1">
        <v>465.0</v>
      </c>
      <c r="B466" s="9" t="s">
        <v>116</v>
      </c>
      <c r="C466" s="10"/>
      <c r="D466" s="32">
        <v>0.2916666666666667</v>
      </c>
      <c r="E466" s="16"/>
      <c r="F466" s="17" t="s">
        <v>312</v>
      </c>
      <c r="G466" s="13"/>
      <c r="H466" s="13"/>
      <c r="I466" s="13"/>
      <c r="J466" s="22"/>
    </row>
    <row r="467" ht="42.0" customHeight="1">
      <c r="A467" s="1">
        <v>466.0</v>
      </c>
      <c r="B467" s="9" t="s">
        <v>23</v>
      </c>
      <c r="C467" s="10" t="s">
        <v>313</v>
      </c>
      <c r="D467" s="16"/>
      <c r="E467" s="16"/>
      <c r="F467" s="12"/>
      <c r="G467" s="13"/>
      <c r="H467" s="13"/>
      <c r="I467" s="13"/>
      <c r="J467" s="22"/>
    </row>
    <row r="468" ht="42.0" customHeight="1">
      <c r="A468" s="1">
        <v>467.0</v>
      </c>
      <c r="B468" s="9" t="s">
        <v>24</v>
      </c>
      <c r="C468" s="10" t="s">
        <v>277</v>
      </c>
      <c r="D468" s="16"/>
      <c r="E468" s="16"/>
      <c r="F468" s="12"/>
      <c r="G468" s="13"/>
      <c r="H468" s="13"/>
      <c r="I468" s="13"/>
      <c r="J468" s="22"/>
    </row>
    <row r="469" ht="42.0" customHeight="1">
      <c r="A469" s="1">
        <v>468.0</v>
      </c>
      <c r="B469" s="9" t="s">
        <v>25</v>
      </c>
      <c r="C469" s="10" t="s">
        <v>62</v>
      </c>
      <c r="D469" s="16"/>
      <c r="E469" s="16"/>
      <c r="F469" s="12"/>
      <c r="G469" s="13"/>
      <c r="H469" s="13"/>
      <c r="I469" s="13"/>
      <c r="J469" s="22"/>
    </row>
    <row r="470" ht="42.0" customHeight="1">
      <c r="A470" s="1">
        <v>469.0</v>
      </c>
      <c r="B470" s="9" t="s">
        <v>26</v>
      </c>
      <c r="C470" s="10" t="s">
        <v>54</v>
      </c>
      <c r="D470" s="16"/>
      <c r="E470" s="16"/>
      <c r="F470" s="12"/>
      <c r="G470" s="13"/>
      <c r="H470" s="13"/>
      <c r="I470" s="13"/>
      <c r="J470" s="22"/>
    </row>
    <row r="471" ht="42.0" hidden="1" customHeight="1">
      <c r="A471" s="1">
        <v>470.0</v>
      </c>
      <c r="B471" s="9" t="s">
        <v>29</v>
      </c>
      <c r="C471" s="10" t="s">
        <v>58</v>
      </c>
      <c r="D471" s="16"/>
      <c r="E471" s="16"/>
      <c r="F471" s="12"/>
      <c r="G471" s="13"/>
      <c r="H471" s="13"/>
      <c r="I471" s="13"/>
      <c r="J471" s="22"/>
    </row>
    <row r="472" ht="42.0" customHeight="1">
      <c r="A472" s="1">
        <v>471.0</v>
      </c>
      <c r="B472" s="9" t="s">
        <v>30</v>
      </c>
      <c r="C472" s="10" t="s">
        <v>64</v>
      </c>
      <c r="D472" s="16"/>
      <c r="E472" s="16"/>
      <c r="F472" s="12"/>
      <c r="G472" s="13"/>
      <c r="H472" s="13"/>
      <c r="I472" s="13"/>
      <c r="J472" s="22"/>
    </row>
    <row r="473" ht="42.0" customHeight="1">
      <c r="A473" s="1">
        <v>472.0</v>
      </c>
      <c r="B473" s="9" t="s">
        <v>31</v>
      </c>
      <c r="C473" s="10" t="s">
        <v>39</v>
      </c>
      <c r="D473" s="16"/>
      <c r="E473" s="16"/>
      <c r="F473" s="17" t="s">
        <v>314</v>
      </c>
      <c r="G473" s="13"/>
      <c r="H473" s="13"/>
      <c r="I473" s="13"/>
      <c r="J473" s="22"/>
    </row>
    <row r="474" ht="42.0" customHeight="1">
      <c r="A474" s="1">
        <v>473.0</v>
      </c>
      <c r="B474" s="9" t="s">
        <v>32</v>
      </c>
      <c r="C474" s="10" t="s">
        <v>54</v>
      </c>
      <c r="D474" s="16"/>
      <c r="E474" s="16"/>
      <c r="F474" s="17" t="s">
        <v>315</v>
      </c>
      <c r="G474" s="13"/>
      <c r="H474" s="13"/>
      <c r="I474" s="13"/>
      <c r="J474" s="22"/>
    </row>
    <row r="475" ht="42.0" customHeight="1">
      <c r="A475" s="1">
        <v>474.0</v>
      </c>
      <c r="B475" s="9" t="s">
        <v>67</v>
      </c>
      <c r="C475" s="10" t="s">
        <v>69</v>
      </c>
      <c r="D475" s="16"/>
      <c r="E475" s="11">
        <v>0.8333333333333334</v>
      </c>
      <c r="F475" s="17" t="s">
        <v>316</v>
      </c>
      <c r="G475" s="13"/>
      <c r="H475" s="13"/>
      <c r="I475" s="13"/>
      <c r="J475" s="22"/>
    </row>
    <row r="476" ht="42.0" customHeight="1">
      <c r="A476" s="1">
        <v>475.0</v>
      </c>
      <c r="B476" s="9" t="s">
        <v>34</v>
      </c>
      <c r="C476" s="10" t="s">
        <v>69</v>
      </c>
      <c r="D476" s="16"/>
      <c r="E476" s="11">
        <v>0.8125</v>
      </c>
      <c r="F476" s="17" t="s">
        <v>317</v>
      </c>
      <c r="G476" s="13"/>
      <c r="H476" s="13"/>
      <c r="I476" s="13"/>
      <c r="J476" s="22"/>
    </row>
    <row r="477" ht="42.0" customHeight="1">
      <c r="A477" s="1">
        <v>476.0</v>
      </c>
      <c r="B477" s="9" t="s">
        <v>35</v>
      </c>
      <c r="C477" s="23"/>
      <c r="D477" s="16"/>
      <c r="E477" s="16"/>
      <c r="F477" s="17" t="s">
        <v>318</v>
      </c>
      <c r="G477" s="13"/>
      <c r="H477" s="13"/>
      <c r="I477" s="13"/>
      <c r="J477" s="22"/>
    </row>
    <row r="478" ht="42.0" customHeight="1">
      <c r="A478" s="1">
        <v>477.0</v>
      </c>
      <c r="B478" s="9" t="s">
        <v>36</v>
      </c>
      <c r="C478" s="10"/>
      <c r="D478" s="16"/>
      <c r="E478" s="16"/>
      <c r="F478" s="17" t="s">
        <v>319</v>
      </c>
      <c r="G478" s="13"/>
      <c r="H478" s="13"/>
      <c r="I478" s="13"/>
      <c r="J478" s="22"/>
    </row>
    <row r="479" ht="42.0" customHeight="1">
      <c r="A479" s="1">
        <v>478.0</v>
      </c>
      <c r="B479" s="9" t="s">
        <v>38</v>
      </c>
      <c r="C479" s="10" t="s">
        <v>27</v>
      </c>
      <c r="D479" s="16"/>
      <c r="E479" s="16"/>
      <c r="F479" s="17" t="s">
        <v>320</v>
      </c>
      <c r="G479" s="13"/>
      <c r="H479" s="13"/>
      <c r="I479" s="13"/>
      <c r="J479" s="22"/>
    </row>
    <row r="480" ht="42.0" customHeight="1">
      <c r="A480" s="1">
        <v>479.0</v>
      </c>
      <c r="B480" s="9" t="s">
        <v>41</v>
      </c>
      <c r="C480" s="10" t="s">
        <v>39</v>
      </c>
      <c r="D480" s="16"/>
      <c r="E480" s="16"/>
      <c r="F480" s="17" t="s">
        <v>321</v>
      </c>
      <c r="G480" s="13"/>
      <c r="H480" s="13"/>
      <c r="I480" s="13"/>
      <c r="J480" s="22"/>
    </row>
    <row r="481" ht="42.0" customHeight="1">
      <c r="A481" s="1">
        <v>480.0</v>
      </c>
      <c r="B481" s="9" t="s">
        <v>42</v>
      </c>
      <c r="C481" s="10"/>
      <c r="D481" s="16"/>
      <c r="E481" s="16"/>
      <c r="F481" s="17" t="s">
        <v>322</v>
      </c>
      <c r="G481" s="13"/>
      <c r="H481" s="13"/>
      <c r="I481" s="13"/>
      <c r="J481" s="22"/>
    </row>
    <row r="482" ht="42.0" customHeight="1">
      <c r="A482" s="1">
        <v>481.0</v>
      </c>
      <c r="B482" s="9" t="s">
        <v>43</v>
      </c>
      <c r="C482" s="10"/>
      <c r="D482" s="16"/>
      <c r="E482" s="16"/>
      <c r="F482" s="17" t="s">
        <v>323</v>
      </c>
      <c r="G482" s="13"/>
      <c r="H482" s="13"/>
      <c r="I482" s="13"/>
      <c r="J482" s="22"/>
    </row>
    <row r="483" ht="42.0" hidden="1" customHeight="1">
      <c r="A483" s="1">
        <v>482.0</v>
      </c>
      <c r="B483" s="9" t="s">
        <v>45</v>
      </c>
      <c r="C483" s="10" t="s">
        <v>58</v>
      </c>
      <c r="D483" s="16"/>
      <c r="E483" s="16"/>
      <c r="F483" s="12"/>
      <c r="G483" s="13"/>
      <c r="H483" s="13"/>
      <c r="I483" s="13"/>
      <c r="J483" s="22"/>
    </row>
    <row r="484" ht="42.0" customHeight="1">
      <c r="A484" s="1">
        <v>483.0</v>
      </c>
      <c r="B484" s="9" t="s">
        <v>46</v>
      </c>
      <c r="C484" s="10"/>
      <c r="D484" s="16"/>
      <c r="E484" s="16"/>
      <c r="F484" s="17" t="s">
        <v>324</v>
      </c>
      <c r="G484" s="13"/>
      <c r="H484" s="13"/>
      <c r="I484" s="13"/>
      <c r="J484" s="22"/>
    </row>
    <row r="485" ht="42.0" customHeight="1">
      <c r="A485" s="1">
        <v>484.0</v>
      </c>
      <c r="B485" s="9" t="s">
        <v>47</v>
      </c>
      <c r="C485" s="10" t="s">
        <v>54</v>
      </c>
      <c r="D485" s="16"/>
      <c r="E485" s="16"/>
      <c r="F485" s="17" t="s">
        <v>325</v>
      </c>
      <c r="G485" s="13"/>
      <c r="H485" s="13"/>
      <c r="I485" s="13"/>
      <c r="J485" s="22"/>
    </row>
    <row r="486" ht="42.0" customHeight="1">
      <c r="A486" s="1">
        <v>485.0</v>
      </c>
      <c r="B486" s="9" t="s">
        <v>48</v>
      </c>
      <c r="C486" s="10" t="s">
        <v>69</v>
      </c>
      <c r="D486" s="16"/>
      <c r="E486" s="11">
        <v>0.8125</v>
      </c>
      <c r="F486" s="17" t="s">
        <v>326</v>
      </c>
      <c r="G486" s="13"/>
      <c r="H486" s="13"/>
      <c r="I486" s="13"/>
      <c r="J486" s="22"/>
    </row>
    <row r="487" ht="42.0" customHeight="1">
      <c r="A487" s="1">
        <v>486.0</v>
      </c>
      <c r="B487" s="18"/>
      <c r="C487" s="19"/>
      <c r="D487" s="18"/>
      <c r="E487" s="18"/>
      <c r="F487" s="20"/>
      <c r="G487" s="21"/>
      <c r="H487" s="21"/>
      <c r="I487" s="21"/>
      <c r="J487" s="22"/>
    </row>
    <row r="488" ht="42.0" customHeight="1">
      <c r="A488" s="1">
        <v>487.0</v>
      </c>
      <c r="B488" s="9" t="s">
        <v>12</v>
      </c>
      <c r="C488" s="10" t="s">
        <v>54</v>
      </c>
      <c r="D488" s="16"/>
      <c r="E488" s="16"/>
      <c r="F488" s="17" t="s">
        <v>327</v>
      </c>
      <c r="G488" s="13"/>
      <c r="H488" s="13"/>
      <c r="I488" s="13"/>
      <c r="J488" s="27" t="s">
        <v>14</v>
      </c>
      <c r="K488" s="15" t="s">
        <v>328</v>
      </c>
    </row>
    <row r="489" ht="42.0" customHeight="1">
      <c r="A489" s="1">
        <v>488.0</v>
      </c>
      <c r="B489" s="9" t="s">
        <v>16</v>
      </c>
      <c r="C489" s="10" t="s">
        <v>69</v>
      </c>
      <c r="D489" s="16"/>
      <c r="E489" s="11">
        <v>0.8472222222222222</v>
      </c>
      <c r="F489" s="17" t="s">
        <v>329</v>
      </c>
      <c r="G489" s="13"/>
      <c r="H489" s="13"/>
      <c r="I489" s="13"/>
      <c r="J489" s="27" t="s">
        <v>328</v>
      </c>
    </row>
    <row r="490" ht="42.0" customHeight="1">
      <c r="A490" s="1">
        <v>489.0</v>
      </c>
      <c r="B490" s="9" t="s">
        <v>116</v>
      </c>
      <c r="C490" s="10"/>
      <c r="D490" s="16"/>
      <c r="E490" s="26">
        <v>0.8958333333333334</v>
      </c>
      <c r="F490" s="17" t="s">
        <v>330</v>
      </c>
      <c r="G490" s="13"/>
      <c r="H490" s="13"/>
      <c r="I490" s="13"/>
      <c r="J490" s="27" t="s">
        <v>111</v>
      </c>
    </row>
    <row r="491" ht="42.0" customHeight="1">
      <c r="A491" s="1">
        <v>490.0</v>
      </c>
      <c r="B491" s="9" t="s">
        <v>331</v>
      </c>
      <c r="C491" s="10"/>
      <c r="D491" s="16"/>
      <c r="E491" s="16"/>
      <c r="F491" s="17" t="s">
        <v>332</v>
      </c>
      <c r="G491" s="13"/>
      <c r="H491" s="13"/>
      <c r="I491" s="13"/>
      <c r="J491" s="22"/>
    </row>
    <row r="492" ht="42.0" customHeight="1">
      <c r="A492" s="1">
        <v>491.0</v>
      </c>
      <c r="B492" s="9" t="s">
        <v>21</v>
      </c>
      <c r="C492" s="10" t="s">
        <v>63</v>
      </c>
      <c r="D492" s="16"/>
      <c r="E492" s="16"/>
      <c r="F492" s="12"/>
      <c r="G492" s="13"/>
      <c r="H492" s="13"/>
      <c r="I492" s="13"/>
      <c r="J492" s="22"/>
    </row>
    <row r="493" ht="42.0" hidden="1" customHeight="1">
      <c r="A493" s="1">
        <v>492.0</v>
      </c>
      <c r="B493" s="9" t="s">
        <v>22</v>
      </c>
      <c r="C493" s="10" t="s">
        <v>58</v>
      </c>
      <c r="D493" s="16"/>
      <c r="E493" s="16"/>
      <c r="F493" s="12"/>
      <c r="G493" s="13"/>
      <c r="H493" s="13"/>
      <c r="I493" s="13"/>
      <c r="J493" s="22"/>
    </row>
    <row r="494" ht="42.0" customHeight="1">
      <c r="A494" s="1">
        <v>493.0</v>
      </c>
      <c r="B494" s="9" t="s">
        <v>23</v>
      </c>
      <c r="C494" s="10" t="s">
        <v>54</v>
      </c>
      <c r="D494" s="16"/>
      <c r="E494" s="26">
        <v>0.8125</v>
      </c>
      <c r="F494" s="17" t="s">
        <v>333</v>
      </c>
      <c r="G494" s="13"/>
      <c r="H494" s="13"/>
      <c r="I494" s="13"/>
      <c r="J494" s="22"/>
    </row>
    <row r="495" ht="42.0" customHeight="1">
      <c r="A495" s="1">
        <v>494.0</v>
      </c>
      <c r="B495" s="9" t="s">
        <v>24</v>
      </c>
      <c r="C495" s="10" t="s">
        <v>277</v>
      </c>
      <c r="D495" s="16"/>
      <c r="E495" s="16"/>
      <c r="F495" s="12"/>
      <c r="G495" s="13"/>
      <c r="H495" s="13"/>
      <c r="I495" s="13"/>
      <c r="J495" s="22"/>
    </row>
    <row r="496" ht="42.0" customHeight="1">
      <c r="A496" s="1">
        <v>495.0</v>
      </c>
      <c r="B496" s="9" t="s">
        <v>25</v>
      </c>
      <c r="C496" s="10" t="s">
        <v>62</v>
      </c>
      <c r="D496" s="16"/>
      <c r="E496" s="16"/>
      <c r="F496" s="12"/>
      <c r="G496" s="13"/>
      <c r="H496" s="13"/>
      <c r="I496" s="13"/>
      <c r="J496" s="22"/>
    </row>
    <row r="497" ht="42.0" customHeight="1">
      <c r="A497" s="1">
        <v>496.0</v>
      </c>
      <c r="B497" s="9" t="s">
        <v>26</v>
      </c>
      <c r="C497" s="10" t="s">
        <v>54</v>
      </c>
      <c r="D497" s="16"/>
      <c r="E497" s="16"/>
      <c r="F497" s="17" t="s">
        <v>334</v>
      </c>
      <c r="G497" s="13"/>
      <c r="H497" s="13"/>
      <c r="I497" s="13"/>
      <c r="J497" s="22"/>
    </row>
    <row r="498" ht="42.0" hidden="1" customHeight="1">
      <c r="A498" s="1">
        <v>497.0</v>
      </c>
      <c r="B498" s="9" t="s">
        <v>29</v>
      </c>
      <c r="C498" s="10" t="s">
        <v>58</v>
      </c>
      <c r="D498" s="16"/>
      <c r="E498" s="16"/>
      <c r="F498" s="12"/>
      <c r="G498" s="13"/>
      <c r="H498" s="13"/>
      <c r="I498" s="13"/>
      <c r="J498" s="22"/>
    </row>
    <row r="499" ht="42.0" customHeight="1">
      <c r="A499" s="1">
        <v>498.0</v>
      </c>
      <c r="B499" s="9" t="s">
        <v>30</v>
      </c>
      <c r="C499" s="10" t="s">
        <v>64</v>
      </c>
      <c r="D499" s="16"/>
      <c r="E499" s="16"/>
      <c r="F499" s="12"/>
      <c r="G499" s="13"/>
      <c r="H499" s="13"/>
      <c r="I499" s="13"/>
      <c r="J499" s="22"/>
    </row>
    <row r="500" ht="42.0" customHeight="1">
      <c r="A500" s="1">
        <v>499.0</v>
      </c>
      <c r="B500" s="9" t="s">
        <v>31</v>
      </c>
      <c r="C500" s="10" t="s">
        <v>69</v>
      </c>
      <c r="D500" s="16"/>
      <c r="E500" s="11">
        <v>0.8125</v>
      </c>
      <c r="F500" s="17" t="s">
        <v>335</v>
      </c>
      <c r="G500" s="13"/>
      <c r="H500" s="13"/>
      <c r="I500" s="13"/>
      <c r="J500" s="22"/>
    </row>
    <row r="501" ht="42.0" customHeight="1">
      <c r="A501" s="1">
        <v>500.0</v>
      </c>
      <c r="B501" s="9" t="s">
        <v>32</v>
      </c>
      <c r="C501" s="10" t="s">
        <v>54</v>
      </c>
      <c r="D501" s="16"/>
      <c r="E501" s="16"/>
      <c r="F501" s="17" t="s">
        <v>336</v>
      </c>
      <c r="G501" s="13"/>
      <c r="H501" s="13"/>
      <c r="I501" s="13"/>
      <c r="J501" s="22"/>
    </row>
    <row r="502" ht="42.0" customHeight="1">
      <c r="A502" s="1">
        <v>501.0</v>
      </c>
      <c r="B502" s="9" t="s">
        <v>67</v>
      </c>
      <c r="C502" s="10"/>
      <c r="D502" s="28">
        <v>0.36527777777777776</v>
      </c>
      <c r="E502" s="16"/>
      <c r="F502" s="17" t="s">
        <v>337</v>
      </c>
      <c r="G502" s="13"/>
      <c r="H502" s="13"/>
      <c r="I502" s="13"/>
      <c r="J502" s="22"/>
    </row>
    <row r="503" ht="42.0" customHeight="1">
      <c r="A503" s="1">
        <v>502.0</v>
      </c>
      <c r="B503" s="9" t="s">
        <v>34</v>
      </c>
      <c r="C503" s="10"/>
      <c r="D503" s="32">
        <v>0.3770833333333333</v>
      </c>
      <c r="E503" s="16"/>
      <c r="F503" s="17" t="s">
        <v>338</v>
      </c>
      <c r="G503" s="13"/>
      <c r="H503" s="13"/>
      <c r="I503" s="13"/>
      <c r="J503" s="22"/>
    </row>
    <row r="504" ht="42.0" customHeight="1">
      <c r="A504" s="1">
        <v>503.0</v>
      </c>
      <c r="B504" s="9" t="s">
        <v>35</v>
      </c>
      <c r="C504" s="10" t="s">
        <v>39</v>
      </c>
      <c r="D504" s="16"/>
      <c r="E504" s="16"/>
      <c r="F504" s="17" t="s">
        <v>339</v>
      </c>
      <c r="G504" s="13"/>
      <c r="H504" s="13"/>
      <c r="I504" s="13"/>
      <c r="J504" s="22"/>
    </row>
    <row r="505" ht="42.0" customHeight="1">
      <c r="A505" s="1">
        <v>504.0</v>
      </c>
      <c r="B505" s="9" t="s">
        <v>36</v>
      </c>
      <c r="C505" s="10"/>
      <c r="D505" s="16"/>
      <c r="E505" s="16"/>
      <c r="F505" s="17" t="s">
        <v>340</v>
      </c>
      <c r="G505" s="13"/>
      <c r="H505" s="13"/>
      <c r="I505" s="13"/>
      <c r="J505" s="22"/>
    </row>
    <row r="506" ht="42.0" customHeight="1">
      <c r="A506" s="1">
        <v>505.0</v>
      </c>
      <c r="B506" s="9" t="s">
        <v>38</v>
      </c>
      <c r="C506" s="10" t="s">
        <v>44</v>
      </c>
      <c r="D506" s="16"/>
      <c r="E506" s="16"/>
      <c r="F506" s="12"/>
      <c r="G506" s="13"/>
      <c r="H506" s="13"/>
      <c r="I506" s="13"/>
      <c r="J506" s="22"/>
    </row>
    <row r="507" ht="42.0" hidden="1" customHeight="1">
      <c r="A507" s="1">
        <v>506.0</v>
      </c>
      <c r="B507" s="9" t="s">
        <v>41</v>
      </c>
      <c r="C507" s="10" t="s">
        <v>58</v>
      </c>
      <c r="D507" s="16"/>
      <c r="E507" s="16"/>
      <c r="F507" s="12"/>
      <c r="G507" s="13"/>
      <c r="H507" s="13"/>
      <c r="I507" s="13"/>
      <c r="J507" s="22"/>
    </row>
    <row r="508" ht="42.0" customHeight="1">
      <c r="A508" s="1">
        <v>507.0</v>
      </c>
      <c r="B508" s="9" t="s">
        <v>42</v>
      </c>
      <c r="C508" s="10"/>
      <c r="D508" s="16"/>
      <c r="E508" s="16"/>
      <c r="F508" s="17" t="s">
        <v>341</v>
      </c>
      <c r="G508" s="13"/>
      <c r="H508" s="13"/>
      <c r="I508" s="13"/>
      <c r="J508" s="22"/>
    </row>
    <row r="509" ht="42.0" hidden="1" customHeight="1">
      <c r="A509" s="1">
        <v>508.0</v>
      </c>
      <c r="B509" s="9" t="s">
        <v>43</v>
      </c>
      <c r="C509" s="10" t="s">
        <v>58</v>
      </c>
      <c r="D509" s="16"/>
      <c r="E509" s="16"/>
      <c r="F509" s="12"/>
      <c r="G509" s="13"/>
      <c r="H509" s="13"/>
      <c r="I509" s="13"/>
      <c r="J509" s="22"/>
    </row>
    <row r="510" ht="42.0" customHeight="1">
      <c r="A510" s="1">
        <v>509.0</v>
      </c>
      <c r="B510" s="9" t="s">
        <v>45</v>
      </c>
      <c r="C510" s="10" t="s">
        <v>69</v>
      </c>
      <c r="D510" s="16"/>
      <c r="E510" s="11">
        <v>0.8472222222222222</v>
      </c>
      <c r="F510" s="17" t="s">
        <v>342</v>
      </c>
      <c r="G510" s="13"/>
      <c r="H510" s="13"/>
      <c r="I510" s="13"/>
      <c r="J510" s="22"/>
    </row>
    <row r="511" ht="42.0" customHeight="1">
      <c r="A511" s="1">
        <v>510.0</v>
      </c>
      <c r="B511" s="9" t="s">
        <v>46</v>
      </c>
      <c r="C511" s="10" t="s">
        <v>39</v>
      </c>
      <c r="D511" s="32">
        <v>0.6895833333333333</v>
      </c>
      <c r="E511" s="16"/>
      <c r="F511" s="17" t="s">
        <v>343</v>
      </c>
      <c r="G511" s="13"/>
      <c r="H511" s="13"/>
      <c r="I511" s="13"/>
      <c r="J511" s="22"/>
    </row>
    <row r="512" ht="42.0" customHeight="1">
      <c r="A512" s="1">
        <v>511.0</v>
      </c>
      <c r="B512" s="9" t="s">
        <v>47</v>
      </c>
      <c r="C512" s="10" t="s">
        <v>39</v>
      </c>
      <c r="D512" s="28">
        <v>0.2708333333333333</v>
      </c>
      <c r="E512" s="16"/>
      <c r="F512" s="17" t="s">
        <v>344</v>
      </c>
      <c r="G512" s="13"/>
      <c r="H512" s="13"/>
      <c r="I512" s="13"/>
      <c r="J512" s="22"/>
    </row>
    <row r="513" ht="42.0" customHeight="1">
      <c r="A513" s="1">
        <v>512.0</v>
      </c>
      <c r="B513" s="9" t="s">
        <v>48</v>
      </c>
      <c r="C513" s="10"/>
      <c r="D513" s="16"/>
      <c r="E513" s="16"/>
      <c r="F513" s="17" t="s">
        <v>345</v>
      </c>
      <c r="G513" s="13"/>
      <c r="H513" s="13"/>
      <c r="I513" s="13"/>
      <c r="J513" s="22"/>
    </row>
    <row r="514" ht="42.0" customHeight="1">
      <c r="A514" s="1">
        <v>513.0</v>
      </c>
      <c r="B514" s="18"/>
      <c r="C514" s="19"/>
      <c r="D514" s="18"/>
      <c r="E514" s="18"/>
      <c r="F514" s="20"/>
      <c r="G514" s="21"/>
      <c r="H514" s="21"/>
      <c r="I514" s="21"/>
      <c r="J514" s="22"/>
    </row>
    <row r="515" ht="42.0" customHeight="1">
      <c r="A515" s="1">
        <v>514.0</v>
      </c>
      <c r="B515" s="9" t="s">
        <v>12</v>
      </c>
      <c r="C515" s="10" t="s">
        <v>54</v>
      </c>
      <c r="D515" s="16"/>
      <c r="E515" s="16"/>
      <c r="F515" s="29" t="s">
        <v>346</v>
      </c>
      <c r="G515" s="13"/>
      <c r="H515" s="13"/>
      <c r="I515" s="13"/>
      <c r="J515" s="27" t="s">
        <v>14</v>
      </c>
      <c r="K515" s="15" t="s">
        <v>347</v>
      </c>
    </row>
    <row r="516" ht="42.0" customHeight="1">
      <c r="A516" s="1">
        <v>515.0</v>
      </c>
      <c r="B516" s="9" t="s">
        <v>16</v>
      </c>
      <c r="C516" s="10" t="s">
        <v>39</v>
      </c>
      <c r="D516" s="16"/>
      <c r="E516" s="16"/>
      <c r="F516" s="17" t="s">
        <v>348</v>
      </c>
      <c r="G516" s="13"/>
      <c r="H516" s="13"/>
      <c r="I516" s="13"/>
      <c r="J516" s="27" t="s">
        <v>347</v>
      </c>
    </row>
    <row r="517" ht="42.0" hidden="1" customHeight="1">
      <c r="A517" s="1">
        <v>516.0</v>
      </c>
      <c r="B517" s="9" t="s">
        <v>17</v>
      </c>
      <c r="C517" s="10" t="s">
        <v>58</v>
      </c>
      <c r="D517" s="16"/>
      <c r="E517" s="16"/>
      <c r="F517" s="12"/>
      <c r="G517" s="13"/>
      <c r="H517" s="13"/>
      <c r="I517" s="13"/>
      <c r="J517" s="27" t="s">
        <v>131</v>
      </c>
    </row>
    <row r="518" ht="42.0" customHeight="1">
      <c r="A518" s="1">
        <v>517.0</v>
      </c>
      <c r="B518" s="9" t="s">
        <v>331</v>
      </c>
      <c r="C518" s="23"/>
      <c r="D518" s="32">
        <v>0.25</v>
      </c>
      <c r="E518" s="16"/>
      <c r="F518" s="17" t="s">
        <v>349</v>
      </c>
      <c r="G518" s="13"/>
      <c r="H518" s="13"/>
      <c r="I518" s="13"/>
      <c r="J518" s="22"/>
    </row>
    <row r="519" ht="42.0" customHeight="1">
      <c r="A519" s="1">
        <v>518.0</v>
      </c>
      <c r="B519" s="9" t="s">
        <v>21</v>
      </c>
      <c r="C519" s="10" t="s">
        <v>63</v>
      </c>
      <c r="D519" s="16"/>
      <c r="E519" s="16"/>
      <c r="F519" s="12"/>
      <c r="G519" s="13"/>
      <c r="H519" s="13"/>
      <c r="I519" s="13"/>
      <c r="J519" s="22"/>
    </row>
    <row r="520" ht="42.0" customHeight="1">
      <c r="A520" s="1">
        <v>519.0</v>
      </c>
      <c r="B520" s="9" t="s">
        <v>22</v>
      </c>
      <c r="C520" s="10" t="s">
        <v>69</v>
      </c>
      <c r="D520" s="16"/>
      <c r="E520" s="11">
        <v>0.8472222222222222</v>
      </c>
      <c r="F520" s="17" t="s">
        <v>350</v>
      </c>
      <c r="G520" s="13"/>
      <c r="H520" s="13"/>
      <c r="I520" s="13"/>
      <c r="J520" s="22"/>
    </row>
    <row r="521" ht="42.0" customHeight="1">
      <c r="A521" s="1">
        <v>520.0</v>
      </c>
      <c r="B521" s="9" t="s">
        <v>116</v>
      </c>
      <c r="C521" s="10"/>
      <c r="D521" s="16"/>
      <c r="E521" s="26">
        <v>0.9375</v>
      </c>
      <c r="F521" s="17" t="s">
        <v>351</v>
      </c>
      <c r="G521" s="2">
        <v>1.0</v>
      </c>
      <c r="H521" s="13"/>
      <c r="I521" s="13"/>
      <c r="J521" s="22"/>
    </row>
    <row r="522" ht="42.0" customHeight="1">
      <c r="A522" s="1">
        <v>521.0</v>
      </c>
      <c r="B522" s="9" t="s">
        <v>24</v>
      </c>
      <c r="C522" s="10" t="s">
        <v>277</v>
      </c>
      <c r="D522" s="16"/>
      <c r="E522" s="16"/>
      <c r="F522" s="12"/>
      <c r="G522" s="13"/>
      <c r="H522" s="13"/>
      <c r="I522" s="13"/>
      <c r="J522" s="22"/>
    </row>
    <row r="523" ht="42.0" customHeight="1">
      <c r="A523" s="1">
        <v>522.0</v>
      </c>
      <c r="B523" s="9" t="s">
        <v>25</v>
      </c>
      <c r="C523" s="10" t="s">
        <v>62</v>
      </c>
      <c r="D523" s="16"/>
      <c r="E523" s="16"/>
      <c r="F523" s="12"/>
      <c r="G523" s="13"/>
      <c r="H523" s="13"/>
      <c r="I523" s="13"/>
      <c r="J523" s="22"/>
    </row>
    <row r="524" ht="42.0" customHeight="1">
      <c r="A524" s="1">
        <v>523.0</v>
      </c>
      <c r="B524" s="9" t="s">
        <v>26</v>
      </c>
      <c r="C524" s="10"/>
      <c r="D524" s="16"/>
      <c r="E524" s="16"/>
      <c r="F524" s="17" t="s">
        <v>352</v>
      </c>
      <c r="G524" s="13"/>
      <c r="H524" s="13"/>
      <c r="I524" s="13"/>
      <c r="J524" s="22"/>
    </row>
    <row r="525" ht="42.0" hidden="1" customHeight="1">
      <c r="A525" s="1">
        <v>524.0</v>
      </c>
      <c r="B525" s="9" t="s">
        <v>29</v>
      </c>
      <c r="C525" s="10" t="s">
        <v>58</v>
      </c>
      <c r="D525" s="16"/>
      <c r="E525" s="16"/>
      <c r="F525" s="12"/>
      <c r="G525" s="13"/>
      <c r="H525" s="13"/>
      <c r="I525" s="13"/>
      <c r="J525" s="22"/>
    </row>
    <row r="526" ht="42.0" customHeight="1">
      <c r="A526" s="1">
        <v>525.0</v>
      </c>
      <c r="B526" s="9" t="s">
        <v>30</v>
      </c>
      <c r="C526" s="10" t="s">
        <v>64</v>
      </c>
      <c r="D526" s="16"/>
      <c r="E526" s="16"/>
      <c r="F526" s="12"/>
      <c r="G526" s="13"/>
      <c r="H526" s="13"/>
      <c r="I526" s="13"/>
      <c r="J526" s="22"/>
    </row>
    <row r="527" ht="42.0" customHeight="1">
      <c r="A527" s="1">
        <v>526.0</v>
      </c>
      <c r="B527" s="9" t="s">
        <v>31</v>
      </c>
      <c r="C527" s="10"/>
      <c r="D527" s="16"/>
      <c r="E527" s="16"/>
      <c r="F527" s="17" t="s">
        <v>353</v>
      </c>
      <c r="G527" s="13"/>
      <c r="H527" s="13"/>
      <c r="I527" s="13"/>
      <c r="J527" s="22"/>
    </row>
    <row r="528" ht="42.0" customHeight="1">
      <c r="A528" s="1">
        <v>527.0</v>
      </c>
      <c r="B528" s="9" t="s">
        <v>32</v>
      </c>
      <c r="C528" s="10"/>
      <c r="D528" s="16"/>
      <c r="E528" s="26">
        <v>0.8194444444444444</v>
      </c>
      <c r="F528" s="17" t="s">
        <v>354</v>
      </c>
      <c r="G528" s="13"/>
      <c r="H528" s="13"/>
      <c r="I528" s="13"/>
      <c r="J528" s="22"/>
    </row>
    <row r="529" ht="42.0" customHeight="1">
      <c r="A529" s="1">
        <v>528.0</v>
      </c>
      <c r="B529" s="9" t="s">
        <v>67</v>
      </c>
      <c r="C529" s="10" t="s">
        <v>54</v>
      </c>
      <c r="D529" s="16"/>
      <c r="E529" s="16"/>
      <c r="F529" s="17" t="s">
        <v>355</v>
      </c>
      <c r="G529" s="13"/>
      <c r="H529" s="13"/>
      <c r="I529" s="13"/>
      <c r="J529" s="22"/>
    </row>
    <row r="530" ht="42.0" customHeight="1">
      <c r="A530" s="1">
        <v>529.0</v>
      </c>
      <c r="B530" s="9" t="s">
        <v>34</v>
      </c>
      <c r="C530" s="10" t="s">
        <v>54</v>
      </c>
      <c r="D530" s="16"/>
      <c r="E530" s="16"/>
      <c r="F530" s="17" t="s">
        <v>356</v>
      </c>
      <c r="G530" s="13"/>
      <c r="H530" s="13"/>
      <c r="I530" s="13"/>
      <c r="J530" s="22"/>
    </row>
    <row r="531" ht="42.0" customHeight="1">
      <c r="A531" s="1">
        <v>530.0</v>
      </c>
      <c r="B531" s="9" t="s">
        <v>35</v>
      </c>
      <c r="C531" s="10"/>
      <c r="D531" s="32">
        <v>0.2847222222222222</v>
      </c>
      <c r="E531" s="16"/>
      <c r="F531" s="17" t="s">
        <v>357</v>
      </c>
      <c r="G531" s="13"/>
      <c r="H531" s="13"/>
      <c r="I531" s="13"/>
      <c r="J531" s="22"/>
    </row>
    <row r="532" ht="42.0" customHeight="1">
      <c r="A532" s="1">
        <v>531.0</v>
      </c>
      <c r="B532" s="9" t="s">
        <v>36</v>
      </c>
      <c r="C532" s="10" t="s">
        <v>69</v>
      </c>
      <c r="D532" s="16"/>
      <c r="E532" s="16"/>
      <c r="F532" s="12"/>
      <c r="G532" s="13"/>
      <c r="H532" s="13"/>
      <c r="I532" s="13"/>
      <c r="J532" s="22"/>
    </row>
    <row r="533" ht="42.0" customHeight="1">
      <c r="A533" s="1">
        <v>532.0</v>
      </c>
      <c r="B533" s="9" t="s">
        <v>38</v>
      </c>
      <c r="C533" s="10"/>
      <c r="D533" s="16"/>
      <c r="E533" s="16"/>
      <c r="F533" s="17" t="s">
        <v>358</v>
      </c>
      <c r="G533" s="13"/>
      <c r="H533" s="13"/>
      <c r="I533" s="13"/>
      <c r="J533" s="22"/>
    </row>
    <row r="534" ht="42.0" hidden="1" customHeight="1">
      <c r="A534" s="1">
        <v>533.0</v>
      </c>
      <c r="B534" s="9" t="s">
        <v>41</v>
      </c>
      <c r="C534" s="10" t="s">
        <v>58</v>
      </c>
      <c r="D534" s="16"/>
      <c r="E534" s="16"/>
      <c r="F534" s="12"/>
      <c r="G534" s="13"/>
      <c r="H534" s="13"/>
      <c r="I534" s="13"/>
      <c r="J534" s="22"/>
    </row>
    <row r="535" ht="42.0" customHeight="1">
      <c r="A535" s="1">
        <v>534.0</v>
      </c>
      <c r="B535" s="9" t="s">
        <v>42</v>
      </c>
      <c r="C535" s="10" t="s">
        <v>69</v>
      </c>
      <c r="D535" s="16"/>
      <c r="E535" s="16"/>
      <c r="F535" s="12"/>
      <c r="G535" s="13"/>
      <c r="H535" s="13"/>
      <c r="I535" s="13"/>
      <c r="J535" s="22"/>
    </row>
    <row r="536" ht="42.0" hidden="1" customHeight="1">
      <c r="A536" s="1">
        <v>535.0</v>
      </c>
      <c r="B536" s="9" t="s">
        <v>43</v>
      </c>
      <c r="C536" s="10" t="s">
        <v>66</v>
      </c>
      <c r="D536" s="16"/>
      <c r="E536" s="16"/>
      <c r="F536" s="12"/>
      <c r="G536" s="13"/>
      <c r="H536" s="13"/>
      <c r="I536" s="13"/>
      <c r="J536" s="22"/>
    </row>
    <row r="537" ht="42.0" customHeight="1">
      <c r="A537" s="1">
        <v>536.0</v>
      </c>
      <c r="B537" s="9" t="s">
        <v>45</v>
      </c>
      <c r="C537" s="10" t="s">
        <v>39</v>
      </c>
      <c r="D537" s="16"/>
      <c r="E537" s="16"/>
      <c r="F537" s="17" t="s">
        <v>359</v>
      </c>
      <c r="G537" s="13"/>
      <c r="H537" s="13"/>
      <c r="I537" s="13"/>
      <c r="J537" s="22"/>
    </row>
    <row r="538" ht="42.0" customHeight="1">
      <c r="A538" s="1">
        <v>537.0</v>
      </c>
      <c r="B538" s="9" t="s">
        <v>46</v>
      </c>
      <c r="C538" s="10" t="s">
        <v>44</v>
      </c>
      <c r="D538" s="16"/>
      <c r="E538" s="16"/>
      <c r="F538" s="12"/>
      <c r="G538" s="13"/>
      <c r="H538" s="13"/>
      <c r="I538" s="13"/>
      <c r="J538" s="22"/>
    </row>
    <row r="539" ht="42.0" customHeight="1">
      <c r="A539" s="1">
        <v>538.0</v>
      </c>
      <c r="B539" s="9" t="s">
        <v>47</v>
      </c>
      <c r="C539" s="10" t="s">
        <v>27</v>
      </c>
      <c r="D539" s="16"/>
      <c r="E539" s="16"/>
      <c r="F539" s="17" t="s">
        <v>360</v>
      </c>
      <c r="G539" s="13"/>
      <c r="H539" s="13"/>
      <c r="I539" s="13"/>
      <c r="J539" s="22"/>
    </row>
    <row r="540" ht="42.0" customHeight="1">
      <c r="A540" s="1">
        <v>539.0</v>
      </c>
      <c r="B540" s="9" t="s">
        <v>48</v>
      </c>
      <c r="C540" s="23"/>
      <c r="D540" s="16"/>
      <c r="E540" s="16"/>
      <c r="F540" s="17" t="s">
        <v>340</v>
      </c>
      <c r="G540" s="13"/>
      <c r="H540" s="13"/>
      <c r="I540" s="13"/>
      <c r="J540" s="22"/>
    </row>
    <row r="541" ht="42.0" customHeight="1">
      <c r="A541" s="1">
        <v>540.0</v>
      </c>
      <c r="B541" s="18"/>
      <c r="C541" s="19"/>
      <c r="D541" s="18"/>
      <c r="E541" s="18"/>
      <c r="F541" s="20"/>
      <c r="G541" s="21"/>
      <c r="H541" s="21"/>
      <c r="I541" s="21"/>
      <c r="J541" s="22"/>
    </row>
    <row r="542" ht="42.0" customHeight="1">
      <c r="A542" s="1">
        <v>541.0</v>
      </c>
      <c r="B542" s="9" t="s">
        <v>12</v>
      </c>
      <c r="C542" s="10" t="s">
        <v>27</v>
      </c>
      <c r="D542" s="16"/>
      <c r="E542" s="16"/>
      <c r="F542" s="17" t="s">
        <v>361</v>
      </c>
      <c r="G542" s="13"/>
      <c r="H542" s="13"/>
      <c r="I542" s="13"/>
      <c r="J542" s="27" t="s">
        <v>14</v>
      </c>
      <c r="K542" s="15" t="s">
        <v>362</v>
      </c>
    </row>
    <row r="543" ht="42.0" customHeight="1">
      <c r="A543" s="1">
        <v>542.0</v>
      </c>
      <c r="B543" s="9" t="s">
        <v>16</v>
      </c>
      <c r="C543" s="10" t="s">
        <v>145</v>
      </c>
      <c r="D543" s="28">
        <v>0.4583333333333333</v>
      </c>
      <c r="E543" s="16"/>
      <c r="F543" s="17" t="s">
        <v>363</v>
      </c>
      <c r="G543" s="13"/>
      <c r="H543" s="13"/>
      <c r="I543" s="13"/>
      <c r="J543" s="27" t="s">
        <v>362</v>
      </c>
    </row>
    <row r="544" ht="42.0" customHeight="1">
      <c r="A544" s="1">
        <v>543.0</v>
      </c>
      <c r="B544" s="9" t="s">
        <v>17</v>
      </c>
      <c r="C544" s="10" t="s">
        <v>145</v>
      </c>
      <c r="D544" s="28">
        <v>0.4583333333333333</v>
      </c>
      <c r="E544" s="16"/>
      <c r="F544" s="17" t="s">
        <v>364</v>
      </c>
      <c r="G544" s="13"/>
      <c r="H544" s="13"/>
      <c r="I544" s="13"/>
      <c r="J544" s="27" t="s">
        <v>149</v>
      </c>
    </row>
    <row r="545" ht="42.0" customHeight="1">
      <c r="A545" s="1">
        <v>544.0</v>
      </c>
      <c r="B545" s="9" t="s">
        <v>331</v>
      </c>
      <c r="C545" s="10" t="s">
        <v>39</v>
      </c>
      <c r="D545" s="16"/>
      <c r="E545" s="16"/>
      <c r="F545" s="17" t="s">
        <v>365</v>
      </c>
      <c r="G545" s="13"/>
      <c r="H545" s="13"/>
      <c r="I545" s="13"/>
      <c r="J545" s="27" t="s">
        <v>165</v>
      </c>
    </row>
    <row r="546" ht="42.0" hidden="1" customHeight="1">
      <c r="A546" s="1">
        <v>545.0</v>
      </c>
      <c r="B546" s="9" t="s">
        <v>21</v>
      </c>
      <c r="C546" s="10" t="s">
        <v>13</v>
      </c>
      <c r="D546" s="16"/>
      <c r="E546" s="16"/>
      <c r="F546" s="12"/>
      <c r="G546" s="13"/>
      <c r="H546" s="13"/>
      <c r="I546" s="13"/>
      <c r="J546" s="27" t="s">
        <v>166</v>
      </c>
    </row>
    <row r="547" ht="42.0" hidden="1" customHeight="1">
      <c r="A547" s="1">
        <v>546.0</v>
      </c>
      <c r="B547" s="9" t="s">
        <v>22</v>
      </c>
      <c r="C547" s="10" t="s">
        <v>13</v>
      </c>
      <c r="D547" s="16"/>
      <c r="E547" s="16"/>
      <c r="F547" s="12"/>
      <c r="G547" s="13"/>
      <c r="H547" s="13"/>
      <c r="I547" s="13"/>
      <c r="J547" s="27" t="s">
        <v>167</v>
      </c>
    </row>
    <row r="548" ht="42.0" hidden="1" customHeight="1">
      <c r="A548" s="1">
        <v>547.0</v>
      </c>
      <c r="B548" s="9" t="s">
        <v>23</v>
      </c>
      <c r="C548" s="10" t="s">
        <v>13</v>
      </c>
      <c r="D548" s="16"/>
      <c r="E548" s="16"/>
      <c r="F548" s="12"/>
      <c r="G548" s="13"/>
      <c r="H548" s="13"/>
      <c r="I548" s="13"/>
      <c r="J548" s="22"/>
    </row>
    <row r="549" ht="42.0" hidden="1" customHeight="1">
      <c r="A549" s="1">
        <v>548.0</v>
      </c>
      <c r="B549" s="9" t="s">
        <v>24</v>
      </c>
      <c r="C549" s="10" t="s">
        <v>13</v>
      </c>
      <c r="D549" s="16"/>
      <c r="E549" s="16"/>
      <c r="F549" s="12"/>
      <c r="G549" s="13"/>
      <c r="H549" s="13"/>
      <c r="I549" s="13"/>
      <c r="J549" s="22"/>
    </row>
    <row r="550" ht="42.0" hidden="1" customHeight="1">
      <c r="A550" s="1">
        <v>549.0</v>
      </c>
      <c r="B550" s="9" t="s">
        <v>25</v>
      </c>
      <c r="C550" s="10" t="s">
        <v>13</v>
      </c>
      <c r="D550" s="16"/>
      <c r="E550" s="16"/>
      <c r="F550" s="12"/>
      <c r="G550" s="13"/>
      <c r="H550" s="13"/>
      <c r="I550" s="13"/>
      <c r="J550" s="22"/>
    </row>
    <row r="551" ht="42.0" hidden="1" customHeight="1">
      <c r="A551" s="1">
        <v>550.0</v>
      </c>
      <c r="B551" s="9" t="s">
        <v>26</v>
      </c>
      <c r="C551" s="10" t="s">
        <v>13</v>
      </c>
      <c r="D551" s="16"/>
      <c r="E551" s="16"/>
      <c r="F551" s="12"/>
      <c r="G551" s="13"/>
      <c r="H551" s="13"/>
      <c r="I551" s="13"/>
      <c r="J551" s="22"/>
    </row>
    <row r="552" ht="42.0" hidden="1" customHeight="1">
      <c r="A552" s="1">
        <v>551.0</v>
      </c>
      <c r="B552" s="9" t="s">
        <v>29</v>
      </c>
      <c r="C552" s="10" t="s">
        <v>13</v>
      </c>
      <c r="D552" s="16"/>
      <c r="E552" s="16"/>
      <c r="F552" s="12"/>
      <c r="G552" s="13"/>
      <c r="H552" s="13"/>
      <c r="I552" s="13"/>
      <c r="J552" s="22"/>
    </row>
    <row r="553" ht="42.0" hidden="1" customHeight="1">
      <c r="A553" s="1">
        <v>552.0</v>
      </c>
      <c r="B553" s="9" t="s">
        <v>30</v>
      </c>
      <c r="C553" s="10" t="s">
        <v>13</v>
      </c>
      <c r="D553" s="16"/>
      <c r="E553" s="16"/>
      <c r="F553" s="12"/>
      <c r="G553" s="13"/>
      <c r="H553" s="13"/>
      <c r="I553" s="13"/>
      <c r="J553" s="22"/>
    </row>
    <row r="554" ht="42.0" hidden="1" customHeight="1">
      <c r="A554" s="1">
        <v>553.0</v>
      </c>
      <c r="B554" s="9" t="s">
        <v>31</v>
      </c>
      <c r="C554" s="10" t="s">
        <v>13</v>
      </c>
      <c r="D554" s="16"/>
      <c r="E554" s="16"/>
      <c r="F554" s="12"/>
      <c r="G554" s="13"/>
      <c r="H554" s="13"/>
      <c r="I554" s="13"/>
      <c r="J554" s="22"/>
    </row>
    <row r="555" ht="42.0" hidden="1" customHeight="1">
      <c r="A555" s="1">
        <v>554.0</v>
      </c>
      <c r="B555" s="9" t="s">
        <v>32</v>
      </c>
      <c r="C555" s="10" t="s">
        <v>13</v>
      </c>
      <c r="D555" s="16"/>
      <c r="E555" s="16"/>
      <c r="F555" s="12"/>
      <c r="G555" s="13"/>
      <c r="H555" s="13"/>
      <c r="I555" s="13"/>
      <c r="J555" s="22"/>
    </row>
    <row r="556" ht="42.0" customHeight="1">
      <c r="A556" s="1">
        <v>555.0</v>
      </c>
      <c r="B556" s="9" t="s">
        <v>67</v>
      </c>
      <c r="C556" s="10" t="s">
        <v>145</v>
      </c>
      <c r="D556" s="28">
        <v>0.4583333333333333</v>
      </c>
      <c r="E556" s="16"/>
      <c r="F556" s="17" t="s">
        <v>366</v>
      </c>
      <c r="G556" s="13"/>
      <c r="H556" s="13"/>
      <c r="I556" s="13"/>
      <c r="J556" s="22"/>
    </row>
    <row r="557" ht="42.0" hidden="1" customHeight="1">
      <c r="A557" s="1">
        <v>556.0</v>
      </c>
      <c r="B557" s="9" t="s">
        <v>34</v>
      </c>
      <c r="C557" s="10" t="s">
        <v>13</v>
      </c>
      <c r="D557" s="16"/>
      <c r="E557" s="16"/>
      <c r="F557" s="12"/>
      <c r="G557" s="13"/>
      <c r="H557" s="13"/>
      <c r="I557" s="13"/>
      <c r="J557" s="22"/>
    </row>
    <row r="558" ht="42.0" hidden="1" customHeight="1">
      <c r="A558" s="1">
        <v>557.0</v>
      </c>
      <c r="B558" s="9" t="s">
        <v>35</v>
      </c>
      <c r="C558" s="10" t="s">
        <v>13</v>
      </c>
      <c r="D558" s="16"/>
      <c r="E558" s="16"/>
      <c r="F558" s="12"/>
      <c r="G558" s="13"/>
      <c r="H558" s="13"/>
      <c r="I558" s="13"/>
      <c r="J558" s="22"/>
    </row>
    <row r="559" ht="42.0" hidden="1" customHeight="1">
      <c r="A559" s="1">
        <v>558.0</v>
      </c>
      <c r="B559" s="9" t="s">
        <v>36</v>
      </c>
      <c r="C559" s="10" t="s">
        <v>13</v>
      </c>
      <c r="D559" s="16"/>
      <c r="E559" s="16"/>
      <c r="F559" s="12"/>
      <c r="G559" s="13"/>
      <c r="H559" s="13"/>
      <c r="I559" s="13"/>
      <c r="J559" s="22"/>
    </row>
    <row r="560" ht="42.0" hidden="1" customHeight="1">
      <c r="A560" s="1">
        <v>559.0</v>
      </c>
      <c r="B560" s="9" t="s">
        <v>38</v>
      </c>
      <c r="C560" s="10" t="s">
        <v>13</v>
      </c>
      <c r="D560" s="16"/>
      <c r="E560" s="16"/>
      <c r="F560" s="12"/>
      <c r="G560" s="13"/>
      <c r="H560" s="13"/>
      <c r="I560" s="13"/>
      <c r="J560" s="22"/>
    </row>
    <row r="561" ht="42.0" hidden="1" customHeight="1">
      <c r="A561" s="1">
        <v>560.0</v>
      </c>
      <c r="B561" s="9" t="s">
        <v>41</v>
      </c>
      <c r="C561" s="10" t="s">
        <v>13</v>
      </c>
      <c r="D561" s="16"/>
      <c r="E561" s="16"/>
      <c r="F561" s="12"/>
      <c r="G561" s="13"/>
      <c r="H561" s="13"/>
      <c r="I561" s="13"/>
      <c r="J561" s="22"/>
    </row>
    <row r="562" ht="42.0" hidden="1" customHeight="1">
      <c r="A562" s="1">
        <v>561.0</v>
      </c>
      <c r="B562" s="9" t="s">
        <v>42</v>
      </c>
      <c r="C562" s="10" t="s">
        <v>13</v>
      </c>
      <c r="D562" s="16"/>
      <c r="E562" s="16"/>
      <c r="F562" s="12"/>
      <c r="G562" s="13"/>
      <c r="H562" s="13"/>
      <c r="I562" s="13"/>
      <c r="J562" s="22"/>
    </row>
    <row r="563" ht="42.0" hidden="1" customHeight="1">
      <c r="A563" s="1">
        <v>562.0</v>
      </c>
      <c r="B563" s="9" t="s">
        <v>43</v>
      </c>
      <c r="C563" s="10" t="s">
        <v>13</v>
      </c>
      <c r="D563" s="16"/>
      <c r="E563" s="16"/>
      <c r="F563" s="12"/>
      <c r="G563" s="13"/>
      <c r="H563" s="13"/>
      <c r="I563" s="13"/>
      <c r="J563" s="22"/>
    </row>
    <row r="564" ht="42.0" hidden="1" customHeight="1">
      <c r="A564" s="1">
        <v>563.0</v>
      </c>
      <c r="B564" s="9" t="s">
        <v>45</v>
      </c>
      <c r="C564" s="10" t="s">
        <v>13</v>
      </c>
      <c r="D564" s="16"/>
      <c r="E564" s="16"/>
      <c r="F564" s="12"/>
      <c r="G564" s="13"/>
      <c r="H564" s="13"/>
      <c r="I564" s="13"/>
      <c r="J564" s="22"/>
    </row>
    <row r="565" ht="42.0" customHeight="1">
      <c r="A565" s="1">
        <v>564.0</v>
      </c>
      <c r="B565" s="9" t="s">
        <v>46</v>
      </c>
      <c r="C565" s="23"/>
      <c r="D565" s="16"/>
      <c r="E565" s="16"/>
      <c r="F565" s="17" t="s">
        <v>367</v>
      </c>
      <c r="G565" s="13"/>
      <c r="H565" s="13"/>
      <c r="I565" s="13"/>
      <c r="J565" s="22"/>
    </row>
    <row r="566" ht="42.0" customHeight="1">
      <c r="A566" s="1">
        <v>565.0</v>
      </c>
      <c r="B566" s="9" t="s">
        <v>47</v>
      </c>
      <c r="C566" s="10" t="s">
        <v>44</v>
      </c>
      <c r="D566" s="16"/>
      <c r="E566" s="16"/>
      <c r="F566" s="12"/>
      <c r="G566" s="13"/>
      <c r="H566" s="13"/>
      <c r="I566" s="13"/>
      <c r="J566" s="22"/>
    </row>
    <row r="567" ht="42.0" customHeight="1">
      <c r="A567" s="1">
        <v>566.0</v>
      </c>
      <c r="B567" s="9" t="s">
        <v>48</v>
      </c>
      <c r="C567" s="10" t="s">
        <v>49</v>
      </c>
      <c r="D567" s="16"/>
      <c r="E567" s="16"/>
      <c r="F567" s="17" t="s">
        <v>368</v>
      </c>
      <c r="G567" s="13"/>
      <c r="H567" s="13"/>
      <c r="I567" s="13"/>
      <c r="J567" s="22"/>
    </row>
    <row r="568" ht="42.0" customHeight="1">
      <c r="A568" s="1">
        <v>567.0</v>
      </c>
      <c r="B568" s="18"/>
      <c r="C568" s="19"/>
      <c r="D568" s="18"/>
      <c r="E568" s="18"/>
      <c r="F568" s="20"/>
      <c r="G568" s="21"/>
      <c r="H568" s="21"/>
      <c r="I568" s="21"/>
      <c r="J568" s="22"/>
    </row>
    <row r="569" ht="42.0" customHeight="1">
      <c r="A569" s="1">
        <v>568.0</v>
      </c>
      <c r="B569" s="9" t="s">
        <v>12</v>
      </c>
      <c r="C569" s="10" t="s">
        <v>44</v>
      </c>
      <c r="D569" s="16"/>
      <c r="E569" s="16"/>
      <c r="F569" s="12"/>
      <c r="G569" s="13"/>
      <c r="H569" s="13"/>
      <c r="I569" s="13"/>
      <c r="J569" s="27" t="s">
        <v>14</v>
      </c>
      <c r="K569" s="15" t="s">
        <v>369</v>
      </c>
    </row>
    <row r="570" ht="42.0" hidden="1" customHeight="1">
      <c r="A570" s="1">
        <v>569.0</v>
      </c>
      <c r="B570" s="9" t="s">
        <v>16</v>
      </c>
      <c r="C570" s="10" t="s">
        <v>13</v>
      </c>
      <c r="D570" s="16"/>
      <c r="E570" s="16"/>
      <c r="F570" s="12"/>
      <c r="G570" s="13"/>
      <c r="H570" s="13"/>
      <c r="I570" s="13"/>
      <c r="J570" s="27" t="s">
        <v>369</v>
      </c>
    </row>
    <row r="571" ht="42.0" hidden="1" customHeight="1">
      <c r="A571" s="1">
        <v>570.0</v>
      </c>
      <c r="B571" s="9" t="s">
        <v>17</v>
      </c>
      <c r="C571" s="10" t="s">
        <v>13</v>
      </c>
      <c r="D571" s="16"/>
      <c r="E571" s="16"/>
      <c r="F571" s="12"/>
      <c r="G571" s="13"/>
      <c r="H571" s="13"/>
      <c r="I571" s="13"/>
      <c r="J571" s="27" t="s">
        <v>19</v>
      </c>
    </row>
    <row r="572" ht="42.0" hidden="1" customHeight="1">
      <c r="A572" s="1">
        <v>571.0</v>
      </c>
      <c r="B572" s="9" t="s">
        <v>331</v>
      </c>
      <c r="C572" s="10" t="s">
        <v>13</v>
      </c>
      <c r="D572" s="16"/>
      <c r="E572" s="16"/>
      <c r="F572" s="17"/>
      <c r="G572" s="13"/>
      <c r="H572" s="13"/>
      <c r="I572" s="13"/>
      <c r="J572" s="27" t="s">
        <v>262</v>
      </c>
    </row>
    <row r="573" ht="42.0" hidden="1" customHeight="1">
      <c r="A573" s="1">
        <v>572.0</v>
      </c>
      <c r="B573" s="9" t="s">
        <v>21</v>
      </c>
      <c r="C573" s="10" t="s">
        <v>13</v>
      </c>
      <c r="D573" s="16"/>
      <c r="E573" s="16"/>
      <c r="F573" s="12"/>
      <c r="G573" s="13"/>
      <c r="H573" s="13"/>
      <c r="I573" s="13"/>
      <c r="J573" s="27" t="s">
        <v>264</v>
      </c>
    </row>
    <row r="574" ht="42.0" hidden="1" customHeight="1">
      <c r="A574" s="1">
        <v>573.0</v>
      </c>
      <c r="B574" s="9" t="s">
        <v>22</v>
      </c>
      <c r="C574" s="10" t="s">
        <v>13</v>
      </c>
      <c r="D574" s="16"/>
      <c r="E574" s="16"/>
      <c r="F574" s="12"/>
      <c r="G574" s="13"/>
      <c r="H574" s="13"/>
      <c r="I574" s="13"/>
      <c r="J574" s="27" t="s">
        <v>265</v>
      </c>
    </row>
    <row r="575" ht="42.0" hidden="1" customHeight="1">
      <c r="A575" s="1">
        <v>574.0</v>
      </c>
      <c r="B575" s="9" t="s">
        <v>23</v>
      </c>
      <c r="C575" s="10" t="s">
        <v>13</v>
      </c>
      <c r="D575" s="16"/>
      <c r="E575" s="16"/>
      <c r="F575" s="12"/>
      <c r="G575" s="13"/>
      <c r="H575" s="13"/>
      <c r="I575" s="13"/>
      <c r="J575" s="22"/>
    </row>
    <row r="576" ht="42.0" hidden="1" customHeight="1">
      <c r="A576" s="1">
        <v>575.0</v>
      </c>
      <c r="B576" s="9" t="s">
        <v>24</v>
      </c>
      <c r="C576" s="10" t="s">
        <v>13</v>
      </c>
      <c r="D576" s="16"/>
      <c r="E576" s="16"/>
      <c r="F576" s="12"/>
      <c r="G576" s="13"/>
      <c r="H576" s="13"/>
      <c r="I576" s="13"/>
      <c r="J576" s="22"/>
    </row>
    <row r="577" ht="42.0" hidden="1" customHeight="1">
      <c r="A577" s="1">
        <v>576.0</v>
      </c>
      <c r="B577" s="9" t="s">
        <v>25</v>
      </c>
      <c r="C577" s="10" t="s">
        <v>13</v>
      </c>
      <c r="D577" s="16"/>
      <c r="E577" s="16"/>
      <c r="F577" s="12"/>
      <c r="G577" s="13"/>
      <c r="H577" s="13"/>
      <c r="I577" s="13"/>
      <c r="J577" s="22"/>
    </row>
    <row r="578" ht="42.0" hidden="1" customHeight="1">
      <c r="A578" s="1">
        <v>577.0</v>
      </c>
      <c r="B578" s="9" t="s">
        <v>26</v>
      </c>
      <c r="C578" s="10" t="s">
        <v>13</v>
      </c>
      <c r="D578" s="16"/>
      <c r="E578" s="16"/>
      <c r="F578" s="12"/>
      <c r="G578" s="13"/>
      <c r="H578" s="13"/>
      <c r="I578" s="13"/>
      <c r="J578" s="22"/>
    </row>
    <row r="579" ht="42.0" customHeight="1">
      <c r="A579" s="1">
        <v>578.0</v>
      </c>
      <c r="B579" s="9" t="s">
        <v>29</v>
      </c>
      <c r="C579" s="10" t="s">
        <v>145</v>
      </c>
      <c r="D579" s="28">
        <v>0.4166666666666667</v>
      </c>
      <c r="E579" s="26">
        <v>0.8333333333333334</v>
      </c>
      <c r="F579" s="17" t="s">
        <v>370</v>
      </c>
      <c r="G579" s="13"/>
      <c r="H579" s="13"/>
      <c r="I579" s="13"/>
      <c r="J579" s="22"/>
    </row>
    <row r="580" ht="42.0" hidden="1" customHeight="1">
      <c r="A580" s="1">
        <v>579.0</v>
      </c>
      <c r="B580" s="9" t="s">
        <v>30</v>
      </c>
      <c r="C580" s="10" t="s">
        <v>13</v>
      </c>
      <c r="D580" s="16"/>
      <c r="E580" s="16"/>
      <c r="F580" s="12"/>
      <c r="G580" s="13"/>
      <c r="H580" s="13"/>
      <c r="I580" s="13"/>
      <c r="J580" s="22"/>
    </row>
    <row r="581" ht="42.0" hidden="1" customHeight="1">
      <c r="A581" s="1">
        <v>580.0</v>
      </c>
      <c r="B581" s="9" t="s">
        <v>31</v>
      </c>
      <c r="C581" s="10" t="s">
        <v>13</v>
      </c>
      <c r="D581" s="16"/>
      <c r="E581" s="16"/>
      <c r="F581" s="12"/>
      <c r="G581" s="13"/>
      <c r="H581" s="13"/>
      <c r="I581" s="13"/>
      <c r="J581" s="22"/>
    </row>
    <row r="582" ht="42.0" customHeight="1">
      <c r="A582" s="1">
        <v>581.0</v>
      </c>
      <c r="B582" s="9" t="s">
        <v>32</v>
      </c>
      <c r="C582" s="10" t="s">
        <v>27</v>
      </c>
      <c r="D582" s="28">
        <v>0.6458333333333334</v>
      </c>
      <c r="E582" s="16"/>
      <c r="F582" s="17" t="s">
        <v>371</v>
      </c>
      <c r="G582" s="13"/>
      <c r="H582" s="13"/>
      <c r="I582" s="13"/>
      <c r="J582" s="22"/>
    </row>
    <row r="583" ht="42.0" hidden="1" customHeight="1">
      <c r="A583" s="1">
        <v>582.0</v>
      </c>
      <c r="B583" s="9" t="s">
        <v>67</v>
      </c>
      <c r="C583" s="10" t="s">
        <v>13</v>
      </c>
      <c r="D583" s="16"/>
      <c r="E583" s="16"/>
      <c r="F583" s="12"/>
      <c r="G583" s="13"/>
      <c r="H583" s="13"/>
      <c r="I583" s="13"/>
      <c r="J583" s="22"/>
    </row>
    <row r="584" ht="42.0" customHeight="1">
      <c r="A584" s="1">
        <v>583.0</v>
      </c>
      <c r="B584" s="9" t="s">
        <v>34</v>
      </c>
      <c r="C584" s="10" t="s">
        <v>39</v>
      </c>
      <c r="D584" s="11">
        <v>0.375</v>
      </c>
      <c r="E584" s="26">
        <v>0.7708333333333334</v>
      </c>
      <c r="F584" s="17" t="s">
        <v>372</v>
      </c>
      <c r="G584" s="13"/>
      <c r="H584" s="13"/>
      <c r="I584" s="13"/>
      <c r="J584" s="22"/>
    </row>
    <row r="585" ht="42.0" customHeight="1">
      <c r="A585" s="1">
        <v>584.0</v>
      </c>
      <c r="B585" s="9" t="s">
        <v>35</v>
      </c>
      <c r="C585" s="10"/>
      <c r="D585" s="11">
        <v>0.375</v>
      </c>
      <c r="E585" s="26">
        <v>0.7708333333333334</v>
      </c>
      <c r="F585" s="17" t="s">
        <v>373</v>
      </c>
      <c r="G585" s="13"/>
      <c r="H585" s="13"/>
      <c r="I585" s="13"/>
      <c r="J585" s="22"/>
    </row>
    <row r="586" ht="42.0" customHeight="1">
      <c r="A586" s="1">
        <v>585.0</v>
      </c>
      <c r="B586" s="9" t="s">
        <v>36</v>
      </c>
      <c r="C586" s="10" t="s">
        <v>49</v>
      </c>
      <c r="D586" s="11"/>
      <c r="E586" s="26">
        <v>0.8472222222222222</v>
      </c>
      <c r="F586" s="17" t="s">
        <v>374</v>
      </c>
      <c r="G586" s="13"/>
      <c r="H586" s="13"/>
      <c r="I586" s="13"/>
      <c r="J586" s="22"/>
    </row>
    <row r="587" ht="42.0" hidden="1" customHeight="1">
      <c r="A587" s="1">
        <v>586.0</v>
      </c>
      <c r="B587" s="9" t="s">
        <v>38</v>
      </c>
      <c r="C587" s="10" t="s">
        <v>13</v>
      </c>
      <c r="D587" s="11"/>
      <c r="E587" s="11"/>
      <c r="F587" s="17"/>
      <c r="G587" s="13"/>
      <c r="H587" s="13"/>
      <c r="I587" s="13"/>
      <c r="J587" s="22"/>
    </row>
    <row r="588" ht="42.0" hidden="1" customHeight="1">
      <c r="A588" s="1">
        <v>587.0</v>
      </c>
      <c r="B588" s="9" t="s">
        <v>41</v>
      </c>
      <c r="C588" s="10" t="s">
        <v>13</v>
      </c>
      <c r="D588" s="16"/>
      <c r="E588" s="16"/>
      <c r="F588" s="12"/>
      <c r="G588" s="13"/>
      <c r="H588" s="13"/>
      <c r="I588" s="13"/>
      <c r="J588" s="22"/>
    </row>
    <row r="589" ht="42.0" hidden="1" customHeight="1">
      <c r="A589" s="1">
        <v>588.0</v>
      </c>
      <c r="B589" s="9" t="s">
        <v>42</v>
      </c>
      <c r="C589" s="10" t="s">
        <v>13</v>
      </c>
      <c r="D589" s="16"/>
      <c r="E589" s="16"/>
      <c r="F589" s="12"/>
      <c r="G589" s="13"/>
      <c r="H589" s="13"/>
      <c r="I589" s="13"/>
      <c r="J589" s="22"/>
    </row>
    <row r="590" ht="42.0" hidden="1" customHeight="1">
      <c r="A590" s="1">
        <v>589.0</v>
      </c>
      <c r="B590" s="9" t="s">
        <v>43</v>
      </c>
      <c r="C590" s="10" t="s">
        <v>13</v>
      </c>
      <c r="D590" s="16"/>
      <c r="E590" s="16"/>
      <c r="F590" s="12"/>
      <c r="G590" s="13"/>
      <c r="H590" s="13"/>
      <c r="I590" s="13"/>
      <c r="J590" s="22"/>
    </row>
    <row r="591" ht="42.0" customHeight="1">
      <c r="A591" s="1">
        <v>590.0</v>
      </c>
      <c r="B591" s="9" t="s">
        <v>45</v>
      </c>
      <c r="C591" s="10" t="s">
        <v>145</v>
      </c>
      <c r="D591" s="28">
        <v>0.4166666666666667</v>
      </c>
      <c r="E591" s="26">
        <v>0.7638888888888888</v>
      </c>
      <c r="F591" s="17" t="s">
        <v>375</v>
      </c>
      <c r="G591" s="13"/>
      <c r="H591" s="13"/>
      <c r="I591" s="13"/>
      <c r="J591" s="22"/>
    </row>
    <row r="592" ht="42.0" hidden="1" customHeight="1">
      <c r="A592" s="1">
        <v>591.0</v>
      </c>
      <c r="B592" s="9" t="s">
        <v>46</v>
      </c>
      <c r="C592" s="10" t="s">
        <v>13</v>
      </c>
      <c r="D592" s="16"/>
      <c r="E592" s="16"/>
      <c r="F592" s="12"/>
      <c r="G592" s="13"/>
      <c r="H592" s="13"/>
      <c r="I592" s="13"/>
      <c r="J592" s="22"/>
    </row>
    <row r="593" ht="42.0" hidden="1" customHeight="1">
      <c r="A593" s="1">
        <v>592.0</v>
      </c>
      <c r="B593" s="9" t="s">
        <v>47</v>
      </c>
      <c r="C593" s="10" t="s">
        <v>13</v>
      </c>
      <c r="D593" s="16"/>
      <c r="E593" s="16"/>
      <c r="F593" s="12"/>
      <c r="G593" s="13"/>
      <c r="H593" s="13"/>
      <c r="I593" s="13"/>
      <c r="J593" s="22"/>
    </row>
    <row r="594" ht="42.0" hidden="1" customHeight="1">
      <c r="A594" s="1">
        <v>593.0</v>
      </c>
      <c r="B594" s="9" t="s">
        <v>48</v>
      </c>
      <c r="C594" s="10" t="s">
        <v>13</v>
      </c>
      <c r="D594" s="16"/>
      <c r="E594" s="16"/>
      <c r="F594" s="12"/>
      <c r="G594" s="13"/>
      <c r="H594" s="13"/>
      <c r="I594" s="13"/>
      <c r="J594" s="22"/>
    </row>
    <row r="595" ht="42.0" customHeight="1">
      <c r="A595" s="1">
        <v>594.0</v>
      </c>
      <c r="B595" s="18"/>
      <c r="C595" s="19"/>
      <c r="D595" s="18"/>
      <c r="E595" s="18"/>
      <c r="F595" s="20"/>
      <c r="G595" s="21"/>
      <c r="H595" s="21"/>
      <c r="I595" s="21"/>
      <c r="J595" s="22"/>
    </row>
    <row r="596" ht="42.0" customHeight="1">
      <c r="A596" s="1">
        <v>595.0</v>
      </c>
      <c r="B596" s="9" t="s">
        <v>12</v>
      </c>
      <c r="C596" s="10" t="s">
        <v>62</v>
      </c>
      <c r="D596" s="11"/>
      <c r="E596" s="11"/>
      <c r="F596" s="12"/>
      <c r="G596" s="13"/>
      <c r="H596" s="13"/>
      <c r="I596" s="13"/>
      <c r="J596" s="14" t="s">
        <v>14</v>
      </c>
      <c r="K596" s="15" t="s">
        <v>376</v>
      </c>
    </row>
    <row r="597" ht="42.0" customHeight="1">
      <c r="A597" s="1">
        <v>596.0</v>
      </c>
      <c r="B597" s="9" t="s">
        <v>16</v>
      </c>
      <c r="C597" s="10"/>
      <c r="D597" s="16"/>
      <c r="E597" s="16"/>
      <c r="F597" s="17" t="s">
        <v>377</v>
      </c>
      <c r="G597" s="2">
        <v>1.0</v>
      </c>
      <c r="H597" s="2"/>
      <c r="I597" s="13"/>
      <c r="J597" s="14" t="s">
        <v>376</v>
      </c>
    </row>
    <row r="598" ht="42.0" customHeight="1">
      <c r="A598" s="1">
        <v>597.0</v>
      </c>
      <c r="B598" s="9" t="s">
        <v>17</v>
      </c>
      <c r="C598" s="10"/>
      <c r="D598" s="16"/>
      <c r="E598" s="16"/>
      <c r="F598" s="17" t="s">
        <v>378</v>
      </c>
      <c r="G598" s="2">
        <v>1.0</v>
      </c>
      <c r="H598" s="2"/>
      <c r="I598" s="13"/>
      <c r="J598" s="14" t="s">
        <v>56</v>
      </c>
    </row>
    <row r="599" ht="42.0" hidden="1" customHeight="1">
      <c r="A599" s="1">
        <v>598.0</v>
      </c>
      <c r="B599" s="9" t="s">
        <v>331</v>
      </c>
      <c r="C599" s="10" t="s">
        <v>58</v>
      </c>
      <c r="D599" s="16"/>
      <c r="E599" s="16"/>
      <c r="F599" s="17"/>
      <c r="G599" s="13"/>
      <c r="H599" s="13"/>
      <c r="I599" s="13"/>
      <c r="J599" s="14"/>
    </row>
    <row r="600" ht="42.0" customHeight="1">
      <c r="A600" s="1">
        <v>599.0</v>
      </c>
      <c r="B600" s="9" t="s">
        <v>21</v>
      </c>
      <c r="C600" s="10" t="s">
        <v>63</v>
      </c>
      <c r="D600" s="16"/>
      <c r="E600" s="16"/>
      <c r="F600" s="12"/>
      <c r="G600" s="13"/>
      <c r="H600" s="13"/>
      <c r="I600" s="13"/>
      <c r="J600" s="14"/>
    </row>
    <row r="601" ht="42.0" customHeight="1">
      <c r="A601" s="1">
        <v>600.0</v>
      </c>
      <c r="B601" s="9" t="s">
        <v>22</v>
      </c>
      <c r="C601" s="10" t="s">
        <v>54</v>
      </c>
      <c r="D601" s="16"/>
      <c r="E601" s="16"/>
      <c r="F601" s="17" t="s">
        <v>379</v>
      </c>
      <c r="G601" s="2">
        <v>1.0</v>
      </c>
      <c r="H601" s="2"/>
      <c r="I601" s="13"/>
      <c r="J601" s="14"/>
    </row>
    <row r="602" ht="42.0" customHeight="1">
      <c r="A602" s="1">
        <v>601.0</v>
      </c>
      <c r="B602" s="9" t="s">
        <v>23</v>
      </c>
      <c r="C602" s="23"/>
      <c r="D602" s="16"/>
      <c r="E602" s="16"/>
      <c r="F602" s="17" t="s">
        <v>357</v>
      </c>
      <c r="G602" s="13"/>
      <c r="H602" s="13"/>
      <c r="I602" s="13"/>
      <c r="J602" s="14"/>
    </row>
    <row r="603" ht="42.0" customHeight="1">
      <c r="A603" s="1">
        <v>602.0</v>
      </c>
      <c r="B603" s="9" t="s">
        <v>24</v>
      </c>
      <c r="C603" s="10" t="s">
        <v>277</v>
      </c>
      <c r="D603" s="16"/>
      <c r="E603" s="16"/>
      <c r="F603" s="12"/>
      <c r="G603" s="13"/>
      <c r="H603" s="13"/>
      <c r="I603" s="13"/>
      <c r="J603" s="14"/>
    </row>
    <row r="604" ht="42.0" customHeight="1">
      <c r="A604" s="1">
        <v>603.0</v>
      </c>
      <c r="B604" s="9" t="s">
        <v>25</v>
      </c>
      <c r="C604" s="10"/>
      <c r="D604" s="16"/>
      <c r="E604" s="16"/>
      <c r="F604" s="17" t="s">
        <v>380</v>
      </c>
      <c r="G604" s="2">
        <v>1.0</v>
      </c>
      <c r="H604" s="2"/>
      <c r="I604" s="2">
        <v>1.0</v>
      </c>
      <c r="J604" s="14"/>
    </row>
    <row r="605" ht="42.0" hidden="1" customHeight="1">
      <c r="A605" s="1">
        <v>604.0</v>
      </c>
      <c r="B605" s="9" t="s">
        <v>26</v>
      </c>
      <c r="C605" s="10" t="s">
        <v>58</v>
      </c>
      <c r="D605" s="16"/>
      <c r="E605" s="16"/>
      <c r="F605" s="12"/>
      <c r="G605" s="13"/>
      <c r="H605" s="13"/>
      <c r="I605" s="13"/>
      <c r="J605" s="14"/>
    </row>
    <row r="606" ht="42.0" customHeight="1">
      <c r="A606" s="1">
        <v>605.0</v>
      </c>
      <c r="B606" s="9" t="s">
        <v>29</v>
      </c>
      <c r="C606" s="10" t="s">
        <v>54</v>
      </c>
      <c r="D606" s="16"/>
      <c r="E606" s="16"/>
      <c r="F606" s="17" t="s">
        <v>352</v>
      </c>
      <c r="G606" s="2">
        <v>1.0</v>
      </c>
      <c r="H606" s="2"/>
      <c r="I606" s="13"/>
      <c r="J606" s="14"/>
    </row>
    <row r="607" ht="42.0" hidden="1" customHeight="1">
      <c r="A607" s="1">
        <v>606.0</v>
      </c>
      <c r="B607" s="9" t="s">
        <v>30</v>
      </c>
      <c r="C607" s="10" t="s">
        <v>58</v>
      </c>
      <c r="D607" s="16"/>
      <c r="E607" s="16"/>
      <c r="F607" s="17"/>
      <c r="G607" s="13"/>
      <c r="H607" s="13"/>
      <c r="I607" s="13"/>
      <c r="J607" s="14"/>
    </row>
    <row r="608" ht="42.0" customHeight="1">
      <c r="A608" s="1">
        <v>607.0</v>
      </c>
      <c r="B608" s="9" t="s">
        <v>31</v>
      </c>
      <c r="C608" s="23"/>
      <c r="D608" s="16"/>
      <c r="E608" s="16"/>
      <c r="F608" s="17" t="s">
        <v>381</v>
      </c>
      <c r="G608" s="2">
        <v>1.0</v>
      </c>
      <c r="H608" s="2"/>
      <c r="I608" s="13"/>
      <c r="J608" s="14"/>
    </row>
    <row r="609" ht="42.0" customHeight="1">
      <c r="A609" s="1">
        <v>608.0</v>
      </c>
      <c r="B609" s="9" t="s">
        <v>32</v>
      </c>
      <c r="C609" s="10" t="s">
        <v>44</v>
      </c>
      <c r="D609" s="16"/>
      <c r="E609" s="16"/>
      <c r="F609" s="12"/>
      <c r="G609" s="13"/>
      <c r="H609" s="13"/>
      <c r="I609" s="13"/>
      <c r="J609" s="14"/>
    </row>
    <row r="610" ht="42.0" customHeight="1">
      <c r="A610" s="1">
        <v>609.0</v>
      </c>
      <c r="B610" s="9" t="s">
        <v>67</v>
      </c>
      <c r="C610" s="10" t="s">
        <v>69</v>
      </c>
      <c r="D610" s="16"/>
      <c r="E610" s="16"/>
      <c r="F610" s="12"/>
      <c r="G610" s="13"/>
      <c r="H610" s="13"/>
      <c r="I610" s="13"/>
      <c r="J610" s="14"/>
    </row>
    <row r="611" ht="42.0" customHeight="1">
      <c r="A611" s="1">
        <v>610.0</v>
      </c>
      <c r="B611" s="9" t="s">
        <v>34</v>
      </c>
      <c r="C611" s="10" t="s">
        <v>39</v>
      </c>
      <c r="D611" s="16"/>
      <c r="E611" s="16"/>
      <c r="F611" s="17" t="s">
        <v>382</v>
      </c>
      <c r="G611" s="2">
        <v>1.0</v>
      </c>
      <c r="H611" s="2"/>
      <c r="I611" s="2">
        <v>1.0</v>
      </c>
      <c r="J611" s="14"/>
    </row>
    <row r="612" ht="42.0" hidden="1" customHeight="1">
      <c r="A612" s="1">
        <v>611.0</v>
      </c>
      <c r="B612" s="9" t="s">
        <v>35</v>
      </c>
      <c r="C612" s="10" t="s">
        <v>66</v>
      </c>
      <c r="D612" s="16"/>
      <c r="E612" s="16"/>
      <c r="F612" s="12"/>
      <c r="G612" s="13"/>
      <c r="H612" s="13"/>
      <c r="I612" s="13"/>
      <c r="J612" s="14"/>
    </row>
    <row r="613" ht="42.0" customHeight="1">
      <c r="A613" s="1">
        <v>612.0</v>
      </c>
      <c r="B613" s="9" t="s">
        <v>36</v>
      </c>
      <c r="C613" s="10" t="s">
        <v>69</v>
      </c>
      <c r="D613" s="16"/>
      <c r="E613" s="16"/>
      <c r="F613" s="17" t="s">
        <v>383</v>
      </c>
      <c r="G613" s="2">
        <v>1.0</v>
      </c>
      <c r="H613" s="2"/>
      <c r="I613" s="13"/>
      <c r="J613" s="14"/>
    </row>
    <row r="614" ht="42.0" customHeight="1">
      <c r="A614" s="1">
        <v>613.0</v>
      </c>
      <c r="B614" s="9" t="s">
        <v>38</v>
      </c>
      <c r="C614" s="10" t="s">
        <v>39</v>
      </c>
      <c r="D614" s="16"/>
      <c r="E614" s="16"/>
      <c r="F614" s="17" t="s">
        <v>384</v>
      </c>
      <c r="G614" s="2">
        <v>1.0</v>
      </c>
      <c r="H614" s="2"/>
      <c r="I614" s="13"/>
      <c r="J614" s="14"/>
    </row>
    <row r="615" ht="42.0" customHeight="1">
      <c r="A615" s="1">
        <v>614.0</v>
      </c>
      <c r="B615" s="9" t="s">
        <v>41</v>
      </c>
      <c r="C615" s="23"/>
      <c r="D615" s="16"/>
      <c r="E615" s="16"/>
      <c r="F615" s="17" t="s">
        <v>385</v>
      </c>
      <c r="G615" s="13"/>
      <c r="H615" s="13"/>
      <c r="I615" s="13"/>
      <c r="J615" s="14"/>
    </row>
    <row r="616" ht="42.0" hidden="1" customHeight="1">
      <c r="A616" s="1">
        <v>615.0</v>
      </c>
      <c r="B616" s="9" t="s">
        <v>42</v>
      </c>
      <c r="C616" s="10" t="s">
        <v>66</v>
      </c>
      <c r="D616" s="16"/>
      <c r="E616" s="16"/>
      <c r="F616" s="12"/>
      <c r="G616" s="13"/>
      <c r="H616" s="13"/>
      <c r="I616" s="13"/>
      <c r="J616" s="14"/>
    </row>
    <row r="617" ht="42.0" hidden="1" customHeight="1">
      <c r="A617" s="1">
        <v>616.0</v>
      </c>
      <c r="B617" s="9" t="s">
        <v>43</v>
      </c>
      <c r="C617" s="10" t="s">
        <v>58</v>
      </c>
      <c r="D617" s="16"/>
      <c r="E617" s="16"/>
      <c r="F617" s="12"/>
      <c r="G617" s="13"/>
      <c r="H617" s="13"/>
      <c r="I617" s="13"/>
      <c r="J617" s="14"/>
    </row>
    <row r="618" ht="42.0" customHeight="1">
      <c r="A618" s="1">
        <v>617.0</v>
      </c>
      <c r="B618" s="9" t="s">
        <v>45</v>
      </c>
      <c r="C618" s="10" t="s">
        <v>27</v>
      </c>
      <c r="D618" s="16"/>
      <c r="E618" s="16"/>
      <c r="F618" s="17" t="s">
        <v>386</v>
      </c>
      <c r="G618" s="2">
        <v>1.0</v>
      </c>
      <c r="H618" s="2"/>
      <c r="I618" s="13"/>
      <c r="J618" s="14"/>
    </row>
    <row r="619" ht="42.0" customHeight="1">
      <c r="A619" s="1">
        <v>618.0</v>
      </c>
      <c r="B619" s="9" t="s">
        <v>46</v>
      </c>
      <c r="C619" s="10" t="s">
        <v>54</v>
      </c>
      <c r="D619" s="28">
        <v>0.20833333333333334</v>
      </c>
      <c r="E619" s="26">
        <v>0.7638888888888888</v>
      </c>
      <c r="F619" s="17" t="s">
        <v>387</v>
      </c>
      <c r="G619" s="2">
        <v>1.0</v>
      </c>
      <c r="H619" s="2"/>
      <c r="I619" s="13"/>
      <c r="J619" s="14"/>
    </row>
    <row r="620" ht="42.0" customHeight="1">
      <c r="A620" s="1">
        <v>619.0</v>
      </c>
      <c r="B620" s="9" t="s">
        <v>47</v>
      </c>
      <c r="C620" s="10" t="s">
        <v>54</v>
      </c>
      <c r="D620" s="16"/>
      <c r="E620" s="16"/>
      <c r="F620" s="12"/>
      <c r="G620" s="13"/>
      <c r="H620" s="13"/>
      <c r="I620" s="13"/>
      <c r="J620" s="14"/>
    </row>
    <row r="621" ht="42.0" customHeight="1">
      <c r="A621" s="1">
        <v>620.0</v>
      </c>
      <c r="B621" s="9" t="s">
        <v>48</v>
      </c>
      <c r="C621" s="10" t="s">
        <v>69</v>
      </c>
      <c r="D621" s="16"/>
      <c r="E621" s="16"/>
      <c r="F621" s="17" t="s">
        <v>388</v>
      </c>
      <c r="G621" s="13"/>
      <c r="H621" s="13"/>
      <c r="I621" s="13"/>
      <c r="J621" s="14"/>
    </row>
    <row r="622" ht="42.0" customHeight="1">
      <c r="A622" s="1">
        <v>621.0</v>
      </c>
      <c r="B622" s="18"/>
      <c r="C622" s="19"/>
      <c r="D622" s="18"/>
      <c r="E622" s="18"/>
      <c r="F622" s="20"/>
      <c r="G622" s="21"/>
      <c r="H622" s="21"/>
      <c r="I622" s="21"/>
      <c r="J622" s="22"/>
    </row>
    <row r="623" ht="42.0" customHeight="1">
      <c r="A623" s="1">
        <v>622.0</v>
      </c>
      <c r="B623" s="9" t="s">
        <v>12</v>
      </c>
      <c r="C623" s="10" t="s">
        <v>62</v>
      </c>
      <c r="D623" s="16"/>
      <c r="E623" s="16"/>
      <c r="F623" s="12"/>
      <c r="G623" s="13"/>
      <c r="H623" s="13"/>
      <c r="I623" s="13"/>
      <c r="J623" s="14" t="s">
        <v>14</v>
      </c>
      <c r="K623" s="15" t="s">
        <v>389</v>
      </c>
    </row>
    <row r="624" ht="42.0" customHeight="1">
      <c r="A624" s="1">
        <v>623.0</v>
      </c>
      <c r="B624" s="9" t="s">
        <v>16</v>
      </c>
      <c r="C624" s="10" t="s">
        <v>69</v>
      </c>
      <c r="D624" s="16"/>
      <c r="E624" s="16"/>
      <c r="F624" s="17" t="s">
        <v>390</v>
      </c>
      <c r="G624" s="2">
        <v>1.0</v>
      </c>
      <c r="H624" s="13"/>
      <c r="I624" s="13"/>
      <c r="J624" s="14" t="s">
        <v>389</v>
      </c>
    </row>
    <row r="625" ht="42.0" customHeight="1">
      <c r="A625" s="1">
        <v>624.0</v>
      </c>
      <c r="B625" s="9" t="s">
        <v>17</v>
      </c>
      <c r="C625" s="23"/>
      <c r="D625" s="16"/>
      <c r="E625" s="16"/>
      <c r="F625" s="17" t="s">
        <v>391</v>
      </c>
      <c r="G625" s="2">
        <v>1.0</v>
      </c>
      <c r="H625" s="2"/>
      <c r="I625" s="13"/>
      <c r="J625" s="14" t="s">
        <v>77</v>
      </c>
    </row>
    <row r="626" ht="42.0" customHeight="1">
      <c r="A626" s="1">
        <v>625.0</v>
      </c>
      <c r="B626" s="9" t="s">
        <v>331</v>
      </c>
      <c r="C626" s="23"/>
      <c r="D626" s="16"/>
      <c r="E626" s="16"/>
      <c r="F626" s="17" t="s">
        <v>392</v>
      </c>
      <c r="G626" s="13"/>
      <c r="H626" s="13"/>
      <c r="I626" s="13"/>
      <c r="J626" s="14"/>
    </row>
    <row r="627" ht="42.0" customHeight="1">
      <c r="A627" s="1">
        <v>626.0</v>
      </c>
      <c r="B627" s="9" t="s">
        <v>21</v>
      </c>
      <c r="C627" s="10" t="s">
        <v>63</v>
      </c>
      <c r="D627" s="16"/>
      <c r="E627" s="16"/>
      <c r="F627" s="12"/>
      <c r="G627" s="13"/>
      <c r="H627" s="13"/>
      <c r="I627" s="13"/>
      <c r="J627" s="14"/>
    </row>
    <row r="628" ht="42.0" customHeight="1">
      <c r="A628" s="1">
        <v>627.0</v>
      </c>
      <c r="B628" s="9" t="s">
        <v>22</v>
      </c>
      <c r="C628" s="10" t="s">
        <v>39</v>
      </c>
      <c r="D628" s="16"/>
      <c r="E628" s="16"/>
      <c r="F628" s="17" t="s">
        <v>359</v>
      </c>
      <c r="G628" s="2">
        <v>1.0</v>
      </c>
      <c r="H628" s="2"/>
      <c r="I628" s="13"/>
      <c r="J628" s="14"/>
    </row>
    <row r="629" ht="42.0" customHeight="1">
      <c r="A629" s="1">
        <v>628.0</v>
      </c>
      <c r="B629" s="9" t="s">
        <v>23</v>
      </c>
      <c r="C629" s="23"/>
      <c r="D629" s="16"/>
      <c r="E629" s="16"/>
      <c r="F629" s="17" t="s">
        <v>393</v>
      </c>
      <c r="G629" s="2">
        <v>1.0</v>
      </c>
      <c r="H629" s="2"/>
      <c r="I629" s="13"/>
      <c r="J629" s="14"/>
    </row>
    <row r="630" ht="42.0" customHeight="1">
      <c r="A630" s="1">
        <v>629.0</v>
      </c>
      <c r="B630" s="9" t="s">
        <v>24</v>
      </c>
      <c r="C630" s="10" t="s">
        <v>277</v>
      </c>
      <c r="D630" s="16"/>
      <c r="E630" s="16"/>
      <c r="F630" s="12"/>
      <c r="G630" s="13"/>
      <c r="H630" s="13"/>
      <c r="I630" s="13"/>
      <c r="J630" s="14"/>
    </row>
    <row r="631" ht="42.0" customHeight="1">
      <c r="A631" s="1">
        <v>630.0</v>
      </c>
      <c r="B631" s="9" t="s">
        <v>25</v>
      </c>
      <c r="C631" s="23"/>
      <c r="D631" s="16"/>
      <c r="E631" s="16"/>
      <c r="F631" s="17" t="s">
        <v>394</v>
      </c>
      <c r="G631" s="13"/>
      <c r="H631" s="13"/>
      <c r="I631" s="13"/>
      <c r="J631" s="14"/>
    </row>
    <row r="632" ht="42.0" customHeight="1">
      <c r="A632" s="1">
        <v>631.0</v>
      </c>
      <c r="B632" s="9" t="s">
        <v>26</v>
      </c>
      <c r="C632" s="10" t="s">
        <v>39</v>
      </c>
      <c r="D632" s="28">
        <v>0.2569444444444444</v>
      </c>
      <c r="E632" s="16"/>
      <c r="F632" s="17" t="s">
        <v>395</v>
      </c>
      <c r="G632" s="2">
        <v>1.0</v>
      </c>
      <c r="H632" s="2"/>
      <c r="I632" s="2">
        <v>1.0</v>
      </c>
      <c r="J632" s="14"/>
    </row>
    <row r="633" ht="42.0" customHeight="1">
      <c r="A633" s="1">
        <v>632.0</v>
      </c>
      <c r="B633" s="9" t="s">
        <v>29</v>
      </c>
      <c r="C633" s="10" t="s">
        <v>54</v>
      </c>
      <c r="D633" s="16"/>
      <c r="E633" s="16"/>
      <c r="F633" s="17" t="s">
        <v>396</v>
      </c>
      <c r="G633" s="2">
        <v>1.0</v>
      </c>
      <c r="H633" s="13"/>
      <c r="I633" s="13"/>
      <c r="J633" s="14"/>
    </row>
    <row r="634" ht="42.0" hidden="1" customHeight="1">
      <c r="A634" s="1">
        <v>633.0</v>
      </c>
      <c r="B634" s="9" t="s">
        <v>30</v>
      </c>
      <c r="C634" s="10" t="s">
        <v>58</v>
      </c>
      <c r="D634" s="16"/>
      <c r="E634" s="16"/>
      <c r="F634" s="17"/>
      <c r="G634" s="13"/>
      <c r="H634" s="13"/>
      <c r="I634" s="2"/>
      <c r="J634" s="14"/>
    </row>
    <row r="635" ht="42.0" customHeight="1">
      <c r="A635" s="1">
        <v>634.0</v>
      </c>
      <c r="B635" s="9" t="s">
        <v>31</v>
      </c>
      <c r="C635" s="10" t="s">
        <v>69</v>
      </c>
      <c r="D635" s="16"/>
      <c r="E635" s="16"/>
      <c r="F635" s="17" t="s">
        <v>397</v>
      </c>
      <c r="G635" s="13"/>
      <c r="H635" s="13"/>
      <c r="I635" s="13"/>
      <c r="J635" s="14"/>
    </row>
    <row r="636" ht="42.0" hidden="1" customHeight="1">
      <c r="A636" s="1">
        <v>635.0</v>
      </c>
      <c r="B636" s="9" t="s">
        <v>32</v>
      </c>
      <c r="C636" s="10" t="s">
        <v>58</v>
      </c>
      <c r="D636" s="16"/>
      <c r="E636" s="16"/>
      <c r="F636" s="12"/>
      <c r="G636" s="13"/>
      <c r="H636" s="13"/>
      <c r="I636" s="13"/>
      <c r="J636" s="14"/>
    </row>
    <row r="637" ht="42.0" hidden="1" customHeight="1">
      <c r="A637" s="1">
        <v>636.0</v>
      </c>
      <c r="B637" s="9" t="s">
        <v>67</v>
      </c>
      <c r="C637" s="10" t="s">
        <v>58</v>
      </c>
      <c r="D637" s="16"/>
      <c r="E637" s="16"/>
      <c r="F637" s="12"/>
      <c r="G637" s="13"/>
      <c r="H637" s="13"/>
      <c r="I637" s="13"/>
      <c r="J637" s="14"/>
    </row>
    <row r="638" ht="42.0" customHeight="1">
      <c r="A638" s="1">
        <v>637.0</v>
      </c>
      <c r="B638" s="9" t="s">
        <v>34</v>
      </c>
      <c r="C638" s="10" t="s">
        <v>27</v>
      </c>
      <c r="D638" s="16"/>
      <c r="E638" s="16"/>
      <c r="F638" s="17" t="s">
        <v>398</v>
      </c>
      <c r="G638" s="2">
        <v>2.0</v>
      </c>
      <c r="H638" s="13"/>
      <c r="I638" s="2">
        <v>1.0</v>
      </c>
      <c r="J638" s="14"/>
    </row>
    <row r="639" ht="42.0" customHeight="1">
      <c r="A639" s="1">
        <v>638.0</v>
      </c>
      <c r="B639" s="9" t="s">
        <v>35</v>
      </c>
      <c r="C639" s="10" t="s">
        <v>69</v>
      </c>
      <c r="D639" s="16"/>
      <c r="E639" s="16"/>
      <c r="F639" s="17" t="s">
        <v>399</v>
      </c>
      <c r="G639" s="2">
        <v>1.0</v>
      </c>
      <c r="H639" s="13"/>
      <c r="I639" s="2">
        <v>1.0</v>
      </c>
      <c r="J639" s="14"/>
    </row>
    <row r="640" ht="42.0" hidden="1" customHeight="1">
      <c r="A640" s="1">
        <v>639.0</v>
      </c>
      <c r="B640" s="9" t="s">
        <v>36</v>
      </c>
      <c r="C640" s="10" t="s">
        <v>66</v>
      </c>
      <c r="D640" s="16"/>
      <c r="E640" s="16"/>
      <c r="F640" s="12"/>
      <c r="G640" s="13"/>
      <c r="H640" s="13"/>
      <c r="I640" s="13"/>
      <c r="J640" s="14"/>
    </row>
    <row r="641" ht="42.0" customHeight="1">
      <c r="A641" s="1">
        <v>640.0</v>
      </c>
      <c r="B641" s="9" t="s">
        <v>38</v>
      </c>
      <c r="C641" s="23"/>
      <c r="D641" s="16"/>
      <c r="E641" s="16"/>
      <c r="F641" s="17" t="s">
        <v>400</v>
      </c>
      <c r="G641" s="2">
        <v>1.0</v>
      </c>
      <c r="H641" s="13"/>
      <c r="I641" s="13"/>
      <c r="J641" s="14"/>
    </row>
    <row r="642" ht="42.0" hidden="1" customHeight="1">
      <c r="A642" s="1">
        <v>641.0</v>
      </c>
      <c r="B642" s="9" t="s">
        <v>41</v>
      </c>
      <c r="C642" s="10" t="s">
        <v>58</v>
      </c>
      <c r="D642" s="16"/>
      <c r="E642" s="16"/>
      <c r="F642" s="12"/>
      <c r="G642" s="13"/>
      <c r="H642" s="13"/>
      <c r="I642" s="13"/>
      <c r="J642" s="14"/>
    </row>
    <row r="643" ht="42.0" customHeight="1">
      <c r="A643" s="1">
        <v>642.0</v>
      </c>
      <c r="B643" s="9" t="s">
        <v>42</v>
      </c>
      <c r="C643" s="10" t="s">
        <v>54</v>
      </c>
      <c r="D643" s="16"/>
      <c r="E643" s="26">
        <v>0.875</v>
      </c>
      <c r="F643" s="17" t="s">
        <v>401</v>
      </c>
      <c r="G643" s="2">
        <v>1.0</v>
      </c>
      <c r="H643" s="13"/>
      <c r="I643" s="13"/>
      <c r="J643" s="14"/>
    </row>
    <row r="644" ht="42.0" customHeight="1">
      <c r="A644" s="1">
        <v>643.0</v>
      </c>
      <c r="B644" s="9" t="s">
        <v>43</v>
      </c>
      <c r="C644" s="10" t="s">
        <v>54</v>
      </c>
      <c r="D644" s="16"/>
      <c r="E644" s="16"/>
      <c r="F644" s="17" t="s">
        <v>402</v>
      </c>
      <c r="G644" s="2">
        <v>1.0</v>
      </c>
      <c r="H644" s="13"/>
      <c r="I644" s="2">
        <v>1.0</v>
      </c>
      <c r="J644" s="14"/>
    </row>
    <row r="645" ht="42.0" customHeight="1">
      <c r="A645" s="1">
        <v>644.0</v>
      </c>
      <c r="B645" s="9" t="s">
        <v>45</v>
      </c>
      <c r="C645" s="10" t="s">
        <v>44</v>
      </c>
      <c r="D645" s="16"/>
      <c r="E645" s="16"/>
      <c r="F645" s="12"/>
      <c r="G645" s="13"/>
      <c r="H645" s="13"/>
      <c r="I645" s="13"/>
      <c r="J645" s="14"/>
    </row>
    <row r="646" ht="42.0" customHeight="1">
      <c r="A646" s="1">
        <v>645.0</v>
      </c>
      <c r="B646" s="9" t="s">
        <v>46</v>
      </c>
      <c r="C646" s="10" t="s">
        <v>54</v>
      </c>
      <c r="D646" s="16"/>
      <c r="E646" s="16"/>
      <c r="F646" s="17" t="s">
        <v>403</v>
      </c>
      <c r="G646" s="2">
        <v>2.0</v>
      </c>
      <c r="H646" s="13"/>
      <c r="I646" s="2"/>
      <c r="J646" s="14"/>
    </row>
    <row r="647" ht="42.0" customHeight="1">
      <c r="A647" s="1">
        <v>646.0</v>
      </c>
      <c r="B647" s="9" t="s">
        <v>47</v>
      </c>
      <c r="C647" s="23"/>
      <c r="D647" s="16"/>
      <c r="E647" s="16"/>
      <c r="F647" s="17" t="s">
        <v>404</v>
      </c>
      <c r="G647" s="13"/>
      <c r="H647" s="13"/>
      <c r="I647" s="13"/>
      <c r="J647" s="14"/>
    </row>
    <row r="648" ht="42.0" hidden="1" customHeight="1">
      <c r="A648" s="1">
        <v>647.0</v>
      </c>
      <c r="B648" s="9" t="s">
        <v>48</v>
      </c>
      <c r="C648" s="10" t="s">
        <v>66</v>
      </c>
      <c r="D648" s="16"/>
      <c r="E648" s="16"/>
      <c r="F648" s="12"/>
      <c r="G648" s="13"/>
      <c r="H648" s="13"/>
      <c r="I648" s="13"/>
      <c r="J648" s="14"/>
    </row>
    <row r="649" ht="42.0" customHeight="1">
      <c r="A649" s="1">
        <v>648.0</v>
      </c>
      <c r="B649" s="18"/>
      <c r="C649" s="19"/>
      <c r="D649" s="18"/>
      <c r="E649" s="18"/>
      <c r="F649" s="20"/>
      <c r="G649" s="21"/>
      <c r="H649" s="21"/>
      <c r="I649" s="21"/>
      <c r="J649" s="22"/>
    </row>
    <row r="650" ht="42.0" customHeight="1">
      <c r="A650" s="1">
        <v>649.0</v>
      </c>
      <c r="B650" s="9" t="s">
        <v>12</v>
      </c>
      <c r="C650" s="10" t="s">
        <v>54</v>
      </c>
      <c r="D650" s="28">
        <v>0.2916666666666667</v>
      </c>
      <c r="E650" s="16"/>
      <c r="F650" s="17" t="s">
        <v>405</v>
      </c>
      <c r="G650" s="2">
        <v>1.0</v>
      </c>
      <c r="H650" s="13"/>
      <c r="I650" s="13"/>
      <c r="J650" s="14" t="s">
        <v>14</v>
      </c>
      <c r="K650" s="15" t="s">
        <v>406</v>
      </c>
    </row>
    <row r="651" ht="42.0" hidden="1" customHeight="1">
      <c r="A651" s="1">
        <v>650.0</v>
      </c>
      <c r="B651" s="9" t="s">
        <v>16</v>
      </c>
      <c r="C651" s="10" t="s">
        <v>13</v>
      </c>
      <c r="D651" s="16"/>
      <c r="E651" s="16"/>
      <c r="F651" s="12"/>
      <c r="G651" s="13"/>
      <c r="H651" s="13"/>
      <c r="I651" s="13"/>
      <c r="J651" s="14" t="s">
        <v>406</v>
      </c>
    </row>
    <row r="652" ht="42.0" customHeight="1">
      <c r="A652" s="1">
        <v>651.0</v>
      </c>
      <c r="B652" s="9" t="s">
        <v>17</v>
      </c>
      <c r="C652" s="10"/>
      <c r="D652" s="16"/>
      <c r="E652" s="16"/>
      <c r="F652" s="17" t="s">
        <v>407</v>
      </c>
      <c r="G652" s="2">
        <v>1.0</v>
      </c>
      <c r="H652" s="13"/>
      <c r="I652" s="13"/>
      <c r="J652" s="14" t="s">
        <v>95</v>
      </c>
    </row>
    <row r="653" ht="42.0" hidden="1" customHeight="1">
      <c r="A653" s="1">
        <v>652.0</v>
      </c>
      <c r="B653" s="9" t="s">
        <v>331</v>
      </c>
      <c r="C653" s="10" t="s">
        <v>13</v>
      </c>
      <c r="D653" s="16"/>
      <c r="E653" s="16"/>
      <c r="F653" s="12"/>
      <c r="G653" s="13"/>
      <c r="H653" s="13"/>
      <c r="I653" s="13"/>
      <c r="J653" s="14" t="s">
        <v>262</v>
      </c>
    </row>
    <row r="654" ht="42.0" hidden="1" customHeight="1">
      <c r="A654" s="1">
        <v>653.0</v>
      </c>
      <c r="B654" s="9" t="s">
        <v>21</v>
      </c>
      <c r="C654" s="10" t="s">
        <v>13</v>
      </c>
      <c r="D654" s="16"/>
      <c r="E654" s="16"/>
      <c r="F654" s="12"/>
      <c r="G654" s="13"/>
      <c r="H654" s="13"/>
      <c r="I654" s="13"/>
      <c r="J654" s="14" t="s">
        <v>264</v>
      </c>
    </row>
    <row r="655" ht="42.0" customHeight="1">
      <c r="A655" s="1">
        <v>654.0</v>
      </c>
      <c r="B655" s="9" t="s">
        <v>22</v>
      </c>
      <c r="C655" s="23"/>
      <c r="D655" s="16"/>
      <c r="E655" s="16"/>
      <c r="F655" s="17" t="s">
        <v>408</v>
      </c>
      <c r="G655" s="2">
        <v>1.0</v>
      </c>
      <c r="H655" s="13"/>
      <c r="I655" s="13"/>
      <c r="J655" s="14" t="s">
        <v>265</v>
      </c>
    </row>
    <row r="656" ht="42.0" customHeight="1">
      <c r="A656" s="1">
        <v>655.0</v>
      </c>
      <c r="B656" s="9" t="s">
        <v>23</v>
      </c>
      <c r="C656" s="10" t="s">
        <v>69</v>
      </c>
      <c r="D656" s="16"/>
      <c r="E656" s="16"/>
      <c r="F656" s="17" t="s">
        <v>409</v>
      </c>
      <c r="G656" s="2">
        <v>1.0</v>
      </c>
      <c r="H656" s="13"/>
      <c r="I656" s="13"/>
      <c r="J656" s="14"/>
    </row>
    <row r="657" ht="42.0" hidden="1" customHeight="1">
      <c r="A657" s="1">
        <v>656.0</v>
      </c>
      <c r="B657" s="9" t="s">
        <v>24</v>
      </c>
      <c r="C657" s="10" t="s">
        <v>13</v>
      </c>
      <c r="D657" s="16"/>
      <c r="E657" s="16"/>
      <c r="F657" s="12"/>
      <c r="G657" s="13"/>
      <c r="H657" s="13"/>
      <c r="I657" s="13"/>
      <c r="J657" s="14" t="s">
        <v>410</v>
      </c>
    </row>
    <row r="658" ht="42.0" customHeight="1">
      <c r="A658" s="1">
        <v>657.0</v>
      </c>
      <c r="B658" s="9" t="s">
        <v>116</v>
      </c>
      <c r="C658" s="10"/>
      <c r="D658" s="28">
        <v>0.3333333333333333</v>
      </c>
      <c r="E658" s="16"/>
      <c r="F658" s="17" t="s">
        <v>411</v>
      </c>
      <c r="G658" s="2">
        <v>1.0</v>
      </c>
      <c r="H658" s="13"/>
      <c r="I658" s="2">
        <v>1.0</v>
      </c>
      <c r="J658" s="14" t="s">
        <v>412</v>
      </c>
    </row>
    <row r="659" ht="42.0" hidden="1" customHeight="1">
      <c r="A659" s="1">
        <v>658.0</v>
      </c>
      <c r="B659" s="9" t="s">
        <v>26</v>
      </c>
      <c r="C659" s="10" t="s">
        <v>13</v>
      </c>
      <c r="D659" s="16"/>
      <c r="E659" s="16"/>
      <c r="F659" s="12"/>
      <c r="G659" s="13"/>
      <c r="H659" s="13"/>
      <c r="I659" s="13"/>
      <c r="J659" s="14" t="s">
        <v>413</v>
      </c>
    </row>
    <row r="660" ht="42.0" customHeight="1">
      <c r="A660" s="1">
        <v>659.0</v>
      </c>
      <c r="B660" s="9" t="s">
        <v>29</v>
      </c>
      <c r="C660" s="10" t="s">
        <v>54</v>
      </c>
      <c r="D660" s="16"/>
      <c r="E660" s="16"/>
      <c r="F660" s="17" t="s">
        <v>414</v>
      </c>
      <c r="G660" s="2">
        <v>1.0</v>
      </c>
      <c r="H660" s="13"/>
      <c r="I660" s="13"/>
      <c r="J660" s="14"/>
    </row>
    <row r="661" ht="42.0" hidden="1" customHeight="1">
      <c r="A661" s="1">
        <v>660.0</v>
      </c>
      <c r="B661" s="9" t="s">
        <v>30</v>
      </c>
      <c r="C661" s="10" t="s">
        <v>13</v>
      </c>
      <c r="D661" s="16"/>
      <c r="E661" s="16"/>
      <c r="F661" s="12"/>
      <c r="G661" s="13"/>
      <c r="H661" s="13"/>
      <c r="I661" s="13"/>
      <c r="J661" s="14"/>
    </row>
    <row r="662" ht="42.0" hidden="1" customHeight="1">
      <c r="A662" s="1">
        <v>661.0</v>
      </c>
      <c r="B662" s="9" t="s">
        <v>31</v>
      </c>
      <c r="C662" s="10" t="s">
        <v>13</v>
      </c>
      <c r="D662" s="16"/>
      <c r="E662" s="16"/>
      <c r="F662" s="12"/>
      <c r="G662" s="13"/>
      <c r="H662" s="13"/>
      <c r="I662" s="13"/>
      <c r="J662" s="14"/>
    </row>
    <row r="663" ht="42.0" hidden="1" customHeight="1">
      <c r="A663" s="1">
        <v>662.0</v>
      </c>
      <c r="B663" s="9" t="s">
        <v>32</v>
      </c>
      <c r="C663" s="10" t="s">
        <v>13</v>
      </c>
      <c r="D663" s="16"/>
      <c r="E663" s="16"/>
      <c r="F663" s="12"/>
      <c r="G663" s="13"/>
      <c r="H663" s="13"/>
      <c r="I663" s="13"/>
      <c r="J663" s="14"/>
    </row>
    <row r="664" ht="42.0" hidden="1" customHeight="1">
      <c r="A664" s="1">
        <v>663.0</v>
      </c>
      <c r="B664" s="9" t="s">
        <v>67</v>
      </c>
      <c r="C664" s="10" t="s">
        <v>13</v>
      </c>
      <c r="D664" s="16"/>
      <c r="E664" s="16"/>
      <c r="F664" s="12"/>
      <c r="G664" s="13"/>
      <c r="H664" s="13"/>
      <c r="I664" s="13"/>
      <c r="J664" s="14"/>
    </row>
    <row r="665" ht="42.0" customHeight="1">
      <c r="A665" s="1">
        <v>664.0</v>
      </c>
      <c r="B665" s="9" t="s">
        <v>34</v>
      </c>
      <c r="C665" s="10" t="s">
        <v>44</v>
      </c>
      <c r="D665" s="16"/>
      <c r="E665" s="26">
        <v>0.3541666666666667</v>
      </c>
      <c r="F665" s="17" t="s">
        <v>415</v>
      </c>
      <c r="G665" s="13"/>
      <c r="H665" s="13"/>
      <c r="I665" s="13"/>
      <c r="J665" s="14"/>
    </row>
    <row r="666" ht="42.0" customHeight="1">
      <c r="A666" s="1">
        <v>665.0</v>
      </c>
      <c r="B666" s="9" t="s">
        <v>35</v>
      </c>
      <c r="C666" s="23"/>
      <c r="D666" s="16"/>
      <c r="E666" s="16"/>
      <c r="F666" s="17" t="s">
        <v>416</v>
      </c>
      <c r="G666" s="2">
        <v>1.0</v>
      </c>
      <c r="H666" s="13"/>
      <c r="I666" s="13"/>
      <c r="J666" s="14"/>
    </row>
    <row r="667" ht="42.0" customHeight="1">
      <c r="A667" s="1">
        <v>666.0</v>
      </c>
      <c r="B667" s="9" t="s">
        <v>36</v>
      </c>
      <c r="C667" s="10" t="s">
        <v>69</v>
      </c>
      <c r="D667" s="16"/>
      <c r="E667" s="16"/>
      <c r="F667" s="17" t="s">
        <v>417</v>
      </c>
      <c r="G667" s="2">
        <v>1.0</v>
      </c>
      <c r="H667" s="13"/>
      <c r="I667" s="13"/>
      <c r="J667" s="14"/>
    </row>
    <row r="668" ht="42.0" customHeight="1">
      <c r="A668" s="1">
        <v>667.0</v>
      </c>
      <c r="B668" s="9" t="s">
        <v>38</v>
      </c>
      <c r="C668" s="10" t="s">
        <v>39</v>
      </c>
      <c r="D668" s="28">
        <v>0.3333333333333333</v>
      </c>
      <c r="E668" s="16"/>
      <c r="F668" s="17" t="s">
        <v>418</v>
      </c>
      <c r="G668" s="2">
        <v>1.0</v>
      </c>
      <c r="H668" s="13"/>
      <c r="I668" s="13"/>
      <c r="J668" s="14"/>
    </row>
    <row r="669" ht="42.0" hidden="1" customHeight="1">
      <c r="A669" s="1">
        <v>668.0</v>
      </c>
      <c r="B669" s="9" t="s">
        <v>41</v>
      </c>
      <c r="C669" s="10" t="s">
        <v>13</v>
      </c>
      <c r="D669" s="16"/>
      <c r="E669" s="16"/>
      <c r="F669" s="12"/>
      <c r="G669" s="13"/>
      <c r="H669" s="13"/>
      <c r="I669" s="13"/>
      <c r="J669" s="14"/>
    </row>
    <row r="670" ht="42.0" hidden="1" customHeight="1">
      <c r="A670" s="1">
        <v>669.0</v>
      </c>
      <c r="B670" s="9" t="s">
        <v>42</v>
      </c>
      <c r="C670" s="10" t="s">
        <v>13</v>
      </c>
      <c r="D670" s="16"/>
      <c r="E670" s="16"/>
      <c r="F670" s="12"/>
      <c r="G670" s="13"/>
      <c r="H670" s="13"/>
      <c r="I670" s="13"/>
      <c r="J670" s="14"/>
    </row>
    <row r="671" ht="42.0" customHeight="1">
      <c r="A671" s="1">
        <v>670.0</v>
      </c>
      <c r="B671" s="9" t="s">
        <v>43</v>
      </c>
      <c r="C671" s="10"/>
      <c r="D671" s="28">
        <v>0.3333333333333333</v>
      </c>
      <c r="E671" s="16"/>
      <c r="F671" s="17" t="s">
        <v>419</v>
      </c>
      <c r="G671" s="2">
        <v>1.0</v>
      </c>
      <c r="H671" s="13"/>
      <c r="I671" s="13"/>
      <c r="J671" s="14"/>
    </row>
    <row r="672" ht="42.0" customHeight="1">
      <c r="A672" s="1">
        <v>671.0</v>
      </c>
      <c r="B672" s="9" t="s">
        <v>45</v>
      </c>
      <c r="C672" s="10" t="s">
        <v>27</v>
      </c>
      <c r="D672" s="16"/>
      <c r="E672" s="16"/>
      <c r="F672" s="17" t="s">
        <v>420</v>
      </c>
      <c r="G672" s="2">
        <v>2.0</v>
      </c>
      <c r="H672" s="13"/>
      <c r="I672" s="2">
        <v>1.0</v>
      </c>
      <c r="J672" s="14"/>
    </row>
    <row r="673" ht="42.0" hidden="1" customHeight="1">
      <c r="A673" s="1">
        <v>672.0</v>
      </c>
      <c r="B673" s="9" t="s">
        <v>46</v>
      </c>
      <c r="C673" s="10" t="s">
        <v>13</v>
      </c>
      <c r="D673" s="16"/>
      <c r="E673" s="16"/>
      <c r="F673" s="12"/>
      <c r="G673" s="13"/>
      <c r="H673" s="13"/>
      <c r="I673" s="13"/>
      <c r="J673" s="14"/>
    </row>
    <row r="674" ht="42.0" customHeight="1">
      <c r="A674" s="1">
        <v>673.0</v>
      </c>
      <c r="B674" s="9" t="s">
        <v>47</v>
      </c>
      <c r="C674" s="23"/>
      <c r="D674" s="16"/>
      <c r="E674" s="16"/>
      <c r="F674" s="17" t="s">
        <v>421</v>
      </c>
      <c r="G674" s="2">
        <v>1.0</v>
      </c>
      <c r="H674" s="13"/>
      <c r="I674" s="13"/>
      <c r="J674" s="14"/>
    </row>
    <row r="675" ht="42.0" hidden="1" customHeight="1">
      <c r="A675" s="1">
        <v>674.0</v>
      </c>
      <c r="B675" s="9" t="s">
        <v>48</v>
      </c>
      <c r="C675" s="10" t="s">
        <v>13</v>
      </c>
      <c r="D675" s="16"/>
      <c r="E675" s="16"/>
      <c r="F675" s="12"/>
      <c r="G675" s="13"/>
      <c r="H675" s="13"/>
      <c r="I675" s="13"/>
      <c r="J675" s="14"/>
    </row>
    <row r="676" ht="42.0" customHeight="1">
      <c r="A676" s="1">
        <v>675.0</v>
      </c>
      <c r="B676" s="18"/>
      <c r="C676" s="19"/>
      <c r="D676" s="18"/>
      <c r="E676" s="18"/>
      <c r="F676" s="20"/>
      <c r="G676" s="21"/>
      <c r="H676" s="21"/>
      <c r="I676" s="21"/>
      <c r="J676" s="22"/>
    </row>
    <row r="677" ht="42.0" customHeight="1">
      <c r="A677" s="1">
        <v>676.0</v>
      </c>
      <c r="B677" s="9" t="s">
        <v>12</v>
      </c>
      <c r="C677" s="10" t="s">
        <v>62</v>
      </c>
      <c r="D677" s="16"/>
      <c r="E677" s="16"/>
      <c r="F677" s="17" t="s">
        <v>422</v>
      </c>
      <c r="G677" s="13"/>
      <c r="H677" s="13"/>
      <c r="I677" s="13"/>
      <c r="J677" s="14" t="s">
        <v>14</v>
      </c>
      <c r="K677" s="15" t="s">
        <v>423</v>
      </c>
    </row>
    <row r="678" ht="42.0" customHeight="1">
      <c r="A678" s="1">
        <v>677.0</v>
      </c>
      <c r="B678" s="9" t="s">
        <v>16</v>
      </c>
      <c r="C678" s="23"/>
      <c r="D678" s="16"/>
      <c r="E678" s="16"/>
      <c r="F678" s="17" t="s">
        <v>424</v>
      </c>
      <c r="G678" s="2">
        <v>2.0</v>
      </c>
      <c r="H678" s="13"/>
      <c r="I678" s="2">
        <v>1.0</v>
      </c>
      <c r="J678" s="14" t="s">
        <v>423</v>
      </c>
    </row>
    <row r="679" ht="42.0" hidden="1" customHeight="1">
      <c r="A679" s="1">
        <v>678.0</v>
      </c>
      <c r="B679" s="9" t="s">
        <v>17</v>
      </c>
      <c r="C679" s="10" t="s">
        <v>58</v>
      </c>
      <c r="D679" s="16"/>
      <c r="E679" s="16"/>
      <c r="F679" s="17"/>
      <c r="G679" s="13"/>
      <c r="H679" s="13"/>
      <c r="I679" s="13"/>
      <c r="J679" s="14" t="s">
        <v>111</v>
      </c>
    </row>
    <row r="680" ht="42.0" hidden="1" customHeight="1">
      <c r="A680" s="1">
        <v>679.0</v>
      </c>
      <c r="B680" s="9" t="s">
        <v>331</v>
      </c>
      <c r="C680" s="10" t="s">
        <v>58</v>
      </c>
      <c r="D680" s="16"/>
      <c r="E680" s="16"/>
      <c r="F680" s="12"/>
      <c r="G680" s="13"/>
      <c r="H680" s="13"/>
      <c r="I680" s="13"/>
      <c r="J680" s="14"/>
    </row>
    <row r="681" ht="42.0" customHeight="1">
      <c r="A681" s="1">
        <v>680.0</v>
      </c>
      <c r="B681" s="9" t="s">
        <v>21</v>
      </c>
      <c r="C681" s="10" t="s">
        <v>63</v>
      </c>
      <c r="D681" s="16"/>
      <c r="E681" s="16"/>
      <c r="F681" s="12"/>
      <c r="G681" s="13"/>
      <c r="H681" s="13"/>
      <c r="I681" s="13"/>
      <c r="J681" s="14"/>
    </row>
    <row r="682" ht="42.0" customHeight="1">
      <c r="A682" s="1">
        <v>681.0</v>
      </c>
      <c r="B682" s="9" t="s">
        <v>22</v>
      </c>
      <c r="C682" s="10" t="s">
        <v>27</v>
      </c>
      <c r="D682" s="16"/>
      <c r="E682" s="16"/>
      <c r="F682" s="17" t="s">
        <v>425</v>
      </c>
      <c r="G682" s="2">
        <v>1.0</v>
      </c>
      <c r="H682" s="13"/>
      <c r="I682" s="13"/>
      <c r="J682" s="14"/>
    </row>
    <row r="683" ht="42.0" customHeight="1">
      <c r="A683" s="1">
        <v>682.0</v>
      </c>
      <c r="B683" s="9" t="s">
        <v>23</v>
      </c>
      <c r="C683" s="23"/>
      <c r="D683" s="16"/>
      <c r="E683" s="16"/>
      <c r="F683" s="17" t="s">
        <v>426</v>
      </c>
      <c r="G683" s="2">
        <v>1.0</v>
      </c>
      <c r="H683" s="13"/>
      <c r="I683" s="13"/>
      <c r="J683" s="14"/>
    </row>
    <row r="684" ht="42.0" customHeight="1">
      <c r="A684" s="1">
        <v>683.0</v>
      </c>
      <c r="B684" s="9" t="s">
        <v>24</v>
      </c>
      <c r="C684" s="10" t="s">
        <v>277</v>
      </c>
      <c r="D684" s="16"/>
      <c r="E684" s="16"/>
      <c r="F684" s="12"/>
      <c r="G684" s="13"/>
      <c r="H684" s="13"/>
      <c r="I684" s="13"/>
      <c r="J684" s="14"/>
    </row>
    <row r="685" ht="42.0" customHeight="1">
      <c r="A685" s="1">
        <v>684.0</v>
      </c>
      <c r="B685" s="9" t="s">
        <v>25</v>
      </c>
      <c r="C685" s="10" t="s">
        <v>39</v>
      </c>
      <c r="D685" s="16"/>
      <c r="E685" s="16"/>
      <c r="F685" s="17" t="s">
        <v>427</v>
      </c>
      <c r="G685" s="2">
        <v>1.0</v>
      </c>
      <c r="H685" s="13"/>
      <c r="I685" s="13"/>
      <c r="J685" s="14"/>
    </row>
    <row r="686" ht="42.0" hidden="1" customHeight="1">
      <c r="A686" s="1">
        <v>685.0</v>
      </c>
      <c r="B686" s="9" t="s">
        <v>26</v>
      </c>
      <c r="C686" s="10" t="s">
        <v>58</v>
      </c>
      <c r="D686" s="16"/>
      <c r="E686" s="16"/>
      <c r="F686" s="12"/>
      <c r="G686" s="13"/>
      <c r="H686" s="13"/>
      <c r="I686" s="13"/>
      <c r="J686" s="14"/>
    </row>
    <row r="687" ht="42.0" customHeight="1">
      <c r="A687" s="1">
        <v>686.0</v>
      </c>
      <c r="B687" s="9" t="s">
        <v>29</v>
      </c>
      <c r="C687" s="10" t="s">
        <v>69</v>
      </c>
      <c r="D687" s="16"/>
      <c r="E687" s="16"/>
      <c r="F687" s="17" t="s">
        <v>428</v>
      </c>
      <c r="G687" s="2">
        <v>1.0</v>
      </c>
      <c r="H687" s="13"/>
      <c r="I687" s="13"/>
      <c r="J687" s="14"/>
    </row>
    <row r="688" ht="42.0" hidden="1" customHeight="1">
      <c r="A688" s="1">
        <v>687.0</v>
      </c>
      <c r="B688" s="9" t="s">
        <v>30</v>
      </c>
      <c r="C688" s="10" t="s">
        <v>58</v>
      </c>
      <c r="D688" s="16"/>
      <c r="E688" s="16"/>
      <c r="F688" s="12"/>
      <c r="G688" s="13"/>
      <c r="H688" s="13"/>
      <c r="I688" s="13"/>
      <c r="J688" s="14"/>
    </row>
    <row r="689" ht="42.0" hidden="1" customHeight="1">
      <c r="A689" s="1">
        <v>688.0</v>
      </c>
      <c r="B689" s="9" t="s">
        <v>31</v>
      </c>
      <c r="C689" s="10" t="s">
        <v>66</v>
      </c>
      <c r="D689" s="16"/>
      <c r="E689" s="16"/>
      <c r="F689" s="12"/>
      <c r="G689" s="13"/>
      <c r="H689" s="13"/>
      <c r="I689" s="13"/>
      <c r="J689" s="14"/>
    </row>
    <row r="690" ht="42.0" customHeight="1">
      <c r="A690" s="1">
        <v>689.0</v>
      </c>
      <c r="B690" s="9" t="s">
        <v>32</v>
      </c>
      <c r="C690" s="23"/>
      <c r="D690" s="16"/>
      <c r="E690" s="16"/>
      <c r="F690" s="17" t="s">
        <v>404</v>
      </c>
      <c r="G690" s="13"/>
      <c r="H690" s="13"/>
      <c r="I690" s="13"/>
      <c r="J690" s="14"/>
    </row>
    <row r="691" ht="42.0" customHeight="1">
      <c r="A691" s="1">
        <v>690.0</v>
      </c>
      <c r="B691" s="9" t="s">
        <v>67</v>
      </c>
      <c r="C691" s="10" t="s">
        <v>54</v>
      </c>
      <c r="D691" s="16"/>
      <c r="E691" s="16"/>
      <c r="F691" s="17" t="s">
        <v>429</v>
      </c>
      <c r="G691" s="2">
        <v>1.0</v>
      </c>
      <c r="H691" s="13"/>
      <c r="I691" s="13"/>
      <c r="J691" s="14"/>
    </row>
    <row r="692" ht="42.0" hidden="1" customHeight="1">
      <c r="A692" s="1">
        <v>691.0</v>
      </c>
      <c r="B692" s="9" t="s">
        <v>34</v>
      </c>
      <c r="C692" s="10" t="s">
        <v>58</v>
      </c>
      <c r="D692" s="16"/>
      <c r="E692" s="16"/>
      <c r="F692" s="12"/>
      <c r="G692" s="13"/>
      <c r="H692" s="13"/>
      <c r="I692" s="13"/>
      <c r="J692" s="14"/>
    </row>
    <row r="693" ht="42.0" customHeight="1">
      <c r="A693" s="1">
        <v>692.0</v>
      </c>
      <c r="B693" s="9" t="s">
        <v>35</v>
      </c>
      <c r="C693" s="10" t="s">
        <v>54</v>
      </c>
      <c r="D693" s="16"/>
      <c r="E693" s="16"/>
      <c r="F693" s="17" t="s">
        <v>430</v>
      </c>
      <c r="G693" s="2">
        <v>1.0</v>
      </c>
      <c r="H693" s="2">
        <v>1.0</v>
      </c>
      <c r="I693" s="13"/>
      <c r="J693" s="14"/>
    </row>
    <row r="694" ht="42.0" customHeight="1">
      <c r="A694" s="1">
        <v>693.0</v>
      </c>
      <c r="B694" s="9" t="s">
        <v>36</v>
      </c>
      <c r="C694" s="10" t="s">
        <v>69</v>
      </c>
      <c r="D694" s="16"/>
      <c r="E694" s="16"/>
      <c r="F694" s="17" t="s">
        <v>431</v>
      </c>
      <c r="G694" s="2"/>
      <c r="H694" s="13"/>
      <c r="I694" s="13"/>
      <c r="J694" s="14"/>
    </row>
    <row r="695" ht="42.0" customHeight="1">
      <c r="A695" s="1">
        <v>694.0</v>
      </c>
      <c r="B695" s="9" t="s">
        <v>38</v>
      </c>
      <c r="C695" s="23"/>
      <c r="D695" s="16"/>
      <c r="E695" s="16"/>
      <c r="F695" s="17" t="s">
        <v>432</v>
      </c>
      <c r="G695" s="2">
        <v>1.0</v>
      </c>
      <c r="H695" s="13"/>
      <c r="I695" s="13"/>
      <c r="J695" s="14"/>
    </row>
    <row r="696" ht="42.0" hidden="1" customHeight="1">
      <c r="A696" s="1">
        <v>695.0</v>
      </c>
      <c r="B696" s="9" t="s">
        <v>41</v>
      </c>
      <c r="C696" s="10" t="s">
        <v>58</v>
      </c>
      <c r="D696" s="16"/>
      <c r="E696" s="16"/>
      <c r="F696" s="12"/>
      <c r="G696" s="13"/>
      <c r="H696" s="13"/>
      <c r="I696" s="13"/>
      <c r="J696" s="14"/>
    </row>
    <row r="697" ht="42.0" customHeight="1">
      <c r="A697" s="1">
        <v>696.0</v>
      </c>
      <c r="B697" s="9" t="s">
        <v>42</v>
      </c>
      <c r="C697" s="10" t="s">
        <v>54</v>
      </c>
      <c r="D697" s="16"/>
      <c r="E697" s="16"/>
      <c r="F697" s="17" t="s">
        <v>433</v>
      </c>
      <c r="G697" s="2">
        <v>1.0</v>
      </c>
      <c r="H697" s="13"/>
      <c r="I697" s="13"/>
      <c r="J697" s="14"/>
    </row>
    <row r="698" ht="42.0" customHeight="1">
      <c r="A698" s="1">
        <v>697.0</v>
      </c>
      <c r="B698" s="9" t="s">
        <v>43</v>
      </c>
      <c r="C698" s="10" t="s">
        <v>54</v>
      </c>
      <c r="D698" s="16"/>
      <c r="E698" s="16"/>
      <c r="F698" s="17" t="s">
        <v>434</v>
      </c>
      <c r="G698" s="2">
        <v>2.0</v>
      </c>
      <c r="H698" s="13"/>
      <c r="I698" s="2">
        <v>2.0</v>
      </c>
      <c r="J698" s="14"/>
    </row>
    <row r="699" ht="42.0" customHeight="1">
      <c r="A699" s="1">
        <v>698.0</v>
      </c>
      <c r="B699" s="9" t="s">
        <v>45</v>
      </c>
      <c r="C699" s="10" t="s">
        <v>44</v>
      </c>
      <c r="D699" s="16"/>
      <c r="E699" s="16"/>
      <c r="F699" s="12"/>
      <c r="G699" s="13"/>
      <c r="H699" s="13"/>
      <c r="I699" s="13"/>
      <c r="J699" s="14"/>
    </row>
    <row r="700" ht="42.0" customHeight="1">
      <c r="A700" s="1">
        <v>699.0</v>
      </c>
      <c r="B700" s="9" t="s">
        <v>46</v>
      </c>
      <c r="C700" s="23"/>
      <c r="D700" s="16"/>
      <c r="E700" s="16"/>
      <c r="F700" s="17" t="s">
        <v>435</v>
      </c>
      <c r="G700" s="2">
        <v>2.0</v>
      </c>
      <c r="H700" s="13"/>
      <c r="I700" s="2">
        <v>1.0</v>
      </c>
      <c r="J700" s="14"/>
    </row>
    <row r="701" ht="42.0" customHeight="1">
      <c r="A701" s="1">
        <v>700.0</v>
      </c>
      <c r="B701" s="9" t="s">
        <v>47</v>
      </c>
      <c r="C701" s="10" t="s">
        <v>69</v>
      </c>
      <c r="D701" s="16"/>
      <c r="E701" s="16"/>
      <c r="F701" s="17" t="s">
        <v>436</v>
      </c>
      <c r="G701" s="2">
        <v>1.0</v>
      </c>
      <c r="H701" s="13"/>
      <c r="I701" s="13"/>
      <c r="J701" s="14"/>
    </row>
    <row r="702" ht="42.0" customHeight="1">
      <c r="A702" s="1">
        <v>701.0</v>
      </c>
      <c r="B702" s="9" t="s">
        <v>48</v>
      </c>
      <c r="C702" s="10" t="s">
        <v>39</v>
      </c>
      <c r="D702" s="16"/>
      <c r="E702" s="16"/>
      <c r="F702" s="17" t="s">
        <v>432</v>
      </c>
      <c r="G702" s="2">
        <v>1.0</v>
      </c>
      <c r="H702" s="13"/>
      <c r="I702" s="2"/>
      <c r="J702" s="14"/>
    </row>
    <row r="703" ht="42.0" customHeight="1">
      <c r="A703" s="1">
        <v>702.0</v>
      </c>
      <c r="B703" s="18"/>
      <c r="C703" s="19"/>
      <c r="D703" s="18"/>
      <c r="E703" s="18"/>
      <c r="F703" s="20"/>
      <c r="G703" s="21"/>
      <c r="H703" s="21"/>
      <c r="I703" s="21"/>
      <c r="J703" s="22"/>
    </row>
    <row r="704" ht="42.0" customHeight="1">
      <c r="A704" s="1">
        <v>703.0</v>
      </c>
      <c r="B704" s="9" t="s">
        <v>12</v>
      </c>
      <c r="C704" s="10" t="s">
        <v>62</v>
      </c>
      <c r="D704" s="16"/>
      <c r="E704" s="16"/>
      <c r="F704" s="17" t="s">
        <v>437</v>
      </c>
      <c r="G704" s="2">
        <v>1.0</v>
      </c>
      <c r="H704" s="13"/>
      <c r="I704" s="2">
        <v>1.0</v>
      </c>
      <c r="J704" s="27" t="s">
        <v>14</v>
      </c>
      <c r="K704" s="15" t="s">
        <v>438</v>
      </c>
    </row>
    <row r="705" ht="42.0" hidden="1" customHeight="1">
      <c r="A705" s="1">
        <v>704.0</v>
      </c>
      <c r="B705" s="9" t="s">
        <v>16</v>
      </c>
      <c r="C705" s="10" t="s">
        <v>58</v>
      </c>
      <c r="D705" s="16"/>
      <c r="E705" s="16"/>
      <c r="F705" s="12"/>
      <c r="G705" s="13"/>
      <c r="H705" s="13"/>
      <c r="I705" s="13"/>
      <c r="J705" s="27" t="s">
        <v>438</v>
      </c>
    </row>
    <row r="706" ht="42.0" hidden="1" customHeight="1">
      <c r="A706" s="1">
        <v>705.0</v>
      </c>
      <c r="B706" s="9" t="s">
        <v>17</v>
      </c>
      <c r="C706" s="10" t="s">
        <v>58</v>
      </c>
      <c r="D706" s="16"/>
      <c r="E706" s="16"/>
      <c r="F706" s="12"/>
      <c r="G706" s="13"/>
      <c r="H706" s="13"/>
      <c r="I706" s="13"/>
      <c r="J706" s="27" t="s">
        <v>131</v>
      </c>
    </row>
    <row r="707" ht="42.0" customHeight="1">
      <c r="A707" s="1">
        <v>706.0</v>
      </c>
      <c r="B707" s="9" t="s">
        <v>331</v>
      </c>
      <c r="C707" s="23"/>
      <c r="D707" s="16"/>
      <c r="E707" s="16"/>
      <c r="F707" s="17" t="s">
        <v>439</v>
      </c>
      <c r="G707" s="13"/>
      <c r="H707" s="13"/>
      <c r="I707" s="13"/>
      <c r="J707" s="22"/>
    </row>
    <row r="708" ht="42.0" customHeight="1">
      <c r="A708" s="1">
        <v>707.0</v>
      </c>
      <c r="B708" s="9" t="s">
        <v>21</v>
      </c>
      <c r="C708" s="10" t="s">
        <v>63</v>
      </c>
      <c r="D708" s="16"/>
      <c r="E708" s="16"/>
      <c r="F708" s="12"/>
      <c r="G708" s="13"/>
      <c r="H708" s="13"/>
      <c r="I708" s="13"/>
      <c r="J708" s="22"/>
    </row>
    <row r="709" ht="42.0" customHeight="1">
      <c r="A709" s="1">
        <v>708.0</v>
      </c>
      <c r="B709" s="9" t="s">
        <v>22</v>
      </c>
      <c r="C709" s="10" t="s">
        <v>44</v>
      </c>
      <c r="D709" s="16"/>
      <c r="E709" s="16"/>
      <c r="F709" s="12"/>
      <c r="G709" s="13"/>
      <c r="H709" s="13"/>
      <c r="I709" s="13"/>
      <c r="J709" s="22"/>
    </row>
    <row r="710" ht="42.0" customHeight="1">
      <c r="A710" s="1">
        <v>709.0</v>
      </c>
      <c r="B710" s="9" t="s">
        <v>23</v>
      </c>
      <c r="C710" s="10" t="s">
        <v>54</v>
      </c>
      <c r="D710" s="16"/>
      <c r="E710" s="16"/>
      <c r="F710" s="17" t="s">
        <v>440</v>
      </c>
      <c r="G710" s="2">
        <v>1.0</v>
      </c>
      <c r="H710" s="13"/>
      <c r="I710" s="13"/>
      <c r="J710" s="22"/>
    </row>
    <row r="711" ht="42.0" customHeight="1">
      <c r="A711" s="1">
        <v>710.0</v>
      </c>
      <c r="B711" s="9" t="s">
        <v>24</v>
      </c>
      <c r="C711" s="10" t="s">
        <v>277</v>
      </c>
      <c r="D711" s="16"/>
      <c r="E711" s="16"/>
      <c r="F711" s="12"/>
      <c r="G711" s="13"/>
      <c r="H711" s="13"/>
      <c r="I711" s="13"/>
      <c r="J711" s="22"/>
    </row>
    <row r="712" ht="42.0" customHeight="1">
      <c r="A712" s="1">
        <v>711.0</v>
      </c>
      <c r="B712" s="9" t="s">
        <v>25</v>
      </c>
      <c r="C712" s="10" t="s">
        <v>69</v>
      </c>
      <c r="D712" s="16"/>
      <c r="E712" s="16"/>
      <c r="F712" s="17" t="s">
        <v>441</v>
      </c>
      <c r="G712" s="2">
        <v>2.0</v>
      </c>
      <c r="H712" s="13"/>
      <c r="I712" s="2">
        <v>1.0</v>
      </c>
      <c r="J712" s="22"/>
    </row>
    <row r="713" ht="42.0" hidden="1" customHeight="1">
      <c r="A713" s="1">
        <v>712.0</v>
      </c>
      <c r="B713" s="9" t="s">
        <v>26</v>
      </c>
      <c r="C713" s="10" t="s">
        <v>66</v>
      </c>
      <c r="D713" s="16"/>
      <c r="E713" s="16"/>
      <c r="F713" s="12"/>
      <c r="G713" s="13"/>
      <c r="H713" s="13"/>
      <c r="I713" s="13"/>
      <c r="J713" s="22"/>
    </row>
    <row r="714" ht="42.0" customHeight="1">
      <c r="A714" s="1">
        <v>713.0</v>
      </c>
      <c r="B714" s="9" t="s">
        <v>29</v>
      </c>
      <c r="C714" s="10" t="s">
        <v>27</v>
      </c>
      <c r="D714" s="16"/>
      <c r="E714" s="16"/>
      <c r="F714" s="17" t="s">
        <v>442</v>
      </c>
      <c r="G714" s="2">
        <v>1.0</v>
      </c>
      <c r="H714" s="13"/>
      <c r="I714" s="13"/>
      <c r="J714" s="22"/>
    </row>
    <row r="715" ht="42.0" hidden="1" customHeight="1">
      <c r="A715" s="1">
        <v>714.0</v>
      </c>
      <c r="B715" s="9" t="s">
        <v>30</v>
      </c>
      <c r="C715" s="10" t="s">
        <v>58</v>
      </c>
      <c r="D715" s="16"/>
      <c r="E715" s="16"/>
      <c r="F715" s="12"/>
      <c r="G715" s="13"/>
      <c r="H715" s="13"/>
      <c r="I715" s="13"/>
      <c r="J715" s="22"/>
    </row>
    <row r="716" ht="42.0" hidden="1" customHeight="1">
      <c r="A716" s="1">
        <v>715.0</v>
      </c>
      <c r="B716" s="9" t="s">
        <v>31</v>
      </c>
      <c r="C716" s="10" t="s">
        <v>58</v>
      </c>
      <c r="D716" s="16"/>
      <c r="E716" s="16"/>
      <c r="F716" s="12"/>
      <c r="G716" s="13"/>
      <c r="H716" s="13"/>
      <c r="I716" s="13"/>
      <c r="J716" s="22"/>
    </row>
    <row r="717" ht="42.0" customHeight="1">
      <c r="A717" s="1">
        <v>716.0</v>
      </c>
      <c r="B717" s="9" t="s">
        <v>32</v>
      </c>
      <c r="C717" s="10" t="s">
        <v>39</v>
      </c>
      <c r="D717" s="16"/>
      <c r="E717" s="16"/>
      <c r="F717" s="17" t="s">
        <v>443</v>
      </c>
      <c r="G717" s="2">
        <v>3.0</v>
      </c>
      <c r="H717" s="13"/>
      <c r="I717" s="2">
        <v>2.0</v>
      </c>
      <c r="J717" s="22"/>
    </row>
    <row r="718" ht="42.0" customHeight="1">
      <c r="A718" s="1">
        <v>717.0</v>
      </c>
      <c r="B718" s="9" t="s">
        <v>67</v>
      </c>
      <c r="C718" s="10" t="s">
        <v>69</v>
      </c>
      <c r="D718" s="16"/>
      <c r="E718" s="16"/>
      <c r="F718" s="17" t="s">
        <v>444</v>
      </c>
      <c r="G718" s="2">
        <v>2.0</v>
      </c>
      <c r="H718" s="13"/>
      <c r="I718" s="2">
        <v>1.0</v>
      </c>
      <c r="J718" s="22"/>
    </row>
    <row r="719" ht="42.0" hidden="1" customHeight="1">
      <c r="A719" s="1">
        <v>718.0</v>
      </c>
      <c r="B719" s="9" t="s">
        <v>34</v>
      </c>
      <c r="C719" s="10" t="s">
        <v>58</v>
      </c>
      <c r="D719" s="16"/>
      <c r="E719" s="16"/>
      <c r="F719" s="12"/>
      <c r="G719" s="13"/>
      <c r="H719" s="13"/>
      <c r="I719" s="13"/>
      <c r="J719" s="22"/>
    </row>
    <row r="720" ht="42.0" customHeight="1">
      <c r="A720" s="1">
        <v>719.0</v>
      </c>
      <c r="B720" s="9" t="s">
        <v>35</v>
      </c>
      <c r="C720" s="10" t="s">
        <v>54</v>
      </c>
      <c r="D720" s="16"/>
      <c r="E720" s="16"/>
      <c r="F720" s="17" t="s">
        <v>445</v>
      </c>
      <c r="G720" s="2">
        <v>1.0</v>
      </c>
      <c r="H720" s="2">
        <v>1.0</v>
      </c>
      <c r="I720" s="13"/>
      <c r="J720" s="22"/>
    </row>
    <row r="721" ht="42.0" customHeight="1">
      <c r="A721" s="1">
        <v>720.0</v>
      </c>
      <c r="B721" s="9" t="s">
        <v>36</v>
      </c>
      <c r="C721" s="23"/>
      <c r="D721" s="16"/>
      <c r="E721" s="16"/>
      <c r="F721" s="17" t="s">
        <v>446</v>
      </c>
      <c r="G721" s="2">
        <v>1.0</v>
      </c>
      <c r="H721" s="13"/>
      <c r="I721" s="13"/>
      <c r="J721" s="22"/>
    </row>
    <row r="722" ht="42.0" customHeight="1">
      <c r="A722" s="1">
        <v>721.0</v>
      </c>
      <c r="B722" s="9" t="s">
        <v>38</v>
      </c>
      <c r="C722" s="10" t="s">
        <v>39</v>
      </c>
      <c r="D722" s="16"/>
      <c r="E722" s="16"/>
      <c r="F722" s="17" t="s">
        <v>418</v>
      </c>
      <c r="G722" s="2">
        <v>1.0</v>
      </c>
      <c r="H722" s="13"/>
      <c r="I722" s="2"/>
      <c r="J722" s="22"/>
    </row>
    <row r="723" ht="42.0" hidden="1" customHeight="1">
      <c r="A723" s="1">
        <v>722.0</v>
      </c>
      <c r="B723" s="9" t="s">
        <v>41</v>
      </c>
      <c r="C723" s="10" t="s">
        <v>66</v>
      </c>
      <c r="D723" s="16"/>
      <c r="E723" s="16"/>
      <c r="F723" s="12"/>
      <c r="G723" s="13"/>
      <c r="H723" s="13"/>
      <c r="I723" s="13"/>
      <c r="J723" s="22"/>
    </row>
    <row r="724" ht="42.0" customHeight="1">
      <c r="A724" s="1">
        <v>723.0</v>
      </c>
      <c r="B724" s="9" t="s">
        <v>42</v>
      </c>
      <c r="C724" s="10" t="s">
        <v>54</v>
      </c>
      <c r="D724" s="16"/>
      <c r="E724" s="16"/>
      <c r="F724" s="17" t="s">
        <v>447</v>
      </c>
      <c r="G724" s="2">
        <v>2.0</v>
      </c>
      <c r="H724" s="13"/>
      <c r="I724" s="2"/>
      <c r="J724" s="22"/>
    </row>
    <row r="725" ht="42.0" customHeight="1">
      <c r="A725" s="1">
        <v>724.0</v>
      </c>
      <c r="B725" s="9" t="s">
        <v>43</v>
      </c>
      <c r="C725" s="10" t="s">
        <v>54</v>
      </c>
      <c r="D725" s="16"/>
      <c r="E725" s="16"/>
      <c r="F725" s="17" t="s">
        <v>448</v>
      </c>
      <c r="G725" s="2">
        <v>2.0</v>
      </c>
      <c r="H725" s="13"/>
      <c r="I725" s="2">
        <v>1.0</v>
      </c>
      <c r="J725" s="22"/>
    </row>
    <row r="726" ht="42.0" customHeight="1">
      <c r="A726" s="1">
        <v>725.0</v>
      </c>
      <c r="B726" s="9" t="s">
        <v>45</v>
      </c>
      <c r="C726" s="10" t="s">
        <v>69</v>
      </c>
      <c r="D726" s="16"/>
      <c r="E726" s="16"/>
      <c r="F726" s="17" t="s">
        <v>449</v>
      </c>
      <c r="G726" s="2">
        <v>1.0</v>
      </c>
      <c r="H726" s="13"/>
      <c r="I726" s="13"/>
      <c r="J726" s="22"/>
    </row>
    <row r="727" ht="42.0" customHeight="1">
      <c r="A727" s="1">
        <v>726.0</v>
      </c>
      <c r="B727" s="9" t="s">
        <v>46</v>
      </c>
      <c r="C727" s="23"/>
      <c r="D727" s="16"/>
      <c r="E727" s="16"/>
      <c r="F727" s="17" t="s">
        <v>385</v>
      </c>
      <c r="G727" s="2"/>
      <c r="H727" s="13"/>
      <c r="I727" s="2"/>
      <c r="J727" s="22"/>
    </row>
    <row r="728" ht="42.0" customHeight="1">
      <c r="A728" s="1">
        <v>727.0</v>
      </c>
      <c r="B728" s="9" t="s">
        <v>47</v>
      </c>
      <c r="C728" s="23"/>
      <c r="D728" s="16"/>
      <c r="E728" s="16"/>
      <c r="F728" s="17" t="s">
        <v>450</v>
      </c>
      <c r="G728" s="2">
        <v>1.0</v>
      </c>
      <c r="H728" s="13"/>
      <c r="I728" s="13"/>
      <c r="J728" s="22"/>
    </row>
    <row r="729" ht="42.0" customHeight="1">
      <c r="A729" s="1">
        <v>728.0</v>
      </c>
      <c r="B729" s="9" t="s">
        <v>48</v>
      </c>
      <c r="C729" s="23"/>
      <c r="D729" s="16"/>
      <c r="E729" s="16"/>
      <c r="F729" s="17" t="s">
        <v>451</v>
      </c>
      <c r="G729" s="2">
        <v>2.0</v>
      </c>
      <c r="H729" s="13"/>
      <c r="I729" s="2">
        <v>2.0</v>
      </c>
      <c r="J729" s="22"/>
    </row>
    <row r="730" ht="42.0" customHeight="1">
      <c r="A730" s="1">
        <v>729.0</v>
      </c>
      <c r="B730" s="18"/>
      <c r="C730" s="19"/>
      <c r="D730" s="18"/>
      <c r="E730" s="18"/>
      <c r="F730" s="20"/>
      <c r="G730" s="21"/>
      <c r="H730" s="21"/>
      <c r="I730" s="21"/>
      <c r="J730" s="22"/>
    </row>
    <row r="731" ht="42.0" hidden="1" customHeight="1">
      <c r="A731" s="1">
        <v>730.0</v>
      </c>
      <c r="B731" s="9" t="s">
        <v>12</v>
      </c>
      <c r="C731" s="10" t="s">
        <v>13</v>
      </c>
      <c r="D731" s="16"/>
      <c r="E731" s="16"/>
      <c r="F731" s="12"/>
      <c r="G731" s="13"/>
      <c r="H731" s="13"/>
      <c r="I731" s="13"/>
      <c r="J731" s="27" t="s">
        <v>14</v>
      </c>
      <c r="K731" s="15" t="s">
        <v>452</v>
      </c>
    </row>
    <row r="732" ht="42.0" hidden="1" customHeight="1">
      <c r="A732" s="1">
        <v>731.0</v>
      </c>
      <c r="B732" s="9" t="s">
        <v>16</v>
      </c>
      <c r="C732" s="10" t="s">
        <v>13</v>
      </c>
      <c r="D732" s="16"/>
      <c r="E732" s="16"/>
      <c r="F732" s="12"/>
      <c r="G732" s="13"/>
      <c r="H732" s="13"/>
      <c r="I732" s="13"/>
      <c r="J732" s="27" t="s">
        <v>452</v>
      </c>
    </row>
    <row r="733" ht="42.0" hidden="1" customHeight="1">
      <c r="A733" s="1">
        <v>732.0</v>
      </c>
      <c r="B733" s="9" t="s">
        <v>17</v>
      </c>
      <c r="C733" s="10" t="s">
        <v>13</v>
      </c>
      <c r="D733" s="16"/>
      <c r="E733" s="16"/>
      <c r="F733" s="12"/>
      <c r="G733" s="13"/>
      <c r="H733" s="13"/>
      <c r="I733" s="13"/>
      <c r="J733" s="27" t="s">
        <v>149</v>
      </c>
    </row>
    <row r="734" ht="42.0" hidden="1" customHeight="1">
      <c r="A734" s="1">
        <v>733.0</v>
      </c>
      <c r="B734" s="9" t="s">
        <v>331</v>
      </c>
      <c r="C734" s="10" t="s">
        <v>13</v>
      </c>
      <c r="D734" s="16"/>
      <c r="E734" s="16"/>
      <c r="F734" s="12"/>
      <c r="G734" s="13"/>
      <c r="H734" s="13"/>
      <c r="I734" s="13"/>
      <c r="J734" s="27" t="s">
        <v>410</v>
      </c>
    </row>
    <row r="735" ht="42.0" hidden="1" customHeight="1">
      <c r="A735" s="1">
        <v>734.0</v>
      </c>
      <c r="B735" s="9" t="s">
        <v>21</v>
      </c>
      <c r="C735" s="10" t="s">
        <v>13</v>
      </c>
      <c r="D735" s="16"/>
      <c r="E735" s="16"/>
      <c r="F735" s="12"/>
      <c r="G735" s="13"/>
      <c r="H735" s="13"/>
      <c r="I735" s="13"/>
      <c r="J735" s="27" t="s">
        <v>412</v>
      </c>
    </row>
    <row r="736" ht="42.0" hidden="1" customHeight="1">
      <c r="A736" s="1">
        <v>735.0</v>
      </c>
      <c r="B736" s="9" t="s">
        <v>22</v>
      </c>
      <c r="C736" s="10" t="s">
        <v>13</v>
      </c>
      <c r="D736" s="16"/>
      <c r="E736" s="16"/>
      <c r="F736" s="12"/>
      <c r="G736" s="13"/>
      <c r="H736" s="13"/>
      <c r="I736" s="13"/>
      <c r="J736" s="27" t="s">
        <v>413</v>
      </c>
    </row>
    <row r="737" ht="42.0" customHeight="1">
      <c r="A737" s="1">
        <v>736.0</v>
      </c>
      <c r="B737" s="9" t="s">
        <v>23</v>
      </c>
      <c r="C737" s="10" t="s">
        <v>49</v>
      </c>
      <c r="D737" s="16"/>
      <c r="E737" s="26">
        <v>0.8333333333333334</v>
      </c>
      <c r="F737" s="17" t="s">
        <v>453</v>
      </c>
      <c r="G737" s="2">
        <v>1.0</v>
      </c>
      <c r="H737" s="13"/>
      <c r="I737" s="2">
        <v>1.0</v>
      </c>
      <c r="J737" s="22"/>
    </row>
    <row r="738" ht="42.0" customHeight="1">
      <c r="A738" s="1">
        <v>737.0</v>
      </c>
      <c r="B738" s="9" t="s">
        <v>24</v>
      </c>
      <c r="C738" s="10" t="s">
        <v>277</v>
      </c>
      <c r="D738" s="16"/>
      <c r="E738" s="16"/>
      <c r="F738" s="12"/>
      <c r="G738" s="13"/>
      <c r="H738" s="13"/>
      <c r="I738" s="13"/>
      <c r="J738" s="22"/>
    </row>
    <row r="739" ht="42.0" hidden="1" customHeight="1">
      <c r="A739" s="1">
        <v>738.0</v>
      </c>
      <c r="B739" s="9" t="s">
        <v>25</v>
      </c>
      <c r="C739" s="10" t="s">
        <v>13</v>
      </c>
      <c r="D739" s="16"/>
      <c r="E739" s="16"/>
      <c r="F739" s="12"/>
      <c r="G739" s="13"/>
      <c r="H739" s="13"/>
      <c r="I739" s="13"/>
      <c r="J739" s="22"/>
    </row>
    <row r="740" ht="42.0" hidden="1" customHeight="1">
      <c r="A740" s="1">
        <v>739.0</v>
      </c>
      <c r="B740" s="9" t="s">
        <v>26</v>
      </c>
      <c r="C740" s="10" t="s">
        <v>13</v>
      </c>
      <c r="D740" s="16"/>
      <c r="E740" s="16"/>
      <c r="F740" s="12"/>
      <c r="G740" s="13"/>
      <c r="H740" s="13"/>
      <c r="I740" s="13"/>
      <c r="J740" s="22"/>
    </row>
    <row r="741" ht="42.0" customHeight="1">
      <c r="A741" s="1">
        <v>740.0</v>
      </c>
      <c r="B741" s="9" t="s">
        <v>29</v>
      </c>
      <c r="C741" s="10" t="s">
        <v>44</v>
      </c>
      <c r="D741" s="16"/>
      <c r="E741" s="16"/>
      <c r="F741" s="12"/>
      <c r="G741" s="13"/>
      <c r="H741" s="13"/>
      <c r="I741" s="13"/>
      <c r="J741" s="22"/>
    </row>
    <row r="742" ht="42.0" hidden="1" customHeight="1">
      <c r="A742" s="1">
        <v>741.0</v>
      </c>
      <c r="B742" s="9" t="s">
        <v>30</v>
      </c>
      <c r="C742" s="10" t="s">
        <v>13</v>
      </c>
      <c r="D742" s="16"/>
      <c r="E742" s="16"/>
      <c r="F742" s="12"/>
      <c r="G742" s="13"/>
      <c r="H742" s="13"/>
      <c r="I742" s="13"/>
      <c r="J742" s="22"/>
    </row>
    <row r="743" ht="42.0" hidden="1" customHeight="1">
      <c r="A743" s="1">
        <v>742.0</v>
      </c>
      <c r="B743" s="9" t="s">
        <v>31</v>
      </c>
      <c r="C743" s="10" t="s">
        <v>13</v>
      </c>
      <c r="D743" s="16"/>
      <c r="E743" s="16"/>
      <c r="F743" s="12"/>
      <c r="G743" s="13"/>
      <c r="H743" s="13"/>
      <c r="I743" s="13"/>
      <c r="J743" s="22"/>
    </row>
    <row r="744" ht="42.0" hidden="1" customHeight="1">
      <c r="A744" s="1">
        <v>743.0</v>
      </c>
      <c r="B744" s="9" t="s">
        <v>32</v>
      </c>
      <c r="C744" s="10" t="s">
        <v>13</v>
      </c>
      <c r="D744" s="16"/>
      <c r="E744" s="16"/>
      <c r="F744" s="12"/>
      <c r="G744" s="13"/>
      <c r="H744" s="13"/>
      <c r="I744" s="13"/>
      <c r="J744" s="22"/>
    </row>
    <row r="745" ht="42.0" customHeight="1">
      <c r="A745" s="1">
        <v>744.0</v>
      </c>
      <c r="B745" s="9" t="s">
        <v>67</v>
      </c>
      <c r="C745" s="10" t="s">
        <v>39</v>
      </c>
      <c r="D745" s="16"/>
      <c r="E745" s="16"/>
      <c r="F745" s="17" t="s">
        <v>454</v>
      </c>
      <c r="G745" s="2">
        <v>1.0</v>
      </c>
      <c r="H745" s="13"/>
      <c r="I745" s="2">
        <v>1.0</v>
      </c>
      <c r="J745" s="22"/>
    </row>
    <row r="746" ht="42.0" hidden="1" customHeight="1">
      <c r="A746" s="1">
        <v>745.0</v>
      </c>
      <c r="B746" s="9" t="s">
        <v>34</v>
      </c>
      <c r="C746" s="10" t="s">
        <v>13</v>
      </c>
      <c r="D746" s="16"/>
      <c r="E746" s="16"/>
      <c r="F746" s="12"/>
      <c r="G746" s="13"/>
      <c r="H746" s="13"/>
      <c r="I746" s="13"/>
      <c r="J746" s="22"/>
    </row>
    <row r="747" ht="42.0" hidden="1" customHeight="1">
      <c r="A747" s="1">
        <v>746.0</v>
      </c>
      <c r="B747" s="9" t="s">
        <v>35</v>
      </c>
      <c r="C747" s="10" t="s">
        <v>13</v>
      </c>
      <c r="D747" s="16"/>
      <c r="E747" s="16"/>
      <c r="F747" s="12"/>
      <c r="G747" s="13"/>
      <c r="H747" s="13"/>
      <c r="I747" s="13"/>
      <c r="J747" s="22"/>
    </row>
    <row r="748" ht="42.0" hidden="1" customHeight="1">
      <c r="A748" s="1">
        <v>747.0</v>
      </c>
      <c r="B748" s="9" t="s">
        <v>36</v>
      </c>
      <c r="C748" s="10" t="s">
        <v>13</v>
      </c>
      <c r="D748" s="16"/>
      <c r="E748" s="16"/>
      <c r="F748" s="12"/>
      <c r="G748" s="13"/>
      <c r="H748" s="13"/>
      <c r="I748" s="13"/>
      <c r="J748" s="22"/>
    </row>
    <row r="749" ht="42.0" hidden="1" customHeight="1">
      <c r="A749" s="1">
        <v>748.0</v>
      </c>
      <c r="B749" s="9" t="s">
        <v>38</v>
      </c>
      <c r="C749" s="10" t="s">
        <v>13</v>
      </c>
      <c r="D749" s="16"/>
      <c r="E749" s="16"/>
      <c r="F749" s="12"/>
      <c r="G749" s="13"/>
      <c r="H749" s="13"/>
      <c r="I749" s="13"/>
      <c r="J749" s="22"/>
    </row>
    <row r="750" ht="42.0" hidden="1" customHeight="1">
      <c r="A750" s="1">
        <v>749.0</v>
      </c>
      <c r="B750" s="9" t="s">
        <v>41</v>
      </c>
      <c r="C750" s="10" t="s">
        <v>13</v>
      </c>
      <c r="D750" s="16"/>
      <c r="E750" s="16"/>
      <c r="F750" s="12"/>
      <c r="G750" s="13"/>
      <c r="H750" s="13"/>
      <c r="I750" s="13"/>
      <c r="J750" s="22"/>
    </row>
    <row r="751" ht="42.0" customHeight="1">
      <c r="A751" s="1">
        <v>750.0</v>
      </c>
      <c r="B751" s="9" t="s">
        <v>42</v>
      </c>
      <c r="C751" s="23"/>
      <c r="D751" s="16"/>
      <c r="E751" s="16"/>
      <c r="F751" s="17" t="s">
        <v>455</v>
      </c>
      <c r="G751" s="2">
        <v>1.0</v>
      </c>
      <c r="H751" s="13"/>
      <c r="I751" s="2">
        <v>1.0</v>
      </c>
      <c r="J751" s="22"/>
    </row>
    <row r="752" ht="42.0" customHeight="1">
      <c r="A752" s="1">
        <v>751.0</v>
      </c>
      <c r="B752" s="9" t="s">
        <v>43</v>
      </c>
      <c r="C752" s="10" t="s">
        <v>145</v>
      </c>
      <c r="D752" s="28">
        <v>0.4583333333333333</v>
      </c>
      <c r="E752" s="11">
        <v>0.8263888888888888</v>
      </c>
      <c r="F752" s="17" t="s">
        <v>456</v>
      </c>
      <c r="G752" s="2">
        <v>1.0</v>
      </c>
      <c r="H752" s="13"/>
      <c r="I752" s="2"/>
      <c r="J752" s="22"/>
    </row>
    <row r="753" ht="42.0" customHeight="1">
      <c r="A753" s="1">
        <v>752.0</v>
      </c>
      <c r="B753" s="9" t="s">
        <v>45</v>
      </c>
      <c r="C753" s="10" t="s">
        <v>145</v>
      </c>
      <c r="D753" s="28">
        <v>0.4583333333333333</v>
      </c>
      <c r="E753" s="26">
        <v>0.8333333333333334</v>
      </c>
      <c r="F753" s="17" t="s">
        <v>457</v>
      </c>
      <c r="G753" s="2">
        <v>2.0</v>
      </c>
      <c r="H753" s="13"/>
      <c r="I753" s="13"/>
      <c r="J753" s="22"/>
    </row>
    <row r="754" ht="42.0" hidden="1" customHeight="1">
      <c r="A754" s="1">
        <v>753.0</v>
      </c>
      <c r="B754" s="9" t="s">
        <v>46</v>
      </c>
      <c r="C754" s="10" t="s">
        <v>13</v>
      </c>
      <c r="D754" s="16"/>
      <c r="E754" s="16"/>
      <c r="F754" s="12"/>
      <c r="G754" s="13"/>
      <c r="H754" s="13"/>
      <c r="I754" s="13"/>
      <c r="J754" s="22"/>
    </row>
    <row r="755" ht="42.0" customHeight="1">
      <c r="A755" s="1">
        <v>754.0</v>
      </c>
      <c r="B755" s="9" t="s">
        <v>47</v>
      </c>
      <c r="C755" s="10" t="s">
        <v>27</v>
      </c>
      <c r="D755" s="28">
        <v>0.6458333333333334</v>
      </c>
      <c r="E755" s="16"/>
      <c r="F755" s="17" t="s">
        <v>458</v>
      </c>
      <c r="G755" s="2">
        <v>1.0</v>
      </c>
      <c r="H755" s="13"/>
      <c r="I755" s="2"/>
      <c r="J755" s="22"/>
    </row>
    <row r="756" ht="42.0" hidden="1" customHeight="1">
      <c r="A756" s="1">
        <v>755.0</v>
      </c>
      <c r="B756" s="9" t="s">
        <v>48</v>
      </c>
      <c r="C756" s="10" t="s">
        <v>13</v>
      </c>
      <c r="D756" s="16"/>
      <c r="E756" s="16"/>
      <c r="F756" s="12"/>
      <c r="G756" s="13"/>
      <c r="H756" s="13"/>
      <c r="I756" s="13"/>
      <c r="J756" s="22"/>
    </row>
    <row r="757" ht="42.0" customHeight="1">
      <c r="A757" s="1">
        <v>756.0</v>
      </c>
      <c r="B757" s="18"/>
      <c r="C757" s="19"/>
      <c r="D757" s="18"/>
      <c r="E757" s="18"/>
      <c r="F757" s="20"/>
      <c r="G757" s="21"/>
      <c r="H757" s="21"/>
      <c r="I757" s="21"/>
      <c r="J757" s="22"/>
    </row>
    <row r="758" ht="42.0" customHeight="1">
      <c r="A758" s="1">
        <v>757.0</v>
      </c>
      <c r="B758" s="9" t="s">
        <v>12</v>
      </c>
      <c r="C758" s="10" t="s">
        <v>145</v>
      </c>
      <c r="D758" s="28">
        <v>0.4583333333333333</v>
      </c>
      <c r="E758" s="16"/>
      <c r="F758" s="17" t="s">
        <v>459</v>
      </c>
      <c r="G758" s="2">
        <v>1.0</v>
      </c>
      <c r="H758" s="2">
        <v>1.0</v>
      </c>
      <c r="I758" s="13"/>
      <c r="J758" s="27" t="s">
        <v>14</v>
      </c>
      <c r="K758" s="15" t="s">
        <v>460</v>
      </c>
    </row>
    <row r="759" ht="42.0" customHeight="1">
      <c r="A759" s="1">
        <v>758.0</v>
      </c>
      <c r="B759" s="9" t="s">
        <v>16</v>
      </c>
      <c r="C759" s="10" t="s">
        <v>39</v>
      </c>
      <c r="D759" s="16"/>
      <c r="E759" s="16"/>
      <c r="F759" s="17" t="s">
        <v>461</v>
      </c>
      <c r="G759" s="2">
        <v>1.0</v>
      </c>
      <c r="H759" s="2">
        <v>1.0</v>
      </c>
      <c r="I759" s="13"/>
      <c r="J759" s="27" t="s">
        <v>460</v>
      </c>
    </row>
    <row r="760" ht="42.0" hidden="1" customHeight="1">
      <c r="A760" s="1">
        <v>759.0</v>
      </c>
      <c r="B760" s="9" t="s">
        <v>17</v>
      </c>
      <c r="C760" s="10" t="s">
        <v>13</v>
      </c>
      <c r="D760" s="16"/>
      <c r="E760" s="16"/>
      <c r="F760" s="12"/>
      <c r="G760" s="13"/>
      <c r="H760" s="13"/>
      <c r="I760" s="13"/>
      <c r="J760" s="27" t="s">
        <v>19</v>
      </c>
    </row>
    <row r="761" ht="42.0" hidden="1" customHeight="1">
      <c r="A761" s="1">
        <v>760.0</v>
      </c>
      <c r="B761" s="9" t="s">
        <v>331</v>
      </c>
      <c r="C761" s="10" t="s">
        <v>13</v>
      </c>
      <c r="D761" s="16"/>
      <c r="E761" s="16"/>
      <c r="F761" s="12"/>
      <c r="G761" s="13"/>
      <c r="H761" s="13"/>
      <c r="I761" s="13"/>
      <c r="J761" s="27" t="s">
        <v>165</v>
      </c>
    </row>
    <row r="762" ht="42.0" customHeight="1">
      <c r="A762" s="1">
        <v>761.0</v>
      </c>
      <c r="B762" s="9" t="s">
        <v>21</v>
      </c>
      <c r="C762" s="10" t="s">
        <v>63</v>
      </c>
      <c r="D762" s="16"/>
      <c r="E762" s="16"/>
      <c r="F762" s="12"/>
      <c r="G762" s="13"/>
      <c r="H762" s="13"/>
      <c r="I762" s="13"/>
      <c r="J762" s="27" t="s">
        <v>166</v>
      </c>
    </row>
    <row r="763" ht="42.0" hidden="1" customHeight="1">
      <c r="A763" s="1">
        <v>762.0</v>
      </c>
      <c r="B763" s="9" t="s">
        <v>22</v>
      </c>
      <c r="C763" s="10" t="s">
        <v>13</v>
      </c>
      <c r="D763" s="16"/>
      <c r="E763" s="16"/>
      <c r="F763" s="12"/>
      <c r="G763" s="13"/>
      <c r="H763" s="13"/>
      <c r="I763" s="13"/>
      <c r="J763" s="27" t="s">
        <v>167</v>
      </c>
    </row>
    <row r="764" ht="42.0" hidden="1" customHeight="1">
      <c r="A764" s="1">
        <v>763.0</v>
      </c>
      <c r="B764" s="9" t="s">
        <v>23</v>
      </c>
      <c r="C764" s="10" t="s">
        <v>13</v>
      </c>
      <c r="D764" s="16"/>
      <c r="E764" s="16"/>
      <c r="F764" s="12"/>
      <c r="G764" s="13"/>
      <c r="H764" s="13"/>
      <c r="I764" s="13"/>
      <c r="J764" s="22"/>
    </row>
    <row r="765" ht="42.0" customHeight="1">
      <c r="A765" s="1">
        <v>764.0</v>
      </c>
      <c r="B765" s="9" t="s">
        <v>116</v>
      </c>
      <c r="C765" s="10" t="s">
        <v>145</v>
      </c>
      <c r="D765" s="28">
        <v>0.3125</v>
      </c>
      <c r="E765" s="16"/>
      <c r="F765" s="17" t="s">
        <v>462</v>
      </c>
      <c r="G765" s="2">
        <v>2.0</v>
      </c>
      <c r="H765" s="2">
        <v>1.0</v>
      </c>
      <c r="I765" s="13"/>
      <c r="J765" s="27"/>
    </row>
    <row r="766" ht="42.0" customHeight="1">
      <c r="A766" s="1">
        <v>765.0</v>
      </c>
      <c r="B766" s="9" t="s">
        <v>25</v>
      </c>
      <c r="C766" s="10" t="s">
        <v>49</v>
      </c>
      <c r="D766" s="16"/>
      <c r="E766" s="16"/>
      <c r="F766" s="17" t="s">
        <v>459</v>
      </c>
      <c r="G766" s="2">
        <v>1.0</v>
      </c>
      <c r="H766" s="2">
        <v>1.0</v>
      </c>
      <c r="I766" s="13"/>
      <c r="J766" s="27"/>
    </row>
    <row r="767" ht="42.0" hidden="1" customHeight="1">
      <c r="A767" s="1">
        <v>766.0</v>
      </c>
      <c r="B767" s="9" t="s">
        <v>26</v>
      </c>
      <c r="C767" s="10" t="s">
        <v>13</v>
      </c>
      <c r="D767" s="16"/>
      <c r="E767" s="16"/>
      <c r="F767" s="12"/>
      <c r="G767" s="13"/>
      <c r="H767" s="13"/>
      <c r="I767" s="13"/>
      <c r="J767" s="27"/>
    </row>
    <row r="768" ht="42.0" customHeight="1">
      <c r="A768" s="1">
        <v>767.0</v>
      </c>
      <c r="B768" s="9" t="s">
        <v>29</v>
      </c>
      <c r="C768" s="10" t="s">
        <v>145</v>
      </c>
      <c r="D768" s="28">
        <v>0.3333333333333333</v>
      </c>
      <c r="E768" s="26">
        <v>0.8958333333333334</v>
      </c>
      <c r="F768" s="17" t="s">
        <v>463</v>
      </c>
      <c r="G768" s="2">
        <v>2.0</v>
      </c>
      <c r="H768" s="13"/>
      <c r="I768" s="13"/>
      <c r="J768" s="22"/>
    </row>
    <row r="769" ht="42.0" customHeight="1">
      <c r="A769" s="1">
        <v>768.0</v>
      </c>
      <c r="B769" s="9" t="s">
        <v>30</v>
      </c>
      <c r="C769" s="10"/>
      <c r="D769" s="16"/>
      <c r="E769" s="16"/>
      <c r="F769" s="17" t="s">
        <v>464</v>
      </c>
      <c r="G769" s="2">
        <v>1.0</v>
      </c>
      <c r="H769" s="13"/>
      <c r="I769" s="13"/>
      <c r="J769" s="22"/>
    </row>
    <row r="770" ht="42.0" hidden="1" customHeight="1">
      <c r="A770" s="1">
        <v>769.0</v>
      </c>
      <c r="B770" s="9" t="s">
        <v>31</v>
      </c>
      <c r="C770" s="10" t="s">
        <v>13</v>
      </c>
      <c r="D770" s="16"/>
      <c r="E770" s="16"/>
      <c r="F770" s="12"/>
      <c r="G770" s="13"/>
      <c r="H770" s="13"/>
      <c r="I770" s="13"/>
      <c r="J770" s="22"/>
    </row>
    <row r="771" ht="42.0" hidden="1" customHeight="1">
      <c r="A771" s="1">
        <v>770.0</v>
      </c>
      <c r="B771" s="9" t="s">
        <v>32</v>
      </c>
      <c r="C771" s="10" t="s">
        <v>13</v>
      </c>
      <c r="D771" s="16"/>
      <c r="E771" s="16"/>
      <c r="F771" s="12"/>
      <c r="G771" s="13"/>
      <c r="H771" s="13"/>
      <c r="I771" s="13"/>
      <c r="J771" s="22"/>
    </row>
    <row r="772" ht="42.0" hidden="1" customHeight="1">
      <c r="A772" s="1">
        <v>771.0</v>
      </c>
      <c r="B772" s="9" t="s">
        <v>67</v>
      </c>
      <c r="C772" s="10" t="s">
        <v>13</v>
      </c>
      <c r="D772" s="16"/>
      <c r="E772" s="16"/>
      <c r="F772" s="12"/>
      <c r="G772" s="13"/>
      <c r="H772" s="13"/>
      <c r="I772" s="13"/>
      <c r="J772" s="22"/>
    </row>
    <row r="773" ht="42.0" hidden="1" customHeight="1">
      <c r="A773" s="1">
        <v>772.0</v>
      </c>
      <c r="B773" s="9" t="s">
        <v>34</v>
      </c>
      <c r="C773" s="10" t="s">
        <v>13</v>
      </c>
      <c r="D773" s="16"/>
      <c r="E773" s="16"/>
      <c r="F773" s="12"/>
      <c r="G773" s="13"/>
      <c r="H773" s="13"/>
      <c r="I773" s="13"/>
      <c r="J773" s="22"/>
    </row>
    <row r="774" ht="42.0" customHeight="1">
      <c r="A774" s="1">
        <v>773.0</v>
      </c>
      <c r="B774" s="9" t="s">
        <v>35</v>
      </c>
      <c r="C774" s="10" t="s">
        <v>27</v>
      </c>
      <c r="D774" s="28">
        <v>0.4791666666666667</v>
      </c>
      <c r="E774" s="16"/>
      <c r="F774" s="17" t="s">
        <v>465</v>
      </c>
      <c r="G774" s="2">
        <v>1.0</v>
      </c>
      <c r="H774" s="13"/>
      <c r="I774" s="13"/>
      <c r="J774" s="22"/>
    </row>
    <row r="775" ht="42.0" hidden="1" customHeight="1">
      <c r="A775" s="1">
        <v>774.0</v>
      </c>
      <c r="B775" s="9" t="s">
        <v>36</v>
      </c>
      <c r="C775" s="10" t="s">
        <v>13</v>
      </c>
      <c r="D775" s="16"/>
      <c r="E775" s="16"/>
      <c r="F775" s="12"/>
      <c r="G775" s="13"/>
      <c r="H775" s="13"/>
      <c r="I775" s="13"/>
      <c r="J775" s="22"/>
    </row>
    <row r="776" ht="42.0" hidden="1" customHeight="1">
      <c r="A776" s="1">
        <v>775.0</v>
      </c>
      <c r="B776" s="9" t="s">
        <v>38</v>
      </c>
      <c r="C776" s="10" t="s">
        <v>13</v>
      </c>
      <c r="D776" s="16"/>
      <c r="E776" s="16"/>
      <c r="F776" s="12"/>
      <c r="G776" s="13"/>
      <c r="H776" s="13"/>
      <c r="I776" s="13"/>
      <c r="J776" s="22"/>
    </row>
    <row r="777" ht="42.0" hidden="1" customHeight="1">
      <c r="A777" s="1">
        <v>776.0</v>
      </c>
      <c r="B777" s="9" t="s">
        <v>41</v>
      </c>
      <c r="C777" s="10" t="s">
        <v>13</v>
      </c>
      <c r="D777" s="16"/>
      <c r="E777" s="16"/>
      <c r="F777" s="12"/>
      <c r="G777" s="13"/>
      <c r="H777" s="13"/>
      <c r="I777" s="13"/>
      <c r="J777" s="22"/>
    </row>
    <row r="778" ht="42.0" hidden="1" customHeight="1">
      <c r="A778" s="1">
        <v>777.0</v>
      </c>
      <c r="B778" s="9" t="s">
        <v>42</v>
      </c>
      <c r="C778" s="10" t="s">
        <v>13</v>
      </c>
      <c r="D778" s="16"/>
      <c r="E778" s="16"/>
      <c r="F778" s="12"/>
      <c r="G778" s="13"/>
      <c r="H778" s="13"/>
      <c r="I778" s="13"/>
      <c r="J778" s="22"/>
    </row>
    <row r="779" ht="42.0" hidden="1" customHeight="1">
      <c r="A779" s="1">
        <v>778.0</v>
      </c>
      <c r="B779" s="9" t="s">
        <v>43</v>
      </c>
      <c r="C779" s="10" t="s">
        <v>13</v>
      </c>
      <c r="D779" s="16"/>
      <c r="E779" s="16"/>
      <c r="F779" s="12"/>
      <c r="G779" s="13"/>
      <c r="H779" s="13"/>
      <c r="I779" s="13"/>
      <c r="J779" s="22"/>
    </row>
    <row r="780" ht="42.0" hidden="1" customHeight="1">
      <c r="A780" s="1">
        <v>779.0</v>
      </c>
      <c r="B780" s="9" t="s">
        <v>45</v>
      </c>
      <c r="C780" s="10" t="s">
        <v>13</v>
      </c>
      <c r="D780" s="16"/>
      <c r="E780" s="16"/>
      <c r="F780" s="12"/>
      <c r="G780" s="13"/>
      <c r="H780" s="13"/>
      <c r="I780" s="13"/>
      <c r="J780" s="22"/>
    </row>
    <row r="781" ht="42.0" hidden="1" customHeight="1">
      <c r="A781" s="1">
        <v>780.0</v>
      </c>
      <c r="B781" s="9" t="s">
        <v>46</v>
      </c>
      <c r="C781" s="10" t="s">
        <v>13</v>
      </c>
      <c r="D781" s="16"/>
      <c r="E781" s="16"/>
      <c r="F781" s="12"/>
      <c r="G781" s="13"/>
      <c r="H781" s="13"/>
      <c r="I781" s="13"/>
      <c r="J781" s="22"/>
    </row>
    <row r="782" ht="42.0" customHeight="1">
      <c r="A782" s="1">
        <v>781.0</v>
      </c>
      <c r="B782" s="9" t="s">
        <v>47</v>
      </c>
      <c r="C782" s="10" t="s">
        <v>44</v>
      </c>
      <c r="D782" s="16"/>
      <c r="E782" s="16"/>
      <c r="F782" s="12"/>
      <c r="G782" s="13"/>
      <c r="H782" s="13"/>
      <c r="I782" s="13"/>
      <c r="J782" s="22"/>
    </row>
    <row r="783" ht="42.0" hidden="1" customHeight="1">
      <c r="A783" s="1">
        <v>782.0</v>
      </c>
      <c r="B783" s="9" t="s">
        <v>48</v>
      </c>
      <c r="C783" s="10" t="s">
        <v>13</v>
      </c>
      <c r="D783" s="16"/>
      <c r="E783" s="16"/>
      <c r="F783" s="12"/>
      <c r="G783" s="13"/>
      <c r="H783" s="13"/>
      <c r="I783" s="13"/>
      <c r="J783" s="22"/>
    </row>
    <row r="784" ht="42.0" customHeight="1">
      <c r="A784" s="1">
        <v>783.0</v>
      </c>
      <c r="B784" s="18"/>
      <c r="C784" s="19"/>
      <c r="D784" s="18"/>
      <c r="E784" s="18"/>
      <c r="F784" s="20"/>
      <c r="G784" s="21"/>
      <c r="H784" s="21"/>
      <c r="I784" s="21"/>
      <c r="J784" s="22"/>
    </row>
    <row r="785" ht="42.0" customHeight="1">
      <c r="A785" s="1">
        <v>784.0</v>
      </c>
      <c r="B785" s="9" t="s">
        <v>12</v>
      </c>
      <c r="C785" s="10"/>
      <c r="D785" s="16"/>
      <c r="E785" s="34">
        <v>0.8333333333333334</v>
      </c>
      <c r="F785" s="17" t="s">
        <v>466</v>
      </c>
      <c r="G785" s="2">
        <v>1.0</v>
      </c>
      <c r="H785" s="2">
        <v>1.0</v>
      </c>
      <c r="I785" s="13"/>
      <c r="J785" s="27" t="s">
        <v>14</v>
      </c>
      <c r="K785" s="15" t="s">
        <v>467</v>
      </c>
    </row>
    <row r="786" ht="42.0" customHeight="1">
      <c r="A786" s="1">
        <v>785.0</v>
      </c>
      <c r="B786" s="9" t="s">
        <v>16</v>
      </c>
      <c r="C786" s="10" t="s">
        <v>54</v>
      </c>
      <c r="D786" s="11">
        <v>0.25</v>
      </c>
      <c r="E786" s="16"/>
      <c r="F786" s="17" t="s">
        <v>466</v>
      </c>
      <c r="G786" s="2">
        <v>1.0</v>
      </c>
      <c r="H786" s="2">
        <v>1.0</v>
      </c>
      <c r="I786" s="13"/>
      <c r="J786" s="27" t="s">
        <v>467</v>
      </c>
    </row>
    <row r="787" ht="42.0" customHeight="1">
      <c r="A787" s="1">
        <v>786.0</v>
      </c>
      <c r="B787" s="9" t="s">
        <v>17</v>
      </c>
      <c r="C787" s="23"/>
      <c r="D787" s="16"/>
      <c r="E787" s="16"/>
      <c r="F787" s="17" t="s">
        <v>468</v>
      </c>
      <c r="G787" s="2">
        <v>1.0</v>
      </c>
      <c r="H787" s="13"/>
      <c r="I787" s="13"/>
      <c r="J787" s="27" t="s">
        <v>56</v>
      </c>
    </row>
    <row r="788" ht="42.0" customHeight="1">
      <c r="A788" s="1">
        <v>787.0</v>
      </c>
      <c r="B788" s="9" t="s">
        <v>331</v>
      </c>
      <c r="C788" s="23"/>
      <c r="D788" s="28">
        <v>0.2916666666666667</v>
      </c>
      <c r="E788" s="34">
        <v>0.8333333333333334</v>
      </c>
      <c r="F788" s="17" t="s">
        <v>469</v>
      </c>
      <c r="G788" s="2">
        <v>1.0</v>
      </c>
      <c r="H788" s="2">
        <v>1.0</v>
      </c>
      <c r="I788" s="13"/>
      <c r="J788" s="22"/>
    </row>
    <row r="789" ht="42.0" hidden="1" customHeight="1">
      <c r="A789" s="1">
        <v>788.0</v>
      </c>
      <c r="B789" s="9" t="s">
        <v>21</v>
      </c>
      <c r="C789" s="10" t="s">
        <v>58</v>
      </c>
      <c r="D789" s="16"/>
      <c r="E789" s="16"/>
      <c r="F789" s="12"/>
      <c r="G789" s="13"/>
      <c r="H789" s="13"/>
      <c r="I789" s="13"/>
      <c r="J789" s="22"/>
    </row>
    <row r="790" ht="42.0" customHeight="1">
      <c r="A790" s="1">
        <v>789.0</v>
      </c>
      <c r="B790" s="9" t="s">
        <v>22</v>
      </c>
      <c r="C790" s="23"/>
      <c r="D790" s="16"/>
      <c r="E790" s="16"/>
      <c r="F790" s="17" t="s">
        <v>470</v>
      </c>
      <c r="G790" s="2">
        <v>1.0</v>
      </c>
      <c r="H790" s="13"/>
      <c r="I790" s="13"/>
      <c r="J790" s="22"/>
    </row>
    <row r="791" ht="42.0" customHeight="1">
      <c r="A791" s="1">
        <v>790.0</v>
      </c>
      <c r="B791" s="9" t="s">
        <v>23</v>
      </c>
      <c r="C791" s="23"/>
      <c r="D791" s="16"/>
      <c r="E791" s="16"/>
      <c r="F791" s="17" t="s">
        <v>471</v>
      </c>
      <c r="G791" s="2">
        <v>1.0</v>
      </c>
      <c r="H791" s="13"/>
      <c r="I791" s="2"/>
      <c r="J791" s="22"/>
    </row>
    <row r="792" ht="42.0" customHeight="1">
      <c r="A792" s="1">
        <v>791.0</v>
      </c>
      <c r="B792" s="9" t="s">
        <v>24</v>
      </c>
      <c r="C792" s="10"/>
      <c r="D792" s="16"/>
      <c r="E792" s="16"/>
      <c r="F792" s="12"/>
      <c r="G792" s="13"/>
      <c r="H792" s="13"/>
      <c r="I792" s="13"/>
      <c r="J792" s="22"/>
    </row>
    <row r="793" ht="42.0" customHeight="1">
      <c r="A793" s="1">
        <v>792.0</v>
      </c>
      <c r="B793" s="9" t="s">
        <v>25</v>
      </c>
      <c r="C793" s="10" t="s">
        <v>69</v>
      </c>
      <c r="D793" s="16"/>
      <c r="E793" s="34">
        <v>0.8333333333333334</v>
      </c>
      <c r="F793" s="17" t="s">
        <v>466</v>
      </c>
      <c r="G793" s="2">
        <v>1.0</v>
      </c>
      <c r="H793" s="2">
        <v>1.0</v>
      </c>
      <c r="I793" s="13"/>
      <c r="J793" s="22"/>
    </row>
    <row r="794" ht="42.0" customHeight="1">
      <c r="A794" s="1">
        <v>793.0</v>
      </c>
      <c r="B794" s="9" t="s">
        <v>26</v>
      </c>
      <c r="C794" s="10" t="s">
        <v>39</v>
      </c>
      <c r="D794" s="16"/>
      <c r="E794" s="16"/>
      <c r="F794" s="12"/>
      <c r="G794" s="13"/>
      <c r="H794" s="13"/>
      <c r="I794" s="13"/>
      <c r="J794" s="22"/>
    </row>
    <row r="795" ht="42.0" hidden="1" customHeight="1">
      <c r="A795" s="1">
        <v>794.0</v>
      </c>
      <c r="B795" s="9" t="s">
        <v>29</v>
      </c>
      <c r="C795" s="10" t="s">
        <v>66</v>
      </c>
      <c r="D795" s="16"/>
      <c r="E795" s="16"/>
      <c r="F795" s="12"/>
      <c r="G795" s="13"/>
      <c r="H795" s="13"/>
      <c r="I795" s="13"/>
      <c r="J795" s="22"/>
    </row>
    <row r="796" ht="42.0" customHeight="1">
      <c r="A796" s="1">
        <v>795.0</v>
      </c>
      <c r="B796" s="9" t="s">
        <v>30</v>
      </c>
      <c r="C796" s="10" t="s">
        <v>64</v>
      </c>
      <c r="D796" s="16"/>
      <c r="E796" s="11"/>
      <c r="F796" s="12"/>
      <c r="G796" s="13"/>
      <c r="H796" s="13"/>
      <c r="I796" s="13"/>
      <c r="J796" s="22"/>
    </row>
    <row r="797" ht="42.0" customHeight="1">
      <c r="A797" s="1">
        <v>796.0</v>
      </c>
      <c r="B797" s="9" t="s">
        <v>31</v>
      </c>
      <c r="C797" s="10"/>
      <c r="D797" s="16"/>
      <c r="E797" s="16"/>
      <c r="F797" s="17" t="s">
        <v>472</v>
      </c>
      <c r="G797" s="13"/>
      <c r="H797" s="13"/>
      <c r="I797" s="13"/>
      <c r="J797" s="22"/>
    </row>
    <row r="798" ht="42.0" customHeight="1">
      <c r="A798" s="1">
        <v>797.0</v>
      </c>
      <c r="B798" s="9" t="s">
        <v>32</v>
      </c>
      <c r="C798" s="10" t="s">
        <v>69</v>
      </c>
      <c r="D798" s="16"/>
      <c r="E798" s="11">
        <v>0.8333333333333334</v>
      </c>
      <c r="F798" s="17" t="s">
        <v>473</v>
      </c>
      <c r="G798" s="2">
        <v>1.0</v>
      </c>
      <c r="H798" s="13"/>
      <c r="I798" s="13"/>
      <c r="J798" s="22"/>
    </row>
    <row r="799" ht="42.0" customHeight="1">
      <c r="A799" s="1">
        <v>798.0</v>
      </c>
      <c r="B799" s="9" t="s">
        <v>67</v>
      </c>
      <c r="C799" s="10" t="s">
        <v>27</v>
      </c>
      <c r="D799" s="16"/>
      <c r="E799" s="16"/>
      <c r="F799" s="12"/>
      <c r="G799" s="13"/>
      <c r="H799" s="13"/>
      <c r="I799" s="13"/>
      <c r="J799" s="22"/>
    </row>
    <row r="800" ht="42.0" hidden="1" customHeight="1">
      <c r="A800" s="1">
        <v>799.0</v>
      </c>
      <c r="B800" s="9" t="s">
        <v>34</v>
      </c>
      <c r="C800" s="10" t="s">
        <v>58</v>
      </c>
      <c r="D800" s="16"/>
      <c r="E800" s="16"/>
      <c r="F800" s="12"/>
      <c r="G800" s="13"/>
      <c r="H800" s="13"/>
      <c r="I800" s="13"/>
      <c r="J800" s="22"/>
    </row>
    <row r="801" ht="42.0" customHeight="1">
      <c r="A801" s="1">
        <v>800.0</v>
      </c>
      <c r="B801" s="9" t="s">
        <v>35</v>
      </c>
      <c r="C801" s="10" t="s">
        <v>44</v>
      </c>
      <c r="D801" s="16"/>
      <c r="E801" s="16"/>
      <c r="F801" s="12"/>
      <c r="G801" s="13"/>
      <c r="H801" s="13"/>
      <c r="I801" s="13"/>
      <c r="J801" s="22"/>
    </row>
    <row r="802" ht="42.0" customHeight="1">
      <c r="A802" s="1">
        <v>801.0</v>
      </c>
      <c r="B802" s="9" t="s">
        <v>36</v>
      </c>
      <c r="C802" s="23"/>
      <c r="D802" s="16"/>
      <c r="E802" s="16"/>
      <c r="F802" s="17"/>
      <c r="G802" s="13"/>
      <c r="H802" s="13"/>
      <c r="I802" s="13"/>
      <c r="J802" s="22"/>
    </row>
    <row r="803" ht="42.0" customHeight="1">
      <c r="A803" s="1">
        <v>802.0</v>
      </c>
      <c r="B803" s="9" t="s">
        <v>38</v>
      </c>
      <c r="C803" s="10" t="s">
        <v>54</v>
      </c>
      <c r="D803" s="16"/>
      <c r="E803" s="16"/>
      <c r="F803" s="17" t="s">
        <v>474</v>
      </c>
      <c r="G803" s="2">
        <v>1.0</v>
      </c>
      <c r="H803" s="13"/>
      <c r="I803" s="2">
        <v>1.0</v>
      </c>
      <c r="J803" s="22"/>
    </row>
    <row r="804" ht="42.0" hidden="1" customHeight="1">
      <c r="A804" s="1">
        <v>803.0</v>
      </c>
      <c r="B804" s="9" t="s">
        <v>41</v>
      </c>
      <c r="C804" s="10" t="s">
        <v>58</v>
      </c>
      <c r="D804" s="16"/>
      <c r="E804" s="16"/>
      <c r="F804" s="17" t="s">
        <v>475</v>
      </c>
      <c r="G804" s="13"/>
      <c r="H804" s="13"/>
      <c r="I804" s="13"/>
      <c r="J804" s="22"/>
    </row>
    <row r="805" ht="42.0" customHeight="1">
      <c r="A805" s="1">
        <v>804.0</v>
      </c>
      <c r="B805" s="9" t="s">
        <v>42</v>
      </c>
      <c r="C805" s="10" t="s">
        <v>54</v>
      </c>
      <c r="D805" s="28">
        <v>0.3125</v>
      </c>
      <c r="E805" s="26">
        <v>0.8333333333333334</v>
      </c>
      <c r="F805" s="17" t="s">
        <v>469</v>
      </c>
      <c r="G805" s="13"/>
      <c r="H805" s="2">
        <v>1.0</v>
      </c>
      <c r="I805" s="13"/>
      <c r="J805" s="22"/>
    </row>
    <row r="806" ht="42.0" customHeight="1">
      <c r="A806" s="1">
        <v>805.0</v>
      </c>
      <c r="B806" s="9" t="s">
        <v>43</v>
      </c>
      <c r="C806" s="10" t="s">
        <v>62</v>
      </c>
      <c r="D806" s="16"/>
      <c r="E806" s="16"/>
      <c r="F806" s="17"/>
      <c r="G806" s="13"/>
      <c r="H806" s="13"/>
      <c r="I806" s="13"/>
      <c r="J806" s="22"/>
    </row>
    <row r="807" ht="42.0" customHeight="1">
      <c r="A807" s="1">
        <v>806.0</v>
      </c>
      <c r="B807" s="9" t="s">
        <v>45</v>
      </c>
      <c r="C807" s="10" t="s">
        <v>39</v>
      </c>
      <c r="D807" s="16"/>
      <c r="E807" s="16"/>
      <c r="F807" s="17" t="s">
        <v>476</v>
      </c>
      <c r="G807" s="13"/>
      <c r="H807" s="13"/>
      <c r="I807" s="13"/>
      <c r="J807" s="22"/>
    </row>
    <row r="808" ht="42.0" customHeight="1">
      <c r="A808" s="1">
        <v>807.0</v>
      </c>
      <c r="B808" s="9" t="s">
        <v>46</v>
      </c>
      <c r="C808" s="10" t="s">
        <v>69</v>
      </c>
      <c r="D808" s="16"/>
      <c r="E808" s="16"/>
      <c r="F808" s="17" t="s">
        <v>352</v>
      </c>
      <c r="G808" s="13"/>
      <c r="H808" s="13"/>
      <c r="I808" s="13"/>
      <c r="J808" s="22"/>
    </row>
    <row r="809" ht="42.0" customHeight="1">
      <c r="A809" s="1">
        <v>808.0</v>
      </c>
      <c r="B809" s="9" t="s">
        <v>47</v>
      </c>
      <c r="C809" s="10"/>
      <c r="D809" s="16"/>
      <c r="E809" s="16"/>
      <c r="F809" s="17"/>
      <c r="G809" s="13"/>
      <c r="H809" s="13"/>
      <c r="I809" s="13"/>
      <c r="J809" s="22"/>
    </row>
    <row r="810" ht="42.0" customHeight="1">
      <c r="A810" s="1">
        <v>809.0</v>
      </c>
      <c r="B810" s="9" t="s">
        <v>48</v>
      </c>
      <c r="C810" s="10" t="s">
        <v>54</v>
      </c>
      <c r="D810" s="28">
        <v>0.3125</v>
      </c>
      <c r="E810" s="35">
        <v>0.020833333333333332</v>
      </c>
      <c r="F810" s="17" t="s">
        <v>469</v>
      </c>
      <c r="G810" s="13"/>
      <c r="H810" s="2">
        <v>1.0</v>
      </c>
      <c r="I810" s="13"/>
      <c r="J810" s="22"/>
    </row>
    <row r="811" ht="42.0" customHeight="1">
      <c r="A811" s="1">
        <v>810.0</v>
      </c>
      <c r="B811" s="18"/>
      <c r="C811" s="19"/>
      <c r="D811" s="18"/>
      <c r="E811" s="18"/>
      <c r="F811" s="20"/>
      <c r="G811" s="21"/>
      <c r="H811" s="21"/>
      <c r="I811" s="21"/>
      <c r="J811" s="22"/>
    </row>
    <row r="812" ht="42.0" customHeight="1">
      <c r="A812" s="1">
        <v>811.0</v>
      </c>
      <c r="B812" s="9" t="s">
        <v>12</v>
      </c>
      <c r="C812" s="10"/>
      <c r="D812" s="16"/>
      <c r="E812" s="26">
        <v>0.875</v>
      </c>
      <c r="F812" s="17" t="s">
        <v>466</v>
      </c>
      <c r="G812" s="13"/>
      <c r="H812" s="13"/>
      <c r="I812" s="13"/>
      <c r="J812" s="27" t="s">
        <v>14</v>
      </c>
      <c r="K812" s="15" t="s">
        <v>477</v>
      </c>
    </row>
    <row r="813" ht="42.0" customHeight="1">
      <c r="A813" s="1">
        <v>812.0</v>
      </c>
      <c r="B813" s="9" t="s">
        <v>16</v>
      </c>
      <c r="C813" s="10" t="s">
        <v>54</v>
      </c>
      <c r="D813" s="16"/>
      <c r="E813" s="16"/>
      <c r="F813" s="17" t="s">
        <v>478</v>
      </c>
      <c r="G813" s="13"/>
      <c r="H813" s="13"/>
      <c r="I813" s="13"/>
      <c r="J813" s="27" t="s">
        <v>477</v>
      </c>
    </row>
    <row r="814" ht="42.0" hidden="1" customHeight="1">
      <c r="A814" s="1">
        <v>813.0</v>
      </c>
      <c r="B814" s="9" t="s">
        <v>17</v>
      </c>
      <c r="C814" s="10" t="s">
        <v>58</v>
      </c>
      <c r="D814" s="16"/>
      <c r="E814" s="16"/>
      <c r="F814" s="12"/>
      <c r="G814" s="13"/>
      <c r="H814" s="13"/>
      <c r="I814" s="13"/>
      <c r="J814" s="27" t="s">
        <v>77</v>
      </c>
    </row>
    <row r="815" ht="42.0" customHeight="1">
      <c r="A815" s="1">
        <v>814.0</v>
      </c>
      <c r="B815" s="9" t="s">
        <v>331</v>
      </c>
      <c r="C815" s="23"/>
      <c r="D815" s="16"/>
      <c r="E815" s="26">
        <v>0.875</v>
      </c>
      <c r="F815" s="17" t="s">
        <v>466</v>
      </c>
      <c r="G815" s="13"/>
      <c r="H815" s="13"/>
      <c r="I815" s="13"/>
      <c r="J815" s="22"/>
    </row>
    <row r="816" ht="42.0" hidden="1" customHeight="1">
      <c r="A816" s="1">
        <v>815.0</v>
      </c>
      <c r="B816" s="9" t="s">
        <v>21</v>
      </c>
      <c r="C816" s="10" t="s">
        <v>58</v>
      </c>
      <c r="D816" s="16"/>
      <c r="E816" s="16"/>
      <c r="F816" s="12"/>
      <c r="G816" s="13"/>
      <c r="H816" s="13"/>
      <c r="I816" s="13"/>
      <c r="J816" s="22"/>
    </row>
    <row r="817" ht="42.0" customHeight="1">
      <c r="A817" s="1">
        <v>816.0</v>
      </c>
      <c r="B817" s="9" t="s">
        <v>22</v>
      </c>
      <c r="C817" s="10" t="s">
        <v>54</v>
      </c>
      <c r="D817" s="16"/>
      <c r="E817" s="26">
        <v>0.8958333333333334</v>
      </c>
      <c r="F817" s="17" t="s">
        <v>479</v>
      </c>
      <c r="G817" s="2">
        <v>1.0</v>
      </c>
      <c r="H817" s="13"/>
      <c r="I817" s="13"/>
      <c r="J817" s="22"/>
    </row>
    <row r="818" ht="42.0" hidden="1" customHeight="1">
      <c r="A818" s="1">
        <v>817.0</v>
      </c>
      <c r="B818" s="9" t="s">
        <v>23</v>
      </c>
      <c r="C818" s="10" t="s">
        <v>58</v>
      </c>
      <c r="D818" s="16"/>
      <c r="E818" s="16"/>
      <c r="F818" s="12"/>
      <c r="G818" s="13"/>
      <c r="H818" s="13"/>
      <c r="I818" s="13"/>
      <c r="J818" s="22"/>
    </row>
    <row r="819" ht="42.0" customHeight="1">
      <c r="A819" s="1">
        <v>818.0</v>
      </c>
      <c r="B819" s="9" t="s">
        <v>24</v>
      </c>
      <c r="C819" s="10"/>
      <c r="D819" s="16"/>
      <c r="E819" s="26">
        <v>0.8541666666666666</v>
      </c>
      <c r="F819" s="17" t="s">
        <v>480</v>
      </c>
      <c r="G819" s="2">
        <v>1.0</v>
      </c>
      <c r="H819" s="13"/>
      <c r="I819" s="13"/>
      <c r="J819" s="22"/>
    </row>
    <row r="820" ht="42.0" customHeight="1">
      <c r="A820" s="1">
        <v>819.0</v>
      </c>
      <c r="B820" s="9" t="s">
        <v>25</v>
      </c>
      <c r="C820" s="23"/>
      <c r="D820" s="16"/>
      <c r="E820" s="16"/>
      <c r="F820" s="17" t="s">
        <v>478</v>
      </c>
      <c r="G820" s="13"/>
      <c r="H820" s="13"/>
      <c r="I820" s="13"/>
      <c r="J820" s="22"/>
    </row>
    <row r="821" ht="42.0" customHeight="1">
      <c r="A821" s="1">
        <v>820.0</v>
      </c>
      <c r="B821" s="9" t="s">
        <v>26</v>
      </c>
      <c r="C821" s="10" t="s">
        <v>69</v>
      </c>
      <c r="D821" s="16"/>
      <c r="E821" s="11">
        <v>0.8819444444444444</v>
      </c>
      <c r="F821" s="17" t="s">
        <v>481</v>
      </c>
      <c r="G821" s="2">
        <v>1.0</v>
      </c>
      <c r="H821" s="13"/>
      <c r="I821" s="13"/>
      <c r="J821" s="22"/>
    </row>
    <row r="822" ht="42.0" hidden="1" customHeight="1">
      <c r="A822" s="1">
        <v>821.0</v>
      </c>
      <c r="B822" s="9" t="s">
        <v>29</v>
      </c>
      <c r="C822" s="10" t="s">
        <v>58</v>
      </c>
      <c r="D822" s="16"/>
      <c r="E822" s="16"/>
      <c r="F822" s="12"/>
      <c r="G822" s="13"/>
      <c r="H822" s="13"/>
      <c r="I822" s="13"/>
      <c r="J822" s="22"/>
    </row>
    <row r="823" ht="42.0" customHeight="1">
      <c r="A823" s="1">
        <v>822.0</v>
      </c>
      <c r="B823" s="9" t="s">
        <v>30</v>
      </c>
      <c r="C823" s="10" t="s">
        <v>64</v>
      </c>
      <c r="D823" s="16"/>
      <c r="E823" s="16"/>
      <c r="F823" s="12"/>
      <c r="G823" s="13"/>
      <c r="H823" s="13"/>
      <c r="I823" s="13"/>
      <c r="J823" s="22"/>
    </row>
    <row r="824" ht="42.0" customHeight="1">
      <c r="A824" s="1">
        <v>823.0</v>
      </c>
      <c r="B824" s="9" t="s">
        <v>31</v>
      </c>
      <c r="C824" s="10" t="s">
        <v>39</v>
      </c>
      <c r="D824" s="16"/>
      <c r="E824" s="16"/>
      <c r="F824" s="17" t="s">
        <v>482</v>
      </c>
      <c r="G824" s="2">
        <v>1.0</v>
      </c>
      <c r="H824" s="13"/>
      <c r="I824" s="2">
        <v>1.0</v>
      </c>
      <c r="J824" s="22"/>
    </row>
    <row r="825" ht="42.0" customHeight="1">
      <c r="A825" s="1">
        <v>824.0</v>
      </c>
      <c r="B825" s="9" t="s">
        <v>32</v>
      </c>
      <c r="C825" s="10" t="s">
        <v>27</v>
      </c>
      <c r="D825" s="16"/>
      <c r="E825" s="16"/>
      <c r="F825" s="17" t="s">
        <v>483</v>
      </c>
      <c r="G825" s="2">
        <v>2.0</v>
      </c>
      <c r="H825" s="13"/>
      <c r="I825" s="2">
        <v>2.0</v>
      </c>
      <c r="J825" s="22"/>
    </row>
    <row r="826" ht="42.0" customHeight="1">
      <c r="A826" s="1">
        <v>825.0</v>
      </c>
      <c r="B826" s="9" t="s">
        <v>67</v>
      </c>
      <c r="C826" s="10" t="s">
        <v>44</v>
      </c>
      <c r="D826" s="16"/>
      <c r="E826" s="16"/>
      <c r="F826" s="12"/>
      <c r="G826" s="13"/>
      <c r="H826" s="13"/>
      <c r="I826" s="13"/>
      <c r="J826" s="22"/>
    </row>
    <row r="827" ht="42.0" hidden="1" customHeight="1">
      <c r="A827" s="1">
        <v>826.0</v>
      </c>
      <c r="B827" s="9" t="s">
        <v>34</v>
      </c>
      <c r="C827" s="10" t="s">
        <v>66</v>
      </c>
      <c r="D827" s="16"/>
      <c r="E827" s="16"/>
      <c r="F827" s="12"/>
      <c r="G827" s="13"/>
      <c r="H827" s="13"/>
      <c r="I827" s="13"/>
      <c r="J827" s="22"/>
    </row>
    <row r="828" ht="42.0" customHeight="1">
      <c r="A828" s="1">
        <v>827.0</v>
      </c>
      <c r="B828" s="9" t="s">
        <v>35</v>
      </c>
      <c r="C828" s="10" t="s">
        <v>54</v>
      </c>
      <c r="D828" s="16"/>
      <c r="E828" s="16"/>
      <c r="F828" s="17" t="s">
        <v>484</v>
      </c>
      <c r="G828" s="2">
        <v>2.0</v>
      </c>
      <c r="H828" s="13"/>
      <c r="I828" s="2">
        <v>2.0</v>
      </c>
      <c r="J828" s="22"/>
    </row>
    <row r="829" ht="42.0" customHeight="1">
      <c r="A829" s="1">
        <v>828.0</v>
      </c>
      <c r="B829" s="9" t="s">
        <v>36</v>
      </c>
      <c r="C829" s="23"/>
      <c r="D829" s="16"/>
      <c r="E829" s="16"/>
      <c r="F829" s="17" t="s">
        <v>485</v>
      </c>
      <c r="G829" s="2">
        <v>1.0</v>
      </c>
      <c r="H829" s="13"/>
      <c r="I829" s="13"/>
      <c r="J829" s="22"/>
    </row>
    <row r="830" ht="42.0" customHeight="1">
      <c r="A830" s="1">
        <v>829.0</v>
      </c>
      <c r="B830" s="9" t="s">
        <v>38</v>
      </c>
      <c r="C830" s="23"/>
      <c r="D830" s="16"/>
      <c r="E830" s="16"/>
      <c r="F830" s="17" t="s">
        <v>486</v>
      </c>
      <c r="G830" s="2">
        <v>1.0</v>
      </c>
      <c r="H830" s="13"/>
      <c r="I830" s="13"/>
      <c r="J830" s="22"/>
    </row>
    <row r="831" ht="42.0" hidden="1" customHeight="1">
      <c r="A831" s="1">
        <v>830.0</v>
      </c>
      <c r="B831" s="9" t="s">
        <v>41</v>
      </c>
      <c r="C831" s="10" t="s">
        <v>58</v>
      </c>
      <c r="D831" s="16"/>
      <c r="E831" s="16"/>
      <c r="F831" s="17" t="s">
        <v>475</v>
      </c>
      <c r="G831" s="13"/>
      <c r="H831" s="13"/>
      <c r="I831" s="13"/>
      <c r="J831" s="22"/>
    </row>
    <row r="832" ht="42.0" customHeight="1">
      <c r="A832" s="1">
        <v>831.0</v>
      </c>
      <c r="B832" s="9" t="s">
        <v>42</v>
      </c>
      <c r="C832" s="23"/>
      <c r="D832" s="16"/>
      <c r="E832" s="26">
        <v>0.875</v>
      </c>
      <c r="F832" s="17" t="s">
        <v>466</v>
      </c>
      <c r="G832" s="13"/>
      <c r="H832" s="13"/>
      <c r="I832" s="13"/>
      <c r="J832" s="22"/>
    </row>
    <row r="833" ht="42.0" customHeight="1">
      <c r="A833" s="1">
        <v>832.0</v>
      </c>
      <c r="B833" s="9" t="s">
        <v>43</v>
      </c>
      <c r="C833" s="10" t="s">
        <v>62</v>
      </c>
      <c r="D833" s="16"/>
      <c r="E833" s="26">
        <v>0.7916666666666666</v>
      </c>
      <c r="F833" s="17" t="s">
        <v>487</v>
      </c>
      <c r="G833" s="2">
        <v>2.0</v>
      </c>
      <c r="H833" s="13"/>
      <c r="I833" s="2">
        <v>2.0</v>
      </c>
      <c r="J833" s="22"/>
    </row>
    <row r="834" ht="42.0" customHeight="1">
      <c r="A834" s="1">
        <v>833.0</v>
      </c>
      <c r="B834" s="9" t="s">
        <v>45</v>
      </c>
      <c r="C834" s="10" t="s">
        <v>39</v>
      </c>
      <c r="D834" s="16"/>
      <c r="E834" s="16"/>
      <c r="F834" s="17" t="s">
        <v>488</v>
      </c>
      <c r="G834" s="2">
        <v>1.0</v>
      </c>
      <c r="H834" s="13"/>
      <c r="I834" s="13"/>
      <c r="J834" s="22"/>
    </row>
    <row r="835" ht="42.0" customHeight="1">
      <c r="A835" s="1">
        <v>834.0</v>
      </c>
      <c r="B835" s="9" t="s">
        <v>46</v>
      </c>
      <c r="C835" s="23"/>
      <c r="D835" s="16"/>
      <c r="E835" s="16"/>
      <c r="F835" s="17" t="s">
        <v>489</v>
      </c>
      <c r="G835" s="2">
        <v>1.0</v>
      </c>
      <c r="H835" s="13"/>
      <c r="I835" s="2">
        <v>1.0</v>
      </c>
      <c r="J835" s="22"/>
    </row>
    <row r="836" ht="42.0" customHeight="1">
      <c r="A836" s="1">
        <v>835.0</v>
      </c>
      <c r="B836" s="9" t="s">
        <v>47</v>
      </c>
      <c r="C836" s="10" t="s">
        <v>69</v>
      </c>
      <c r="D836" s="16"/>
      <c r="E836" s="11">
        <v>0.875</v>
      </c>
      <c r="F836" s="17" t="s">
        <v>473</v>
      </c>
      <c r="G836" s="2">
        <v>1.0</v>
      </c>
      <c r="H836" s="13"/>
      <c r="I836" s="13"/>
      <c r="J836" s="22"/>
    </row>
    <row r="837" ht="42.0" customHeight="1">
      <c r="A837" s="1">
        <v>836.0</v>
      </c>
      <c r="B837" s="9" t="s">
        <v>48</v>
      </c>
      <c r="C837" s="10" t="s">
        <v>54</v>
      </c>
      <c r="D837" s="16"/>
      <c r="E837" s="26">
        <v>0.875</v>
      </c>
      <c r="F837" s="17" t="s">
        <v>466</v>
      </c>
      <c r="G837" s="13"/>
      <c r="H837" s="13"/>
      <c r="I837" s="13"/>
      <c r="J837" s="22"/>
    </row>
    <row r="838" ht="42.0" customHeight="1">
      <c r="A838" s="1">
        <v>837.0</v>
      </c>
      <c r="B838" s="18"/>
      <c r="C838" s="19"/>
      <c r="D838" s="18"/>
      <c r="E838" s="18"/>
      <c r="F838" s="20"/>
      <c r="G838" s="21"/>
      <c r="H838" s="21"/>
      <c r="I838" s="21"/>
      <c r="J838" s="22"/>
    </row>
  </sheetData>
  <mergeCells count="32">
    <mergeCell ref="K2:M27"/>
    <mergeCell ref="J10:J11"/>
    <mergeCell ref="K29:M54"/>
    <mergeCell ref="K56:M81"/>
    <mergeCell ref="K83:M108"/>
    <mergeCell ref="K110:M135"/>
    <mergeCell ref="K137:M162"/>
    <mergeCell ref="K164:M189"/>
    <mergeCell ref="K191:M216"/>
    <mergeCell ref="K218:M243"/>
    <mergeCell ref="K245:M270"/>
    <mergeCell ref="K272:M297"/>
    <mergeCell ref="K299:M324"/>
    <mergeCell ref="K326:M351"/>
    <mergeCell ref="K353:M378"/>
    <mergeCell ref="K380:M405"/>
    <mergeCell ref="K407:M432"/>
    <mergeCell ref="K434:M459"/>
    <mergeCell ref="K461:M486"/>
    <mergeCell ref="K488:M513"/>
    <mergeCell ref="K515:M540"/>
    <mergeCell ref="K731:M756"/>
    <mergeCell ref="K758:M783"/>
    <mergeCell ref="K785:M810"/>
    <mergeCell ref="K812:M837"/>
    <mergeCell ref="K542:M567"/>
    <mergeCell ref="K569:M594"/>
    <mergeCell ref="K596:M621"/>
    <mergeCell ref="K623:M648"/>
    <mergeCell ref="K650:M675"/>
    <mergeCell ref="K677:M702"/>
    <mergeCell ref="K704:M729"/>
  </mergeCells>
  <conditionalFormatting sqref="A1">
    <cfRule type="notContainsBlanks" dxfId="5" priority="1">
      <formula>LEN(TRIM(A1))&gt;0</formula>
    </cfRule>
  </conditionalFormatting>
  <conditionalFormatting sqref="B2:I838">
    <cfRule type="expression" dxfId="6" priority="2">
      <formula>$C2="휴무"</formula>
    </cfRule>
  </conditionalFormatting>
  <conditionalFormatting sqref="B2:I838">
    <cfRule type="expression" dxfId="6" priority="3">
      <formula>$C2="휴가"</formula>
    </cfRule>
  </conditionalFormatting>
  <conditionalFormatting sqref="B2:I838">
    <cfRule type="expression" dxfId="6" priority="4">
      <formula>$C2="제크"</formula>
    </cfRule>
  </conditionalFormatting>
  <conditionalFormatting sqref="B2:I838">
    <cfRule type="expression" dxfId="7" priority="5">
      <formula>$C2="야퇴"</formula>
    </cfRule>
  </conditionalFormatting>
  <conditionalFormatting sqref="B2:I838">
    <cfRule type="expression" dxfId="8" priority="6">
      <formula>$C2="대통령실"</formula>
    </cfRule>
  </conditionalFormatting>
  <conditionalFormatting sqref="B2:I838">
    <cfRule type="expression" dxfId="8" priority="7">
      <formula>$C2="헌법재판소"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8.25"/>
    <col customWidth="1" min="3" max="3" width="10.75"/>
    <col customWidth="1" min="4" max="5" width="8.88"/>
    <col customWidth="1" min="6" max="6" width="50.13"/>
    <col customWidth="1" min="7" max="7" width="8.88"/>
    <col customWidth="1" min="8" max="8" width="10.63"/>
    <col customWidth="1" min="9" max="9" width="11.38"/>
    <col customWidth="1" min="10" max="10" width="8.5"/>
    <col customWidth="1" min="11" max="13" width="12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36"/>
      <c r="K1" s="37" t="s">
        <v>490</v>
      </c>
      <c r="L1" s="38" t="s">
        <v>10</v>
      </c>
      <c r="M1" s="39" t="s">
        <v>11</v>
      </c>
    </row>
    <row r="2" ht="40.5" customHeight="1">
      <c r="A2" s="1">
        <v>1.0</v>
      </c>
      <c r="B2" s="2" t="s">
        <v>12</v>
      </c>
      <c r="C2" s="2"/>
      <c r="D2" s="40"/>
      <c r="E2" s="40"/>
      <c r="F2" s="41" t="s">
        <v>478</v>
      </c>
      <c r="G2" s="42"/>
      <c r="H2" s="43">
        <v>1.0</v>
      </c>
      <c r="I2" s="42"/>
      <c r="J2" s="14" t="s">
        <v>491</v>
      </c>
      <c r="K2" s="15" t="s">
        <v>15</v>
      </c>
    </row>
    <row r="3" ht="40.5" hidden="1" customHeight="1">
      <c r="A3" s="1">
        <v>2.0</v>
      </c>
      <c r="B3" s="2" t="s">
        <v>16</v>
      </c>
      <c r="C3" s="2" t="s">
        <v>13</v>
      </c>
      <c r="D3" s="13"/>
      <c r="E3" s="13"/>
      <c r="F3" s="44"/>
      <c r="G3" s="42"/>
      <c r="H3" s="42"/>
      <c r="I3" s="42"/>
      <c r="J3" s="14" t="s">
        <v>15</v>
      </c>
    </row>
    <row r="4" ht="40.5" customHeight="1">
      <c r="A4" s="1">
        <v>3.0</v>
      </c>
      <c r="B4" s="2" t="s">
        <v>17</v>
      </c>
      <c r="C4" s="2"/>
      <c r="D4" s="13"/>
      <c r="E4" s="13"/>
      <c r="F4" s="44" t="s">
        <v>492</v>
      </c>
      <c r="G4" s="42"/>
      <c r="H4" s="42"/>
      <c r="I4" s="42"/>
      <c r="J4" s="14" t="s">
        <v>95</v>
      </c>
    </row>
    <row r="5" ht="40.5" customHeight="1">
      <c r="A5" s="1">
        <v>4.0</v>
      </c>
      <c r="B5" s="2" t="s">
        <v>331</v>
      </c>
      <c r="C5" s="2"/>
      <c r="D5" s="13"/>
      <c r="E5" s="13"/>
      <c r="F5" s="44" t="s">
        <v>466</v>
      </c>
      <c r="G5" s="42"/>
      <c r="H5" s="43">
        <v>1.0</v>
      </c>
      <c r="I5" s="42"/>
      <c r="J5" s="14" t="s">
        <v>262</v>
      </c>
    </row>
    <row r="6" ht="40.5" customHeight="1">
      <c r="A6" s="1">
        <v>5.0</v>
      </c>
      <c r="B6" s="2" t="s">
        <v>21</v>
      </c>
      <c r="C6" s="2" t="s">
        <v>63</v>
      </c>
      <c r="D6" s="13"/>
      <c r="E6" s="13"/>
      <c r="F6" s="45"/>
      <c r="G6" s="42"/>
      <c r="H6" s="42"/>
      <c r="I6" s="42"/>
      <c r="J6" s="14" t="s">
        <v>264</v>
      </c>
    </row>
    <row r="7" ht="40.5" hidden="1" customHeight="1">
      <c r="A7" s="1">
        <v>6.0</v>
      </c>
      <c r="B7" s="2" t="s">
        <v>22</v>
      </c>
      <c r="C7" s="2" t="s">
        <v>13</v>
      </c>
      <c r="D7" s="13"/>
      <c r="E7" s="13"/>
      <c r="F7" s="45"/>
      <c r="G7" s="42"/>
      <c r="H7" s="42"/>
      <c r="I7" s="42"/>
      <c r="J7" s="14" t="s">
        <v>265</v>
      </c>
    </row>
    <row r="8" ht="40.5" hidden="1" customHeight="1">
      <c r="A8" s="1">
        <v>7.0</v>
      </c>
      <c r="B8" s="2" t="s">
        <v>23</v>
      </c>
      <c r="C8" s="2" t="s">
        <v>13</v>
      </c>
      <c r="D8" s="13"/>
      <c r="E8" s="13"/>
      <c r="F8" s="44"/>
      <c r="G8" s="42"/>
      <c r="H8" s="42"/>
      <c r="I8" s="42"/>
      <c r="J8" s="14"/>
    </row>
    <row r="9" ht="40.5" customHeight="1">
      <c r="A9" s="1">
        <v>8.0</v>
      </c>
      <c r="B9" s="2" t="s">
        <v>268</v>
      </c>
      <c r="C9" s="2" t="s">
        <v>63</v>
      </c>
      <c r="D9" s="13"/>
      <c r="E9" s="13"/>
      <c r="F9" s="45"/>
      <c r="G9" s="42"/>
      <c r="H9" s="42"/>
      <c r="I9" s="42"/>
      <c r="J9" s="14" t="s">
        <v>165</v>
      </c>
    </row>
    <row r="10" ht="40.5" hidden="1" customHeight="1">
      <c r="A10" s="1">
        <v>9.0</v>
      </c>
      <c r="B10" s="2" t="s">
        <v>25</v>
      </c>
      <c r="C10" s="2" t="s">
        <v>13</v>
      </c>
      <c r="D10" s="13"/>
      <c r="E10" s="13"/>
      <c r="F10" s="44"/>
      <c r="G10" s="42"/>
      <c r="H10" s="43"/>
      <c r="I10" s="43"/>
      <c r="J10" s="14" t="s">
        <v>166</v>
      </c>
    </row>
    <row r="11" ht="40.5" customHeight="1">
      <c r="A11" s="1">
        <v>10.0</v>
      </c>
      <c r="B11" s="2" t="s">
        <v>26</v>
      </c>
      <c r="C11" s="2" t="s">
        <v>27</v>
      </c>
      <c r="D11" s="13"/>
      <c r="E11" s="13"/>
      <c r="F11" s="45"/>
      <c r="G11" s="42"/>
      <c r="H11" s="42"/>
      <c r="I11" s="42"/>
      <c r="J11" s="14" t="s">
        <v>167</v>
      </c>
    </row>
    <row r="12" ht="40.5" hidden="1" customHeight="1">
      <c r="A12" s="1">
        <v>11.0</v>
      </c>
      <c r="B12" s="2" t="s">
        <v>29</v>
      </c>
      <c r="C12" s="2" t="s">
        <v>13</v>
      </c>
      <c r="D12" s="13"/>
      <c r="E12" s="13"/>
      <c r="F12" s="44"/>
      <c r="G12" s="42"/>
      <c r="H12" s="42"/>
      <c r="I12" s="42"/>
      <c r="J12" s="14"/>
    </row>
    <row r="13" ht="40.5" hidden="1" customHeight="1">
      <c r="A13" s="1">
        <v>12.0</v>
      </c>
      <c r="B13" s="2" t="s">
        <v>30</v>
      </c>
      <c r="C13" s="2" t="s">
        <v>13</v>
      </c>
      <c r="D13" s="13"/>
      <c r="E13" s="13"/>
      <c r="F13" s="44"/>
      <c r="G13" s="42"/>
      <c r="H13" s="42"/>
      <c r="I13" s="42"/>
      <c r="J13" s="14"/>
    </row>
    <row r="14" ht="40.5" hidden="1" customHeight="1">
      <c r="A14" s="1">
        <v>13.0</v>
      </c>
      <c r="B14" s="2" t="s">
        <v>31</v>
      </c>
      <c r="C14" s="2" t="s">
        <v>13</v>
      </c>
      <c r="D14" s="13"/>
      <c r="E14" s="13"/>
      <c r="F14" s="44"/>
      <c r="G14" s="42"/>
      <c r="H14" s="42"/>
      <c r="I14" s="42"/>
      <c r="J14" s="14"/>
    </row>
    <row r="15" ht="40.5" customHeight="1">
      <c r="A15" s="1">
        <v>14.0</v>
      </c>
      <c r="B15" s="2" t="s">
        <v>32</v>
      </c>
      <c r="C15" s="2" t="s">
        <v>44</v>
      </c>
      <c r="D15" s="13"/>
      <c r="E15" s="13"/>
      <c r="F15" s="44" t="s">
        <v>493</v>
      </c>
      <c r="G15" s="43">
        <v>1.0</v>
      </c>
      <c r="H15" s="42"/>
      <c r="I15" s="43">
        <v>1.0</v>
      </c>
      <c r="J15" s="14"/>
    </row>
    <row r="16" ht="40.5" customHeight="1">
      <c r="A16" s="1">
        <v>15.0</v>
      </c>
      <c r="B16" s="2" t="s">
        <v>67</v>
      </c>
      <c r="C16" s="2" t="s">
        <v>69</v>
      </c>
      <c r="D16" s="13"/>
      <c r="E16" s="13"/>
      <c r="F16" s="44" t="s">
        <v>494</v>
      </c>
      <c r="G16" s="42"/>
      <c r="H16" s="42"/>
      <c r="I16" s="42"/>
      <c r="J16" s="14"/>
    </row>
    <row r="17" ht="40.5" hidden="1" customHeight="1">
      <c r="A17" s="1">
        <v>16.0</v>
      </c>
      <c r="B17" s="2" t="s">
        <v>34</v>
      </c>
      <c r="C17" s="2" t="s">
        <v>13</v>
      </c>
      <c r="D17" s="13"/>
      <c r="E17" s="13"/>
      <c r="F17" s="44"/>
      <c r="G17" s="42"/>
      <c r="H17" s="43"/>
      <c r="I17" s="43"/>
      <c r="J17" s="14"/>
    </row>
    <row r="18" ht="40.5" customHeight="1">
      <c r="A18" s="1">
        <v>17.0</v>
      </c>
      <c r="B18" s="2" t="s">
        <v>35</v>
      </c>
      <c r="C18" s="2" t="s">
        <v>54</v>
      </c>
      <c r="D18" s="13"/>
      <c r="E18" s="13"/>
      <c r="F18" s="45"/>
      <c r="G18" s="42"/>
      <c r="H18" s="42"/>
      <c r="I18" s="42"/>
      <c r="J18" s="14"/>
    </row>
    <row r="19" ht="40.5" customHeight="1">
      <c r="A19" s="1">
        <v>18.0</v>
      </c>
      <c r="B19" s="2" t="s">
        <v>36</v>
      </c>
      <c r="C19" s="2"/>
      <c r="D19" s="13"/>
      <c r="E19" s="13"/>
      <c r="F19" s="44" t="s">
        <v>495</v>
      </c>
      <c r="G19" s="43">
        <v>1.0</v>
      </c>
      <c r="H19" s="42"/>
      <c r="I19" s="42"/>
      <c r="J19" s="14"/>
    </row>
    <row r="20" ht="40.5" customHeight="1">
      <c r="A20" s="1">
        <v>19.0</v>
      </c>
      <c r="B20" s="2" t="s">
        <v>38</v>
      </c>
      <c r="C20" s="2" t="s">
        <v>39</v>
      </c>
      <c r="D20" s="40">
        <v>0.2916666666666667</v>
      </c>
      <c r="E20" s="13"/>
      <c r="F20" s="44" t="s">
        <v>496</v>
      </c>
      <c r="G20" s="43">
        <v>1.0</v>
      </c>
      <c r="H20" s="42"/>
      <c r="I20" s="43">
        <v>1.0</v>
      </c>
      <c r="J20" s="14"/>
    </row>
    <row r="21" ht="40.5" customHeight="1">
      <c r="A21" s="1">
        <v>20.0</v>
      </c>
      <c r="B21" s="2" t="s">
        <v>41</v>
      </c>
      <c r="C21" s="2" t="s">
        <v>69</v>
      </c>
      <c r="D21" s="13"/>
      <c r="E21" s="13"/>
      <c r="F21" s="44" t="s">
        <v>497</v>
      </c>
      <c r="G21" s="42"/>
      <c r="H21" s="43"/>
      <c r="I21" s="42"/>
      <c r="J21" s="14"/>
    </row>
    <row r="22" ht="40.5" customHeight="1">
      <c r="A22" s="1">
        <v>21.0</v>
      </c>
      <c r="B22" s="2" t="s">
        <v>42</v>
      </c>
      <c r="C22" s="2"/>
      <c r="D22" s="13"/>
      <c r="E22" s="13"/>
      <c r="F22" s="41" t="s">
        <v>478</v>
      </c>
      <c r="G22" s="42"/>
      <c r="H22" s="43">
        <v>1.0</v>
      </c>
      <c r="I22" s="42"/>
      <c r="J22" s="14"/>
    </row>
    <row r="23" ht="40.5" customHeight="1">
      <c r="A23" s="1">
        <v>22.0</v>
      </c>
      <c r="B23" s="2" t="s">
        <v>43</v>
      </c>
      <c r="C23" s="2"/>
      <c r="D23" s="13"/>
      <c r="E23" s="13"/>
      <c r="F23" s="44" t="s">
        <v>498</v>
      </c>
      <c r="G23" s="42"/>
      <c r="H23" s="42"/>
      <c r="I23" s="42"/>
      <c r="J23" s="14"/>
    </row>
    <row r="24" ht="40.5" customHeight="1">
      <c r="A24" s="1">
        <v>23.0</v>
      </c>
      <c r="B24" s="2" t="s">
        <v>45</v>
      </c>
      <c r="C24" s="2" t="s">
        <v>54</v>
      </c>
      <c r="D24" s="13"/>
      <c r="E24" s="13"/>
      <c r="F24" s="44" t="s">
        <v>499</v>
      </c>
      <c r="G24" s="42"/>
      <c r="H24" s="42"/>
      <c r="I24" s="42"/>
      <c r="J24" s="14"/>
    </row>
    <row r="25" ht="40.5" hidden="1" customHeight="1">
      <c r="A25" s="1">
        <v>24.0</v>
      </c>
      <c r="B25" s="2" t="s">
        <v>46</v>
      </c>
      <c r="C25" s="2" t="s">
        <v>13</v>
      </c>
      <c r="D25" s="40"/>
      <c r="E25" s="13"/>
      <c r="F25" s="44"/>
      <c r="G25" s="42"/>
      <c r="H25" s="42"/>
      <c r="I25" s="42"/>
      <c r="J25" s="14"/>
    </row>
    <row r="26" ht="40.5" hidden="1" customHeight="1">
      <c r="A26" s="1">
        <v>25.0</v>
      </c>
      <c r="B26" s="2" t="s">
        <v>47</v>
      </c>
      <c r="C26" s="2" t="s">
        <v>13</v>
      </c>
      <c r="D26" s="13"/>
      <c r="E26" s="13"/>
      <c r="F26" s="45"/>
      <c r="G26" s="42"/>
      <c r="H26" s="42"/>
      <c r="I26" s="42"/>
      <c r="J26" s="14"/>
    </row>
    <row r="27" ht="40.5" customHeight="1">
      <c r="A27" s="1">
        <v>26.0</v>
      </c>
      <c r="B27" s="2" t="s">
        <v>48</v>
      </c>
      <c r="C27" s="2"/>
      <c r="D27" s="13"/>
      <c r="E27" s="13"/>
      <c r="F27" s="41" t="s">
        <v>478</v>
      </c>
      <c r="G27" s="42"/>
      <c r="H27" s="43">
        <v>1.0</v>
      </c>
      <c r="I27" s="42"/>
      <c r="J27" s="14"/>
    </row>
    <row r="28" ht="40.5" customHeight="1">
      <c r="A28" s="1">
        <v>27.0</v>
      </c>
      <c r="B28" s="21"/>
      <c r="C28" s="21"/>
      <c r="D28" s="21"/>
      <c r="E28" s="21"/>
      <c r="F28" s="46"/>
      <c r="G28" s="47"/>
      <c r="H28" s="47"/>
      <c r="I28" s="47"/>
      <c r="J28" s="48"/>
      <c r="K28" s="49"/>
      <c r="L28" s="49"/>
      <c r="M28" s="49"/>
    </row>
    <row r="29" ht="40.5" customHeight="1">
      <c r="A29" s="1">
        <v>28.0</v>
      </c>
      <c r="B29" s="2" t="s">
        <v>12</v>
      </c>
      <c r="C29" s="2" t="s">
        <v>62</v>
      </c>
      <c r="D29" s="13"/>
      <c r="E29" s="13"/>
      <c r="F29" s="45"/>
      <c r="G29" s="42"/>
      <c r="H29" s="42"/>
      <c r="I29" s="42"/>
      <c r="J29" s="14" t="s">
        <v>491</v>
      </c>
      <c r="K29" s="15" t="s">
        <v>52</v>
      </c>
    </row>
    <row r="30" ht="40.5" customHeight="1">
      <c r="A30" s="1">
        <v>29.0</v>
      </c>
      <c r="B30" s="2" t="s">
        <v>16</v>
      </c>
      <c r="C30" s="2" t="s">
        <v>54</v>
      </c>
      <c r="D30" s="50"/>
      <c r="E30" s="13"/>
      <c r="F30" s="44" t="s">
        <v>500</v>
      </c>
      <c r="G30" s="43">
        <v>1.0</v>
      </c>
      <c r="H30" s="42"/>
      <c r="I30" s="42"/>
      <c r="J30" s="14" t="s">
        <v>52</v>
      </c>
    </row>
    <row r="31" ht="40.5" customHeight="1">
      <c r="A31" s="1">
        <v>30.0</v>
      </c>
      <c r="B31" s="2" t="s">
        <v>17</v>
      </c>
      <c r="C31" s="2" t="s">
        <v>69</v>
      </c>
      <c r="D31" s="13"/>
      <c r="E31" s="13"/>
      <c r="F31" s="44" t="s">
        <v>501</v>
      </c>
      <c r="G31" s="42"/>
      <c r="H31" s="42"/>
      <c r="I31" s="42"/>
      <c r="J31" s="14" t="s">
        <v>111</v>
      </c>
    </row>
    <row r="32" ht="40.5" customHeight="1">
      <c r="A32" s="1">
        <v>31.0</v>
      </c>
      <c r="B32" s="2" t="s">
        <v>331</v>
      </c>
      <c r="C32" s="13"/>
      <c r="D32" s="13"/>
      <c r="E32" s="13"/>
      <c r="F32" s="41" t="s">
        <v>466</v>
      </c>
      <c r="G32" s="42"/>
      <c r="H32" s="43">
        <v>1.0</v>
      </c>
      <c r="I32" s="42"/>
      <c r="J32" s="14"/>
    </row>
    <row r="33" ht="40.5" customHeight="1">
      <c r="A33" s="1">
        <v>32.0</v>
      </c>
      <c r="B33" s="2" t="s">
        <v>21</v>
      </c>
      <c r="C33" s="2" t="s">
        <v>277</v>
      </c>
      <c r="D33" s="13"/>
      <c r="E33" s="13"/>
      <c r="F33" s="45"/>
      <c r="G33" s="42"/>
      <c r="H33" s="42"/>
      <c r="I33" s="42"/>
      <c r="J33" s="14"/>
    </row>
    <row r="34" ht="40.5" customHeight="1">
      <c r="A34" s="1">
        <v>33.0</v>
      </c>
      <c r="B34" s="2" t="s">
        <v>22</v>
      </c>
      <c r="C34" s="2" t="s">
        <v>27</v>
      </c>
      <c r="D34" s="13"/>
      <c r="E34" s="13"/>
      <c r="F34" s="44" t="s">
        <v>502</v>
      </c>
      <c r="G34" s="42"/>
      <c r="H34" s="42"/>
      <c r="I34" s="42"/>
      <c r="J34" s="14"/>
    </row>
    <row r="35" ht="40.5" customHeight="1">
      <c r="A35" s="1">
        <v>34.0</v>
      </c>
      <c r="B35" s="2" t="s">
        <v>116</v>
      </c>
      <c r="C35" s="2"/>
      <c r="D35" s="13"/>
      <c r="E35" s="13"/>
      <c r="F35" s="45"/>
      <c r="G35" s="42"/>
      <c r="H35" s="42"/>
      <c r="I35" s="42"/>
      <c r="J35" s="14"/>
    </row>
    <row r="36" ht="40.5" customHeight="1">
      <c r="A36" s="1">
        <v>35.0</v>
      </c>
      <c r="B36" s="2" t="s">
        <v>24</v>
      </c>
      <c r="C36" s="2"/>
      <c r="D36" s="13"/>
      <c r="E36" s="13"/>
      <c r="F36" s="44" t="s">
        <v>503</v>
      </c>
      <c r="G36" s="42"/>
      <c r="H36" s="42"/>
      <c r="I36" s="42"/>
      <c r="J36" s="14"/>
    </row>
    <row r="37" ht="40.5" customHeight="1">
      <c r="A37" s="1">
        <v>36.0</v>
      </c>
      <c r="B37" s="2" t="s">
        <v>25</v>
      </c>
      <c r="C37" s="13"/>
      <c r="D37" s="13"/>
      <c r="E37" s="13"/>
      <c r="F37" s="44" t="s">
        <v>504</v>
      </c>
      <c r="G37" s="43">
        <v>1.0</v>
      </c>
      <c r="H37" s="42"/>
      <c r="I37" s="43">
        <v>1.0</v>
      </c>
      <c r="J37" s="14"/>
    </row>
    <row r="38" ht="40.5" customHeight="1">
      <c r="A38" s="1">
        <v>37.0</v>
      </c>
      <c r="B38" s="2" t="s">
        <v>26</v>
      </c>
      <c r="C38" s="2" t="s">
        <v>44</v>
      </c>
      <c r="D38" s="13"/>
      <c r="E38" s="13"/>
      <c r="F38" s="45"/>
      <c r="G38" s="42"/>
      <c r="H38" s="42"/>
      <c r="I38" s="42"/>
      <c r="J38" s="14"/>
    </row>
    <row r="39" ht="40.5" customHeight="1">
      <c r="A39" s="1">
        <v>38.0</v>
      </c>
      <c r="B39" s="2" t="s">
        <v>29</v>
      </c>
      <c r="C39" s="2" t="s">
        <v>54</v>
      </c>
      <c r="D39" s="13"/>
      <c r="E39" s="13"/>
      <c r="F39" s="44" t="s">
        <v>505</v>
      </c>
      <c r="G39" s="42"/>
      <c r="H39" s="42"/>
      <c r="I39" s="42"/>
      <c r="J39" s="14"/>
    </row>
    <row r="40" ht="40.5" customHeight="1">
      <c r="A40" s="1">
        <v>39.0</v>
      </c>
      <c r="B40" s="2" t="s">
        <v>30</v>
      </c>
      <c r="C40" s="2" t="s">
        <v>64</v>
      </c>
      <c r="D40" s="13"/>
      <c r="E40" s="13"/>
      <c r="F40" s="45"/>
      <c r="G40" s="42"/>
      <c r="H40" s="42"/>
      <c r="I40" s="42"/>
      <c r="J40" s="14"/>
    </row>
    <row r="41" ht="40.5" customHeight="1">
      <c r="A41" s="1">
        <v>40.0</v>
      </c>
      <c r="B41" s="2" t="s">
        <v>31</v>
      </c>
      <c r="C41" s="2"/>
      <c r="D41" s="13"/>
      <c r="E41" s="13"/>
      <c r="F41" s="44" t="s">
        <v>506</v>
      </c>
      <c r="G41" s="42"/>
      <c r="H41" s="42"/>
      <c r="I41" s="42"/>
      <c r="J41" s="14"/>
    </row>
    <row r="42" ht="40.5" customHeight="1">
      <c r="A42" s="1">
        <v>41.0</v>
      </c>
      <c r="B42" s="2" t="s">
        <v>32</v>
      </c>
      <c r="C42" s="2"/>
      <c r="D42" s="13"/>
      <c r="E42" s="13"/>
      <c r="F42" s="44" t="s">
        <v>507</v>
      </c>
      <c r="G42" s="42"/>
      <c r="H42" s="42"/>
      <c r="I42" s="42"/>
      <c r="J42" s="14"/>
    </row>
    <row r="43" ht="40.5" hidden="1" customHeight="1">
      <c r="A43" s="1">
        <v>42.0</v>
      </c>
      <c r="B43" s="2" t="s">
        <v>67</v>
      </c>
      <c r="C43" s="2" t="s">
        <v>58</v>
      </c>
      <c r="D43" s="13"/>
      <c r="E43" s="13"/>
      <c r="F43" s="45"/>
      <c r="G43" s="42"/>
      <c r="H43" s="42"/>
      <c r="I43" s="42"/>
      <c r="J43" s="14"/>
    </row>
    <row r="44" ht="40.5" hidden="1" customHeight="1">
      <c r="A44" s="1">
        <v>43.0</v>
      </c>
      <c r="B44" s="2" t="s">
        <v>34</v>
      </c>
      <c r="C44" s="2" t="s">
        <v>58</v>
      </c>
      <c r="D44" s="13"/>
      <c r="E44" s="13"/>
      <c r="F44" s="45"/>
      <c r="G44" s="42"/>
      <c r="H44" s="42"/>
      <c r="I44" s="42"/>
      <c r="J44" s="14"/>
    </row>
    <row r="45" ht="40.5" customHeight="1">
      <c r="A45" s="1">
        <v>44.0</v>
      </c>
      <c r="B45" s="2" t="s">
        <v>35</v>
      </c>
      <c r="C45" s="2" t="s">
        <v>54</v>
      </c>
      <c r="D45" s="13"/>
      <c r="E45" s="13"/>
      <c r="F45" s="44" t="s">
        <v>508</v>
      </c>
      <c r="G45" s="42"/>
      <c r="H45" s="42"/>
      <c r="I45" s="42"/>
      <c r="J45" s="14"/>
    </row>
    <row r="46" ht="40.5" customHeight="1">
      <c r="A46" s="1">
        <v>45.0</v>
      </c>
      <c r="B46" s="2" t="s">
        <v>36</v>
      </c>
      <c r="C46" s="2"/>
      <c r="D46" s="13"/>
      <c r="E46" s="13"/>
      <c r="F46" s="44" t="s">
        <v>509</v>
      </c>
      <c r="G46" s="42"/>
      <c r="H46" s="42"/>
      <c r="I46" s="42"/>
      <c r="J46" s="14"/>
    </row>
    <row r="47" ht="40.5" customHeight="1">
      <c r="A47" s="1">
        <v>46.0</v>
      </c>
      <c r="B47" s="2" t="s">
        <v>38</v>
      </c>
      <c r="C47" s="2" t="s">
        <v>39</v>
      </c>
      <c r="D47" s="13"/>
      <c r="E47" s="13"/>
      <c r="F47" s="44" t="s">
        <v>510</v>
      </c>
      <c r="G47" s="42"/>
      <c r="H47" s="42"/>
      <c r="I47" s="42"/>
      <c r="J47" s="14"/>
    </row>
    <row r="48" ht="40.5" hidden="1" customHeight="1">
      <c r="A48" s="1">
        <v>47.0</v>
      </c>
      <c r="B48" s="2" t="s">
        <v>41</v>
      </c>
      <c r="C48" s="2" t="s">
        <v>58</v>
      </c>
      <c r="D48" s="13"/>
      <c r="E48" s="13"/>
      <c r="F48" s="44" t="s">
        <v>475</v>
      </c>
      <c r="G48" s="42"/>
      <c r="H48" s="42"/>
      <c r="I48" s="42"/>
      <c r="J48" s="14"/>
    </row>
    <row r="49" ht="40.5" hidden="1" customHeight="1">
      <c r="A49" s="1">
        <v>48.0</v>
      </c>
      <c r="B49" s="2" t="s">
        <v>42</v>
      </c>
      <c r="C49" s="2" t="s">
        <v>58</v>
      </c>
      <c r="D49" s="13"/>
      <c r="E49" s="13"/>
      <c r="F49" s="45"/>
      <c r="G49" s="42"/>
      <c r="H49" s="42"/>
      <c r="I49" s="42"/>
      <c r="J49" s="14"/>
    </row>
    <row r="50" ht="40.5" customHeight="1">
      <c r="A50" s="1">
        <v>49.0</v>
      </c>
      <c r="B50" s="2" t="s">
        <v>43</v>
      </c>
      <c r="C50" s="2" t="s">
        <v>39</v>
      </c>
      <c r="D50" s="13"/>
      <c r="E50" s="13"/>
      <c r="F50" s="44" t="s">
        <v>476</v>
      </c>
      <c r="G50" s="42"/>
      <c r="H50" s="42"/>
      <c r="I50" s="42"/>
      <c r="J50" s="14"/>
    </row>
    <row r="51" ht="40.5" customHeight="1">
      <c r="A51" s="1">
        <v>50.0</v>
      </c>
      <c r="B51" s="2" t="s">
        <v>45</v>
      </c>
      <c r="C51" s="2"/>
      <c r="D51" s="13"/>
      <c r="E51" s="13"/>
      <c r="F51" s="44" t="s">
        <v>352</v>
      </c>
      <c r="G51" s="42"/>
      <c r="H51" s="42"/>
      <c r="I51" s="42"/>
      <c r="J51" s="14"/>
    </row>
    <row r="52" ht="40.5" customHeight="1">
      <c r="A52" s="1">
        <v>51.0</v>
      </c>
      <c r="B52" s="2" t="s">
        <v>46</v>
      </c>
      <c r="C52" s="2" t="s">
        <v>69</v>
      </c>
      <c r="D52" s="13"/>
      <c r="E52" s="40">
        <v>0.8958333333333334</v>
      </c>
      <c r="F52" s="44" t="s">
        <v>511</v>
      </c>
      <c r="G52" s="42"/>
      <c r="H52" s="42"/>
      <c r="I52" s="42"/>
      <c r="J52" s="14"/>
    </row>
    <row r="53" ht="40.5" customHeight="1">
      <c r="A53" s="1">
        <v>52.0</v>
      </c>
      <c r="B53" s="2" t="s">
        <v>47</v>
      </c>
      <c r="C53" s="2" t="s">
        <v>69</v>
      </c>
      <c r="D53" s="13"/>
      <c r="E53" s="40">
        <v>0.8680555555555556</v>
      </c>
      <c r="F53" s="44" t="s">
        <v>512</v>
      </c>
      <c r="G53" s="42"/>
      <c r="H53" s="42"/>
      <c r="I53" s="42"/>
      <c r="J53" s="14"/>
    </row>
    <row r="54" ht="40.5" customHeight="1">
      <c r="A54" s="1">
        <v>53.0</v>
      </c>
      <c r="B54" s="2" t="s">
        <v>48</v>
      </c>
      <c r="C54" s="2" t="s">
        <v>54</v>
      </c>
      <c r="D54" s="13"/>
      <c r="E54" s="13"/>
      <c r="F54" s="44" t="s">
        <v>513</v>
      </c>
      <c r="G54" s="43">
        <v>3.0</v>
      </c>
      <c r="H54" s="42"/>
      <c r="I54" s="43">
        <v>2.0</v>
      </c>
      <c r="J54" s="14"/>
    </row>
    <row r="55" ht="40.5" customHeight="1">
      <c r="A55" s="1">
        <v>54.0</v>
      </c>
      <c r="B55" s="21"/>
      <c r="C55" s="21"/>
      <c r="D55" s="21"/>
      <c r="E55" s="21"/>
      <c r="F55" s="46"/>
      <c r="G55" s="47"/>
      <c r="H55" s="47"/>
      <c r="I55" s="47"/>
      <c r="J55" s="48"/>
      <c r="K55" s="49"/>
      <c r="L55" s="49"/>
      <c r="M55" s="49"/>
    </row>
    <row r="56" ht="40.5" customHeight="1">
      <c r="A56" s="1">
        <v>55.0</v>
      </c>
      <c r="B56" s="2" t="s">
        <v>12</v>
      </c>
      <c r="C56" s="2" t="s">
        <v>62</v>
      </c>
      <c r="D56" s="13"/>
      <c r="E56" s="13"/>
      <c r="F56" s="45"/>
      <c r="G56" s="42"/>
      <c r="H56" s="42"/>
      <c r="I56" s="42"/>
      <c r="J56" s="14" t="s">
        <v>491</v>
      </c>
      <c r="K56" s="15" t="s">
        <v>74</v>
      </c>
    </row>
    <row r="57" ht="40.5" customHeight="1">
      <c r="A57" s="1">
        <v>56.0</v>
      </c>
      <c r="B57" s="2" t="s">
        <v>16</v>
      </c>
      <c r="C57" s="2" t="s">
        <v>54</v>
      </c>
      <c r="D57" s="13"/>
      <c r="E57" s="13"/>
      <c r="F57" s="44" t="s">
        <v>514</v>
      </c>
      <c r="G57" s="43">
        <v>1.0</v>
      </c>
      <c r="H57" s="42"/>
      <c r="I57" s="42"/>
      <c r="J57" s="14" t="s">
        <v>74</v>
      </c>
    </row>
    <row r="58" ht="40.5" customHeight="1">
      <c r="A58" s="1">
        <v>57.0</v>
      </c>
      <c r="B58" s="2" t="s">
        <v>17</v>
      </c>
      <c r="C58" s="2"/>
      <c r="D58" s="13"/>
      <c r="E58" s="13"/>
      <c r="F58" s="44" t="s">
        <v>515</v>
      </c>
      <c r="G58" s="42"/>
      <c r="H58" s="42"/>
      <c r="I58" s="43">
        <v>1.0</v>
      </c>
      <c r="J58" s="14" t="s">
        <v>131</v>
      </c>
    </row>
    <row r="59" ht="40.5" customHeight="1">
      <c r="A59" s="1">
        <v>58.0</v>
      </c>
      <c r="B59" s="2" t="s">
        <v>331</v>
      </c>
      <c r="C59" s="2"/>
      <c r="D59" s="13"/>
      <c r="E59" s="51">
        <v>0.8402777777777778</v>
      </c>
      <c r="F59" s="44" t="s">
        <v>478</v>
      </c>
      <c r="G59" s="43">
        <v>1.0</v>
      </c>
      <c r="H59" s="43">
        <v>1.0</v>
      </c>
      <c r="I59" s="42"/>
      <c r="J59" s="14"/>
    </row>
    <row r="60" ht="40.5" customHeight="1">
      <c r="A60" s="1">
        <v>59.0</v>
      </c>
      <c r="B60" s="2" t="s">
        <v>21</v>
      </c>
      <c r="C60" s="2" t="s">
        <v>277</v>
      </c>
      <c r="D60" s="13"/>
      <c r="E60" s="13"/>
      <c r="F60" s="45"/>
      <c r="G60" s="42"/>
      <c r="H60" s="42"/>
      <c r="I60" s="42"/>
      <c r="J60" s="14"/>
    </row>
    <row r="61" ht="40.5" customHeight="1">
      <c r="A61" s="1">
        <v>60.0</v>
      </c>
      <c r="B61" s="2" t="s">
        <v>22</v>
      </c>
      <c r="C61" s="2" t="s">
        <v>44</v>
      </c>
      <c r="D61" s="13"/>
      <c r="E61" s="13"/>
      <c r="F61" s="52" t="s">
        <v>516</v>
      </c>
      <c r="G61" s="42"/>
      <c r="H61" s="42"/>
      <c r="I61" s="42"/>
      <c r="J61" s="14"/>
    </row>
    <row r="62" ht="40.5" customHeight="1">
      <c r="A62" s="1">
        <v>61.0</v>
      </c>
      <c r="B62" s="2" t="s">
        <v>116</v>
      </c>
      <c r="C62" s="2"/>
      <c r="D62" s="13"/>
      <c r="E62" s="51">
        <v>0.8611111111111112</v>
      </c>
      <c r="F62" s="44" t="s">
        <v>517</v>
      </c>
      <c r="G62" s="42"/>
      <c r="H62" s="42"/>
      <c r="I62" s="42"/>
      <c r="J62" s="14"/>
    </row>
    <row r="63" ht="40.5" customHeight="1">
      <c r="A63" s="1">
        <v>62.0</v>
      </c>
      <c r="B63" s="2" t="s">
        <v>24</v>
      </c>
      <c r="C63" s="2"/>
      <c r="D63" s="53">
        <v>0.2916666666666667</v>
      </c>
      <c r="E63" s="13"/>
      <c r="F63" s="44" t="s">
        <v>518</v>
      </c>
      <c r="G63" s="43">
        <v>1.0</v>
      </c>
      <c r="H63" s="42"/>
      <c r="I63" s="43">
        <v>1.0</v>
      </c>
      <c r="J63" s="14"/>
    </row>
    <row r="64" ht="40.5" customHeight="1">
      <c r="A64" s="1">
        <v>63.0</v>
      </c>
      <c r="B64" s="2" t="s">
        <v>25</v>
      </c>
      <c r="C64" s="2"/>
      <c r="D64" s="53">
        <v>0.2916666666666667</v>
      </c>
      <c r="E64" s="13"/>
      <c r="F64" s="44" t="s">
        <v>519</v>
      </c>
      <c r="G64" s="43">
        <v>1.0</v>
      </c>
      <c r="H64" s="42"/>
      <c r="I64" s="43">
        <v>1.0</v>
      </c>
      <c r="J64" s="14"/>
    </row>
    <row r="65" ht="40.5" hidden="1" customHeight="1">
      <c r="A65" s="1">
        <v>64.0</v>
      </c>
      <c r="B65" s="2" t="s">
        <v>26</v>
      </c>
      <c r="C65" s="2" t="s">
        <v>58</v>
      </c>
      <c r="D65" s="13"/>
      <c r="E65" s="13"/>
      <c r="F65" s="45"/>
      <c r="G65" s="42"/>
      <c r="H65" s="42"/>
      <c r="I65" s="42"/>
      <c r="J65" s="14"/>
    </row>
    <row r="66" ht="40.5" customHeight="1">
      <c r="A66" s="1">
        <v>65.0</v>
      </c>
      <c r="B66" s="2" t="s">
        <v>29</v>
      </c>
      <c r="C66" s="2" t="s">
        <v>54</v>
      </c>
      <c r="D66" s="53">
        <v>0.2916666666666667</v>
      </c>
      <c r="E66" s="13"/>
      <c r="F66" s="44" t="s">
        <v>520</v>
      </c>
      <c r="G66" s="43">
        <v>1.0</v>
      </c>
      <c r="H66" s="42"/>
      <c r="I66" s="42"/>
      <c r="J66" s="14"/>
    </row>
    <row r="67" ht="40.5" customHeight="1">
      <c r="A67" s="1">
        <v>66.0</v>
      </c>
      <c r="B67" s="2" t="s">
        <v>30</v>
      </c>
      <c r="C67" s="2" t="s">
        <v>64</v>
      </c>
      <c r="D67" s="53">
        <v>0.25</v>
      </c>
      <c r="E67" s="13"/>
      <c r="F67" s="45"/>
      <c r="G67" s="42"/>
      <c r="H67" s="42"/>
      <c r="I67" s="42"/>
      <c r="J67" s="14"/>
    </row>
    <row r="68" ht="40.5" customHeight="1">
      <c r="A68" s="1">
        <v>67.0</v>
      </c>
      <c r="B68" s="2" t="s">
        <v>31</v>
      </c>
      <c r="C68" s="2"/>
      <c r="D68" s="53">
        <v>0.2916666666666667</v>
      </c>
      <c r="E68" s="51">
        <v>0.8263888888888888</v>
      </c>
      <c r="F68" s="44" t="s">
        <v>521</v>
      </c>
      <c r="G68" s="43">
        <v>3.0</v>
      </c>
      <c r="H68" s="42"/>
      <c r="I68" s="43">
        <v>1.0</v>
      </c>
      <c r="J68" s="14"/>
    </row>
    <row r="69" ht="40.5" customHeight="1">
      <c r="A69" s="1">
        <v>68.0</v>
      </c>
      <c r="B69" s="2" t="s">
        <v>32</v>
      </c>
      <c r="C69" s="2"/>
      <c r="D69" s="53">
        <v>0.1875</v>
      </c>
      <c r="E69" s="13"/>
      <c r="F69" s="44" t="s">
        <v>510</v>
      </c>
      <c r="G69" s="43">
        <v>1.0</v>
      </c>
      <c r="H69" s="42"/>
      <c r="I69" s="43"/>
      <c r="J69" s="14"/>
    </row>
    <row r="70" ht="40.5" customHeight="1">
      <c r="A70" s="1">
        <v>69.0</v>
      </c>
      <c r="B70" s="2" t="s">
        <v>67</v>
      </c>
      <c r="C70" s="2" t="s">
        <v>27</v>
      </c>
      <c r="D70" s="13"/>
      <c r="E70" s="13"/>
      <c r="F70" s="44" t="s">
        <v>522</v>
      </c>
      <c r="G70" s="43">
        <v>1.0</v>
      </c>
      <c r="H70" s="42"/>
      <c r="I70" s="43"/>
      <c r="J70" s="14"/>
    </row>
    <row r="71" ht="40.5" hidden="1" customHeight="1">
      <c r="A71" s="1">
        <v>70.0</v>
      </c>
      <c r="B71" s="2" t="s">
        <v>34</v>
      </c>
      <c r="C71" s="2" t="s">
        <v>58</v>
      </c>
      <c r="D71" s="13"/>
      <c r="E71" s="13"/>
      <c r="F71" s="45"/>
      <c r="G71" s="42"/>
      <c r="H71" s="42"/>
      <c r="I71" s="42"/>
      <c r="J71" s="14"/>
    </row>
    <row r="72" ht="40.5" customHeight="1">
      <c r="A72" s="1">
        <v>71.0</v>
      </c>
      <c r="B72" s="2" t="s">
        <v>35</v>
      </c>
      <c r="C72" s="2" t="s">
        <v>54</v>
      </c>
      <c r="D72" s="53">
        <v>0.20833333333333334</v>
      </c>
      <c r="E72" s="13"/>
      <c r="F72" s="44" t="s">
        <v>476</v>
      </c>
      <c r="G72" s="43">
        <v>1.0</v>
      </c>
      <c r="H72" s="42"/>
      <c r="I72" s="42"/>
      <c r="J72" s="14"/>
    </row>
    <row r="73" ht="40.5" customHeight="1">
      <c r="A73" s="1">
        <v>72.0</v>
      </c>
      <c r="B73" s="2" t="s">
        <v>36</v>
      </c>
      <c r="C73" s="2" t="s">
        <v>69</v>
      </c>
      <c r="D73" s="13"/>
      <c r="E73" s="13"/>
      <c r="F73" s="44" t="s">
        <v>523</v>
      </c>
      <c r="G73" s="43">
        <v>1.0</v>
      </c>
      <c r="H73" s="42"/>
      <c r="I73" s="42"/>
      <c r="J73" s="14"/>
    </row>
    <row r="74" ht="40.5" customHeight="1">
      <c r="A74" s="1">
        <v>73.0</v>
      </c>
      <c r="B74" s="2" t="s">
        <v>38</v>
      </c>
      <c r="C74" s="2" t="s">
        <v>39</v>
      </c>
      <c r="D74" s="53">
        <v>0.20833333333333334</v>
      </c>
      <c r="E74" s="13"/>
      <c r="F74" s="44" t="s">
        <v>352</v>
      </c>
      <c r="G74" s="43">
        <v>1.0</v>
      </c>
      <c r="H74" s="42"/>
      <c r="I74" s="43">
        <v>1.0</v>
      </c>
      <c r="J74" s="14"/>
    </row>
    <row r="75" ht="40.5" hidden="1" customHeight="1">
      <c r="A75" s="1">
        <v>74.0</v>
      </c>
      <c r="B75" s="2" t="s">
        <v>41</v>
      </c>
      <c r="C75" s="2" t="s">
        <v>58</v>
      </c>
      <c r="D75" s="13"/>
      <c r="E75" s="13"/>
      <c r="F75" s="44" t="s">
        <v>475</v>
      </c>
      <c r="G75" s="42"/>
      <c r="H75" s="42"/>
      <c r="I75" s="42"/>
      <c r="J75" s="14"/>
    </row>
    <row r="76" ht="40.5" customHeight="1">
      <c r="A76" s="1">
        <v>75.0</v>
      </c>
      <c r="B76" s="2" t="s">
        <v>42</v>
      </c>
      <c r="C76" s="2" t="s">
        <v>69</v>
      </c>
      <c r="D76" s="13"/>
      <c r="E76" s="40">
        <v>0.8333333333333334</v>
      </c>
      <c r="F76" s="44" t="s">
        <v>524</v>
      </c>
      <c r="G76" s="43">
        <v>1.0</v>
      </c>
      <c r="H76" s="42"/>
      <c r="I76" s="42"/>
      <c r="J76" s="14"/>
    </row>
    <row r="77" ht="40.5" hidden="1" customHeight="1">
      <c r="A77" s="1">
        <v>76.0</v>
      </c>
      <c r="B77" s="2" t="s">
        <v>43</v>
      </c>
      <c r="C77" s="2" t="s">
        <v>58</v>
      </c>
      <c r="D77" s="13"/>
      <c r="E77" s="13"/>
      <c r="F77" s="45"/>
      <c r="G77" s="42"/>
      <c r="H77" s="42"/>
      <c r="I77" s="42"/>
      <c r="J77" s="14"/>
    </row>
    <row r="78" ht="40.5" customHeight="1">
      <c r="A78" s="1">
        <v>77.0</v>
      </c>
      <c r="B78" s="2" t="s">
        <v>45</v>
      </c>
      <c r="C78" s="2"/>
      <c r="D78" s="53">
        <v>0.2916666666666667</v>
      </c>
      <c r="E78" s="51">
        <v>0.8402777777777778</v>
      </c>
      <c r="F78" s="44" t="s">
        <v>525</v>
      </c>
      <c r="G78" s="43">
        <v>2.0</v>
      </c>
      <c r="H78" s="42"/>
      <c r="I78" s="43">
        <v>1.0</v>
      </c>
      <c r="J78" s="14"/>
    </row>
    <row r="79" ht="40.5" customHeight="1">
      <c r="A79" s="1">
        <v>78.0</v>
      </c>
      <c r="B79" s="2" t="s">
        <v>46</v>
      </c>
      <c r="C79" s="2" t="s">
        <v>69</v>
      </c>
      <c r="D79" s="13"/>
      <c r="E79" s="40">
        <v>0.8888888888888888</v>
      </c>
      <c r="F79" s="44" t="s">
        <v>507</v>
      </c>
      <c r="G79" s="43">
        <v>1.0</v>
      </c>
      <c r="H79" s="42"/>
      <c r="I79" s="43">
        <v>1.0</v>
      </c>
      <c r="J79" s="14"/>
    </row>
    <row r="80" ht="40.5" customHeight="1">
      <c r="A80" s="1">
        <v>79.0</v>
      </c>
      <c r="B80" s="2" t="s">
        <v>47</v>
      </c>
      <c r="C80" s="2" t="s">
        <v>39</v>
      </c>
      <c r="D80" s="53">
        <v>0.1875</v>
      </c>
      <c r="E80" s="13"/>
      <c r="F80" s="44" t="s">
        <v>503</v>
      </c>
      <c r="G80" s="43">
        <v>1.0</v>
      </c>
      <c r="H80" s="42"/>
      <c r="I80" s="43">
        <v>1.0</v>
      </c>
      <c r="J80" s="14"/>
    </row>
    <row r="81" ht="40.5" customHeight="1">
      <c r="A81" s="1">
        <v>80.0</v>
      </c>
      <c r="B81" s="2" t="s">
        <v>48</v>
      </c>
      <c r="C81" s="2" t="s">
        <v>54</v>
      </c>
      <c r="D81" s="53">
        <v>0.20833333333333334</v>
      </c>
      <c r="E81" s="13"/>
      <c r="F81" s="44" t="s">
        <v>489</v>
      </c>
      <c r="G81" s="43">
        <v>1.0</v>
      </c>
      <c r="H81" s="42"/>
      <c r="I81" s="43">
        <v>1.0</v>
      </c>
      <c r="J81" s="14"/>
    </row>
    <row r="82" ht="40.5" customHeight="1">
      <c r="A82" s="1">
        <v>81.0</v>
      </c>
      <c r="B82" s="21"/>
      <c r="C82" s="21"/>
      <c r="D82" s="21"/>
      <c r="E82" s="21"/>
      <c r="F82" s="46"/>
      <c r="G82" s="47"/>
      <c r="H82" s="47"/>
      <c r="I82" s="47"/>
      <c r="J82" s="48"/>
      <c r="K82" s="49"/>
      <c r="L82" s="49"/>
      <c r="M82" s="49"/>
    </row>
    <row r="83" ht="40.5" customHeight="1">
      <c r="A83" s="1">
        <v>82.0</v>
      </c>
      <c r="B83" s="2" t="s">
        <v>12</v>
      </c>
      <c r="C83" s="2" t="s">
        <v>145</v>
      </c>
      <c r="D83" s="40">
        <v>0.4166666666666667</v>
      </c>
      <c r="E83" s="51">
        <v>0.8541666666666666</v>
      </c>
      <c r="F83" s="44" t="s">
        <v>526</v>
      </c>
      <c r="G83" s="42"/>
      <c r="H83" s="42"/>
      <c r="I83" s="42"/>
      <c r="J83" s="14" t="s">
        <v>491</v>
      </c>
      <c r="K83" s="15" t="s">
        <v>94</v>
      </c>
    </row>
    <row r="84" ht="40.5" hidden="1" customHeight="1">
      <c r="A84" s="1">
        <v>83.0</v>
      </c>
      <c r="B84" s="2" t="s">
        <v>16</v>
      </c>
      <c r="C84" s="2" t="s">
        <v>13</v>
      </c>
      <c r="D84" s="13"/>
      <c r="E84" s="13"/>
      <c r="F84" s="45"/>
      <c r="G84" s="42"/>
      <c r="H84" s="42"/>
      <c r="I84" s="42"/>
      <c r="J84" s="14" t="s">
        <v>94</v>
      </c>
    </row>
    <row r="85" ht="40.5" hidden="1" customHeight="1">
      <c r="A85" s="1">
        <v>84.0</v>
      </c>
      <c r="B85" s="2" t="s">
        <v>17</v>
      </c>
      <c r="C85" s="2" t="s">
        <v>13</v>
      </c>
      <c r="D85" s="13"/>
      <c r="E85" s="13"/>
      <c r="F85" s="44"/>
      <c r="G85" s="42"/>
      <c r="H85" s="42"/>
      <c r="I85" s="42"/>
      <c r="J85" s="14" t="s">
        <v>149</v>
      </c>
    </row>
    <row r="86" ht="40.5" hidden="1" customHeight="1">
      <c r="A86" s="1">
        <v>85.0</v>
      </c>
      <c r="B86" s="2" t="s">
        <v>331</v>
      </c>
      <c r="C86" s="2" t="s">
        <v>13</v>
      </c>
      <c r="D86" s="13"/>
      <c r="E86" s="13"/>
      <c r="F86" s="45"/>
      <c r="G86" s="42"/>
      <c r="H86" s="42"/>
      <c r="I86" s="42"/>
      <c r="J86" s="14" t="s">
        <v>262</v>
      </c>
    </row>
    <row r="87" ht="40.5" customHeight="1">
      <c r="A87" s="1">
        <v>86.0</v>
      </c>
      <c r="B87" s="2" t="s">
        <v>21</v>
      </c>
      <c r="C87" s="2" t="s">
        <v>63</v>
      </c>
      <c r="D87" s="40">
        <v>0.375</v>
      </c>
      <c r="E87" s="13"/>
      <c r="F87" s="45"/>
      <c r="G87" s="42"/>
      <c r="H87" s="42"/>
      <c r="I87" s="42"/>
      <c r="J87" s="14" t="s">
        <v>264</v>
      </c>
    </row>
    <row r="88" ht="40.5" customHeight="1">
      <c r="A88" s="1">
        <v>87.0</v>
      </c>
      <c r="B88" s="2" t="s">
        <v>22</v>
      </c>
      <c r="C88" s="2" t="s">
        <v>145</v>
      </c>
      <c r="D88" s="40">
        <v>0.4166666666666667</v>
      </c>
      <c r="E88" s="13"/>
      <c r="F88" s="44" t="s">
        <v>527</v>
      </c>
      <c r="G88" s="42"/>
      <c r="H88" s="42"/>
      <c r="I88" s="42"/>
      <c r="J88" s="14" t="s">
        <v>265</v>
      </c>
    </row>
    <row r="89" ht="40.5" customHeight="1">
      <c r="A89" s="1">
        <v>88.0</v>
      </c>
      <c r="B89" s="2" t="s">
        <v>23</v>
      </c>
      <c r="C89" s="2" t="s">
        <v>27</v>
      </c>
      <c r="D89" s="13"/>
      <c r="E89" s="13"/>
      <c r="F89" s="44" t="s">
        <v>528</v>
      </c>
      <c r="G89" s="42"/>
      <c r="H89" s="42"/>
      <c r="I89" s="42"/>
      <c r="J89" s="14"/>
    </row>
    <row r="90" ht="40.5" customHeight="1">
      <c r="A90" s="1">
        <v>89.0</v>
      </c>
      <c r="B90" s="2" t="s">
        <v>268</v>
      </c>
      <c r="C90" s="2" t="s">
        <v>145</v>
      </c>
      <c r="D90" s="53">
        <v>0.2916666666666667</v>
      </c>
      <c r="E90" s="13"/>
      <c r="F90" s="44" t="s">
        <v>529</v>
      </c>
      <c r="G90" s="42"/>
      <c r="H90" s="42"/>
      <c r="I90" s="42"/>
      <c r="J90" s="14"/>
    </row>
    <row r="91" ht="40.5" hidden="1" customHeight="1">
      <c r="A91" s="1">
        <v>90.0</v>
      </c>
      <c r="B91" s="2" t="s">
        <v>25</v>
      </c>
      <c r="C91" s="2" t="s">
        <v>13</v>
      </c>
      <c r="D91" s="13"/>
      <c r="E91" s="13"/>
      <c r="F91" s="45"/>
      <c r="G91" s="42"/>
      <c r="H91" s="42"/>
      <c r="I91" s="42"/>
      <c r="J91" s="14"/>
    </row>
    <row r="92" ht="40.5" hidden="1" customHeight="1">
      <c r="A92" s="1">
        <v>91.0</v>
      </c>
      <c r="B92" s="2" t="s">
        <v>26</v>
      </c>
      <c r="C92" s="2" t="s">
        <v>13</v>
      </c>
      <c r="D92" s="13"/>
      <c r="E92" s="13"/>
      <c r="F92" s="45"/>
      <c r="G92" s="42"/>
      <c r="H92" s="42"/>
      <c r="I92" s="42"/>
      <c r="J92" s="14"/>
    </row>
    <row r="93" ht="40.5" hidden="1" customHeight="1">
      <c r="A93" s="1">
        <v>92.0</v>
      </c>
      <c r="B93" s="2" t="s">
        <v>29</v>
      </c>
      <c r="C93" s="2" t="s">
        <v>13</v>
      </c>
      <c r="D93" s="13"/>
      <c r="E93" s="13"/>
      <c r="F93" s="45"/>
      <c r="G93" s="42"/>
      <c r="H93" s="42"/>
      <c r="I93" s="42"/>
      <c r="J93" s="14"/>
    </row>
    <row r="94" ht="40.5" hidden="1" customHeight="1">
      <c r="A94" s="1">
        <v>93.0</v>
      </c>
      <c r="B94" s="2" t="s">
        <v>30</v>
      </c>
      <c r="C94" s="2" t="s">
        <v>13</v>
      </c>
      <c r="D94" s="13"/>
      <c r="E94" s="13"/>
      <c r="F94" s="45"/>
      <c r="G94" s="42"/>
      <c r="H94" s="42"/>
      <c r="I94" s="42"/>
      <c r="J94" s="14"/>
    </row>
    <row r="95" ht="40.5" customHeight="1">
      <c r="A95" s="1">
        <v>94.0</v>
      </c>
      <c r="B95" s="2" t="s">
        <v>31</v>
      </c>
      <c r="C95" s="2"/>
      <c r="D95" s="40">
        <v>0.375</v>
      </c>
      <c r="E95" s="51">
        <v>0.8125</v>
      </c>
      <c r="F95" s="44" t="s">
        <v>530</v>
      </c>
      <c r="G95" s="42"/>
      <c r="H95" s="42"/>
      <c r="I95" s="42"/>
      <c r="J95" s="14"/>
    </row>
    <row r="96" ht="40.5" hidden="1" customHeight="1">
      <c r="A96" s="1">
        <v>95.0</v>
      </c>
      <c r="B96" s="2" t="s">
        <v>32</v>
      </c>
      <c r="C96" s="2" t="s">
        <v>13</v>
      </c>
      <c r="D96" s="13"/>
      <c r="E96" s="13"/>
      <c r="F96" s="45"/>
      <c r="G96" s="42"/>
      <c r="H96" s="42"/>
      <c r="I96" s="42"/>
      <c r="J96" s="14"/>
    </row>
    <row r="97" ht="40.5" customHeight="1">
      <c r="A97" s="1">
        <v>96.0</v>
      </c>
      <c r="B97" s="2" t="s">
        <v>67</v>
      </c>
      <c r="C97" s="2" t="s">
        <v>44</v>
      </c>
      <c r="D97" s="13"/>
      <c r="E97" s="13"/>
      <c r="F97" s="45"/>
      <c r="G97" s="42"/>
      <c r="H97" s="42"/>
      <c r="I97" s="42"/>
      <c r="J97" s="14"/>
    </row>
    <row r="98" ht="40.5" hidden="1" customHeight="1">
      <c r="A98" s="1">
        <v>97.0</v>
      </c>
      <c r="B98" s="2" t="s">
        <v>34</v>
      </c>
      <c r="C98" s="2" t="s">
        <v>13</v>
      </c>
      <c r="D98" s="13"/>
      <c r="E98" s="13"/>
      <c r="F98" s="45"/>
      <c r="G98" s="42"/>
      <c r="H98" s="42"/>
      <c r="I98" s="42"/>
      <c r="J98" s="14"/>
    </row>
    <row r="99" ht="40.5" hidden="1" customHeight="1">
      <c r="A99" s="1">
        <v>98.0</v>
      </c>
      <c r="B99" s="2" t="s">
        <v>35</v>
      </c>
      <c r="C99" s="2" t="s">
        <v>13</v>
      </c>
      <c r="D99" s="13"/>
      <c r="E99" s="13"/>
      <c r="F99" s="45"/>
      <c r="G99" s="42"/>
      <c r="H99" s="42"/>
      <c r="I99" s="42"/>
      <c r="J99" s="14"/>
    </row>
    <row r="100" ht="40.5" hidden="1" customHeight="1">
      <c r="A100" s="1">
        <v>99.0</v>
      </c>
      <c r="B100" s="2" t="s">
        <v>36</v>
      </c>
      <c r="C100" s="2" t="s">
        <v>13</v>
      </c>
      <c r="D100" s="13"/>
      <c r="E100" s="13"/>
      <c r="F100" s="45"/>
      <c r="G100" s="42"/>
      <c r="H100" s="42"/>
      <c r="I100" s="42"/>
      <c r="J100" s="14"/>
    </row>
    <row r="101" ht="40.5" hidden="1" customHeight="1">
      <c r="A101" s="1">
        <v>100.0</v>
      </c>
      <c r="B101" s="2" t="s">
        <v>38</v>
      </c>
      <c r="C101" s="2" t="s">
        <v>13</v>
      </c>
      <c r="D101" s="13"/>
      <c r="E101" s="13"/>
      <c r="F101" s="45"/>
      <c r="G101" s="42"/>
      <c r="H101" s="42"/>
      <c r="I101" s="42"/>
      <c r="J101" s="14"/>
    </row>
    <row r="102" ht="40.5" hidden="1" customHeight="1">
      <c r="A102" s="1">
        <v>101.0</v>
      </c>
      <c r="B102" s="2" t="s">
        <v>41</v>
      </c>
      <c r="C102" s="2" t="s">
        <v>13</v>
      </c>
      <c r="D102" s="13"/>
      <c r="E102" s="13"/>
      <c r="F102" s="45"/>
      <c r="G102" s="42"/>
      <c r="H102" s="42"/>
      <c r="I102" s="42"/>
      <c r="J102" s="14"/>
    </row>
    <row r="103" ht="40.5" hidden="1" customHeight="1">
      <c r="A103" s="1">
        <v>102.0</v>
      </c>
      <c r="B103" s="2" t="s">
        <v>42</v>
      </c>
      <c r="C103" s="2" t="s">
        <v>13</v>
      </c>
      <c r="D103" s="13"/>
      <c r="E103" s="13"/>
      <c r="F103" s="45"/>
      <c r="G103" s="42"/>
      <c r="H103" s="42"/>
      <c r="I103" s="42"/>
      <c r="J103" s="14"/>
    </row>
    <row r="104" ht="40.5" hidden="1" customHeight="1">
      <c r="A104" s="1">
        <v>103.0</v>
      </c>
      <c r="B104" s="2" t="s">
        <v>43</v>
      </c>
      <c r="C104" s="2" t="s">
        <v>13</v>
      </c>
      <c r="D104" s="13"/>
      <c r="E104" s="13"/>
      <c r="F104" s="45"/>
      <c r="G104" s="42"/>
      <c r="H104" s="42"/>
      <c r="I104" s="42"/>
      <c r="J104" s="14"/>
    </row>
    <row r="105" ht="40.5" customHeight="1">
      <c r="A105" s="1">
        <v>104.0</v>
      </c>
      <c r="B105" s="2" t="s">
        <v>45</v>
      </c>
      <c r="C105" s="2" t="s">
        <v>39</v>
      </c>
      <c r="D105" s="53">
        <v>0.2986111111111111</v>
      </c>
      <c r="E105" s="13"/>
      <c r="F105" s="44" t="s">
        <v>531</v>
      </c>
      <c r="G105" s="42"/>
      <c r="H105" s="42"/>
      <c r="I105" s="42"/>
      <c r="J105" s="14"/>
    </row>
    <row r="106" ht="40.5" customHeight="1">
      <c r="A106" s="1">
        <v>105.0</v>
      </c>
      <c r="B106" s="2" t="s">
        <v>46</v>
      </c>
      <c r="C106" s="40"/>
      <c r="D106" s="40">
        <v>0.4375</v>
      </c>
      <c r="E106" s="13"/>
      <c r="F106" s="44" t="s">
        <v>532</v>
      </c>
      <c r="G106" s="42"/>
      <c r="H106" s="43">
        <v>1.0</v>
      </c>
      <c r="I106" s="42"/>
      <c r="J106" s="14"/>
    </row>
    <row r="107" ht="40.5" hidden="1" customHeight="1">
      <c r="A107" s="1">
        <v>106.0</v>
      </c>
      <c r="B107" s="2" t="s">
        <v>47</v>
      </c>
      <c r="C107" s="2" t="s">
        <v>13</v>
      </c>
      <c r="D107" s="13"/>
      <c r="E107" s="13"/>
      <c r="F107" s="45"/>
      <c r="G107" s="42"/>
      <c r="H107" s="42"/>
      <c r="I107" s="42"/>
      <c r="J107" s="14"/>
    </row>
    <row r="108" ht="40.5" customHeight="1">
      <c r="A108" s="1">
        <v>107.0</v>
      </c>
      <c r="B108" s="2" t="s">
        <v>48</v>
      </c>
      <c r="C108" s="2" t="s">
        <v>49</v>
      </c>
      <c r="D108" s="40">
        <v>0.4583333333333333</v>
      </c>
      <c r="E108" s="51">
        <v>0.8541666666666666</v>
      </c>
      <c r="F108" s="44" t="s">
        <v>533</v>
      </c>
      <c r="G108" s="42"/>
      <c r="H108" s="42"/>
      <c r="I108" s="42"/>
      <c r="J108" s="14"/>
    </row>
    <row r="109" ht="40.5" customHeight="1">
      <c r="A109" s="1">
        <v>108.0</v>
      </c>
      <c r="B109" s="21"/>
      <c r="C109" s="21"/>
      <c r="D109" s="21"/>
      <c r="E109" s="21"/>
      <c r="F109" s="46"/>
      <c r="G109" s="47"/>
      <c r="H109" s="47"/>
      <c r="I109" s="47"/>
      <c r="J109" s="54"/>
      <c r="K109" s="49"/>
      <c r="L109" s="49"/>
      <c r="M109" s="49"/>
    </row>
    <row r="110" ht="40.5" hidden="1" customHeight="1">
      <c r="A110" s="1">
        <v>109.0</v>
      </c>
      <c r="B110" s="2" t="s">
        <v>12</v>
      </c>
      <c r="C110" s="2" t="s">
        <v>13</v>
      </c>
      <c r="D110" s="13"/>
      <c r="E110" s="13"/>
      <c r="F110" s="45"/>
      <c r="G110" s="42"/>
      <c r="H110" s="42"/>
      <c r="I110" s="42"/>
      <c r="J110" s="27" t="s">
        <v>491</v>
      </c>
      <c r="K110" s="15" t="s">
        <v>109</v>
      </c>
    </row>
    <row r="111" ht="40.5" hidden="1" customHeight="1">
      <c r="A111" s="1">
        <v>110.0</v>
      </c>
      <c r="B111" s="2" t="s">
        <v>16</v>
      </c>
      <c r="C111" s="2" t="s">
        <v>13</v>
      </c>
      <c r="D111" s="13"/>
      <c r="E111" s="13"/>
      <c r="F111" s="45"/>
      <c r="G111" s="42"/>
      <c r="H111" s="42"/>
      <c r="I111" s="42"/>
      <c r="J111" s="27" t="s">
        <v>109</v>
      </c>
    </row>
    <row r="112" ht="40.5" hidden="1" customHeight="1">
      <c r="A112" s="1">
        <v>111.0</v>
      </c>
      <c r="B112" s="2" t="s">
        <v>17</v>
      </c>
      <c r="C112" s="2" t="s">
        <v>13</v>
      </c>
      <c r="D112" s="13"/>
      <c r="E112" s="13"/>
      <c r="F112" s="45"/>
      <c r="G112" s="42"/>
      <c r="H112" s="42"/>
      <c r="I112" s="42"/>
      <c r="J112" s="27" t="s">
        <v>19</v>
      </c>
    </row>
    <row r="113" ht="40.5" hidden="1" customHeight="1">
      <c r="A113" s="1">
        <v>112.0</v>
      </c>
      <c r="B113" s="2" t="s">
        <v>331</v>
      </c>
      <c r="C113" s="2" t="s">
        <v>13</v>
      </c>
      <c r="D113" s="13"/>
      <c r="E113" s="13"/>
      <c r="F113" s="44"/>
      <c r="G113" s="42"/>
      <c r="H113" s="42"/>
      <c r="I113" s="42"/>
      <c r="J113" s="27" t="s">
        <v>410</v>
      </c>
    </row>
    <row r="114" ht="40.5" hidden="1" customHeight="1">
      <c r="A114" s="1">
        <v>113.0</v>
      </c>
      <c r="B114" s="2" t="s">
        <v>21</v>
      </c>
      <c r="C114" s="2" t="s">
        <v>13</v>
      </c>
      <c r="D114" s="13"/>
      <c r="E114" s="13"/>
      <c r="F114" s="45"/>
      <c r="G114" s="42"/>
      <c r="H114" s="42"/>
      <c r="I114" s="42"/>
      <c r="J114" s="27" t="s">
        <v>412</v>
      </c>
    </row>
    <row r="115" ht="40.5" customHeight="1">
      <c r="A115" s="1">
        <v>114.0</v>
      </c>
      <c r="B115" s="2" t="s">
        <v>22</v>
      </c>
      <c r="C115" s="2" t="s">
        <v>49</v>
      </c>
      <c r="D115" s="53">
        <v>0.3680555555555556</v>
      </c>
      <c r="E115" s="13"/>
      <c r="F115" s="44" t="s">
        <v>503</v>
      </c>
      <c r="G115" s="43">
        <v>1.0</v>
      </c>
      <c r="H115" s="42"/>
      <c r="I115" s="43">
        <v>1.0</v>
      </c>
      <c r="J115" s="27" t="s">
        <v>413</v>
      </c>
    </row>
    <row r="116" ht="40.5" customHeight="1">
      <c r="A116" s="1">
        <v>115.0</v>
      </c>
      <c r="B116" s="2" t="s">
        <v>23</v>
      </c>
      <c r="C116" s="2" t="s">
        <v>44</v>
      </c>
      <c r="D116" s="13"/>
      <c r="E116" s="55">
        <v>0.4583333333333333</v>
      </c>
      <c r="F116" s="52" t="s">
        <v>534</v>
      </c>
      <c r="G116" s="42"/>
      <c r="H116" s="42"/>
      <c r="I116" s="42"/>
      <c r="J116" s="22"/>
    </row>
    <row r="117" ht="40.5" customHeight="1">
      <c r="A117" s="1">
        <v>116.0</v>
      </c>
      <c r="B117" s="2" t="s">
        <v>24</v>
      </c>
      <c r="C117" s="2" t="s">
        <v>277</v>
      </c>
      <c r="D117" s="13"/>
      <c r="E117" s="13"/>
      <c r="F117" s="45"/>
      <c r="G117" s="42"/>
      <c r="H117" s="42"/>
      <c r="I117" s="42"/>
      <c r="J117" s="27" t="s">
        <v>262</v>
      </c>
    </row>
    <row r="118" ht="40.5" customHeight="1">
      <c r="A118" s="1">
        <v>117.0</v>
      </c>
      <c r="B118" s="2" t="s">
        <v>25</v>
      </c>
      <c r="C118" s="2" t="s">
        <v>145</v>
      </c>
      <c r="D118" s="40">
        <v>0.375</v>
      </c>
      <c r="E118" s="13"/>
      <c r="F118" s="44" t="s">
        <v>535</v>
      </c>
      <c r="G118" s="43">
        <v>1.0</v>
      </c>
      <c r="H118" s="42"/>
      <c r="I118" s="42"/>
      <c r="J118" s="27" t="s">
        <v>264</v>
      </c>
    </row>
    <row r="119" ht="40.5" hidden="1" customHeight="1">
      <c r="A119" s="1">
        <v>118.0</v>
      </c>
      <c r="B119" s="2" t="s">
        <v>26</v>
      </c>
      <c r="C119" s="2" t="s">
        <v>13</v>
      </c>
      <c r="D119" s="13"/>
      <c r="E119" s="13"/>
      <c r="F119" s="45"/>
      <c r="G119" s="42"/>
      <c r="H119" s="42"/>
      <c r="I119" s="42"/>
      <c r="J119" s="27" t="s">
        <v>265</v>
      </c>
    </row>
    <row r="120" ht="40.5" customHeight="1">
      <c r="A120" s="1">
        <v>119.0</v>
      </c>
      <c r="B120" s="2" t="s">
        <v>29</v>
      </c>
      <c r="C120" s="2" t="s">
        <v>145</v>
      </c>
      <c r="D120" s="40">
        <v>0.3819444444444444</v>
      </c>
      <c r="E120" s="13"/>
      <c r="F120" s="44" t="s">
        <v>352</v>
      </c>
      <c r="G120" s="43">
        <v>1.0</v>
      </c>
      <c r="H120" s="42"/>
      <c r="I120" s="42"/>
      <c r="J120" s="22"/>
    </row>
    <row r="121" ht="40.5" hidden="1" customHeight="1">
      <c r="A121" s="1">
        <v>120.0</v>
      </c>
      <c r="B121" s="2" t="s">
        <v>30</v>
      </c>
      <c r="C121" s="2" t="s">
        <v>13</v>
      </c>
      <c r="D121" s="13"/>
      <c r="E121" s="13"/>
      <c r="F121" s="45"/>
      <c r="G121" s="42"/>
      <c r="H121" s="42"/>
      <c r="I121" s="42"/>
      <c r="J121" s="22"/>
    </row>
    <row r="122" ht="40.5" hidden="1" customHeight="1">
      <c r="A122" s="1">
        <v>121.0</v>
      </c>
      <c r="B122" s="2" t="s">
        <v>31</v>
      </c>
      <c r="C122" s="2" t="s">
        <v>13</v>
      </c>
      <c r="D122" s="13"/>
      <c r="E122" s="13"/>
      <c r="F122" s="45"/>
      <c r="G122" s="42"/>
      <c r="H122" s="42"/>
      <c r="I122" s="42"/>
      <c r="J122" s="22"/>
    </row>
    <row r="123" ht="40.5" customHeight="1">
      <c r="A123" s="1">
        <v>122.0</v>
      </c>
      <c r="B123" s="2" t="s">
        <v>32</v>
      </c>
      <c r="C123" s="2" t="s">
        <v>39</v>
      </c>
      <c r="D123" s="53">
        <v>0.3125</v>
      </c>
      <c r="E123" s="13"/>
      <c r="F123" s="44" t="s">
        <v>536</v>
      </c>
      <c r="G123" s="43">
        <v>1.0</v>
      </c>
      <c r="H123" s="42"/>
      <c r="I123" s="42"/>
      <c r="J123" s="22"/>
    </row>
    <row r="124" ht="40.5" hidden="1" customHeight="1">
      <c r="A124" s="1">
        <v>123.0</v>
      </c>
      <c r="B124" s="2" t="s">
        <v>67</v>
      </c>
      <c r="C124" s="2" t="s">
        <v>13</v>
      </c>
      <c r="D124" s="13"/>
      <c r="E124" s="13"/>
      <c r="F124" s="45"/>
      <c r="G124" s="42"/>
      <c r="H124" s="42"/>
      <c r="I124" s="42"/>
      <c r="J124" s="22"/>
    </row>
    <row r="125" ht="40.5" hidden="1" customHeight="1">
      <c r="A125" s="1">
        <v>124.0</v>
      </c>
      <c r="B125" s="2" t="s">
        <v>34</v>
      </c>
      <c r="C125" s="2" t="s">
        <v>13</v>
      </c>
      <c r="D125" s="13"/>
      <c r="E125" s="13"/>
      <c r="F125" s="45"/>
      <c r="G125" s="42"/>
      <c r="H125" s="42"/>
      <c r="I125" s="42"/>
      <c r="J125" s="22"/>
    </row>
    <row r="126" ht="40.5" hidden="1" customHeight="1">
      <c r="A126" s="1">
        <v>125.0</v>
      </c>
      <c r="B126" s="2" t="s">
        <v>35</v>
      </c>
      <c r="C126" s="2" t="s">
        <v>13</v>
      </c>
      <c r="D126" s="13"/>
      <c r="E126" s="13"/>
      <c r="F126" s="45"/>
      <c r="G126" s="42"/>
      <c r="H126" s="42"/>
      <c r="I126" s="42"/>
      <c r="J126" s="22"/>
    </row>
    <row r="127" ht="40.5" customHeight="1">
      <c r="A127" s="1">
        <v>126.0</v>
      </c>
      <c r="B127" s="2" t="s">
        <v>36</v>
      </c>
      <c r="C127" s="2" t="s">
        <v>145</v>
      </c>
      <c r="D127" s="53">
        <v>0.3611111111111111</v>
      </c>
      <c r="E127" s="13"/>
      <c r="F127" s="44" t="s">
        <v>537</v>
      </c>
      <c r="G127" s="43">
        <v>1.0</v>
      </c>
      <c r="H127" s="42"/>
      <c r="I127" s="43">
        <v>1.0</v>
      </c>
      <c r="J127" s="22"/>
    </row>
    <row r="128" ht="40.5" hidden="1" customHeight="1">
      <c r="A128" s="1">
        <v>127.0</v>
      </c>
      <c r="B128" s="2" t="s">
        <v>38</v>
      </c>
      <c r="C128" s="2" t="s">
        <v>13</v>
      </c>
      <c r="D128" s="13"/>
      <c r="E128" s="13"/>
      <c r="F128" s="45"/>
      <c r="G128" s="42"/>
      <c r="H128" s="42"/>
      <c r="I128" s="42"/>
      <c r="J128" s="22"/>
    </row>
    <row r="129" ht="40.5" hidden="1" customHeight="1">
      <c r="A129" s="1">
        <v>128.0</v>
      </c>
      <c r="B129" s="2" t="s">
        <v>41</v>
      </c>
      <c r="C129" s="2" t="s">
        <v>13</v>
      </c>
      <c r="D129" s="13"/>
      <c r="E129" s="13"/>
      <c r="F129" s="45"/>
      <c r="G129" s="42"/>
      <c r="H129" s="42"/>
      <c r="I129" s="42"/>
      <c r="J129" s="22"/>
    </row>
    <row r="130" ht="40.5" customHeight="1">
      <c r="A130" s="1">
        <v>129.0</v>
      </c>
      <c r="B130" s="2" t="s">
        <v>42</v>
      </c>
      <c r="C130" s="2" t="s">
        <v>27</v>
      </c>
      <c r="D130" s="53">
        <v>0.375</v>
      </c>
      <c r="E130" s="13"/>
      <c r="F130" s="44" t="s">
        <v>538</v>
      </c>
      <c r="G130" s="43">
        <v>3.0</v>
      </c>
      <c r="H130" s="42"/>
      <c r="I130" s="43">
        <v>1.0</v>
      </c>
      <c r="J130" s="22"/>
    </row>
    <row r="131" ht="40.5" hidden="1" customHeight="1">
      <c r="A131" s="1">
        <v>130.0</v>
      </c>
      <c r="B131" s="2" t="s">
        <v>43</v>
      </c>
      <c r="C131" s="2" t="s">
        <v>13</v>
      </c>
      <c r="D131" s="13"/>
      <c r="E131" s="13"/>
      <c r="F131" s="45"/>
      <c r="G131" s="42"/>
      <c r="H131" s="42"/>
      <c r="I131" s="42"/>
      <c r="J131" s="22"/>
    </row>
    <row r="132" ht="40.5" hidden="1" customHeight="1">
      <c r="A132" s="1">
        <v>131.0</v>
      </c>
      <c r="B132" s="2" t="s">
        <v>45</v>
      </c>
      <c r="C132" s="2" t="s">
        <v>13</v>
      </c>
      <c r="D132" s="13"/>
      <c r="E132" s="13"/>
      <c r="F132" s="45"/>
      <c r="G132" s="42"/>
      <c r="H132" s="42"/>
      <c r="I132" s="42"/>
      <c r="J132" s="22"/>
    </row>
    <row r="133" ht="40.5" customHeight="1">
      <c r="A133" s="1">
        <v>132.0</v>
      </c>
      <c r="B133" s="2" t="s">
        <v>46</v>
      </c>
      <c r="C133" s="13"/>
      <c r="D133" s="13"/>
      <c r="E133" s="13"/>
      <c r="F133" s="44" t="s">
        <v>532</v>
      </c>
      <c r="G133" s="43">
        <v>1.0</v>
      </c>
      <c r="H133" s="43">
        <v>1.0</v>
      </c>
      <c r="I133" s="42"/>
      <c r="J133" s="22"/>
    </row>
    <row r="134" ht="40.5" customHeight="1">
      <c r="A134" s="1">
        <v>133.0</v>
      </c>
      <c r="B134" s="2" t="s">
        <v>47</v>
      </c>
      <c r="C134" s="13"/>
      <c r="D134" s="53">
        <v>0.3472222222222222</v>
      </c>
      <c r="E134" s="13"/>
      <c r="F134" s="44" t="s">
        <v>539</v>
      </c>
      <c r="G134" s="43">
        <v>2.0</v>
      </c>
      <c r="H134" s="42"/>
      <c r="I134" s="43">
        <v>1.0</v>
      </c>
      <c r="J134" s="22"/>
    </row>
    <row r="135" ht="40.5" hidden="1" customHeight="1">
      <c r="A135" s="1">
        <v>134.0</v>
      </c>
      <c r="B135" s="2" t="s">
        <v>48</v>
      </c>
      <c r="C135" s="2" t="s">
        <v>13</v>
      </c>
      <c r="D135" s="13"/>
      <c r="E135" s="13"/>
      <c r="F135" s="45"/>
      <c r="G135" s="42"/>
      <c r="H135" s="42"/>
      <c r="I135" s="42"/>
      <c r="J135" s="22"/>
    </row>
    <row r="136" ht="40.5" customHeight="1">
      <c r="A136" s="1">
        <v>135.0</v>
      </c>
      <c r="B136" s="21"/>
      <c r="C136" s="21"/>
      <c r="D136" s="21"/>
      <c r="E136" s="21"/>
      <c r="F136" s="46"/>
      <c r="G136" s="47"/>
      <c r="H136" s="47"/>
      <c r="I136" s="47"/>
      <c r="J136" s="48"/>
      <c r="K136" s="49"/>
      <c r="L136" s="49"/>
      <c r="M136" s="49"/>
    </row>
    <row r="137" ht="40.5" customHeight="1">
      <c r="A137" s="1">
        <v>136.0</v>
      </c>
      <c r="B137" s="2" t="s">
        <v>12</v>
      </c>
      <c r="C137" s="2" t="s">
        <v>62</v>
      </c>
      <c r="D137" s="13"/>
      <c r="E137" s="13"/>
      <c r="F137" s="45"/>
      <c r="G137" s="42"/>
      <c r="H137" s="42"/>
      <c r="I137" s="42"/>
      <c r="J137" s="27" t="s">
        <v>491</v>
      </c>
      <c r="K137" s="15" t="s">
        <v>128</v>
      </c>
    </row>
    <row r="138" ht="40.5" customHeight="1">
      <c r="A138" s="1">
        <v>137.0</v>
      </c>
      <c r="B138" s="2" t="s">
        <v>16</v>
      </c>
      <c r="C138" s="2"/>
      <c r="D138" s="40"/>
      <c r="E138" s="13"/>
      <c r="F138" s="44" t="s">
        <v>540</v>
      </c>
      <c r="G138" s="43">
        <v>2.0</v>
      </c>
      <c r="H138" s="42"/>
      <c r="I138" s="42"/>
      <c r="J138" s="27" t="s">
        <v>128</v>
      </c>
    </row>
    <row r="139" ht="40.5" customHeight="1">
      <c r="A139" s="1">
        <v>138.0</v>
      </c>
      <c r="B139" s="2" t="s">
        <v>116</v>
      </c>
      <c r="C139" s="2"/>
      <c r="D139" s="53">
        <v>0.16666666666666666</v>
      </c>
      <c r="E139" s="13"/>
      <c r="F139" s="44" t="s">
        <v>541</v>
      </c>
      <c r="G139" s="43">
        <v>1.0</v>
      </c>
      <c r="H139" s="42"/>
      <c r="I139" s="43">
        <v>1.0</v>
      </c>
      <c r="J139" s="27" t="s">
        <v>56</v>
      </c>
    </row>
    <row r="140" ht="40.5" customHeight="1">
      <c r="A140" s="1">
        <v>139.0</v>
      </c>
      <c r="B140" s="2" t="s">
        <v>331</v>
      </c>
      <c r="C140" s="2" t="s">
        <v>542</v>
      </c>
      <c r="D140" s="13"/>
      <c r="E140" s="13"/>
      <c r="F140" s="44" t="s">
        <v>543</v>
      </c>
      <c r="G140" s="43">
        <v>1.0</v>
      </c>
      <c r="H140" s="42"/>
      <c r="I140" s="42"/>
      <c r="J140" s="27"/>
    </row>
    <row r="141" ht="40.5" customHeight="1">
      <c r="A141" s="1">
        <v>140.0</v>
      </c>
      <c r="B141" s="2" t="s">
        <v>21</v>
      </c>
      <c r="C141" s="2" t="s">
        <v>277</v>
      </c>
      <c r="D141" s="13"/>
      <c r="E141" s="13"/>
      <c r="F141" s="45"/>
      <c r="G141" s="42"/>
      <c r="H141" s="42"/>
      <c r="I141" s="42"/>
      <c r="J141" s="27"/>
    </row>
    <row r="142" ht="40.5" customHeight="1">
      <c r="A142" s="1">
        <v>141.0</v>
      </c>
      <c r="B142" s="2" t="s">
        <v>22</v>
      </c>
      <c r="C142" s="2"/>
      <c r="D142" s="13"/>
      <c r="E142" s="13"/>
      <c r="F142" s="44" t="s">
        <v>544</v>
      </c>
      <c r="G142" s="43">
        <v>1.0</v>
      </c>
      <c r="H142" s="42"/>
      <c r="I142" s="42"/>
      <c r="J142" s="27"/>
    </row>
    <row r="143" ht="40.5" customHeight="1">
      <c r="A143" s="1">
        <v>142.0</v>
      </c>
      <c r="B143" s="2" t="s">
        <v>23</v>
      </c>
      <c r="C143" s="2" t="s">
        <v>69</v>
      </c>
      <c r="D143" s="13"/>
      <c r="E143" s="13"/>
      <c r="F143" s="44" t="s">
        <v>545</v>
      </c>
      <c r="G143" s="43">
        <v>1.0</v>
      </c>
      <c r="H143" s="42"/>
      <c r="I143" s="43">
        <v>1.0</v>
      </c>
      <c r="J143" s="22"/>
    </row>
    <row r="144" ht="40.5" customHeight="1">
      <c r="A144" s="1">
        <v>143.0</v>
      </c>
      <c r="B144" s="2" t="s">
        <v>24</v>
      </c>
      <c r="C144" s="2"/>
      <c r="D144" s="13"/>
      <c r="E144" s="13"/>
      <c r="F144" s="44" t="s">
        <v>546</v>
      </c>
      <c r="G144" s="43">
        <v>1.0</v>
      </c>
      <c r="H144" s="42"/>
      <c r="I144" s="43">
        <v>1.0</v>
      </c>
      <c r="J144" s="22"/>
    </row>
    <row r="145" ht="40.5" hidden="1" customHeight="1">
      <c r="A145" s="1">
        <v>144.0</v>
      </c>
      <c r="B145" s="2" t="s">
        <v>25</v>
      </c>
      <c r="C145" s="2" t="s">
        <v>66</v>
      </c>
      <c r="D145" s="13"/>
      <c r="E145" s="13"/>
      <c r="F145" s="45"/>
      <c r="G145" s="42"/>
      <c r="H145" s="42"/>
      <c r="I145" s="42"/>
      <c r="J145" s="22"/>
    </row>
    <row r="146" ht="40.5" customHeight="1">
      <c r="A146" s="1">
        <v>145.0</v>
      </c>
      <c r="B146" s="2" t="s">
        <v>26</v>
      </c>
      <c r="C146" s="2"/>
      <c r="D146" s="13"/>
      <c r="E146" s="13"/>
      <c r="F146" s="44" t="s">
        <v>547</v>
      </c>
      <c r="G146" s="43">
        <v>1.0</v>
      </c>
      <c r="H146" s="42"/>
      <c r="I146" s="43">
        <v>1.0</v>
      </c>
      <c r="J146" s="22"/>
    </row>
    <row r="147" ht="40.5" customHeight="1">
      <c r="A147" s="1">
        <v>146.0</v>
      </c>
      <c r="B147" s="2" t="s">
        <v>29</v>
      </c>
      <c r="C147" s="2" t="s">
        <v>54</v>
      </c>
      <c r="D147" s="53">
        <v>0.16666666666666666</v>
      </c>
      <c r="E147" s="13"/>
      <c r="F147" s="44" t="s">
        <v>548</v>
      </c>
      <c r="G147" s="43">
        <v>1.0</v>
      </c>
      <c r="H147" s="42"/>
      <c r="I147" s="43">
        <v>1.0</v>
      </c>
      <c r="J147" s="22"/>
    </row>
    <row r="148" ht="40.5" customHeight="1">
      <c r="A148" s="1">
        <v>147.0</v>
      </c>
      <c r="B148" s="2" t="s">
        <v>30</v>
      </c>
      <c r="C148" s="2" t="s">
        <v>64</v>
      </c>
      <c r="D148" s="13"/>
      <c r="E148" s="13"/>
      <c r="F148" s="45"/>
      <c r="G148" s="42"/>
      <c r="H148" s="42"/>
      <c r="I148" s="42"/>
      <c r="J148" s="22"/>
    </row>
    <row r="149" ht="40.5" customHeight="1">
      <c r="A149" s="1">
        <v>148.0</v>
      </c>
      <c r="B149" s="2" t="s">
        <v>31</v>
      </c>
      <c r="C149" s="2" t="s">
        <v>39</v>
      </c>
      <c r="D149" s="53">
        <v>0.16666666666666666</v>
      </c>
      <c r="E149" s="13"/>
      <c r="F149" s="44" t="s">
        <v>549</v>
      </c>
      <c r="G149" s="43">
        <v>1.0</v>
      </c>
      <c r="H149" s="42"/>
      <c r="I149" s="42"/>
      <c r="J149" s="22"/>
    </row>
    <row r="150" ht="40.5" customHeight="1">
      <c r="A150" s="1">
        <v>149.0</v>
      </c>
      <c r="B150" s="2" t="s">
        <v>32</v>
      </c>
      <c r="C150" s="2"/>
      <c r="D150" s="13"/>
      <c r="E150" s="13"/>
      <c r="F150" s="44" t="s">
        <v>550</v>
      </c>
      <c r="G150" s="43">
        <v>1.0</v>
      </c>
      <c r="H150" s="42"/>
      <c r="I150" s="42"/>
      <c r="J150" s="22"/>
    </row>
    <row r="151" ht="40.5" customHeight="1">
      <c r="A151" s="1">
        <v>150.0</v>
      </c>
      <c r="B151" s="2" t="s">
        <v>67</v>
      </c>
      <c r="C151" s="2" t="s">
        <v>39</v>
      </c>
      <c r="D151" s="53">
        <v>0.1875</v>
      </c>
      <c r="E151" s="13"/>
      <c r="F151" s="44" t="s">
        <v>551</v>
      </c>
      <c r="G151" s="43">
        <v>1.0</v>
      </c>
      <c r="H151" s="42"/>
      <c r="I151" s="42"/>
      <c r="J151" s="22"/>
    </row>
    <row r="152" ht="40.5" customHeight="1">
      <c r="A152" s="1">
        <v>151.0</v>
      </c>
      <c r="B152" s="2" t="s">
        <v>34</v>
      </c>
      <c r="C152" s="2" t="s">
        <v>69</v>
      </c>
      <c r="D152" s="13"/>
      <c r="E152" s="13"/>
      <c r="F152" s="44" t="s">
        <v>552</v>
      </c>
      <c r="G152" s="43">
        <v>1.0</v>
      </c>
      <c r="H152" s="42"/>
      <c r="I152" s="43">
        <v>1.0</v>
      </c>
      <c r="J152" s="22"/>
    </row>
    <row r="153" ht="40.5" hidden="1" customHeight="1">
      <c r="A153" s="1">
        <v>152.0</v>
      </c>
      <c r="B153" s="2" t="s">
        <v>35</v>
      </c>
      <c r="C153" s="2" t="s">
        <v>58</v>
      </c>
      <c r="D153" s="13"/>
      <c r="E153" s="13"/>
      <c r="F153" s="45"/>
      <c r="G153" s="42"/>
      <c r="H153" s="42"/>
      <c r="I153" s="42"/>
      <c r="J153" s="22"/>
    </row>
    <row r="154" ht="40.5" customHeight="1">
      <c r="A154" s="1">
        <v>153.0</v>
      </c>
      <c r="B154" s="2" t="s">
        <v>36</v>
      </c>
      <c r="C154" s="2" t="s">
        <v>27</v>
      </c>
      <c r="D154" s="13"/>
      <c r="E154" s="13"/>
      <c r="F154" s="44" t="s">
        <v>553</v>
      </c>
      <c r="G154" s="42"/>
      <c r="H154" s="42"/>
      <c r="I154" s="42"/>
      <c r="J154" s="22"/>
    </row>
    <row r="155" ht="40.5" customHeight="1">
      <c r="A155" s="1">
        <v>154.0</v>
      </c>
      <c r="B155" s="2" t="s">
        <v>38</v>
      </c>
      <c r="C155" s="2" t="s">
        <v>54</v>
      </c>
      <c r="D155" s="53">
        <v>0.1875</v>
      </c>
      <c r="E155" s="13"/>
      <c r="F155" s="44" t="s">
        <v>554</v>
      </c>
      <c r="G155" s="43">
        <v>1.0</v>
      </c>
      <c r="H155" s="42"/>
      <c r="I155" s="42"/>
      <c r="J155" s="22"/>
    </row>
    <row r="156" ht="40.5" customHeight="1">
      <c r="A156" s="1">
        <v>155.0</v>
      </c>
      <c r="B156" s="2" t="s">
        <v>41</v>
      </c>
      <c r="C156" s="2" t="s">
        <v>69</v>
      </c>
      <c r="D156" s="13"/>
      <c r="E156" s="13"/>
      <c r="F156" s="44" t="s">
        <v>555</v>
      </c>
      <c r="G156" s="43">
        <v>1.0</v>
      </c>
      <c r="H156" s="42"/>
      <c r="I156" s="42"/>
      <c r="J156" s="22"/>
    </row>
    <row r="157" ht="40.5" customHeight="1">
      <c r="A157" s="1">
        <v>156.0</v>
      </c>
      <c r="B157" s="2" t="s">
        <v>42</v>
      </c>
      <c r="C157" s="2" t="s">
        <v>44</v>
      </c>
      <c r="D157" s="13"/>
      <c r="E157" s="13"/>
      <c r="F157" s="45"/>
      <c r="G157" s="42"/>
      <c r="H157" s="42"/>
      <c r="I157" s="42"/>
      <c r="J157" s="22"/>
    </row>
    <row r="158" ht="40.5" customHeight="1">
      <c r="A158" s="1">
        <v>157.0</v>
      </c>
      <c r="B158" s="2" t="s">
        <v>43</v>
      </c>
      <c r="C158" s="2"/>
      <c r="D158" s="13"/>
      <c r="E158" s="13"/>
      <c r="F158" s="44" t="s">
        <v>340</v>
      </c>
      <c r="G158" s="43">
        <v>1.0</v>
      </c>
      <c r="H158" s="42"/>
      <c r="I158" s="42"/>
      <c r="J158" s="22"/>
    </row>
    <row r="159" ht="40.5" customHeight="1">
      <c r="A159" s="1">
        <v>158.0</v>
      </c>
      <c r="B159" s="2" t="s">
        <v>45</v>
      </c>
      <c r="C159" s="2" t="s">
        <v>54</v>
      </c>
      <c r="D159" s="53">
        <v>0.16666666666666666</v>
      </c>
      <c r="E159" s="13"/>
      <c r="F159" s="44" t="s">
        <v>556</v>
      </c>
      <c r="G159" s="43">
        <v>1.0</v>
      </c>
      <c r="H159" s="42"/>
      <c r="I159" s="42"/>
      <c r="J159" s="22"/>
    </row>
    <row r="160" ht="40.5" customHeight="1">
      <c r="A160" s="1">
        <v>159.0</v>
      </c>
      <c r="B160" s="2" t="s">
        <v>46</v>
      </c>
      <c r="C160" s="13"/>
      <c r="D160" s="13"/>
      <c r="E160" s="13"/>
      <c r="F160" s="44" t="s">
        <v>532</v>
      </c>
      <c r="G160" s="43">
        <v>1.0</v>
      </c>
      <c r="H160" s="43">
        <v>1.0</v>
      </c>
      <c r="I160" s="42"/>
      <c r="J160" s="22"/>
    </row>
    <row r="161" ht="40.5" customHeight="1">
      <c r="A161" s="1">
        <v>160.0</v>
      </c>
      <c r="B161" s="2" t="s">
        <v>47</v>
      </c>
      <c r="C161" s="13"/>
      <c r="D161" s="13"/>
      <c r="E161" s="13"/>
      <c r="F161" s="44" t="s">
        <v>557</v>
      </c>
      <c r="G161" s="43">
        <v>1.0</v>
      </c>
      <c r="H161" s="42"/>
      <c r="I161" s="43">
        <v>1.0</v>
      </c>
      <c r="J161" s="22"/>
    </row>
    <row r="162" ht="40.5" customHeight="1">
      <c r="A162" s="1">
        <v>161.0</v>
      </c>
      <c r="B162" s="2" t="s">
        <v>48</v>
      </c>
      <c r="C162" s="2" t="s">
        <v>54</v>
      </c>
      <c r="D162" s="53">
        <v>0.18055555555555555</v>
      </c>
      <c r="E162" s="13"/>
      <c r="F162" s="44" t="s">
        <v>558</v>
      </c>
      <c r="G162" s="43">
        <v>1.0</v>
      </c>
      <c r="H162" s="42"/>
      <c r="I162" s="42"/>
      <c r="J162" s="22"/>
    </row>
    <row r="163" ht="40.5" customHeight="1">
      <c r="A163" s="1">
        <v>162.0</v>
      </c>
      <c r="B163" s="21"/>
      <c r="C163" s="21"/>
      <c r="D163" s="21"/>
      <c r="E163" s="21"/>
      <c r="F163" s="46"/>
      <c r="G163" s="47"/>
      <c r="H163" s="47"/>
      <c r="I163" s="47"/>
      <c r="J163" s="48"/>
      <c r="K163" s="49"/>
      <c r="L163" s="49"/>
      <c r="M163" s="49"/>
    </row>
    <row r="164" ht="40.5" hidden="1" customHeight="1">
      <c r="A164" s="1">
        <v>163.0</v>
      </c>
      <c r="B164" s="2" t="s">
        <v>12</v>
      </c>
      <c r="C164" s="2" t="s">
        <v>58</v>
      </c>
      <c r="D164" s="13"/>
      <c r="E164" s="13"/>
      <c r="F164" s="45"/>
      <c r="G164" s="42"/>
      <c r="H164" s="42"/>
      <c r="I164" s="42"/>
      <c r="J164" s="27" t="s">
        <v>491</v>
      </c>
      <c r="K164" s="15" t="s">
        <v>147</v>
      </c>
    </row>
    <row r="165" ht="40.5" customHeight="1">
      <c r="A165" s="1">
        <v>164.0</v>
      </c>
      <c r="B165" s="2" t="s">
        <v>16</v>
      </c>
      <c r="C165" s="2"/>
      <c r="D165" s="13"/>
      <c r="E165" s="13"/>
      <c r="F165" s="45"/>
      <c r="G165" s="42"/>
      <c r="H165" s="42"/>
      <c r="I165" s="42"/>
      <c r="J165" s="27" t="s">
        <v>147</v>
      </c>
    </row>
    <row r="166" ht="40.5" hidden="1" customHeight="1">
      <c r="A166" s="1">
        <v>165.0</v>
      </c>
      <c r="B166" s="2" t="s">
        <v>17</v>
      </c>
      <c r="C166" s="2" t="s">
        <v>58</v>
      </c>
      <c r="D166" s="13"/>
      <c r="E166" s="13"/>
      <c r="F166" s="45"/>
      <c r="G166" s="42"/>
      <c r="H166" s="42"/>
      <c r="I166" s="42"/>
      <c r="J166" s="27" t="s">
        <v>77</v>
      </c>
    </row>
    <row r="167" ht="40.5" customHeight="1">
      <c r="A167" s="1">
        <v>166.0</v>
      </c>
      <c r="B167" s="2" t="s">
        <v>331</v>
      </c>
      <c r="C167" s="2" t="s">
        <v>542</v>
      </c>
      <c r="D167" s="13"/>
      <c r="E167" s="13"/>
      <c r="F167" s="44" t="s">
        <v>559</v>
      </c>
      <c r="G167" s="42"/>
      <c r="H167" s="42"/>
      <c r="I167" s="42"/>
      <c r="J167" s="27"/>
    </row>
    <row r="168" ht="40.5" customHeight="1">
      <c r="A168" s="1">
        <v>167.0</v>
      </c>
      <c r="B168" s="2" t="s">
        <v>21</v>
      </c>
      <c r="C168" s="2" t="s">
        <v>277</v>
      </c>
      <c r="D168" s="13"/>
      <c r="E168" s="13"/>
      <c r="F168" s="45"/>
      <c r="G168" s="42"/>
      <c r="H168" s="42"/>
      <c r="I168" s="42"/>
      <c r="J168" s="27"/>
    </row>
    <row r="169" ht="40.5" customHeight="1">
      <c r="A169" s="1">
        <v>168.0</v>
      </c>
      <c r="B169" s="2" t="s">
        <v>22</v>
      </c>
      <c r="C169" s="2"/>
      <c r="D169" s="13"/>
      <c r="E169" s="13"/>
      <c r="F169" s="44" t="s">
        <v>560</v>
      </c>
      <c r="G169" s="43">
        <v>1.0</v>
      </c>
      <c r="H169" s="42"/>
      <c r="I169" s="42"/>
      <c r="J169" s="27"/>
    </row>
    <row r="170" ht="40.5" customHeight="1">
      <c r="A170" s="1">
        <v>169.0</v>
      </c>
      <c r="B170" s="2" t="s">
        <v>23</v>
      </c>
      <c r="C170" s="2" t="s">
        <v>27</v>
      </c>
      <c r="D170" s="13"/>
      <c r="E170" s="13"/>
      <c r="F170" s="44" t="s">
        <v>561</v>
      </c>
      <c r="G170" s="43">
        <v>1.0</v>
      </c>
      <c r="H170" s="42"/>
      <c r="I170" s="42"/>
      <c r="J170" s="22"/>
    </row>
    <row r="171" ht="40.5" hidden="1" customHeight="1">
      <c r="A171" s="1">
        <v>170.0</v>
      </c>
      <c r="B171" s="2" t="s">
        <v>24</v>
      </c>
      <c r="C171" s="2" t="s">
        <v>66</v>
      </c>
      <c r="D171" s="13"/>
      <c r="E171" s="13"/>
      <c r="F171" s="45"/>
      <c r="G171" s="42"/>
      <c r="H171" s="42"/>
      <c r="I171" s="42"/>
      <c r="J171" s="22"/>
    </row>
    <row r="172" ht="40.5" hidden="1" customHeight="1">
      <c r="A172" s="1">
        <v>171.0</v>
      </c>
      <c r="B172" s="2" t="s">
        <v>25</v>
      </c>
      <c r="C172" s="2" t="s">
        <v>58</v>
      </c>
      <c r="D172" s="13"/>
      <c r="E172" s="13"/>
      <c r="F172" s="45"/>
      <c r="G172" s="42"/>
      <c r="H172" s="42"/>
      <c r="I172" s="42"/>
      <c r="J172" s="22"/>
    </row>
    <row r="173" ht="40.5" customHeight="1">
      <c r="A173" s="1">
        <v>172.0</v>
      </c>
      <c r="B173" s="2" t="s">
        <v>26</v>
      </c>
      <c r="C173" s="2" t="s">
        <v>39</v>
      </c>
      <c r="D173" s="13"/>
      <c r="E173" s="13"/>
      <c r="F173" s="44" t="s">
        <v>562</v>
      </c>
      <c r="G173" s="43">
        <v>2.0</v>
      </c>
      <c r="H173" s="42"/>
      <c r="I173" s="43">
        <v>1.0</v>
      </c>
      <c r="J173" s="22"/>
    </row>
    <row r="174" ht="40.5" customHeight="1">
      <c r="A174" s="1">
        <v>173.0</v>
      </c>
      <c r="B174" s="2" t="s">
        <v>29</v>
      </c>
      <c r="C174" s="2" t="s">
        <v>54</v>
      </c>
      <c r="D174" s="13"/>
      <c r="E174" s="13"/>
      <c r="F174" s="45"/>
      <c r="G174" s="42"/>
      <c r="H174" s="42"/>
      <c r="I174" s="42"/>
      <c r="J174" s="22"/>
    </row>
    <row r="175" ht="40.5" customHeight="1">
      <c r="A175" s="1">
        <v>174.0</v>
      </c>
      <c r="B175" s="2" t="s">
        <v>30</v>
      </c>
      <c r="C175" s="2" t="s">
        <v>64</v>
      </c>
      <c r="D175" s="13"/>
      <c r="E175" s="13"/>
      <c r="F175" s="45"/>
      <c r="G175" s="42"/>
      <c r="H175" s="42"/>
      <c r="I175" s="42"/>
      <c r="J175" s="22"/>
    </row>
    <row r="176" ht="40.5" hidden="1" customHeight="1">
      <c r="A176" s="1">
        <v>175.0</v>
      </c>
      <c r="B176" s="2" t="s">
        <v>31</v>
      </c>
      <c r="C176" s="2" t="s">
        <v>58</v>
      </c>
      <c r="D176" s="13"/>
      <c r="E176" s="13"/>
      <c r="F176" s="45"/>
      <c r="G176" s="42"/>
      <c r="H176" s="42"/>
      <c r="I176" s="42"/>
      <c r="J176" s="22"/>
    </row>
    <row r="177" ht="40.5" customHeight="1">
      <c r="A177" s="1">
        <v>176.0</v>
      </c>
      <c r="B177" s="2" t="s">
        <v>32</v>
      </c>
      <c r="C177" s="2" t="s">
        <v>39</v>
      </c>
      <c r="D177" s="13"/>
      <c r="E177" s="13"/>
      <c r="F177" s="44" t="s">
        <v>563</v>
      </c>
      <c r="G177" s="43">
        <v>1.0</v>
      </c>
      <c r="H177" s="42"/>
      <c r="I177" s="42"/>
      <c r="J177" s="22"/>
    </row>
    <row r="178" ht="40.5" customHeight="1">
      <c r="A178" s="1">
        <v>177.0</v>
      </c>
      <c r="B178" s="2" t="s">
        <v>67</v>
      </c>
      <c r="C178" s="2"/>
      <c r="D178" s="13"/>
      <c r="E178" s="13"/>
      <c r="F178" s="44" t="s">
        <v>564</v>
      </c>
      <c r="G178" s="43">
        <v>1.0</v>
      </c>
      <c r="H178" s="42"/>
      <c r="I178" s="42"/>
      <c r="J178" s="22"/>
    </row>
    <row r="179" ht="40.5" customHeight="1">
      <c r="A179" s="1">
        <v>178.0</v>
      </c>
      <c r="B179" s="2" t="s">
        <v>34</v>
      </c>
      <c r="C179" s="2"/>
      <c r="D179" s="13"/>
      <c r="E179" s="13"/>
      <c r="F179" s="45"/>
      <c r="G179" s="42"/>
      <c r="H179" s="42"/>
      <c r="I179" s="42"/>
      <c r="J179" s="22"/>
    </row>
    <row r="180" ht="40.5" customHeight="1">
      <c r="A180" s="1">
        <v>179.0</v>
      </c>
      <c r="B180" s="2" t="s">
        <v>35</v>
      </c>
      <c r="C180" s="2" t="s">
        <v>54</v>
      </c>
      <c r="D180" s="13"/>
      <c r="E180" s="13"/>
      <c r="F180" s="45"/>
      <c r="G180" s="42"/>
      <c r="H180" s="42"/>
      <c r="I180" s="42"/>
      <c r="J180" s="22"/>
    </row>
    <row r="181" ht="40.5" customHeight="1">
      <c r="A181" s="1">
        <v>180.0</v>
      </c>
      <c r="B181" s="2" t="s">
        <v>36</v>
      </c>
      <c r="C181" s="2" t="s">
        <v>44</v>
      </c>
      <c r="D181" s="13"/>
      <c r="E181" s="13"/>
      <c r="F181" s="52" t="s">
        <v>565</v>
      </c>
      <c r="G181" s="56">
        <v>1.0</v>
      </c>
      <c r="H181" s="42"/>
      <c r="I181" s="56"/>
      <c r="J181" s="22"/>
    </row>
    <row r="182" ht="40.5" customHeight="1">
      <c r="A182" s="1">
        <v>181.0</v>
      </c>
      <c r="B182" s="2" t="s">
        <v>38</v>
      </c>
      <c r="C182" s="2" t="s">
        <v>69</v>
      </c>
      <c r="D182" s="13"/>
      <c r="E182" s="13"/>
      <c r="F182" s="44" t="s">
        <v>566</v>
      </c>
      <c r="G182" s="43">
        <v>1.0</v>
      </c>
      <c r="H182" s="42"/>
      <c r="I182" s="42"/>
      <c r="J182" s="22"/>
    </row>
    <row r="183" ht="40.5" customHeight="1">
      <c r="A183" s="1">
        <v>182.0</v>
      </c>
      <c r="B183" s="2" t="s">
        <v>41</v>
      </c>
      <c r="C183" s="2" t="s">
        <v>69</v>
      </c>
      <c r="D183" s="13"/>
      <c r="E183" s="13"/>
      <c r="F183" s="44" t="s">
        <v>567</v>
      </c>
      <c r="G183" s="43">
        <v>1.0</v>
      </c>
      <c r="H183" s="42"/>
      <c r="I183" s="43">
        <v>1.0</v>
      </c>
      <c r="J183" s="22"/>
    </row>
    <row r="184" ht="40.5" customHeight="1">
      <c r="A184" s="1">
        <v>183.0</v>
      </c>
      <c r="B184" s="2" t="s">
        <v>42</v>
      </c>
      <c r="C184" s="2"/>
      <c r="D184" s="13"/>
      <c r="E184" s="13"/>
      <c r="F184" s="44" t="s">
        <v>568</v>
      </c>
      <c r="G184" s="43">
        <v>1.0</v>
      </c>
      <c r="H184" s="42"/>
      <c r="I184" s="43">
        <v>1.0</v>
      </c>
      <c r="J184" s="22"/>
    </row>
    <row r="185" ht="40.5" customHeight="1">
      <c r="A185" s="1">
        <v>184.0</v>
      </c>
      <c r="B185" s="2" t="s">
        <v>43</v>
      </c>
      <c r="C185" s="2" t="s">
        <v>69</v>
      </c>
      <c r="D185" s="13"/>
      <c r="E185" s="13"/>
      <c r="F185" s="44" t="s">
        <v>569</v>
      </c>
      <c r="G185" s="43">
        <v>1.0</v>
      </c>
      <c r="H185" s="42"/>
      <c r="I185" s="42"/>
      <c r="J185" s="22"/>
    </row>
    <row r="186" ht="40.5" customHeight="1">
      <c r="A186" s="1">
        <v>185.0</v>
      </c>
      <c r="B186" s="2" t="s">
        <v>45</v>
      </c>
      <c r="C186" s="2" t="s">
        <v>54</v>
      </c>
      <c r="D186" s="13"/>
      <c r="E186" s="13"/>
      <c r="F186" s="45"/>
      <c r="G186" s="42"/>
      <c r="H186" s="42"/>
      <c r="I186" s="42"/>
      <c r="J186" s="22"/>
    </row>
    <row r="187" ht="40.5" customHeight="1">
      <c r="A187" s="1">
        <v>186.0</v>
      </c>
      <c r="B187" s="2" t="s">
        <v>46</v>
      </c>
      <c r="C187" s="13"/>
      <c r="D187" s="13"/>
      <c r="E187" s="13"/>
      <c r="F187" s="44" t="s">
        <v>532</v>
      </c>
      <c r="G187" s="43">
        <v>1.0</v>
      </c>
      <c r="H187" s="43">
        <v>1.0</v>
      </c>
      <c r="I187" s="42"/>
      <c r="J187" s="22"/>
    </row>
    <row r="188" ht="40.5" hidden="1" customHeight="1">
      <c r="A188" s="1">
        <v>187.0</v>
      </c>
      <c r="B188" s="2" t="s">
        <v>47</v>
      </c>
      <c r="C188" s="2" t="s">
        <v>58</v>
      </c>
      <c r="D188" s="13"/>
      <c r="E188" s="13"/>
      <c r="F188" s="45"/>
      <c r="G188" s="42"/>
      <c r="H188" s="42"/>
      <c r="I188" s="42"/>
      <c r="J188" s="22"/>
    </row>
    <row r="189" ht="40.5" customHeight="1">
      <c r="A189" s="1">
        <v>188.0</v>
      </c>
      <c r="B189" s="2" t="s">
        <v>48</v>
      </c>
      <c r="C189" s="2" t="s">
        <v>54</v>
      </c>
      <c r="D189" s="13"/>
      <c r="E189" s="13"/>
      <c r="F189" s="45"/>
      <c r="G189" s="42"/>
      <c r="H189" s="42"/>
      <c r="I189" s="42"/>
      <c r="J189" s="22"/>
    </row>
    <row r="190" ht="40.5" customHeight="1">
      <c r="A190" s="1">
        <v>189.0</v>
      </c>
      <c r="B190" s="21"/>
      <c r="C190" s="21"/>
      <c r="D190" s="21"/>
      <c r="E190" s="21"/>
      <c r="F190" s="46"/>
      <c r="G190" s="47"/>
      <c r="H190" s="47"/>
      <c r="I190" s="47"/>
      <c r="J190" s="48"/>
      <c r="K190" s="49"/>
      <c r="L190" s="49"/>
      <c r="M190" s="49"/>
    </row>
    <row r="191" ht="40.5" hidden="1" customHeight="1">
      <c r="A191" s="1">
        <v>190.0</v>
      </c>
      <c r="B191" s="2" t="s">
        <v>12</v>
      </c>
      <c r="C191" s="2" t="s">
        <v>58</v>
      </c>
      <c r="D191" s="13"/>
      <c r="E191" s="13"/>
      <c r="F191" s="45"/>
      <c r="G191" s="42"/>
      <c r="H191" s="42"/>
      <c r="I191" s="42"/>
      <c r="J191" s="27" t="s">
        <v>491</v>
      </c>
      <c r="K191" s="15" t="s">
        <v>163</v>
      </c>
    </row>
    <row r="192" ht="40.5" customHeight="1">
      <c r="A192" s="1">
        <v>191.0</v>
      </c>
      <c r="B192" s="2" t="s">
        <v>16</v>
      </c>
      <c r="C192" s="2" t="s">
        <v>39</v>
      </c>
      <c r="D192" s="13"/>
      <c r="E192" s="13"/>
      <c r="F192" s="44" t="s">
        <v>476</v>
      </c>
      <c r="G192" s="43">
        <v>1.0</v>
      </c>
      <c r="H192" s="42"/>
      <c r="I192" s="42"/>
      <c r="J192" s="27" t="s">
        <v>163</v>
      </c>
    </row>
    <row r="193" ht="40.5" hidden="1" customHeight="1">
      <c r="A193" s="1">
        <v>192.0</v>
      </c>
      <c r="B193" s="2" t="s">
        <v>17</v>
      </c>
      <c r="C193" s="2" t="s">
        <v>58</v>
      </c>
      <c r="D193" s="13"/>
      <c r="E193" s="13"/>
      <c r="F193" s="45"/>
      <c r="G193" s="42"/>
      <c r="H193" s="42"/>
      <c r="I193" s="42"/>
      <c r="J193" s="27" t="s">
        <v>95</v>
      </c>
    </row>
    <row r="194" ht="40.5" hidden="1" customHeight="1">
      <c r="A194" s="1">
        <v>193.0</v>
      </c>
      <c r="B194" s="2" t="s">
        <v>331</v>
      </c>
      <c r="C194" s="2" t="s">
        <v>58</v>
      </c>
      <c r="D194" s="13"/>
      <c r="E194" s="13"/>
      <c r="F194" s="44"/>
      <c r="G194" s="42"/>
      <c r="H194" s="42"/>
      <c r="I194" s="42"/>
      <c r="J194" s="22"/>
    </row>
    <row r="195" ht="40.5" customHeight="1">
      <c r="A195" s="1">
        <v>194.0</v>
      </c>
      <c r="B195" s="2" t="s">
        <v>21</v>
      </c>
      <c r="C195" s="2" t="s">
        <v>277</v>
      </c>
      <c r="D195" s="13"/>
      <c r="E195" s="13"/>
      <c r="F195" s="45"/>
      <c r="G195" s="42"/>
      <c r="H195" s="42"/>
      <c r="I195" s="42"/>
      <c r="J195" s="22"/>
    </row>
    <row r="196" ht="40.5" customHeight="1">
      <c r="A196" s="1">
        <v>195.0</v>
      </c>
      <c r="B196" s="2" t="s">
        <v>22</v>
      </c>
      <c r="C196" s="2"/>
      <c r="D196" s="13"/>
      <c r="E196" s="13"/>
      <c r="F196" s="44" t="s">
        <v>570</v>
      </c>
      <c r="G196" s="43">
        <v>1.0</v>
      </c>
      <c r="H196" s="42"/>
      <c r="I196" s="42"/>
      <c r="J196" s="22"/>
    </row>
    <row r="197" ht="40.5" customHeight="1">
      <c r="A197" s="1">
        <v>196.0</v>
      </c>
      <c r="B197" s="2" t="s">
        <v>23</v>
      </c>
      <c r="C197" s="2" t="s">
        <v>44</v>
      </c>
      <c r="D197" s="13"/>
      <c r="E197" s="13"/>
      <c r="F197" s="45"/>
      <c r="G197" s="42"/>
      <c r="H197" s="42"/>
      <c r="I197" s="42"/>
      <c r="J197" s="22"/>
    </row>
    <row r="198" ht="40.5" hidden="1" customHeight="1">
      <c r="A198" s="1">
        <v>197.0</v>
      </c>
      <c r="B198" s="2" t="s">
        <v>24</v>
      </c>
      <c r="C198" s="2" t="s">
        <v>58</v>
      </c>
      <c r="D198" s="13"/>
      <c r="E198" s="13"/>
      <c r="F198" s="45"/>
      <c r="G198" s="42"/>
      <c r="H198" s="42"/>
      <c r="I198" s="42"/>
      <c r="J198" s="22"/>
    </row>
    <row r="199" ht="40.5" customHeight="1">
      <c r="A199" s="1">
        <v>198.0</v>
      </c>
      <c r="B199" s="2" t="s">
        <v>25</v>
      </c>
      <c r="C199" s="2" t="s">
        <v>69</v>
      </c>
      <c r="D199" s="13"/>
      <c r="E199" s="13"/>
      <c r="F199" s="44" t="s">
        <v>571</v>
      </c>
      <c r="G199" s="43">
        <v>1.0</v>
      </c>
      <c r="H199" s="42"/>
      <c r="I199" s="42"/>
      <c r="J199" s="22"/>
    </row>
    <row r="200" ht="40.5" customHeight="1">
      <c r="A200" s="1">
        <v>199.0</v>
      </c>
      <c r="B200" s="2" t="s">
        <v>26</v>
      </c>
      <c r="C200" s="2"/>
      <c r="D200" s="13"/>
      <c r="E200" s="13"/>
      <c r="F200" s="44" t="s">
        <v>572</v>
      </c>
      <c r="G200" s="43">
        <v>1.0</v>
      </c>
      <c r="H200" s="42"/>
      <c r="I200" s="43">
        <v>1.0</v>
      </c>
      <c r="J200" s="22"/>
    </row>
    <row r="201" ht="40.5" customHeight="1">
      <c r="A201" s="1">
        <v>200.0</v>
      </c>
      <c r="B201" s="2" t="s">
        <v>29</v>
      </c>
      <c r="C201" s="2" t="s">
        <v>54</v>
      </c>
      <c r="D201" s="13"/>
      <c r="E201" s="13"/>
      <c r="F201" s="44" t="s">
        <v>573</v>
      </c>
      <c r="G201" s="43">
        <v>1.0</v>
      </c>
      <c r="H201" s="42"/>
      <c r="I201" s="42"/>
      <c r="J201" s="22"/>
    </row>
    <row r="202" ht="40.5" customHeight="1">
      <c r="A202" s="1">
        <v>201.0</v>
      </c>
      <c r="B202" s="2" t="s">
        <v>30</v>
      </c>
      <c r="C202" s="2" t="s">
        <v>64</v>
      </c>
      <c r="D202" s="13"/>
      <c r="E202" s="13"/>
      <c r="F202" s="44" t="s">
        <v>574</v>
      </c>
      <c r="G202" s="43">
        <v>1.0</v>
      </c>
      <c r="H202" s="42"/>
      <c r="I202" s="43">
        <v>1.0</v>
      </c>
      <c r="J202" s="22"/>
    </row>
    <row r="203" ht="40.5" hidden="1" customHeight="1">
      <c r="A203" s="1">
        <v>202.0</v>
      </c>
      <c r="B203" s="2" t="s">
        <v>31</v>
      </c>
      <c r="C203" s="2" t="s">
        <v>58</v>
      </c>
      <c r="D203" s="13"/>
      <c r="E203" s="13"/>
      <c r="F203" s="45"/>
      <c r="G203" s="42"/>
      <c r="H203" s="42"/>
      <c r="I203" s="42"/>
      <c r="J203" s="22"/>
    </row>
    <row r="204" ht="40.5" customHeight="1">
      <c r="A204" s="1">
        <v>203.0</v>
      </c>
      <c r="B204" s="2" t="s">
        <v>32</v>
      </c>
      <c r="C204" s="2"/>
      <c r="D204" s="13"/>
      <c r="E204" s="13"/>
      <c r="F204" s="44" t="s">
        <v>575</v>
      </c>
      <c r="G204" s="43">
        <v>1.0</v>
      </c>
      <c r="H204" s="42"/>
      <c r="I204" s="43">
        <v>1.0</v>
      </c>
      <c r="J204" s="22"/>
    </row>
    <row r="205" ht="40.5" customHeight="1">
      <c r="A205" s="1">
        <v>204.0</v>
      </c>
      <c r="B205" s="2" t="s">
        <v>67</v>
      </c>
      <c r="C205" s="2"/>
      <c r="D205" s="13"/>
      <c r="E205" s="13"/>
      <c r="F205" s="44" t="s">
        <v>576</v>
      </c>
      <c r="G205" s="43">
        <v>1.0</v>
      </c>
      <c r="H205" s="42"/>
      <c r="I205" s="42"/>
      <c r="J205" s="22"/>
    </row>
    <row r="206" ht="40.5" customHeight="1">
      <c r="A206" s="1">
        <v>205.0</v>
      </c>
      <c r="B206" s="2" t="s">
        <v>34</v>
      </c>
      <c r="C206" s="2"/>
      <c r="D206" s="13"/>
      <c r="E206" s="13"/>
      <c r="F206" s="44" t="s">
        <v>577</v>
      </c>
      <c r="G206" s="43">
        <v>1.0</v>
      </c>
      <c r="H206" s="42"/>
      <c r="I206" s="42"/>
      <c r="J206" s="22"/>
    </row>
    <row r="207" ht="40.5" customHeight="1">
      <c r="A207" s="1">
        <v>206.0</v>
      </c>
      <c r="B207" s="2" t="s">
        <v>35</v>
      </c>
      <c r="C207" s="2" t="s">
        <v>54</v>
      </c>
      <c r="D207" s="13"/>
      <c r="E207" s="13"/>
      <c r="F207" s="44" t="s">
        <v>578</v>
      </c>
      <c r="G207" s="43">
        <v>1.0</v>
      </c>
      <c r="H207" s="42"/>
      <c r="I207" s="42"/>
      <c r="J207" s="22"/>
    </row>
    <row r="208" ht="40.5" customHeight="1">
      <c r="A208" s="1">
        <v>207.0</v>
      </c>
      <c r="B208" s="2" t="s">
        <v>36</v>
      </c>
      <c r="C208" s="13"/>
      <c r="D208" s="13"/>
      <c r="E208" s="13"/>
      <c r="F208" s="44" t="s">
        <v>579</v>
      </c>
      <c r="G208" s="42"/>
      <c r="H208" s="42"/>
      <c r="I208" s="42"/>
      <c r="J208" s="22"/>
    </row>
    <row r="209" ht="40.5" customHeight="1">
      <c r="A209" s="1">
        <v>208.0</v>
      </c>
      <c r="B209" s="2" t="s">
        <v>38</v>
      </c>
      <c r="C209" s="2" t="s">
        <v>27</v>
      </c>
      <c r="D209" s="13"/>
      <c r="E209" s="13"/>
      <c r="F209" s="44" t="s">
        <v>580</v>
      </c>
      <c r="G209" s="43">
        <v>1.0</v>
      </c>
      <c r="H209" s="42"/>
      <c r="I209" s="42"/>
      <c r="J209" s="22"/>
    </row>
    <row r="210" ht="40.5" hidden="1" customHeight="1">
      <c r="A210" s="1">
        <v>209.0</v>
      </c>
      <c r="B210" s="2" t="s">
        <v>41</v>
      </c>
      <c r="C210" s="2" t="s">
        <v>66</v>
      </c>
      <c r="D210" s="13"/>
      <c r="E210" s="13"/>
      <c r="F210" s="45"/>
      <c r="G210" s="42"/>
      <c r="H210" s="42"/>
      <c r="I210" s="42"/>
      <c r="J210" s="22"/>
    </row>
    <row r="211" ht="40.5" customHeight="1">
      <c r="A211" s="1">
        <v>210.0</v>
      </c>
      <c r="B211" s="2" t="s">
        <v>42</v>
      </c>
      <c r="C211" s="2" t="s">
        <v>69</v>
      </c>
      <c r="D211" s="13"/>
      <c r="E211" s="13"/>
      <c r="F211" s="44" t="s">
        <v>581</v>
      </c>
      <c r="G211" s="43">
        <v>1.0</v>
      </c>
      <c r="H211" s="42"/>
      <c r="I211" s="42"/>
      <c r="J211" s="22"/>
    </row>
    <row r="212" ht="40.5" customHeight="1">
      <c r="A212" s="1">
        <v>211.0</v>
      </c>
      <c r="B212" s="2" t="s">
        <v>43</v>
      </c>
      <c r="C212" s="2" t="s">
        <v>69</v>
      </c>
      <c r="D212" s="13"/>
      <c r="E212" s="13"/>
      <c r="F212" s="44" t="s">
        <v>582</v>
      </c>
      <c r="G212" s="43">
        <v>2.0</v>
      </c>
      <c r="H212" s="42"/>
      <c r="I212" s="42"/>
      <c r="J212" s="22"/>
    </row>
    <row r="213" ht="40.5" customHeight="1">
      <c r="A213" s="1">
        <v>212.0</v>
      </c>
      <c r="B213" s="2" t="s">
        <v>45</v>
      </c>
      <c r="C213" s="2" t="s">
        <v>54</v>
      </c>
      <c r="D213" s="13"/>
      <c r="E213" s="13"/>
      <c r="F213" s="44" t="s">
        <v>507</v>
      </c>
      <c r="G213" s="43">
        <v>1.0</v>
      </c>
      <c r="H213" s="42"/>
      <c r="I213" s="42"/>
      <c r="J213" s="22"/>
    </row>
    <row r="214" ht="40.5" customHeight="1">
      <c r="A214" s="1">
        <v>213.0</v>
      </c>
      <c r="B214" s="2" t="s">
        <v>46</v>
      </c>
      <c r="C214" s="13"/>
      <c r="D214" s="13"/>
      <c r="E214" s="13"/>
      <c r="F214" s="44" t="s">
        <v>532</v>
      </c>
      <c r="G214" s="43">
        <v>1.0</v>
      </c>
      <c r="H214" s="43">
        <v>1.0</v>
      </c>
      <c r="I214" s="42"/>
      <c r="J214" s="22"/>
    </row>
    <row r="215" ht="40.5" customHeight="1">
      <c r="A215" s="1">
        <v>214.0</v>
      </c>
      <c r="B215" s="2" t="s">
        <v>47</v>
      </c>
      <c r="C215" s="2" t="s">
        <v>39</v>
      </c>
      <c r="D215" s="13"/>
      <c r="E215" s="13"/>
      <c r="F215" s="44" t="s">
        <v>583</v>
      </c>
      <c r="G215" s="43">
        <v>1.0</v>
      </c>
      <c r="H215" s="42"/>
      <c r="I215" s="42"/>
      <c r="J215" s="22"/>
    </row>
    <row r="216" ht="40.5" customHeight="1">
      <c r="A216" s="1">
        <v>215.0</v>
      </c>
      <c r="B216" s="2" t="s">
        <v>48</v>
      </c>
      <c r="C216" s="2" t="s">
        <v>54</v>
      </c>
      <c r="D216" s="13"/>
      <c r="E216" s="13"/>
      <c r="F216" s="44" t="s">
        <v>584</v>
      </c>
      <c r="G216" s="43">
        <v>1.0</v>
      </c>
      <c r="H216" s="42"/>
      <c r="I216" s="42"/>
      <c r="J216" s="22"/>
    </row>
    <row r="217" ht="40.5" customHeight="1">
      <c r="A217" s="1">
        <v>216.0</v>
      </c>
      <c r="B217" s="21"/>
      <c r="C217" s="21"/>
      <c r="D217" s="21"/>
      <c r="E217" s="21"/>
      <c r="F217" s="46"/>
      <c r="G217" s="47"/>
      <c r="H217" s="47"/>
      <c r="I217" s="47"/>
      <c r="J217" s="48"/>
      <c r="K217" s="49"/>
      <c r="L217" s="49"/>
      <c r="M217" s="49"/>
    </row>
    <row r="218" ht="40.5" customHeight="1">
      <c r="A218" s="1">
        <v>217.0</v>
      </c>
      <c r="B218" s="2" t="s">
        <v>12</v>
      </c>
      <c r="C218" s="2" t="s">
        <v>62</v>
      </c>
      <c r="D218" s="13"/>
      <c r="E218" s="13"/>
      <c r="F218" s="44" t="s">
        <v>585</v>
      </c>
      <c r="G218" s="43">
        <v>1.0</v>
      </c>
      <c r="H218" s="42"/>
      <c r="I218" s="42"/>
      <c r="J218" s="27" t="s">
        <v>491</v>
      </c>
      <c r="K218" s="15" t="s">
        <v>175</v>
      </c>
    </row>
    <row r="219" ht="40.5" hidden="1" customHeight="1">
      <c r="A219" s="1">
        <v>218.0</v>
      </c>
      <c r="B219" s="2" t="s">
        <v>16</v>
      </c>
      <c r="C219" s="2" t="s">
        <v>58</v>
      </c>
      <c r="D219" s="13"/>
      <c r="E219" s="13"/>
      <c r="F219" s="45"/>
      <c r="G219" s="42"/>
      <c r="H219" s="42"/>
      <c r="I219" s="42"/>
      <c r="J219" s="27" t="s">
        <v>175</v>
      </c>
    </row>
    <row r="220" ht="40.5" customHeight="1">
      <c r="A220" s="1">
        <v>219.0</v>
      </c>
      <c r="B220" s="2" t="s">
        <v>116</v>
      </c>
      <c r="C220" s="2"/>
      <c r="D220" s="13"/>
      <c r="E220" s="13"/>
      <c r="F220" s="44" t="s">
        <v>586</v>
      </c>
      <c r="G220" s="43">
        <v>0.5</v>
      </c>
      <c r="H220" s="42"/>
      <c r="I220" s="43">
        <v>1.0</v>
      </c>
      <c r="J220" s="27" t="s">
        <v>111</v>
      </c>
    </row>
    <row r="221" ht="40.5" customHeight="1">
      <c r="A221" s="1">
        <v>220.0</v>
      </c>
      <c r="B221" s="2" t="s">
        <v>331</v>
      </c>
      <c r="C221" s="2" t="s">
        <v>542</v>
      </c>
      <c r="D221" s="13"/>
      <c r="E221" s="13"/>
      <c r="F221" s="44" t="s">
        <v>559</v>
      </c>
      <c r="G221" s="42"/>
      <c r="H221" s="42"/>
      <c r="I221" s="42"/>
      <c r="J221" s="22"/>
    </row>
    <row r="222" ht="40.5" customHeight="1">
      <c r="A222" s="1">
        <v>221.0</v>
      </c>
      <c r="B222" s="2" t="s">
        <v>21</v>
      </c>
      <c r="C222" s="2" t="s">
        <v>277</v>
      </c>
      <c r="D222" s="13"/>
      <c r="E222" s="13"/>
      <c r="F222" s="45"/>
      <c r="G222" s="42"/>
      <c r="H222" s="42"/>
      <c r="I222" s="42"/>
      <c r="J222" s="22"/>
    </row>
    <row r="223" ht="40.5" customHeight="1">
      <c r="A223" s="1">
        <v>222.0</v>
      </c>
      <c r="B223" s="2" t="s">
        <v>22</v>
      </c>
      <c r="C223" s="2"/>
      <c r="D223" s="13"/>
      <c r="E223" s="13"/>
      <c r="F223" s="44" t="s">
        <v>587</v>
      </c>
      <c r="G223" s="43">
        <v>0.5</v>
      </c>
      <c r="H223" s="42"/>
      <c r="I223" s="42"/>
      <c r="J223" s="22"/>
    </row>
    <row r="224" ht="40.5" customHeight="1">
      <c r="A224" s="1">
        <v>223.0</v>
      </c>
      <c r="B224" s="2" t="s">
        <v>23</v>
      </c>
      <c r="C224" s="2" t="s">
        <v>69</v>
      </c>
      <c r="D224" s="13"/>
      <c r="E224" s="13"/>
      <c r="F224" s="44" t="s">
        <v>588</v>
      </c>
      <c r="G224" s="43">
        <v>1.0</v>
      </c>
      <c r="H224" s="42"/>
      <c r="I224" s="42"/>
      <c r="J224" s="22"/>
    </row>
    <row r="225" ht="40.5" customHeight="1">
      <c r="A225" s="1">
        <v>224.0</v>
      </c>
      <c r="B225" s="2" t="s">
        <v>24</v>
      </c>
      <c r="C225" s="2"/>
      <c r="D225" s="13"/>
      <c r="E225" s="13"/>
      <c r="F225" s="44" t="s">
        <v>589</v>
      </c>
      <c r="G225" s="43">
        <v>1.0</v>
      </c>
      <c r="H225" s="42"/>
      <c r="I225" s="42"/>
      <c r="J225" s="22"/>
    </row>
    <row r="226" ht="40.5" customHeight="1">
      <c r="A226" s="1">
        <v>225.0</v>
      </c>
      <c r="B226" s="2" t="s">
        <v>25</v>
      </c>
      <c r="C226" s="2"/>
      <c r="D226" s="13"/>
      <c r="E226" s="13"/>
      <c r="F226" s="44" t="s">
        <v>587</v>
      </c>
      <c r="G226" s="43">
        <v>0.5</v>
      </c>
      <c r="H226" s="42"/>
      <c r="I226" s="42"/>
      <c r="J226" s="22"/>
    </row>
    <row r="227" ht="40.5" customHeight="1">
      <c r="A227" s="1">
        <v>226.0</v>
      </c>
      <c r="B227" s="2" t="s">
        <v>26</v>
      </c>
      <c r="C227" s="2" t="s">
        <v>27</v>
      </c>
      <c r="D227" s="13"/>
      <c r="E227" s="13"/>
      <c r="F227" s="44" t="s">
        <v>559</v>
      </c>
      <c r="G227" s="42"/>
      <c r="H227" s="42"/>
      <c r="I227" s="42"/>
      <c r="J227" s="22"/>
    </row>
    <row r="228" ht="40.5" customHeight="1">
      <c r="A228" s="1">
        <v>227.0</v>
      </c>
      <c r="B228" s="2" t="s">
        <v>29</v>
      </c>
      <c r="C228" s="2" t="s">
        <v>54</v>
      </c>
      <c r="D228" s="13"/>
      <c r="E228" s="13"/>
      <c r="F228" s="44" t="s">
        <v>590</v>
      </c>
      <c r="G228" s="43">
        <v>1.0</v>
      </c>
      <c r="H228" s="43"/>
      <c r="I228" s="43">
        <v>1.0</v>
      </c>
      <c r="J228" s="22"/>
    </row>
    <row r="229" ht="40.5" customHeight="1">
      <c r="A229" s="1">
        <v>228.0</v>
      </c>
      <c r="B229" s="2" t="s">
        <v>30</v>
      </c>
      <c r="C229" s="2" t="s">
        <v>64</v>
      </c>
      <c r="D229" s="13"/>
      <c r="E229" s="13"/>
      <c r="F229" s="45"/>
      <c r="G229" s="42"/>
      <c r="H229" s="42"/>
      <c r="I229" s="42"/>
      <c r="J229" s="22"/>
    </row>
    <row r="230" ht="40.5" hidden="1" customHeight="1">
      <c r="A230" s="1">
        <v>229.0</v>
      </c>
      <c r="B230" s="2" t="s">
        <v>31</v>
      </c>
      <c r="C230" s="2" t="s">
        <v>58</v>
      </c>
      <c r="D230" s="13"/>
      <c r="E230" s="13"/>
      <c r="F230" s="45"/>
      <c r="G230" s="42"/>
      <c r="H230" s="42"/>
      <c r="I230" s="42"/>
      <c r="J230" s="22"/>
    </row>
    <row r="231" ht="40.5" customHeight="1">
      <c r="A231" s="1">
        <v>230.0</v>
      </c>
      <c r="B231" s="2" t="s">
        <v>32</v>
      </c>
      <c r="C231" s="2" t="s">
        <v>69</v>
      </c>
      <c r="D231" s="13"/>
      <c r="E231" s="13"/>
      <c r="F231" s="44" t="s">
        <v>591</v>
      </c>
      <c r="G231" s="43">
        <v>1.0</v>
      </c>
      <c r="H231" s="42"/>
      <c r="I231" s="42"/>
      <c r="J231" s="22"/>
    </row>
    <row r="232" ht="40.5" customHeight="1">
      <c r="A232" s="1">
        <v>231.0</v>
      </c>
      <c r="B232" s="2" t="s">
        <v>67</v>
      </c>
      <c r="C232" s="2"/>
      <c r="D232" s="53">
        <v>0.2916666666666667</v>
      </c>
      <c r="E232" s="13"/>
      <c r="F232" s="44" t="s">
        <v>592</v>
      </c>
      <c r="G232" s="43">
        <v>1.0</v>
      </c>
      <c r="H232" s="43"/>
      <c r="I232" s="43">
        <v>1.0</v>
      </c>
      <c r="J232" s="22"/>
    </row>
    <row r="233" ht="40.5" customHeight="1">
      <c r="A233" s="1">
        <v>232.0</v>
      </c>
      <c r="B233" s="2" t="s">
        <v>34</v>
      </c>
      <c r="C233" s="2" t="s">
        <v>39</v>
      </c>
      <c r="D233" s="13"/>
      <c r="E233" s="13"/>
      <c r="F233" s="44" t="s">
        <v>593</v>
      </c>
      <c r="G233" s="43">
        <v>1.0</v>
      </c>
      <c r="H233" s="42"/>
      <c r="I233" s="42"/>
      <c r="J233" s="22"/>
    </row>
    <row r="234" ht="40.5" customHeight="1">
      <c r="A234" s="1">
        <v>233.0</v>
      </c>
      <c r="B234" s="2" t="s">
        <v>35</v>
      </c>
      <c r="C234" s="2" t="s">
        <v>54</v>
      </c>
      <c r="D234" s="13"/>
      <c r="E234" s="13"/>
      <c r="F234" s="45"/>
      <c r="G234" s="42"/>
      <c r="H234" s="42"/>
      <c r="I234" s="42"/>
      <c r="J234" s="22"/>
    </row>
    <row r="235" ht="40.5" customHeight="1">
      <c r="A235" s="1">
        <v>234.0</v>
      </c>
      <c r="B235" s="2" t="s">
        <v>36</v>
      </c>
      <c r="C235" s="2" t="s">
        <v>69</v>
      </c>
      <c r="D235" s="13"/>
      <c r="E235" s="13"/>
      <c r="F235" s="44" t="s">
        <v>594</v>
      </c>
      <c r="G235" s="43">
        <v>2.0</v>
      </c>
      <c r="H235" s="42"/>
      <c r="I235" s="43">
        <v>2.0</v>
      </c>
      <c r="J235" s="22"/>
    </row>
    <row r="236" ht="40.5" customHeight="1">
      <c r="A236" s="1">
        <v>235.0</v>
      </c>
      <c r="B236" s="2" t="s">
        <v>38</v>
      </c>
      <c r="C236" s="2" t="s">
        <v>44</v>
      </c>
      <c r="D236" s="13"/>
      <c r="E236" s="13"/>
      <c r="F236" s="52" t="s">
        <v>595</v>
      </c>
      <c r="G236" s="56">
        <v>1.0</v>
      </c>
      <c r="H236" s="42"/>
      <c r="I236" s="42"/>
      <c r="J236" s="22"/>
    </row>
    <row r="237" ht="40.5" hidden="1" customHeight="1">
      <c r="A237" s="1">
        <v>236.0</v>
      </c>
      <c r="B237" s="2" t="s">
        <v>41</v>
      </c>
      <c r="C237" s="2" t="s">
        <v>58</v>
      </c>
      <c r="D237" s="13"/>
      <c r="E237" s="13"/>
      <c r="F237" s="45"/>
      <c r="G237" s="42"/>
      <c r="H237" s="42"/>
      <c r="I237" s="42"/>
      <c r="J237" s="22"/>
    </row>
    <row r="238" ht="40.5" customHeight="1">
      <c r="A238" s="1">
        <v>237.0</v>
      </c>
      <c r="B238" s="2" t="s">
        <v>42</v>
      </c>
      <c r="C238" s="2" t="s">
        <v>39</v>
      </c>
      <c r="D238" s="53">
        <v>0.25</v>
      </c>
      <c r="E238" s="13"/>
      <c r="F238" s="44" t="s">
        <v>596</v>
      </c>
      <c r="G238" s="43">
        <v>2.0</v>
      </c>
      <c r="H238" s="42"/>
      <c r="I238" s="43">
        <v>1.0</v>
      </c>
      <c r="J238" s="22"/>
    </row>
    <row r="239" ht="40.5" customHeight="1">
      <c r="A239" s="1">
        <v>238.0</v>
      </c>
      <c r="B239" s="2" t="s">
        <v>43</v>
      </c>
      <c r="C239" s="2"/>
      <c r="D239" s="13"/>
      <c r="E239" s="13"/>
      <c r="F239" s="44" t="s">
        <v>586</v>
      </c>
      <c r="G239" s="43">
        <v>0.5</v>
      </c>
      <c r="H239" s="42"/>
      <c r="I239" s="43">
        <v>1.0</v>
      </c>
      <c r="J239" s="22"/>
    </row>
    <row r="240" ht="40.5" customHeight="1">
      <c r="A240" s="1">
        <v>239.0</v>
      </c>
      <c r="B240" s="2" t="s">
        <v>45</v>
      </c>
      <c r="C240" s="2" t="s">
        <v>54</v>
      </c>
      <c r="D240" s="13"/>
      <c r="E240" s="13"/>
      <c r="F240" s="44" t="s">
        <v>597</v>
      </c>
      <c r="G240" s="43">
        <v>1.0</v>
      </c>
      <c r="H240" s="42"/>
      <c r="I240" s="42"/>
      <c r="J240" s="22"/>
    </row>
    <row r="241" ht="40.5" customHeight="1">
      <c r="A241" s="1">
        <v>240.0</v>
      </c>
      <c r="B241" s="2" t="s">
        <v>46</v>
      </c>
      <c r="C241" s="13"/>
      <c r="D241" s="13"/>
      <c r="E241" s="13"/>
      <c r="F241" s="44" t="s">
        <v>532</v>
      </c>
      <c r="G241" s="43">
        <v>1.0</v>
      </c>
      <c r="H241" s="43">
        <v>1.0</v>
      </c>
      <c r="I241" s="42"/>
      <c r="J241" s="22"/>
    </row>
    <row r="242" ht="40.5" customHeight="1">
      <c r="A242" s="1">
        <v>241.0</v>
      </c>
      <c r="B242" s="2" t="s">
        <v>47</v>
      </c>
      <c r="C242" s="13"/>
      <c r="D242" s="53">
        <v>0.3125</v>
      </c>
      <c r="E242" s="13"/>
      <c r="F242" s="44" t="s">
        <v>598</v>
      </c>
      <c r="G242" s="43">
        <v>1.0</v>
      </c>
      <c r="H242" s="42"/>
      <c r="I242" s="42"/>
      <c r="J242" s="22"/>
    </row>
    <row r="243" ht="40.5" customHeight="1">
      <c r="A243" s="1">
        <v>242.0</v>
      </c>
      <c r="B243" s="2" t="s">
        <v>48</v>
      </c>
      <c r="C243" s="2" t="s">
        <v>54</v>
      </c>
      <c r="D243" s="13"/>
      <c r="E243" s="13"/>
      <c r="F243" s="44" t="s">
        <v>599</v>
      </c>
      <c r="G243" s="43">
        <v>1.0</v>
      </c>
      <c r="H243" s="42"/>
      <c r="I243" s="42"/>
      <c r="J243" s="22"/>
    </row>
    <row r="244" ht="40.5" customHeight="1">
      <c r="A244" s="1">
        <v>243.0</v>
      </c>
      <c r="B244" s="21"/>
      <c r="C244" s="21"/>
      <c r="D244" s="21"/>
      <c r="E244" s="21"/>
      <c r="F244" s="46"/>
      <c r="G244" s="47"/>
      <c r="H244" s="47"/>
      <c r="I244" s="47"/>
      <c r="J244" s="48"/>
      <c r="K244" s="49"/>
      <c r="L244" s="49"/>
      <c r="M244" s="49"/>
    </row>
    <row r="245" ht="40.5" hidden="1" customHeight="1">
      <c r="A245" s="1">
        <v>244.0</v>
      </c>
      <c r="B245" s="2" t="s">
        <v>12</v>
      </c>
      <c r="C245" s="2" t="s">
        <v>58</v>
      </c>
      <c r="D245" s="13"/>
      <c r="E245" s="13"/>
      <c r="F245" s="45"/>
      <c r="G245" s="42"/>
      <c r="H245" s="42"/>
      <c r="I245" s="42"/>
      <c r="J245" s="27" t="s">
        <v>491</v>
      </c>
      <c r="K245" s="15" t="s">
        <v>192</v>
      </c>
    </row>
    <row r="246" ht="40.5" customHeight="1">
      <c r="A246" s="1">
        <v>245.0</v>
      </c>
      <c r="B246" s="2" t="s">
        <v>16</v>
      </c>
      <c r="C246" s="2"/>
      <c r="D246" s="13"/>
      <c r="E246" s="13"/>
      <c r="F246" s="44" t="s">
        <v>385</v>
      </c>
      <c r="G246" s="43">
        <v>1.0</v>
      </c>
      <c r="H246" s="42"/>
      <c r="I246" s="42"/>
      <c r="J246" s="27" t="s">
        <v>192</v>
      </c>
    </row>
    <row r="247" ht="40.5" customHeight="1">
      <c r="A247" s="1">
        <v>246.0</v>
      </c>
      <c r="B247" s="2" t="s">
        <v>116</v>
      </c>
      <c r="C247" s="2"/>
      <c r="D247" s="13"/>
      <c r="E247" s="13"/>
      <c r="F247" s="44" t="s">
        <v>600</v>
      </c>
      <c r="G247" s="43">
        <v>2.0</v>
      </c>
      <c r="H247" s="42"/>
      <c r="I247" s="42"/>
      <c r="J247" s="27" t="s">
        <v>131</v>
      </c>
    </row>
    <row r="248" ht="40.5" customHeight="1">
      <c r="A248" s="1">
        <v>247.0</v>
      </c>
      <c r="B248" s="2" t="s">
        <v>331</v>
      </c>
      <c r="C248" s="2" t="s">
        <v>542</v>
      </c>
      <c r="D248" s="13"/>
      <c r="E248" s="13"/>
      <c r="F248" s="44" t="s">
        <v>559</v>
      </c>
      <c r="G248" s="42"/>
      <c r="H248" s="42"/>
      <c r="I248" s="42"/>
      <c r="J248" s="22"/>
    </row>
    <row r="249" ht="40.5" customHeight="1">
      <c r="A249" s="1">
        <v>248.0</v>
      </c>
      <c r="B249" s="2" t="s">
        <v>21</v>
      </c>
      <c r="C249" s="2" t="s">
        <v>277</v>
      </c>
      <c r="D249" s="13"/>
      <c r="E249" s="13"/>
      <c r="F249" s="45"/>
      <c r="G249" s="42"/>
      <c r="H249" s="42"/>
      <c r="I249" s="42"/>
      <c r="J249" s="22"/>
    </row>
    <row r="250" ht="40.5" customHeight="1">
      <c r="A250" s="1">
        <v>249.0</v>
      </c>
      <c r="B250" s="2" t="s">
        <v>22</v>
      </c>
      <c r="C250" s="2" t="s">
        <v>69</v>
      </c>
      <c r="D250" s="13"/>
      <c r="E250" s="13"/>
      <c r="F250" s="44" t="s">
        <v>601</v>
      </c>
      <c r="G250" s="43">
        <v>1.0</v>
      </c>
      <c r="H250" s="42"/>
      <c r="I250" s="43"/>
      <c r="J250" s="22"/>
    </row>
    <row r="251" ht="40.5" customHeight="1">
      <c r="A251" s="1">
        <v>250.0</v>
      </c>
      <c r="B251" s="2" t="s">
        <v>23</v>
      </c>
      <c r="C251" s="2" t="s">
        <v>69</v>
      </c>
      <c r="D251" s="13"/>
      <c r="E251" s="13"/>
      <c r="F251" s="44" t="s">
        <v>507</v>
      </c>
      <c r="G251" s="43">
        <v>1.0</v>
      </c>
      <c r="H251" s="42"/>
      <c r="I251" s="43">
        <v>1.0</v>
      </c>
      <c r="J251" s="22"/>
    </row>
    <row r="252" ht="40.5" customHeight="1">
      <c r="A252" s="1">
        <v>251.0</v>
      </c>
      <c r="B252" s="2" t="s">
        <v>24</v>
      </c>
      <c r="C252" s="2"/>
      <c r="D252" s="13"/>
      <c r="E252" s="13"/>
      <c r="F252" s="44" t="s">
        <v>602</v>
      </c>
      <c r="G252" s="43">
        <v>2.0</v>
      </c>
      <c r="H252" s="42"/>
      <c r="I252" s="42"/>
      <c r="J252" s="22"/>
    </row>
    <row r="253" ht="40.5" customHeight="1">
      <c r="A253" s="1">
        <v>252.0</v>
      </c>
      <c r="B253" s="2" t="s">
        <v>25</v>
      </c>
      <c r="C253" s="2" t="s">
        <v>39</v>
      </c>
      <c r="D253" s="40"/>
      <c r="E253" s="13"/>
      <c r="F253" s="44" t="s">
        <v>603</v>
      </c>
      <c r="G253" s="43">
        <v>1.0</v>
      </c>
      <c r="H253" s="42"/>
      <c r="I253" s="43">
        <v>1.0</v>
      </c>
      <c r="J253" s="22"/>
    </row>
    <row r="254" ht="40.5" customHeight="1">
      <c r="A254" s="1">
        <v>253.0</v>
      </c>
      <c r="B254" s="2" t="s">
        <v>26</v>
      </c>
      <c r="C254" s="2" t="s">
        <v>44</v>
      </c>
      <c r="D254" s="13"/>
      <c r="E254" s="13"/>
      <c r="F254" s="52" t="s">
        <v>604</v>
      </c>
      <c r="G254" s="56">
        <v>1.0</v>
      </c>
      <c r="H254" s="42"/>
      <c r="I254" s="42"/>
      <c r="J254" s="22"/>
    </row>
    <row r="255" ht="40.5" customHeight="1">
      <c r="A255" s="1">
        <v>254.0</v>
      </c>
      <c r="B255" s="2" t="s">
        <v>29</v>
      </c>
      <c r="C255" s="2" t="s">
        <v>54</v>
      </c>
      <c r="D255" s="53">
        <v>0.2708333333333333</v>
      </c>
      <c r="E255" s="13"/>
      <c r="F255" s="44" t="s">
        <v>476</v>
      </c>
      <c r="G255" s="43">
        <v>1.0</v>
      </c>
      <c r="H255" s="42"/>
      <c r="I255" s="43">
        <v>1.0</v>
      </c>
      <c r="J255" s="22"/>
    </row>
    <row r="256" ht="40.5" hidden="1" customHeight="1">
      <c r="A256" s="1">
        <v>255.0</v>
      </c>
      <c r="B256" s="2" t="s">
        <v>30</v>
      </c>
      <c r="C256" s="2" t="s">
        <v>66</v>
      </c>
      <c r="D256" s="13"/>
      <c r="E256" s="13"/>
      <c r="F256" s="45"/>
      <c r="G256" s="42"/>
      <c r="H256" s="42"/>
      <c r="I256" s="42"/>
      <c r="J256" s="22"/>
    </row>
    <row r="257" ht="40.5" hidden="1" customHeight="1">
      <c r="A257" s="1">
        <v>256.0</v>
      </c>
      <c r="B257" s="2" t="s">
        <v>31</v>
      </c>
      <c r="C257" s="2" t="s">
        <v>58</v>
      </c>
      <c r="D257" s="13"/>
      <c r="E257" s="13"/>
      <c r="F257" s="45"/>
      <c r="G257" s="42"/>
      <c r="H257" s="42"/>
      <c r="I257" s="42"/>
      <c r="J257" s="22"/>
    </row>
    <row r="258" ht="40.5" customHeight="1">
      <c r="A258" s="1">
        <v>257.0</v>
      </c>
      <c r="B258" s="2" t="s">
        <v>32</v>
      </c>
      <c r="C258" s="2"/>
      <c r="D258" s="13"/>
      <c r="E258" s="13"/>
      <c r="F258" s="44" t="s">
        <v>605</v>
      </c>
      <c r="G258" s="43">
        <v>2.0</v>
      </c>
      <c r="H258" s="42"/>
      <c r="I258" s="42"/>
      <c r="J258" s="22"/>
    </row>
    <row r="259" ht="40.5" customHeight="1">
      <c r="A259" s="1">
        <v>258.0</v>
      </c>
      <c r="B259" s="2" t="s">
        <v>67</v>
      </c>
      <c r="C259" s="2" t="s">
        <v>39</v>
      </c>
      <c r="D259" s="53">
        <v>0.20833333333333334</v>
      </c>
      <c r="E259" s="13"/>
      <c r="F259" s="44" t="s">
        <v>606</v>
      </c>
      <c r="G259" s="43">
        <v>1.0</v>
      </c>
      <c r="H259" s="42"/>
      <c r="I259" s="43">
        <v>1.0</v>
      </c>
      <c r="J259" s="22"/>
    </row>
    <row r="260" ht="40.5" hidden="1" customHeight="1">
      <c r="A260" s="1">
        <v>259.0</v>
      </c>
      <c r="B260" s="2" t="s">
        <v>34</v>
      </c>
      <c r="C260" s="2" t="s">
        <v>66</v>
      </c>
      <c r="D260" s="13"/>
      <c r="E260" s="13"/>
      <c r="F260" s="45"/>
      <c r="G260" s="42"/>
      <c r="H260" s="42"/>
      <c r="I260" s="42"/>
      <c r="J260" s="22"/>
    </row>
    <row r="261" ht="40.5" customHeight="1">
      <c r="A261" s="1">
        <v>260.0</v>
      </c>
      <c r="B261" s="2" t="s">
        <v>35</v>
      </c>
      <c r="C261" s="2" t="s">
        <v>54</v>
      </c>
      <c r="D261" s="53">
        <v>0.2708333333333333</v>
      </c>
      <c r="E261" s="13"/>
      <c r="F261" s="44" t="s">
        <v>352</v>
      </c>
      <c r="G261" s="43">
        <v>1.0</v>
      </c>
      <c r="H261" s="42"/>
      <c r="I261" s="43">
        <v>1.0</v>
      </c>
      <c r="J261" s="22"/>
    </row>
    <row r="262" ht="40.5" customHeight="1">
      <c r="A262" s="1">
        <v>261.0</v>
      </c>
      <c r="B262" s="2" t="s">
        <v>36</v>
      </c>
      <c r="C262" s="13"/>
      <c r="D262" s="13"/>
      <c r="E262" s="51">
        <v>0.7708333333333334</v>
      </c>
      <c r="F262" s="44" t="s">
        <v>607</v>
      </c>
      <c r="G262" s="43">
        <v>2.0</v>
      </c>
      <c r="H262" s="42"/>
      <c r="I262" s="43">
        <v>1.0</v>
      </c>
      <c r="J262" s="22"/>
    </row>
    <row r="263" ht="40.5" hidden="1" customHeight="1">
      <c r="A263" s="1">
        <v>262.0</v>
      </c>
      <c r="B263" s="2" t="s">
        <v>38</v>
      </c>
      <c r="C263" s="2" t="s">
        <v>58</v>
      </c>
      <c r="D263" s="13"/>
      <c r="E263" s="13"/>
      <c r="F263" s="45"/>
      <c r="G263" s="42"/>
      <c r="H263" s="42"/>
      <c r="I263" s="42"/>
      <c r="J263" s="22"/>
    </row>
    <row r="264" ht="40.5" customHeight="1">
      <c r="A264" s="1">
        <v>263.0</v>
      </c>
      <c r="B264" s="2" t="s">
        <v>41</v>
      </c>
      <c r="C264" s="2" t="s">
        <v>54</v>
      </c>
      <c r="D264" s="53">
        <v>0.20833333333333334</v>
      </c>
      <c r="E264" s="13"/>
      <c r="F264" s="44" t="s">
        <v>608</v>
      </c>
      <c r="G264" s="43">
        <v>2.0</v>
      </c>
      <c r="H264" s="42"/>
      <c r="I264" s="43">
        <v>1.0</v>
      </c>
      <c r="J264" s="22"/>
    </row>
    <row r="265" ht="40.5" customHeight="1">
      <c r="A265" s="1">
        <v>264.0</v>
      </c>
      <c r="B265" s="2" t="s">
        <v>42</v>
      </c>
      <c r="C265" s="2" t="s">
        <v>27</v>
      </c>
      <c r="D265" s="13"/>
      <c r="E265" s="13"/>
      <c r="F265" s="44" t="s">
        <v>609</v>
      </c>
      <c r="G265" s="43">
        <v>1.0</v>
      </c>
      <c r="H265" s="42"/>
      <c r="I265" s="43">
        <v>1.0</v>
      </c>
      <c r="J265" s="22"/>
    </row>
    <row r="266" ht="40.5" customHeight="1">
      <c r="A266" s="1">
        <v>265.0</v>
      </c>
      <c r="B266" s="2" t="s">
        <v>43</v>
      </c>
      <c r="C266" s="2"/>
      <c r="D266" s="13"/>
      <c r="E266" s="13"/>
      <c r="F266" s="44" t="s">
        <v>602</v>
      </c>
      <c r="G266" s="43">
        <v>2.0</v>
      </c>
      <c r="H266" s="42"/>
      <c r="I266" s="42"/>
      <c r="J266" s="22"/>
    </row>
    <row r="267" ht="40.5" hidden="1" customHeight="1">
      <c r="A267" s="1">
        <v>266.0</v>
      </c>
      <c r="B267" s="2" t="s">
        <v>45</v>
      </c>
      <c r="C267" s="2" t="s">
        <v>58</v>
      </c>
      <c r="D267" s="13"/>
      <c r="E267" s="13"/>
      <c r="F267" s="45"/>
      <c r="G267" s="42"/>
      <c r="H267" s="42"/>
      <c r="I267" s="42"/>
      <c r="J267" s="22"/>
    </row>
    <row r="268" ht="40.5" customHeight="1">
      <c r="A268" s="1">
        <v>267.0</v>
      </c>
      <c r="B268" s="2" t="s">
        <v>46</v>
      </c>
      <c r="C268" s="13"/>
      <c r="D268" s="13"/>
      <c r="E268" s="13"/>
      <c r="F268" s="44" t="s">
        <v>532</v>
      </c>
      <c r="G268" s="43">
        <v>1.0</v>
      </c>
      <c r="H268" s="43">
        <v>1.0</v>
      </c>
      <c r="I268" s="42"/>
      <c r="J268" s="22"/>
    </row>
    <row r="269" ht="40.5" customHeight="1">
      <c r="A269" s="1">
        <v>268.0</v>
      </c>
      <c r="B269" s="2" t="s">
        <v>47</v>
      </c>
      <c r="C269" s="2" t="s">
        <v>69</v>
      </c>
      <c r="D269" s="13"/>
      <c r="E269" s="13"/>
      <c r="F269" s="44" t="s">
        <v>610</v>
      </c>
      <c r="G269" s="43">
        <v>1.0</v>
      </c>
      <c r="H269" s="42"/>
      <c r="I269" s="43">
        <v>1.0</v>
      </c>
      <c r="J269" s="22"/>
    </row>
    <row r="270" ht="40.5" customHeight="1">
      <c r="A270" s="1">
        <v>269.0</v>
      </c>
      <c r="B270" s="2" t="s">
        <v>48</v>
      </c>
      <c r="C270" s="2" t="s">
        <v>54</v>
      </c>
      <c r="D270" s="53">
        <v>0.2708333333333333</v>
      </c>
      <c r="E270" s="13"/>
      <c r="F270" s="44" t="s">
        <v>611</v>
      </c>
      <c r="G270" s="43">
        <v>2.0</v>
      </c>
      <c r="H270" s="42"/>
      <c r="I270" s="43">
        <v>1.0</v>
      </c>
      <c r="J270" s="22"/>
    </row>
    <row r="271" ht="40.5" customHeight="1">
      <c r="A271" s="1">
        <v>270.0</v>
      </c>
      <c r="B271" s="21"/>
      <c r="C271" s="21"/>
      <c r="D271" s="21"/>
      <c r="E271" s="21"/>
      <c r="F271" s="46"/>
      <c r="G271" s="47"/>
      <c r="H271" s="47"/>
      <c r="I271" s="47"/>
      <c r="J271" s="48"/>
      <c r="K271" s="49"/>
      <c r="L271" s="49"/>
      <c r="M271" s="49"/>
    </row>
    <row r="272" ht="40.5" customHeight="1">
      <c r="A272" s="1">
        <v>271.0</v>
      </c>
      <c r="B272" s="2" t="s">
        <v>12</v>
      </c>
      <c r="C272" s="2" t="s">
        <v>39</v>
      </c>
      <c r="D272" s="40">
        <v>0.3333333333333333</v>
      </c>
      <c r="E272" s="13"/>
      <c r="F272" s="44" t="s">
        <v>612</v>
      </c>
      <c r="G272" s="43">
        <v>1.0</v>
      </c>
      <c r="H272" s="42"/>
      <c r="I272" s="43">
        <v>1.0</v>
      </c>
      <c r="J272" s="27" t="s">
        <v>491</v>
      </c>
      <c r="K272" s="15" t="s">
        <v>209</v>
      </c>
    </row>
    <row r="273" ht="40.5" customHeight="1">
      <c r="A273" s="1">
        <v>272.0</v>
      </c>
      <c r="B273" s="2" t="s">
        <v>16</v>
      </c>
      <c r="C273" s="2" t="s">
        <v>145</v>
      </c>
      <c r="D273" s="40">
        <v>0.4166666666666667</v>
      </c>
      <c r="E273" s="13"/>
      <c r="F273" s="44" t="s">
        <v>613</v>
      </c>
      <c r="G273" s="43">
        <v>2.0</v>
      </c>
      <c r="H273" s="42"/>
      <c r="I273" s="43">
        <v>1.0</v>
      </c>
      <c r="J273" s="27" t="s">
        <v>209</v>
      </c>
    </row>
    <row r="274" ht="40.5" hidden="1" customHeight="1">
      <c r="A274" s="1">
        <v>273.0</v>
      </c>
      <c r="B274" s="2" t="s">
        <v>17</v>
      </c>
      <c r="C274" s="2" t="s">
        <v>13</v>
      </c>
      <c r="D274" s="13"/>
      <c r="E274" s="13"/>
      <c r="F274" s="45"/>
      <c r="G274" s="42"/>
      <c r="H274" s="42"/>
      <c r="I274" s="42"/>
      <c r="J274" s="27" t="s">
        <v>149</v>
      </c>
    </row>
    <row r="275" ht="40.5" hidden="1" customHeight="1">
      <c r="A275" s="1">
        <v>274.0</v>
      </c>
      <c r="B275" s="2" t="s">
        <v>331</v>
      </c>
      <c r="C275" s="2" t="s">
        <v>13</v>
      </c>
      <c r="D275" s="13"/>
      <c r="E275" s="13"/>
      <c r="F275" s="44"/>
      <c r="G275" s="42"/>
      <c r="H275" s="42"/>
      <c r="I275" s="42"/>
      <c r="J275" s="27" t="s">
        <v>165</v>
      </c>
    </row>
    <row r="276" ht="40.5" customHeight="1">
      <c r="A276" s="1">
        <v>275.0</v>
      </c>
      <c r="B276" s="2" t="s">
        <v>21</v>
      </c>
      <c r="C276" s="2" t="s">
        <v>63</v>
      </c>
      <c r="D276" s="13"/>
      <c r="E276" s="13"/>
      <c r="F276" s="45"/>
      <c r="G276" s="42"/>
      <c r="H276" s="42"/>
      <c r="I276" s="42"/>
      <c r="J276" s="27" t="s">
        <v>166</v>
      </c>
    </row>
    <row r="277" ht="40.5" customHeight="1">
      <c r="A277" s="1">
        <v>276.0</v>
      </c>
      <c r="B277" s="2" t="s">
        <v>22</v>
      </c>
      <c r="C277" s="2" t="s">
        <v>145</v>
      </c>
      <c r="D277" s="40">
        <v>0.4166666666666667</v>
      </c>
      <c r="E277" s="13"/>
      <c r="F277" s="44" t="s">
        <v>614</v>
      </c>
      <c r="G277" s="43">
        <v>3.0</v>
      </c>
      <c r="H277" s="42"/>
      <c r="I277" s="43">
        <v>1.0</v>
      </c>
      <c r="J277" s="27" t="s">
        <v>167</v>
      </c>
    </row>
    <row r="278" ht="40.5" hidden="1" customHeight="1">
      <c r="A278" s="1">
        <v>277.0</v>
      </c>
      <c r="B278" s="2" t="s">
        <v>23</v>
      </c>
      <c r="C278" s="2" t="s">
        <v>13</v>
      </c>
      <c r="D278" s="13"/>
      <c r="E278" s="13"/>
      <c r="F278" s="45"/>
      <c r="G278" s="42"/>
      <c r="H278" s="42"/>
      <c r="I278" s="42"/>
      <c r="J278" s="22"/>
    </row>
    <row r="279" ht="40.5" hidden="1" customHeight="1">
      <c r="A279" s="1">
        <v>278.0</v>
      </c>
      <c r="B279" s="2" t="s">
        <v>24</v>
      </c>
      <c r="C279" s="2" t="s">
        <v>13</v>
      </c>
      <c r="D279" s="13"/>
      <c r="E279" s="13"/>
      <c r="F279" s="45"/>
      <c r="G279" s="42"/>
      <c r="H279" s="42"/>
      <c r="I279" s="42"/>
      <c r="J279" s="22"/>
    </row>
    <row r="280" ht="40.5" customHeight="1">
      <c r="A280" s="1">
        <v>279.0</v>
      </c>
      <c r="B280" s="2" t="s">
        <v>25</v>
      </c>
      <c r="C280" s="2" t="s">
        <v>145</v>
      </c>
      <c r="D280" s="40">
        <v>0.4166666666666667</v>
      </c>
      <c r="E280" s="13"/>
      <c r="F280" s="44" t="s">
        <v>615</v>
      </c>
      <c r="G280" s="43">
        <v>1.0</v>
      </c>
      <c r="H280" s="42"/>
      <c r="I280" s="43">
        <v>1.0</v>
      </c>
      <c r="J280" s="22"/>
    </row>
    <row r="281" ht="40.5" customHeight="1">
      <c r="A281" s="1">
        <v>280.0</v>
      </c>
      <c r="B281" s="2" t="s">
        <v>26</v>
      </c>
      <c r="C281" s="2"/>
      <c r="D281" s="40">
        <v>0.375</v>
      </c>
      <c r="E281" s="13"/>
      <c r="F281" s="44" t="s">
        <v>612</v>
      </c>
      <c r="G281" s="43">
        <v>1.0</v>
      </c>
      <c r="H281" s="42"/>
      <c r="I281" s="43">
        <v>1.0</v>
      </c>
      <c r="J281" s="22"/>
    </row>
    <row r="282" ht="40.5" hidden="1" customHeight="1">
      <c r="A282" s="1">
        <v>281.0</v>
      </c>
      <c r="B282" s="2" t="s">
        <v>29</v>
      </c>
      <c r="C282" s="2" t="s">
        <v>13</v>
      </c>
      <c r="D282" s="13"/>
      <c r="E282" s="13"/>
      <c r="F282" s="45"/>
      <c r="G282" s="42"/>
      <c r="H282" s="42"/>
      <c r="I282" s="42"/>
      <c r="J282" s="22"/>
    </row>
    <row r="283" ht="40.5" hidden="1" customHeight="1">
      <c r="A283" s="1">
        <v>282.0</v>
      </c>
      <c r="B283" s="2" t="s">
        <v>30</v>
      </c>
      <c r="C283" s="2" t="s">
        <v>13</v>
      </c>
      <c r="D283" s="13"/>
      <c r="E283" s="13"/>
      <c r="F283" s="45"/>
      <c r="G283" s="42"/>
      <c r="H283" s="42"/>
      <c r="I283" s="42"/>
      <c r="J283" s="22"/>
    </row>
    <row r="284" ht="40.5" customHeight="1">
      <c r="A284" s="1">
        <v>283.0</v>
      </c>
      <c r="B284" s="2" t="s">
        <v>31</v>
      </c>
      <c r="C284" s="2" t="s">
        <v>27</v>
      </c>
      <c r="D284" s="13"/>
      <c r="E284" s="13"/>
      <c r="F284" s="44" t="s">
        <v>616</v>
      </c>
      <c r="G284" s="43">
        <v>1.0</v>
      </c>
      <c r="H284" s="42"/>
      <c r="I284" s="43">
        <v>1.0</v>
      </c>
      <c r="J284" s="22"/>
    </row>
    <row r="285" ht="40.5" hidden="1" customHeight="1">
      <c r="A285" s="1">
        <v>284.0</v>
      </c>
      <c r="B285" s="2" t="s">
        <v>32</v>
      </c>
      <c r="C285" s="2" t="s">
        <v>13</v>
      </c>
      <c r="D285" s="13"/>
      <c r="E285" s="13"/>
      <c r="F285" s="45"/>
      <c r="G285" s="42"/>
      <c r="H285" s="42"/>
      <c r="I285" s="42"/>
      <c r="J285" s="22"/>
    </row>
    <row r="286" ht="40.5" hidden="1" customHeight="1">
      <c r="A286" s="1">
        <v>285.0</v>
      </c>
      <c r="B286" s="2" t="s">
        <v>67</v>
      </c>
      <c r="C286" s="2" t="s">
        <v>13</v>
      </c>
      <c r="D286" s="13"/>
      <c r="E286" s="13"/>
      <c r="F286" s="45"/>
      <c r="G286" s="42"/>
      <c r="H286" s="42"/>
      <c r="I286" s="42"/>
      <c r="J286" s="22"/>
    </row>
    <row r="287" ht="40.5" hidden="1" customHeight="1">
      <c r="A287" s="1">
        <v>286.0</v>
      </c>
      <c r="B287" s="2" t="s">
        <v>34</v>
      </c>
      <c r="C287" s="2" t="s">
        <v>13</v>
      </c>
      <c r="D287" s="13"/>
      <c r="E287" s="13"/>
      <c r="F287" s="45"/>
      <c r="G287" s="42"/>
      <c r="H287" s="42"/>
      <c r="I287" s="42"/>
      <c r="J287" s="22"/>
    </row>
    <row r="288" ht="40.5" hidden="1" customHeight="1">
      <c r="A288" s="1">
        <v>287.0</v>
      </c>
      <c r="B288" s="2" t="s">
        <v>35</v>
      </c>
      <c r="C288" s="2" t="s">
        <v>13</v>
      </c>
      <c r="D288" s="13"/>
      <c r="E288" s="13"/>
      <c r="F288" s="45"/>
      <c r="G288" s="42"/>
      <c r="H288" s="42"/>
      <c r="I288" s="42"/>
      <c r="J288" s="22"/>
    </row>
    <row r="289" ht="40.5" hidden="1" customHeight="1">
      <c r="A289" s="1">
        <v>288.0</v>
      </c>
      <c r="B289" s="2" t="s">
        <v>36</v>
      </c>
      <c r="C289" s="2" t="s">
        <v>13</v>
      </c>
      <c r="D289" s="13"/>
      <c r="E289" s="13"/>
      <c r="F289" s="45"/>
      <c r="G289" s="42"/>
      <c r="H289" s="42"/>
      <c r="I289" s="42"/>
      <c r="J289" s="22"/>
    </row>
    <row r="290" ht="40.5" hidden="1" customHeight="1">
      <c r="A290" s="1">
        <v>289.0</v>
      </c>
      <c r="B290" s="2" t="s">
        <v>38</v>
      </c>
      <c r="C290" s="2" t="s">
        <v>13</v>
      </c>
      <c r="D290" s="13"/>
      <c r="E290" s="13"/>
      <c r="F290" s="45"/>
      <c r="G290" s="42"/>
      <c r="H290" s="42"/>
      <c r="I290" s="42"/>
      <c r="J290" s="22"/>
    </row>
    <row r="291" ht="40.5" hidden="1" customHeight="1">
      <c r="A291" s="1">
        <v>290.0</v>
      </c>
      <c r="B291" s="2" t="s">
        <v>41</v>
      </c>
      <c r="C291" s="2" t="s">
        <v>13</v>
      </c>
      <c r="D291" s="13"/>
      <c r="E291" s="13"/>
      <c r="F291" s="45"/>
      <c r="G291" s="42"/>
      <c r="H291" s="42"/>
      <c r="I291" s="42"/>
      <c r="J291" s="22"/>
    </row>
    <row r="292" ht="40.5" customHeight="1">
      <c r="A292" s="1">
        <v>291.0</v>
      </c>
      <c r="B292" s="2" t="s">
        <v>42</v>
      </c>
      <c r="C292" s="2" t="s">
        <v>44</v>
      </c>
      <c r="D292" s="13"/>
      <c r="E292" s="13"/>
      <c r="F292" s="45"/>
      <c r="G292" s="42"/>
      <c r="H292" s="42"/>
      <c r="I292" s="42"/>
      <c r="J292" s="22"/>
    </row>
    <row r="293" ht="40.5" hidden="1" customHeight="1">
      <c r="A293" s="1">
        <v>292.0</v>
      </c>
      <c r="B293" s="2" t="s">
        <v>43</v>
      </c>
      <c r="C293" s="2" t="s">
        <v>13</v>
      </c>
      <c r="D293" s="13"/>
      <c r="E293" s="13"/>
      <c r="F293" s="45"/>
      <c r="G293" s="42"/>
      <c r="H293" s="42"/>
      <c r="I293" s="42"/>
      <c r="J293" s="22"/>
    </row>
    <row r="294" ht="40.5" hidden="1" customHeight="1">
      <c r="A294" s="1">
        <v>293.0</v>
      </c>
      <c r="B294" s="2" t="s">
        <v>45</v>
      </c>
      <c r="C294" s="2" t="s">
        <v>13</v>
      </c>
      <c r="D294" s="13"/>
      <c r="E294" s="13"/>
      <c r="F294" s="45"/>
      <c r="G294" s="42"/>
      <c r="H294" s="42"/>
      <c r="I294" s="42"/>
      <c r="J294" s="22"/>
    </row>
    <row r="295" ht="40.5" customHeight="1">
      <c r="A295" s="1">
        <v>294.0</v>
      </c>
      <c r="B295" s="2" t="s">
        <v>46</v>
      </c>
      <c r="C295" s="13"/>
      <c r="D295" s="13"/>
      <c r="E295" s="13"/>
      <c r="F295" s="44" t="s">
        <v>532</v>
      </c>
      <c r="G295" s="43">
        <v>1.0</v>
      </c>
      <c r="H295" s="43">
        <v>1.0</v>
      </c>
      <c r="I295" s="42"/>
      <c r="J295" s="22"/>
    </row>
    <row r="296" ht="40.5" hidden="1" customHeight="1">
      <c r="A296" s="1">
        <v>295.0</v>
      </c>
      <c r="B296" s="2" t="s">
        <v>47</v>
      </c>
      <c r="C296" s="2" t="s">
        <v>13</v>
      </c>
      <c r="D296" s="13"/>
      <c r="E296" s="13"/>
      <c r="F296" s="45"/>
      <c r="G296" s="42"/>
      <c r="H296" s="42"/>
      <c r="I296" s="42"/>
      <c r="J296" s="22"/>
    </row>
    <row r="297" ht="40.5" customHeight="1">
      <c r="A297" s="1">
        <v>296.0</v>
      </c>
      <c r="B297" s="2" t="s">
        <v>48</v>
      </c>
      <c r="C297" s="2" t="s">
        <v>49</v>
      </c>
      <c r="D297" s="40">
        <v>0.4583333333333333</v>
      </c>
      <c r="E297" s="13"/>
      <c r="F297" s="44" t="s">
        <v>617</v>
      </c>
      <c r="G297" s="43">
        <v>1.0</v>
      </c>
      <c r="H297" s="42"/>
      <c r="I297" s="42"/>
      <c r="J297" s="22"/>
    </row>
    <row r="298" ht="40.5" customHeight="1">
      <c r="A298" s="1">
        <v>297.0</v>
      </c>
      <c r="B298" s="21"/>
      <c r="C298" s="21"/>
      <c r="D298" s="21"/>
      <c r="E298" s="21"/>
      <c r="F298" s="46"/>
      <c r="G298" s="47"/>
      <c r="H298" s="47"/>
      <c r="I298" s="47"/>
      <c r="J298" s="48"/>
      <c r="K298" s="49"/>
      <c r="L298" s="49"/>
      <c r="M298" s="49"/>
    </row>
    <row r="299" ht="40.5" customHeight="1">
      <c r="A299" s="1">
        <v>298.0</v>
      </c>
      <c r="B299" s="2" t="s">
        <v>12</v>
      </c>
      <c r="C299" s="2" t="s">
        <v>145</v>
      </c>
      <c r="D299" s="40">
        <v>0.375</v>
      </c>
      <c r="E299" s="13"/>
      <c r="F299" s="57" t="s">
        <v>618</v>
      </c>
      <c r="G299" s="43">
        <v>2.0</v>
      </c>
      <c r="H299" s="42"/>
      <c r="I299" s="42"/>
      <c r="J299" s="27" t="s">
        <v>491</v>
      </c>
      <c r="K299" s="15" t="s">
        <v>228</v>
      </c>
    </row>
    <row r="300" ht="40.5" hidden="1" customHeight="1">
      <c r="A300" s="1">
        <v>299.0</v>
      </c>
      <c r="B300" s="2" t="s">
        <v>16</v>
      </c>
      <c r="C300" s="2" t="s">
        <v>13</v>
      </c>
      <c r="D300" s="13"/>
      <c r="E300" s="13"/>
      <c r="F300" s="45"/>
      <c r="G300" s="42"/>
      <c r="H300" s="42"/>
      <c r="I300" s="42"/>
      <c r="J300" s="27" t="s">
        <v>228</v>
      </c>
    </row>
    <row r="301" ht="40.5" hidden="1" customHeight="1">
      <c r="A301" s="1">
        <v>300.0</v>
      </c>
      <c r="B301" s="2" t="s">
        <v>17</v>
      </c>
      <c r="C301" s="2" t="s">
        <v>13</v>
      </c>
      <c r="D301" s="13"/>
      <c r="E301" s="13"/>
      <c r="F301" s="45"/>
      <c r="G301" s="42"/>
      <c r="H301" s="42"/>
      <c r="I301" s="42"/>
      <c r="J301" s="27" t="s">
        <v>19</v>
      </c>
    </row>
    <row r="302" ht="40.5" customHeight="1">
      <c r="A302" s="1">
        <v>301.0</v>
      </c>
      <c r="B302" s="2" t="s">
        <v>331</v>
      </c>
      <c r="C302" s="2" t="s">
        <v>145</v>
      </c>
      <c r="D302" s="40">
        <v>0.4166666666666667</v>
      </c>
      <c r="E302" s="13"/>
      <c r="F302" s="44" t="s">
        <v>619</v>
      </c>
      <c r="G302" s="42"/>
      <c r="H302" s="42"/>
      <c r="I302" s="42"/>
      <c r="J302" s="27" t="s">
        <v>262</v>
      </c>
    </row>
    <row r="303" ht="40.5" customHeight="1">
      <c r="A303" s="1">
        <v>302.0</v>
      </c>
      <c r="B303" s="2" t="s">
        <v>268</v>
      </c>
      <c r="C303" s="2" t="s">
        <v>63</v>
      </c>
      <c r="D303" s="13"/>
      <c r="E303" s="13"/>
      <c r="F303" s="45"/>
      <c r="G303" s="42"/>
      <c r="H303" s="42"/>
      <c r="I303" s="42"/>
      <c r="J303" s="27" t="s">
        <v>264</v>
      </c>
    </row>
    <row r="304" ht="40.5" customHeight="1">
      <c r="A304" s="1">
        <v>303.0</v>
      </c>
      <c r="B304" s="2" t="s">
        <v>22</v>
      </c>
      <c r="C304" s="2" t="s">
        <v>39</v>
      </c>
      <c r="D304" s="40">
        <v>0.3611111111111111</v>
      </c>
      <c r="E304" s="13"/>
      <c r="F304" s="44" t="s">
        <v>620</v>
      </c>
      <c r="G304" s="42"/>
      <c r="H304" s="42"/>
      <c r="I304" s="42"/>
      <c r="J304" s="27" t="s">
        <v>265</v>
      </c>
    </row>
    <row r="305" ht="40.5" hidden="1" customHeight="1">
      <c r="A305" s="1">
        <v>304.0</v>
      </c>
      <c r="B305" s="2" t="s">
        <v>23</v>
      </c>
      <c r="C305" s="2" t="s">
        <v>13</v>
      </c>
      <c r="D305" s="13"/>
      <c r="E305" s="13"/>
      <c r="F305" s="45"/>
      <c r="G305" s="42"/>
      <c r="H305" s="42"/>
      <c r="I305" s="42"/>
      <c r="J305" s="22"/>
    </row>
    <row r="306" ht="40.5" hidden="1" customHeight="1">
      <c r="A306" s="1">
        <v>305.0</v>
      </c>
      <c r="B306" s="2" t="s">
        <v>24</v>
      </c>
      <c r="C306" s="2" t="s">
        <v>13</v>
      </c>
      <c r="D306" s="13"/>
      <c r="E306" s="13"/>
      <c r="F306" s="45"/>
      <c r="G306" s="42"/>
      <c r="H306" s="42"/>
      <c r="I306" s="42"/>
      <c r="J306" s="22"/>
    </row>
    <row r="307" ht="40.5" hidden="1" customHeight="1">
      <c r="A307" s="1">
        <v>306.0</v>
      </c>
      <c r="B307" s="2" t="s">
        <v>25</v>
      </c>
      <c r="C307" s="2" t="s">
        <v>13</v>
      </c>
      <c r="D307" s="13"/>
      <c r="E307" s="13"/>
      <c r="F307" s="45"/>
      <c r="G307" s="42"/>
      <c r="H307" s="42"/>
      <c r="I307" s="42"/>
      <c r="J307" s="22"/>
    </row>
    <row r="308" ht="40.5" hidden="1" customHeight="1">
      <c r="A308" s="1">
        <v>307.0</v>
      </c>
      <c r="B308" s="2" t="s">
        <v>26</v>
      </c>
      <c r="C308" s="2" t="s">
        <v>13</v>
      </c>
      <c r="D308" s="13"/>
      <c r="E308" s="13"/>
      <c r="F308" s="45"/>
      <c r="G308" s="42"/>
      <c r="H308" s="42"/>
      <c r="I308" s="42"/>
      <c r="J308" s="22"/>
    </row>
    <row r="309" ht="40.5" customHeight="1">
      <c r="A309" s="1">
        <v>308.0</v>
      </c>
      <c r="B309" s="2" t="s">
        <v>29</v>
      </c>
      <c r="C309" s="2" t="s">
        <v>49</v>
      </c>
      <c r="D309" s="40">
        <v>0.4583333333333333</v>
      </c>
      <c r="E309" s="13"/>
      <c r="F309" s="44" t="s">
        <v>621</v>
      </c>
      <c r="G309" s="42"/>
      <c r="H309" s="42"/>
      <c r="I309" s="42"/>
      <c r="J309" s="22"/>
    </row>
    <row r="310" ht="40.5" hidden="1" customHeight="1">
      <c r="A310" s="1">
        <v>309.0</v>
      </c>
      <c r="B310" s="2" t="s">
        <v>30</v>
      </c>
      <c r="C310" s="2" t="s">
        <v>13</v>
      </c>
      <c r="D310" s="13"/>
      <c r="E310" s="13"/>
      <c r="F310" s="45"/>
      <c r="G310" s="42"/>
      <c r="H310" s="42"/>
      <c r="I310" s="42"/>
      <c r="J310" s="22"/>
    </row>
    <row r="311" ht="40.5" customHeight="1">
      <c r="A311" s="1">
        <v>310.0</v>
      </c>
      <c r="B311" s="2" t="s">
        <v>31</v>
      </c>
      <c r="C311" s="2" t="s">
        <v>44</v>
      </c>
      <c r="D311" s="13"/>
      <c r="E311" s="13"/>
      <c r="F311" s="45"/>
      <c r="G311" s="42"/>
      <c r="H311" s="42"/>
      <c r="I311" s="42"/>
      <c r="J311" s="22"/>
    </row>
    <row r="312" ht="40.5" hidden="1" customHeight="1">
      <c r="A312" s="1">
        <v>311.0</v>
      </c>
      <c r="B312" s="2" t="s">
        <v>32</v>
      </c>
      <c r="C312" s="2" t="s">
        <v>13</v>
      </c>
      <c r="D312" s="13"/>
      <c r="E312" s="13"/>
      <c r="F312" s="45"/>
      <c r="G312" s="42"/>
      <c r="H312" s="42"/>
      <c r="I312" s="42"/>
      <c r="J312" s="22"/>
    </row>
    <row r="313" ht="40.5" customHeight="1">
      <c r="A313" s="1">
        <v>312.0</v>
      </c>
      <c r="B313" s="2" t="s">
        <v>67</v>
      </c>
      <c r="C313" s="2" t="s">
        <v>145</v>
      </c>
      <c r="D313" s="40">
        <v>0.4166666666666667</v>
      </c>
      <c r="E313" s="13"/>
      <c r="F313" s="44" t="s">
        <v>622</v>
      </c>
      <c r="G313" s="42"/>
      <c r="H313" s="42"/>
      <c r="I313" s="42"/>
      <c r="J313" s="22"/>
    </row>
    <row r="314" ht="40.5" customHeight="1">
      <c r="A314" s="1">
        <v>313.0</v>
      </c>
      <c r="B314" s="2" t="s">
        <v>34</v>
      </c>
      <c r="C314" s="2" t="s">
        <v>27</v>
      </c>
      <c r="D314" s="13"/>
      <c r="E314" s="13"/>
      <c r="F314" s="45"/>
      <c r="G314" s="42"/>
      <c r="H314" s="42"/>
      <c r="I314" s="42"/>
      <c r="J314" s="22"/>
    </row>
    <row r="315" ht="40.5" hidden="1" customHeight="1">
      <c r="A315" s="1">
        <v>314.0</v>
      </c>
      <c r="B315" s="2" t="s">
        <v>35</v>
      </c>
      <c r="C315" s="2" t="s">
        <v>13</v>
      </c>
      <c r="D315" s="13"/>
      <c r="E315" s="13"/>
      <c r="F315" s="45"/>
      <c r="G315" s="42"/>
      <c r="H315" s="42"/>
      <c r="I315" s="42"/>
      <c r="J315" s="22"/>
    </row>
    <row r="316" ht="40.5" hidden="1" customHeight="1">
      <c r="A316" s="1">
        <v>315.0</v>
      </c>
      <c r="B316" s="2" t="s">
        <v>36</v>
      </c>
      <c r="C316" s="2" t="s">
        <v>13</v>
      </c>
      <c r="D316" s="13"/>
      <c r="E316" s="13"/>
      <c r="F316" s="45"/>
      <c r="G316" s="42"/>
      <c r="H316" s="42"/>
      <c r="I316" s="42"/>
      <c r="J316" s="22"/>
    </row>
    <row r="317" ht="40.5" hidden="1" customHeight="1">
      <c r="A317" s="1">
        <v>316.0</v>
      </c>
      <c r="B317" s="2" t="s">
        <v>38</v>
      </c>
      <c r="C317" s="2" t="s">
        <v>13</v>
      </c>
      <c r="D317" s="13"/>
      <c r="E317" s="13"/>
      <c r="F317" s="45"/>
      <c r="G317" s="42"/>
      <c r="H317" s="42"/>
      <c r="I317" s="42"/>
      <c r="J317" s="22"/>
    </row>
    <row r="318" ht="40.5" hidden="1" customHeight="1">
      <c r="A318" s="1">
        <v>317.0</v>
      </c>
      <c r="B318" s="2" t="s">
        <v>41</v>
      </c>
      <c r="C318" s="2" t="s">
        <v>13</v>
      </c>
      <c r="D318" s="13"/>
      <c r="E318" s="13"/>
      <c r="F318" s="45"/>
      <c r="G318" s="42"/>
      <c r="H318" s="42"/>
      <c r="I318" s="42"/>
      <c r="J318" s="22"/>
    </row>
    <row r="319" ht="40.5" customHeight="1">
      <c r="A319" s="1">
        <v>318.0</v>
      </c>
      <c r="B319" s="2" t="s">
        <v>42</v>
      </c>
      <c r="C319" s="2"/>
      <c r="D319" s="40">
        <v>0.375</v>
      </c>
      <c r="E319" s="13"/>
      <c r="F319" s="44" t="s">
        <v>623</v>
      </c>
      <c r="G319" s="42"/>
      <c r="H319" s="42"/>
      <c r="I319" s="42"/>
      <c r="J319" s="22"/>
    </row>
    <row r="320" ht="40.5" hidden="1" customHeight="1">
      <c r="A320" s="1">
        <v>319.0</v>
      </c>
      <c r="B320" s="2" t="s">
        <v>43</v>
      </c>
      <c r="C320" s="2" t="s">
        <v>13</v>
      </c>
      <c r="D320" s="13"/>
      <c r="E320" s="13"/>
      <c r="F320" s="45"/>
      <c r="G320" s="42"/>
      <c r="H320" s="42"/>
      <c r="I320" s="42"/>
      <c r="J320" s="22"/>
    </row>
    <row r="321" ht="40.5" hidden="1" customHeight="1">
      <c r="A321" s="1">
        <v>320.0</v>
      </c>
      <c r="B321" s="2" t="s">
        <v>45</v>
      </c>
      <c r="C321" s="2" t="s">
        <v>13</v>
      </c>
      <c r="D321" s="13"/>
      <c r="E321" s="13"/>
      <c r="F321" s="45"/>
      <c r="G321" s="42"/>
      <c r="H321" s="42"/>
      <c r="I321" s="42"/>
      <c r="J321" s="22"/>
    </row>
    <row r="322" ht="40.5" customHeight="1">
      <c r="A322" s="1">
        <v>321.0</v>
      </c>
      <c r="B322" s="2" t="s">
        <v>46</v>
      </c>
      <c r="C322" s="13"/>
      <c r="D322" s="13"/>
      <c r="E322" s="13"/>
      <c r="F322" s="44" t="s">
        <v>624</v>
      </c>
      <c r="G322" s="43">
        <v>1.0</v>
      </c>
      <c r="H322" s="43">
        <v>1.0</v>
      </c>
      <c r="I322" s="42"/>
      <c r="J322" s="22"/>
    </row>
    <row r="323" ht="40.5" hidden="1" customHeight="1">
      <c r="A323" s="1">
        <v>322.0</v>
      </c>
      <c r="B323" s="2" t="s">
        <v>47</v>
      </c>
      <c r="C323" s="2" t="s">
        <v>13</v>
      </c>
      <c r="D323" s="13"/>
      <c r="E323" s="13"/>
      <c r="F323" s="45"/>
      <c r="G323" s="42"/>
      <c r="H323" s="42"/>
      <c r="I323" s="42"/>
      <c r="J323" s="22"/>
    </row>
    <row r="324" ht="40.5" hidden="1" customHeight="1">
      <c r="A324" s="1">
        <v>323.0</v>
      </c>
      <c r="B324" s="2" t="s">
        <v>48</v>
      </c>
      <c r="C324" s="2" t="s">
        <v>13</v>
      </c>
      <c r="D324" s="13"/>
      <c r="E324" s="13"/>
      <c r="F324" s="45"/>
      <c r="G324" s="42"/>
      <c r="H324" s="42"/>
      <c r="I324" s="42"/>
      <c r="J324" s="22"/>
    </row>
    <row r="325" ht="40.5" customHeight="1">
      <c r="A325" s="1">
        <v>324.0</v>
      </c>
      <c r="B325" s="21"/>
      <c r="C325" s="21"/>
      <c r="D325" s="21"/>
      <c r="E325" s="21"/>
      <c r="F325" s="46"/>
      <c r="G325" s="47"/>
      <c r="H325" s="47"/>
      <c r="I325" s="47"/>
      <c r="J325" s="48"/>
      <c r="K325" s="49"/>
      <c r="L325" s="49"/>
      <c r="M325" s="49"/>
    </row>
    <row r="326" ht="40.5" customHeight="1">
      <c r="A326" s="1">
        <v>325.0</v>
      </c>
      <c r="B326" s="2" t="s">
        <v>12</v>
      </c>
      <c r="C326" s="2" t="s">
        <v>62</v>
      </c>
      <c r="D326" s="13"/>
      <c r="E326" s="13"/>
      <c r="F326" s="45"/>
      <c r="G326" s="42"/>
      <c r="H326" s="42"/>
      <c r="I326" s="42"/>
      <c r="J326" s="27" t="s">
        <v>491</v>
      </c>
      <c r="K326" s="15" t="s">
        <v>244</v>
      </c>
    </row>
    <row r="327" ht="40.5" hidden="1" customHeight="1">
      <c r="A327" s="1">
        <v>326.0</v>
      </c>
      <c r="B327" s="2" t="s">
        <v>16</v>
      </c>
      <c r="C327" s="2" t="s">
        <v>66</v>
      </c>
      <c r="D327" s="13"/>
      <c r="E327" s="13"/>
      <c r="F327" s="45"/>
      <c r="G327" s="42"/>
      <c r="H327" s="42"/>
      <c r="I327" s="42"/>
      <c r="J327" s="27" t="s">
        <v>244</v>
      </c>
    </row>
    <row r="328" ht="40.5" hidden="1" customHeight="1">
      <c r="A328" s="1">
        <v>327.0</v>
      </c>
      <c r="B328" s="2" t="s">
        <v>116</v>
      </c>
      <c r="C328" s="2" t="s">
        <v>58</v>
      </c>
      <c r="D328" s="13"/>
      <c r="E328" s="13"/>
      <c r="F328" s="45"/>
      <c r="G328" s="42"/>
      <c r="H328" s="42"/>
      <c r="I328" s="42"/>
      <c r="J328" s="27" t="s">
        <v>56</v>
      </c>
    </row>
    <row r="329" ht="40.5" customHeight="1">
      <c r="A329" s="1">
        <v>328.0</v>
      </c>
      <c r="B329" s="2" t="s">
        <v>331</v>
      </c>
      <c r="C329" s="2" t="s">
        <v>542</v>
      </c>
      <c r="D329" s="13"/>
      <c r="E329" s="13"/>
      <c r="F329" s="44" t="s">
        <v>625</v>
      </c>
      <c r="G329" s="42"/>
      <c r="H329" s="42"/>
      <c r="I329" s="42"/>
      <c r="J329" s="22"/>
    </row>
    <row r="330" ht="40.5" customHeight="1">
      <c r="A330" s="1">
        <v>329.0</v>
      </c>
      <c r="B330" s="2" t="s">
        <v>21</v>
      </c>
      <c r="C330" s="2"/>
      <c r="D330" s="13"/>
      <c r="E330" s="13"/>
      <c r="F330" s="45"/>
      <c r="G330" s="42"/>
      <c r="H330" s="42"/>
      <c r="I330" s="42"/>
      <c r="J330" s="22"/>
    </row>
    <row r="331" ht="40.5" customHeight="1">
      <c r="A331" s="1">
        <v>330.0</v>
      </c>
      <c r="B331" s="2" t="s">
        <v>22</v>
      </c>
      <c r="C331" s="2"/>
      <c r="D331" s="13"/>
      <c r="E331" s="13"/>
      <c r="F331" s="44" t="s">
        <v>626</v>
      </c>
      <c r="G331" s="43">
        <v>1.0</v>
      </c>
      <c r="H331" s="42"/>
      <c r="I331" s="42"/>
      <c r="J331" s="22"/>
    </row>
    <row r="332" ht="40.5" customHeight="1">
      <c r="A332" s="1">
        <v>331.0</v>
      </c>
      <c r="B332" s="2" t="s">
        <v>23</v>
      </c>
      <c r="C332" s="2" t="s">
        <v>54</v>
      </c>
      <c r="D332" s="53">
        <v>0.3333333333333333</v>
      </c>
      <c r="E332" s="13"/>
      <c r="F332" s="44" t="s">
        <v>627</v>
      </c>
      <c r="G332" s="43">
        <v>2.0</v>
      </c>
      <c r="H332" s="42"/>
      <c r="I332" s="43"/>
      <c r="J332" s="22"/>
    </row>
    <row r="333" ht="40.5" customHeight="1">
      <c r="A333" s="1">
        <v>332.0</v>
      </c>
      <c r="B333" s="2" t="s">
        <v>24</v>
      </c>
      <c r="C333" s="2" t="s">
        <v>277</v>
      </c>
      <c r="D333" s="13"/>
      <c r="E333" s="13"/>
      <c r="F333" s="45"/>
      <c r="G333" s="42"/>
      <c r="H333" s="42"/>
      <c r="I333" s="42"/>
      <c r="J333" s="22"/>
    </row>
    <row r="334" ht="40.5" hidden="1" customHeight="1">
      <c r="A334" s="1">
        <v>333.0</v>
      </c>
      <c r="B334" s="2" t="s">
        <v>25</v>
      </c>
      <c r="C334" s="2" t="s">
        <v>58</v>
      </c>
      <c r="D334" s="13"/>
      <c r="E334" s="13"/>
      <c r="F334" s="45"/>
      <c r="G334" s="42"/>
      <c r="H334" s="42"/>
      <c r="I334" s="42"/>
      <c r="J334" s="22"/>
    </row>
    <row r="335" ht="40.5" customHeight="1">
      <c r="A335" s="1">
        <v>334.0</v>
      </c>
      <c r="B335" s="2" t="s">
        <v>26</v>
      </c>
      <c r="C335" s="2" t="s">
        <v>69</v>
      </c>
      <c r="D335" s="40">
        <v>0.5416666666666666</v>
      </c>
      <c r="E335" s="40">
        <v>0.8194444444444444</v>
      </c>
      <c r="F335" s="44" t="s">
        <v>489</v>
      </c>
      <c r="G335" s="43">
        <v>1.0</v>
      </c>
      <c r="H335" s="42"/>
      <c r="I335" s="43">
        <v>1.0</v>
      </c>
      <c r="J335" s="22"/>
    </row>
    <row r="336" ht="40.5" customHeight="1">
      <c r="A336" s="1">
        <v>335.0</v>
      </c>
      <c r="B336" s="2" t="s">
        <v>29</v>
      </c>
      <c r="C336" s="2" t="s">
        <v>69</v>
      </c>
      <c r="D336" s="40">
        <v>0.5416666666666666</v>
      </c>
      <c r="E336" s="40">
        <v>0.875</v>
      </c>
      <c r="F336" s="44" t="s">
        <v>628</v>
      </c>
      <c r="G336" s="43">
        <v>1.0</v>
      </c>
      <c r="H336" s="42"/>
      <c r="I336" s="42"/>
      <c r="J336" s="22"/>
    </row>
    <row r="337" ht="40.5" customHeight="1">
      <c r="A337" s="1">
        <v>336.0</v>
      </c>
      <c r="B337" s="2" t="s">
        <v>30</v>
      </c>
      <c r="C337" s="2" t="s">
        <v>64</v>
      </c>
      <c r="D337" s="13"/>
      <c r="E337" s="13"/>
      <c r="F337" s="45"/>
      <c r="G337" s="42"/>
      <c r="H337" s="42"/>
      <c r="I337" s="42"/>
      <c r="J337" s="22"/>
    </row>
    <row r="338" ht="40.5" customHeight="1">
      <c r="A338" s="1">
        <v>337.0</v>
      </c>
      <c r="B338" s="2" t="s">
        <v>31</v>
      </c>
      <c r="C338" s="2" t="s">
        <v>54</v>
      </c>
      <c r="D338" s="53">
        <v>0.2916666666666667</v>
      </c>
      <c r="E338" s="13"/>
      <c r="F338" s="44" t="s">
        <v>629</v>
      </c>
      <c r="G338" s="43">
        <v>2.0</v>
      </c>
      <c r="H338" s="42"/>
      <c r="I338" s="43">
        <v>1.0</v>
      </c>
      <c r="J338" s="22"/>
    </row>
    <row r="339" ht="40.5" customHeight="1">
      <c r="A339" s="1">
        <v>338.0</v>
      </c>
      <c r="B339" s="2" t="s">
        <v>32</v>
      </c>
      <c r="C339" s="2" t="s">
        <v>27</v>
      </c>
      <c r="D339" s="13"/>
      <c r="E339" s="13"/>
      <c r="F339" s="44" t="s">
        <v>630</v>
      </c>
      <c r="G339" s="43">
        <v>1.0</v>
      </c>
      <c r="H339" s="42"/>
      <c r="I339" s="42"/>
      <c r="J339" s="22"/>
    </row>
    <row r="340" ht="40.5" hidden="1" customHeight="1">
      <c r="A340" s="1">
        <v>339.0</v>
      </c>
      <c r="B340" s="2" t="s">
        <v>67</v>
      </c>
      <c r="C340" s="2" t="s">
        <v>58</v>
      </c>
      <c r="D340" s="13"/>
      <c r="E340" s="13"/>
      <c r="F340" s="45"/>
      <c r="G340" s="42"/>
      <c r="H340" s="42"/>
      <c r="I340" s="42"/>
      <c r="J340" s="22"/>
    </row>
    <row r="341" ht="40.5" customHeight="1">
      <c r="A341" s="1">
        <v>340.0</v>
      </c>
      <c r="B341" s="2" t="s">
        <v>34</v>
      </c>
      <c r="C341" s="2" t="s">
        <v>44</v>
      </c>
      <c r="D341" s="13"/>
      <c r="E341" s="13"/>
      <c r="F341" s="45"/>
      <c r="G341" s="42"/>
      <c r="H341" s="42"/>
      <c r="I341" s="42"/>
      <c r="J341" s="22"/>
    </row>
    <row r="342" ht="40.5" hidden="1" customHeight="1">
      <c r="A342" s="1">
        <v>341.0</v>
      </c>
      <c r="B342" s="2" t="s">
        <v>35</v>
      </c>
      <c r="C342" s="2" t="s">
        <v>58</v>
      </c>
      <c r="D342" s="13"/>
      <c r="E342" s="13"/>
      <c r="F342" s="45"/>
      <c r="G342" s="42"/>
      <c r="H342" s="42"/>
      <c r="I342" s="42"/>
      <c r="J342" s="22"/>
    </row>
    <row r="343" ht="40.5" customHeight="1">
      <c r="A343" s="1">
        <v>342.0</v>
      </c>
      <c r="B343" s="2" t="s">
        <v>36</v>
      </c>
      <c r="C343" s="2" t="s">
        <v>39</v>
      </c>
      <c r="D343" s="53">
        <v>0.2361111111111111</v>
      </c>
      <c r="E343" s="13"/>
      <c r="F343" s="44" t="s">
        <v>631</v>
      </c>
      <c r="G343" s="43">
        <v>2.0</v>
      </c>
      <c r="H343" s="42"/>
      <c r="I343" s="43">
        <v>1.0</v>
      </c>
      <c r="J343" s="22"/>
    </row>
    <row r="344" ht="40.5" customHeight="1">
      <c r="A344" s="1">
        <v>343.0</v>
      </c>
      <c r="B344" s="2" t="s">
        <v>38</v>
      </c>
      <c r="C344" s="2" t="s">
        <v>54</v>
      </c>
      <c r="D344" s="53">
        <v>0.3333333333333333</v>
      </c>
      <c r="E344" s="51">
        <v>0.8541666666666666</v>
      </c>
      <c r="F344" s="44" t="s">
        <v>632</v>
      </c>
      <c r="G344" s="43">
        <v>2.0</v>
      </c>
      <c r="H344" s="42"/>
      <c r="I344" s="42"/>
      <c r="J344" s="22"/>
    </row>
    <row r="345" ht="40.5" customHeight="1">
      <c r="A345" s="1">
        <v>344.0</v>
      </c>
      <c r="B345" s="2" t="s">
        <v>41</v>
      </c>
      <c r="C345" s="2" t="s">
        <v>54</v>
      </c>
      <c r="D345" s="53">
        <v>0.22916666666666666</v>
      </c>
      <c r="E345" s="13"/>
      <c r="F345" s="44" t="s">
        <v>633</v>
      </c>
      <c r="G345" s="43">
        <v>2.0</v>
      </c>
      <c r="H345" s="42"/>
      <c r="I345" s="43">
        <v>1.0</v>
      </c>
      <c r="J345" s="22"/>
    </row>
    <row r="346" ht="40.5" customHeight="1">
      <c r="A346" s="1">
        <v>345.0</v>
      </c>
      <c r="B346" s="2" t="s">
        <v>42</v>
      </c>
      <c r="C346" s="2"/>
      <c r="D346" s="13"/>
      <c r="E346" s="13"/>
      <c r="F346" s="44" t="s">
        <v>634</v>
      </c>
      <c r="G346" s="43">
        <v>1.0</v>
      </c>
      <c r="H346" s="42"/>
      <c r="I346" s="43">
        <v>1.0</v>
      </c>
      <c r="J346" s="22"/>
    </row>
    <row r="347" ht="40.5" customHeight="1">
      <c r="A347" s="1">
        <v>346.0</v>
      </c>
      <c r="B347" s="2" t="s">
        <v>43</v>
      </c>
      <c r="C347" s="2"/>
      <c r="D347" s="13"/>
      <c r="E347" s="13"/>
      <c r="F347" s="44" t="s">
        <v>635</v>
      </c>
      <c r="G347" s="43">
        <v>2.0</v>
      </c>
      <c r="H347" s="42"/>
      <c r="I347" s="42"/>
      <c r="J347" s="22"/>
    </row>
    <row r="348" ht="40.5" customHeight="1">
      <c r="A348" s="1">
        <v>347.0</v>
      </c>
      <c r="B348" s="2" t="s">
        <v>45</v>
      </c>
      <c r="C348" s="2" t="s">
        <v>39</v>
      </c>
      <c r="D348" s="53">
        <v>0.2638888888888889</v>
      </c>
      <c r="E348" s="13"/>
      <c r="F348" s="44" t="s">
        <v>636</v>
      </c>
      <c r="G348" s="43">
        <v>1.0</v>
      </c>
      <c r="H348" s="42"/>
      <c r="I348" s="42"/>
      <c r="J348" s="22"/>
    </row>
    <row r="349" ht="40.5" customHeight="1">
      <c r="A349" s="1">
        <v>348.0</v>
      </c>
      <c r="B349" s="2" t="s">
        <v>46</v>
      </c>
      <c r="C349" s="2" t="s">
        <v>69</v>
      </c>
      <c r="D349" s="40">
        <v>0.5416666666666666</v>
      </c>
      <c r="E349" s="40">
        <v>0.8194444444444444</v>
      </c>
      <c r="F349" s="44" t="s">
        <v>637</v>
      </c>
      <c r="G349" s="43">
        <v>1.0</v>
      </c>
      <c r="H349" s="42"/>
      <c r="I349" s="43">
        <v>1.0</v>
      </c>
      <c r="J349" s="22"/>
    </row>
    <row r="350" ht="40.5" customHeight="1">
      <c r="A350" s="1">
        <v>349.0</v>
      </c>
      <c r="B350" s="2" t="s">
        <v>47</v>
      </c>
      <c r="C350" s="13"/>
      <c r="D350" s="13"/>
      <c r="E350" s="13"/>
      <c r="F350" s="44" t="s">
        <v>638</v>
      </c>
      <c r="G350" s="43">
        <v>1.0</v>
      </c>
      <c r="H350" s="42"/>
      <c r="I350" s="42"/>
      <c r="J350" s="22"/>
    </row>
    <row r="351" ht="40.5" hidden="1" customHeight="1">
      <c r="A351" s="1">
        <v>350.0</v>
      </c>
      <c r="B351" s="2" t="s">
        <v>48</v>
      </c>
      <c r="C351" s="2" t="s">
        <v>58</v>
      </c>
      <c r="D351" s="13"/>
      <c r="E351" s="13"/>
      <c r="F351" s="45"/>
      <c r="G351" s="42"/>
      <c r="H351" s="42"/>
      <c r="I351" s="42"/>
      <c r="J351" s="22"/>
    </row>
    <row r="352" ht="40.5" customHeight="1">
      <c r="A352" s="1">
        <v>351.0</v>
      </c>
      <c r="B352" s="21"/>
      <c r="C352" s="21"/>
      <c r="D352" s="21"/>
      <c r="E352" s="21"/>
      <c r="F352" s="46"/>
      <c r="G352" s="47"/>
      <c r="H352" s="47"/>
      <c r="I352" s="47"/>
      <c r="J352" s="48"/>
      <c r="K352" s="49"/>
      <c r="L352" s="49"/>
      <c r="M352" s="49"/>
    </row>
    <row r="353" ht="40.5" hidden="1" customHeight="1">
      <c r="A353" s="1">
        <v>352.0</v>
      </c>
      <c r="B353" s="2" t="s">
        <v>12</v>
      </c>
      <c r="C353" s="2" t="s">
        <v>58</v>
      </c>
      <c r="D353" s="13"/>
      <c r="E353" s="13"/>
      <c r="F353" s="45"/>
      <c r="G353" s="42"/>
      <c r="H353" s="42"/>
      <c r="I353" s="42"/>
      <c r="J353" s="27" t="s">
        <v>491</v>
      </c>
      <c r="K353" s="15" t="s">
        <v>260</v>
      </c>
    </row>
    <row r="354" ht="40.5" customHeight="1">
      <c r="A354" s="1">
        <v>353.0</v>
      </c>
      <c r="B354" s="2" t="s">
        <v>16</v>
      </c>
      <c r="C354" s="2"/>
      <c r="D354" s="13"/>
      <c r="E354" s="13"/>
      <c r="F354" s="44" t="s">
        <v>639</v>
      </c>
      <c r="G354" s="43">
        <v>1.0</v>
      </c>
      <c r="H354" s="42"/>
      <c r="I354" s="42"/>
      <c r="J354" s="27" t="s">
        <v>260</v>
      </c>
    </row>
    <row r="355" ht="40.5" customHeight="1">
      <c r="A355" s="1">
        <v>354.0</v>
      </c>
      <c r="B355" s="2" t="s">
        <v>17</v>
      </c>
      <c r="C355" s="2" t="s">
        <v>54</v>
      </c>
      <c r="D355" s="13"/>
      <c r="E355" s="13"/>
      <c r="F355" s="44" t="s">
        <v>640</v>
      </c>
      <c r="G355" s="43">
        <v>1.0</v>
      </c>
      <c r="H355" s="42"/>
      <c r="I355" s="42"/>
      <c r="J355" s="27" t="s">
        <v>77</v>
      </c>
    </row>
    <row r="356" ht="40.5" customHeight="1">
      <c r="A356" s="1">
        <v>355.0</v>
      </c>
      <c r="B356" s="2" t="s">
        <v>331</v>
      </c>
      <c r="C356" s="2" t="s">
        <v>542</v>
      </c>
      <c r="D356" s="53">
        <v>0.3333333333333333</v>
      </c>
      <c r="E356" s="13"/>
      <c r="F356" s="44"/>
      <c r="G356" s="42"/>
      <c r="H356" s="42"/>
      <c r="I356" s="42"/>
      <c r="J356" s="22"/>
    </row>
    <row r="357" ht="40.5" customHeight="1">
      <c r="A357" s="1">
        <v>356.0</v>
      </c>
      <c r="B357" s="2" t="s">
        <v>21</v>
      </c>
      <c r="C357" s="2"/>
      <c r="D357" s="13"/>
      <c r="E357" s="13"/>
      <c r="F357" s="44" t="s">
        <v>641</v>
      </c>
      <c r="G357" s="42"/>
      <c r="H357" s="42"/>
      <c r="I357" s="42"/>
      <c r="J357" s="22"/>
    </row>
    <row r="358" ht="40.5" customHeight="1">
      <c r="A358" s="1">
        <v>357.0</v>
      </c>
      <c r="B358" s="2" t="s">
        <v>22</v>
      </c>
      <c r="C358" s="2"/>
      <c r="D358" s="53">
        <v>0.3333333333333333</v>
      </c>
      <c r="E358" s="13"/>
      <c r="F358" s="44" t="s">
        <v>642</v>
      </c>
      <c r="G358" s="42"/>
      <c r="H358" s="42"/>
      <c r="I358" s="42"/>
      <c r="J358" s="22"/>
    </row>
    <row r="359" ht="40.5" customHeight="1">
      <c r="A359" s="1">
        <v>358.0</v>
      </c>
      <c r="B359" s="2" t="s">
        <v>23</v>
      </c>
      <c r="C359" s="2" t="s">
        <v>54</v>
      </c>
      <c r="D359" s="53">
        <v>0.2916666666666667</v>
      </c>
      <c r="E359" s="13"/>
      <c r="F359" s="44" t="s">
        <v>643</v>
      </c>
      <c r="G359" s="43">
        <v>1.0</v>
      </c>
      <c r="H359" s="42"/>
      <c r="I359" s="43">
        <v>1.0</v>
      </c>
      <c r="J359" s="22"/>
    </row>
    <row r="360" ht="40.5" customHeight="1">
      <c r="A360" s="1">
        <v>359.0</v>
      </c>
      <c r="B360" s="2" t="s">
        <v>24</v>
      </c>
      <c r="C360" s="2" t="s">
        <v>277</v>
      </c>
      <c r="D360" s="13"/>
      <c r="E360" s="13"/>
      <c r="F360" s="45"/>
      <c r="G360" s="42"/>
      <c r="H360" s="42"/>
      <c r="I360" s="42"/>
      <c r="J360" s="22"/>
    </row>
    <row r="361" ht="40.5" customHeight="1">
      <c r="A361" s="1">
        <v>360.0</v>
      </c>
      <c r="B361" s="2" t="s">
        <v>25</v>
      </c>
      <c r="C361" s="2" t="s">
        <v>69</v>
      </c>
      <c r="D361" s="13"/>
      <c r="E361" s="13"/>
      <c r="F361" s="44" t="s">
        <v>644</v>
      </c>
      <c r="G361" s="43">
        <v>1.0</v>
      </c>
      <c r="H361" s="42"/>
      <c r="I361" s="43">
        <v>1.0</v>
      </c>
      <c r="J361" s="22"/>
    </row>
    <row r="362" ht="40.5" customHeight="1">
      <c r="A362" s="1">
        <v>361.0</v>
      </c>
      <c r="B362" s="2" t="s">
        <v>26</v>
      </c>
      <c r="C362" s="2" t="s">
        <v>69</v>
      </c>
      <c r="D362" s="13"/>
      <c r="E362" s="13"/>
      <c r="F362" s="44" t="s">
        <v>645</v>
      </c>
      <c r="G362" s="42"/>
      <c r="H362" s="42"/>
      <c r="I362" s="42"/>
      <c r="J362" s="22"/>
    </row>
    <row r="363" ht="40.5" customHeight="1">
      <c r="A363" s="1">
        <v>362.0</v>
      </c>
      <c r="B363" s="2" t="s">
        <v>29</v>
      </c>
      <c r="C363" s="2" t="s">
        <v>27</v>
      </c>
      <c r="D363" s="13"/>
      <c r="E363" s="13"/>
      <c r="F363" s="44" t="s">
        <v>646</v>
      </c>
      <c r="G363" s="42"/>
      <c r="H363" s="42"/>
      <c r="I363" s="42"/>
      <c r="J363" s="22"/>
    </row>
    <row r="364" ht="40.5" customHeight="1">
      <c r="A364" s="1">
        <v>363.0</v>
      </c>
      <c r="B364" s="2" t="s">
        <v>30</v>
      </c>
      <c r="C364" s="2" t="s">
        <v>64</v>
      </c>
      <c r="D364" s="13"/>
      <c r="E364" s="13"/>
      <c r="F364" s="45"/>
      <c r="G364" s="42"/>
      <c r="H364" s="42"/>
      <c r="I364" s="42"/>
      <c r="J364" s="22"/>
    </row>
    <row r="365" ht="40.5" customHeight="1">
      <c r="A365" s="1">
        <v>364.0</v>
      </c>
      <c r="B365" s="2" t="s">
        <v>31</v>
      </c>
      <c r="C365" s="2" t="s">
        <v>54</v>
      </c>
      <c r="D365" s="53">
        <v>0.2708333333333333</v>
      </c>
      <c r="E365" s="13"/>
      <c r="F365" s="44" t="s">
        <v>647</v>
      </c>
      <c r="G365" s="43">
        <v>1.0</v>
      </c>
      <c r="H365" s="42"/>
      <c r="I365" s="43">
        <v>1.0</v>
      </c>
      <c r="J365" s="22"/>
    </row>
    <row r="366" ht="40.5" customHeight="1">
      <c r="A366" s="1">
        <v>365.0</v>
      </c>
      <c r="B366" s="2" t="s">
        <v>32</v>
      </c>
      <c r="C366" s="2" t="s">
        <v>44</v>
      </c>
      <c r="D366" s="13"/>
      <c r="E366" s="13"/>
      <c r="F366" s="45"/>
      <c r="G366" s="42"/>
      <c r="H366" s="42"/>
      <c r="I366" s="42"/>
      <c r="J366" s="22"/>
    </row>
    <row r="367" ht="40.5" customHeight="1">
      <c r="A367" s="1">
        <v>366.0</v>
      </c>
      <c r="B367" s="2" t="s">
        <v>116</v>
      </c>
      <c r="C367" s="2"/>
      <c r="D367" s="53">
        <v>0.3333333333333333</v>
      </c>
      <c r="E367" s="13"/>
      <c r="F367" s="44" t="s">
        <v>648</v>
      </c>
      <c r="G367" s="42"/>
      <c r="H367" s="42"/>
      <c r="I367" s="42"/>
      <c r="J367" s="22"/>
    </row>
    <row r="368" ht="40.5" hidden="1" customHeight="1">
      <c r="A368" s="1">
        <v>367.0</v>
      </c>
      <c r="B368" s="2" t="s">
        <v>34</v>
      </c>
      <c r="C368" s="2" t="s">
        <v>58</v>
      </c>
      <c r="D368" s="13"/>
      <c r="E368" s="13"/>
      <c r="F368" s="45"/>
      <c r="G368" s="42"/>
      <c r="H368" s="42"/>
      <c r="I368" s="42"/>
      <c r="J368" s="22"/>
    </row>
    <row r="369" ht="40.5" hidden="1" customHeight="1">
      <c r="A369" s="1">
        <v>368.0</v>
      </c>
      <c r="B369" s="2" t="s">
        <v>35</v>
      </c>
      <c r="C369" s="2" t="s">
        <v>66</v>
      </c>
      <c r="D369" s="13"/>
      <c r="E369" s="13"/>
      <c r="F369" s="45"/>
      <c r="G369" s="42"/>
      <c r="H369" s="42"/>
      <c r="I369" s="42"/>
      <c r="J369" s="22"/>
    </row>
    <row r="370" ht="40.5" hidden="1" customHeight="1">
      <c r="A370" s="1">
        <v>369.0</v>
      </c>
      <c r="B370" s="2" t="s">
        <v>36</v>
      </c>
      <c r="C370" s="2" t="s">
        <v>58</v>
      </c>
      <c r="D370" s="13"/>
      <c r="E370" s="13"/>
      <c r="F370" s="45"/>
      <c r="G370" s="42"/>
      <c r="H370" s="42"/>
      <c r="I370" s="42"/>
      <c r="J370" s="22"/>
    </row>
    <row r="371" ht="40.5" customHeight="1">
      <c r="A371" s="1">
        <v>370.0</v>
      </c>
      <c r="B371" s="2" t="s">
        <v>38</v>
      </c>
      <c r="C371" s="2"/>
      <c r="D371" s="53">
        <v>0.3333333333333333</v>
      </c>
      <c r="E371" s="13"/>
      <c r="F371" s="44" t="s">
        <v>649</v>
      </c>
      <c r="G371" s="43">
        <v>1.0</v>
      </c>
      <c r="H371" s="42"/>
      <c r="I371" s="42"/>
      <c r="J371" s="22"/>
    </row>
    <row r="372" ht="40.5" customHeight="1">
      <c r="A372" s="1">
        <v>371.0</v>
      </c>
      <c r="B372" s="2" t="s">
        <v>41</v>
      </c>
      <c r="C372" s="2" t="s">
        <v>54</v>
      </c>
      <c r="D372" s="53">
        <v>0.2777777777777778</v>
      </c>
      <c r="E372" s="13"/>
      <c r="F372" s="44" t="s">
        <v>650</v>
      </c>
      <c r="G372" s="43">
        <v>1.0</v>
      </c>
      <c r="H372" s="42"/>
      <c r="I372" s="43">
        <v>1.0</v>
      </c>
      <c r="J372" s="22"/>
    </row>
    <row r="373" ht="40.5" customHeight="1">
      <c r="A373" s="1">
        <v>372.0</v>
      </c>
      <c r="B373" s="2" t="s">
        <v>42</v>
      </c>
      <c r="C373" s="2" t="s">
        <v>69</v>
      </c>
      <c r="D373" s="13"/>
      <c r="E373" s="13"/>
      <c r="F373" s="44" t="s">
        <v>651</v>
      </c>
      <c r="G373" s="42"/>
      <c r="H373" s="42"/>
      <c r="I373" s="42"/>
      <c r="J373" s="22"/>
    </row>
    <row r="374" ht="40.5" hidden="1" customHeight="1">
      <c r="A374" s="1">
        <v>373.0</v>
      </c>
      <c r="B374" s="2" t="s">
        <v>43</v>
      </c>
      <c r="C374" s="2" t="s">
        <v>58</v>
      </c>
      <c r="D374" s="13"/>
      <c r="E374" s="13"/>
      <c r="F374" s="45"/>
      <c r="G374" s="42"/>
      <c r="H374" s="42"/>
      <c r="I374" s="42"/>
      <c r="J374" s="22"/>
    </row>
    <row r="375" ht="40.5" customHeight="1">
      <c r="A375" s="1">
        <v>374.0</v>
      </c>
      <c r="B375" s="2" t="s">
        <v>45</v>
      </c>
      <c r="C375" s="2"/>
      <c r="D375" s="53">
        <v>0.3333333333333333</v>
      </c>
      <c r="E375" s="13"/>
      <c r="F375" s="44" t="s">
        <v>652</v>
      </c>
      <c r="G375" s="43">
        <v>2.0</v>
      </c>
      <c r="H375" s="42"/>
      <c r="I375" s="42"/>
      <c r="J375" s="22"/>
    </row>
    <row r="376" ht="40.5" customHeight="1">
      <c r="A376" s="1">
        <v>375.0</v>
      </c>
      <c r="B376" s="2" t="s">
        <v>46</v>
      </c>
      <c r="C376" s="2" t="s">
        <v>39</v>
      </c>
      <c r="D376" s="53">
        <v>0.25</v>
      </c>
      <c r="E376" s="13"/>
      <c r="F376" s="44" t="s">
        <v>653</v>
      </c>
      <c r="G376" s="43">
        <v>2.0</v>
      </c>
      <c r="H376" s="42"/>
      <c r="I376" s="43">
        <v>1.0</v>
      </c>
      <c r="J376" s="22"/>
    </row>
    <row r="377" ht="40.5" hidden="1" customHeight="1">
      <c r="A377" s="1">
        <v>376.0</v>
      </c>
      <c r="B377" s="2" t="s">
        <v>47</v>
      </c>
      <c r="C377" s="2" t="s">
        <v>58</v>
      </c>
      <c r="D377" s="13"/>
      <c r="E377" s="13"/>
      <c r="F377" s="45"/>
      <c r="G377" s="42"/>
      <c r="H377" s="42"/>
      <c r="I377" s="42"/>
      <c r="J377" s="22"/>
    </row>
    <row r="378" ht="40.5" customHeight="1">
      <c r="A378" s="1">
        <v>377.0</v>
      </c>
      <c r="B378" s="2" t="s">
        <v>48</v>
      </c>
      <c r="C378" s="2" t="s">
        <v>39</v>
      </c>
      <c r="D378" s="53">
        <v>0.25</v>
      </c>
      <c r="E378" s="13"/>
      <c r="F378" s="44" t="s">
        <v>654</v>
      </c>
      <c r="G378" s="43">
        <v>3.0</v>
      </c>
      <c r="H378" s="42"/>
      <c r="I378" s="43">
        <v>1.0</v>
      </c>
      <c r="J378" s="22"/>
    </row>
    <row r="379" ht="40.5" customHeight="1">
      <c r="A379" s="1">
        <v>378.0</v>
      </c>
      <c r="B379" s="21"/>
      <c r="C379" s="21"/>
      <c r="D379" s="21"/>
      <c r="E379" s="21"/>
      <c r="F379" s="46"/>
      <c r="G379" s="47"/>
      <c r="H379" s="47"/>
      <c r="I379" s="47"/>
      <c r="J379" s="48"/>
      <c r="K379" s="49"/>
      <c r="L379" s="49"/>
      <c r="M379" s="49"/>
    </row>
    <row r="380" ht="40.5" customHeight="1">
      <c r="A380" s="1">
        <v>379.0</v>
      </c>
      <c r="B380" s="2" t="s">
        <v>12</v>
      </c>
      <c r="C380" s="2" t="s">
        <v>62</v>
      </c>
      <c r="D380" s="13"/>
      <c r="E380" s="13"/>
      <c r="F380" s="45"/>
      <c r="G380" s="42"/>
      <c r="H380" s="42"/>
      <c r="I380" s="42"/>
      <c r="J380" s="27" t="s">
        <v>491</v>
      </c>
      <c r="K380" s="15" t="s">
        <v>269</v>
      </c>
    </row>
    <row r="381" ht="40.5" hidden="1" customHeight="1">
      <c r="A381" s="1">
        <v>380.0</v>
      </c>
      <c r="B381" s="2" t="s">
        <v>16</v>
      </c>
      <c r="C381" s="2" t="s">
        <v>58</v>
      </c>
      <c r="D381" s="40"/>
      <c r="E381" s="13"/>
      <c r="F381" s="45"/>
      <c r="G381" s="42"/>
      <c r="H381" s="42"/>
      <c r="I381" s="42"/>
      <c r="J381" s="27" t="s">
        <v>269</v>
      </c>
    </row>
    <row r="382" ht="40.5" customHeight="1">
      <c r="A382" s="1">
        <v>381.0</v>
      </c>
      <c r="B382" s="2" t="s">
        <v>17</v>
      </c>
      <c r="C382" s="2" t="s">
        <v>54</v>
      </c>
      <c r="D382" s="53">
        <v>0.1111111111111111</v>
      </c>
      <c r="E382" s="13"/>
      <c r="F382" s="44" t="s">
        <v>655</v>
      </c>
      <c r="G382" s="42"/>
      <c r="H382" s="42"/>
      <c r="I382" s="42"/>
      <c r="J382" s="27" t="s">
        <v>95</v>
      </c>
    </row>
    <row r="383" ht="40.5" customHeight="1">
      <c r="A383" s="1">
        <v>382.0</v>
      </c>
      <c r="B383" s="2" t="s">
        <v>331</v>
      </c>
      <c r="C383" s="2" t="s">
        <v>542</v>
      </c>
      <c r="D383" s="13"/>
      <c r="E383" s="13"/>
      <c r="F383" s="44" t="s">
        <v>656</v>
      </c>
      <c r="G383" s="42"/>
      <c r="H383" s="42"/>
      <c r="I383" s="42"/>
      <c r="J383" s="22"/>
    </row>
    <row r="384" ht="40.5" customHeight="1">
      <c r="A384" s="1">
        <v>383.0</v>
      </c>
      <c r="B384" s="2" t="s">
        <v>21</v>
      </c>
      <c r="C384" s="2" t="s">
        <v>63</v>
      </c>
      <c r="D384" s="13"/>
      <c r="E384" s="13"/>
      <c r="F384" s="45"/>
      <c r="G384" s="42"/>
      <c r="H384" s="42"/>
      <c r="I384" s="42"/>
      <c r="J384" s="22"/>
    </row>
    <row r="385" ht="40.5" customHeight="1">
      <c r="A385" s="1">
        <v>384.0</v>
      </c>
      <c r="B385" s="2" t="s">
        <v>22</v>
      </c>
      <c r="C385" s="2"/>
      <c r="D385" s="53">
        <v>0.2916666666666667</v>
      </c>
      <c r="E385" s="13"/>
      <c r="F385" s="44" t="s">
        <v>657</v>
      </c>
      <c r="G385" s="42"/>
      <c r="H385" s="42"/>
      <c r="I385" s="42"/>
      <c r="J385" s="22"/>
    </row>
    <row r="386" ht="40.5" customHeight="1">
      <c r="A386" s="1">
        <v>385.0</v>
      </c>
      <c r="B386" s="2" t="s">
        <v>23</v>
      </c>
      <c r="C386" s="2" t="s">
        <v>54</v>
      </c>
      <c r="D386" s="53">
        <v>0.1111111111111111</v>
      </c>
      <c r="E386" s="13"/>
      <c r="F386" s="44" t="s">
        <v>658</v>
      </c>
      <c r="G386" s="42"/>
      <c r="H386" s="42"/>
      <c r="I386" s="42"/>
      <c r="J386" s="22"/>
    </row>
    <row r="387" ht="40.5" customHeight="1">
      <c r="A387" s="1">
        <v>386.0</v>
      </c>
      <c r="B387" s="2" t="s">
        <v>24</v>
      </c>
      <c r="C387" s="2" t="s">
        <v>277</v>
      </c>
      <c r="D387" s="13"/>
      <c r="E387" s="13"/>
      <c r="F387" s="45"/>
      <c r="G387" s="42"/>
      <c r="H387" s="42"/>
      <c r="I387" s="42"/>
      <c r="J387" s="22"/>
    </row>
    <row r="388" ht="40.5" hidden="1" customHeight="1">
      <c r="A388" s="1">
        <v>387.0</v>
      </c>
      <c r="B388" s="2" t="s">
        <v>25</v>
      </c>
      <c r="C388" s="2" t="s">
        <v>58</v>
      </c>
      <c r="D388" s="13"/>
      <c r="E388" s="13"/>
      <c r="F388" s="45"/>
      <c r="G388" s="42"/>
      <c r="H388" s="42"/>
      <c r="I388" s="42"/>
      <c r="J388" s="22"/>
    </row>
    <row r="389" ht="40.5" hidden="1" customHeight="1">
      <c r="A389" s="1">
        <v>388.0</v>
      </c>
      <c r="B389" s="2" t="s">
        <v>26</v>
      </c>
      <c r="C389" s="2" t="s">
        <v>58</v>
      </c>
      <c r="D389" s="13"/>
      <c r="E389" s="13"/>
      <c r="F389" s="45"/>
      <c r="G389" s="42"/>
      <c r="H389" s="42"/>
      <c r="I389" s="42"/>
      <c r="J389" s="22"/>
    </row>
    <row r="390" ht="40.5" customHeight="1">
      <c r="A390" s="1">
        <v>389.0</v>
      </c>
      <c r="B390" s="2" t="s">
        <v>29</v>
      </c>
      <c r="C390" s="2" t="s">
        <v>44</v>
      </c>
      <c r="D390" s="13"/>
      <c r="E390" s="13"/>
      <c r="F390" s="45"/>
      <c r="G390" s="42"/>
      <c r="H390" s="42"/>
      <c r="I390" s="42"/>
      <c r="J390" s="22"/>
    </row>
    <row r="391" ht="40.5" customHeight="1">
      <c r="A391" s="1">
        <v>390.0</v>
      </c>
      <c r="B391" s="2" t="s">
        <v>30</v>
      </c>
      <c r="C391" s="2" t="s">
        <v>64</v>
      </c>
      <c r="D391" s="13"/>
      <c r="E391" s="13"/>
      <c r="F391" s="45"/>
      <c r="G391" s="42"/>
      <c r="H391" s="42"/>
      <c r="I391" s="42"/>
      <c r="J391" s="22"/>
    </row>
    <row r="392" ht="40.5" customHeight="1">
      <c r="A392" s="1">
        <v>391.0</v>
      </c>
      <c r="B392" s="2" t="s">
        <v>31</v>
      </c>
      <c r="C392" s="2" t="s">
        <v>27</v>
      </c>
      <c r="D392" s="13"/>
      <c r="E392" s="13"/>
      <c r="F392" s="44" t="s">
        <v>659</v>
      </c>
      <c r="G392" s="43">
        <v>2.0</v>
      </c>
      <c r="H392" s="42"/>
      <c r="I392" s="43">
        <v>1.0</v>
      </c>
      <c r="J392" s="22"/>
    </row>
    <row r="393" ht="40.5" customHeight="1">
      <c r="A393" s="1">
        <v>392.0</v>
      </c>
      <c r="B393" s="2" t="s">
        <v>32</v>
      </c>
      <c r="C393" s="2" t="s">
        <v>69</v>
      </c>
      <c r="D393" s="13"/>
      <c r="E393" s="51">
        <v>0.9791666666666666</v>
      </c>
      <c r="F393" s="44" t="s">
        <v>511</v>
      </c>
      <c r="G393" s="42"/>
      <c r="H393" s="42"/>
      <c r="I393" s="42"/>
      <c r="J393" s="22"/>
    </row>
    <row r="394" ht="40.5" customHeight="1">
      <c r="A394" s="1">
        <v>393.0</v>
      </c>
      <c r="B394" s="2" t="s">
        <v>67</v>
      </c>
      <c r="C394" s="2"/>
      <c r="D394" s="53">
        <v>0.1111111111111111</v>
      </c>
      <c r="E394" s="13"/>
      <c r="F394" s="44" t="s">
        <v>660</v>
      </c>
      <c r="G394" s="42"/>
      <c r="H394" s="42"/>
      <c r="I394" s="42"/>
      <c r="J394" s="22"/>
    </row>
    <row r="395" ht="40.5" customHeight="1">
      <c r="A395" s="1">
        <v>394.0</v>
      </c>
      <c r="B395" s="2" t="s">
        <v>34</v>
      </c>
      <c r="C395" s="2" t="s">
        <v>69</v>
      </c>
      <c r="D395" s="13"/>
      <c r="E395" s="51">
        <v>0.9791666666666666</v>
      </c>
      <c r="F395" s="44" t="s">
        <v>661</v>
      </c>
      <c r="G395" s="42"/>
      <c r="H395" s="42"/>
      <c r="I395" s="42"/>
      <c r="J395" s="22"/>
    </row>
    <row r="396" ht="40.5" customHeight="1">
      <c r="A396" s="1">
        <v>395.0</v>
      </c>
      <c r="B396" s="2" t="s">
        <v>35</v>
      </c>
      <c r="C396" s="2"/>
      <c r="D396" s="53">
        <v>0.1111111111111111</v>
      </c>
      <c r="E396" s="13"/>
      <c r="F396" s="44" t="s">
        <v>662</v>
      </c>
      <c r="G396" s="42"/>
      <c r="H396" s="42"/>
      <c r="I396" s="42"/>
      <c r="J396" s="22"/>
    </row>
    <row r="397" ht="40.5" hidden="1" customHeight="1">
      <c r="A397" s="1">
        <v>396.0</v>
      </c>
      <c r="B397" s="2" t="s">
        <v>36</v>
      </c>
      <c r="C397" s="2" t="s">
        <v>66</v>
      </c>
      <c r="D397" s="13"/>
      <c r="E397" s="13"/>
      <c r="F397" s="45"/>
      <c r="G397" s="42"/>
      <c r="H397" s="42"/>
      <c r="I397" s="42"/>
      <c r="J397" s="22"/>
    </row>
    <row r="398" ht="40.5" customHeight="1">
      <c r="A398" s="1">
        <v>397.0</v>
      </c>
      <c r="B398" s="2" t="s">
        <v>38</v>
      </c>
      <c r="C398" s="2"/>
      <c r="D398" s="53">
        <v>0.2916666666666667</v>
      </c>
      <c r="E398" s="13"/>
      <c r="F398" s="44" t="s">
        <v>663</v>
      </c>
      <c r="G398" s="42"/>
      <c r="H398" s="42"/>
      <c r="I398" s="42"/>
      <c r="J398" s="22"/>
    </row>
    <row r="399" ht="40.5" customHeight="1">
      <c r="A399" s="1">
        <v>398.0</v>
      </c>
      <c r="B399" s="2" t="s">
        <v>41</v>
      </c>
      <c r="C399" s="2" t="s">
        <v>54</v>
      </c>
      <c r="D399" s="53">
        <v>0.1111111111111111</v>
      </c>
      <c r="E399" s="13"/>
      <c r="F399" s="44" t="s">
        <v>664</v>
      </c>
      <c r="G399" s="42"/>
      <c r="H399" s="42"/>
      <c r="I399" s="42"/>
      <c r="J399" s="22"/>
    </row>
    <row r="400" ht="40.5" customHeight="1">
      <c r="A400" s="1">
        <v>399.0</v>
      </c>
      <c r="B400" s="2" t="s">
        <v>42</v>
      </c>
      <c r="C400" s="2"/>
      <c r="D400" s="53">
        <v>0.2916666666666667</v>
      </c>
      <c r="E400" s="13"/>
      <c r="F400" s="44" t="s">
        <v>665</v>
      </c>
      <c r="G400" s="42"/>
      <c r="H400" s="42"/>
      <c r="I400" s="42"/>
      <c r="J400" s="22"/>
    </row>
    <row r="401" ht="40.5" customHeight="1">
      <c r="A401" s="1">
        <v>400.0</v>
      </c>
      <c r="B401" s="2" t="s">
        <v>43</v>
      </c>
      <c r="C401" s="2"/>
      <c r="D401" s="53">
        <v>0.2916666666666667</v>
      </c>
      <c r="E401" s="13"/>
      <c r="F401" s="44" t="s">
        <v>514</v>
      </c>
      <c r="G401" s="42"/>
      <c r="H401" s="42"/>
      <c r="I401" s="42"/>
      <c r="J401" s="22"/>
    </row>
    <row r="402" ht="40.5" customHeight="1">
      <c r="A402" s="1">
        <v>401.0</v>
      </c>
      <c r="B402" s="2" t="s">
        <v>45</v>
      </c>
      <c r="C402" s="2" t="s">
        <v>54</v>
      </c>
      <c r="D402" s="53">
        <v>0.1111111111111111</v>
      </c>
      <c r="E402" s="13"/>
      <c r="F402" s="44" t="s">
        <v>666</v>
      </c>
      <c r="G402" s="42"/>
      <c r="H402" s="42"/>
      <c r="I402" s="42"/>
      <c r="J402" s="22"/>
    </row>
    <row r="403" ht="40.5" customHeight="1">
      <c r="A403" s="1">
        <v>402.0</v>
      </c>
      <c r="B403" s="2" t="s">
        <v>46</v>
      </c>
      <c r="C403" s="2" t="s">
        <v>39</v>
      </c>
      <c r="D403" s="53">
        <v>0.1111111111111111</v>
      </c>
      <c r="E403" s="13"/>
      <c r="F403" s="44" t="s">
        <v>667</v>
      </c>
      <c r="G403" s="42"/>
      <c r="H403" s="42"/>
      <c r="I403" s="42"/>
      <c r="J403" s="22"/>
    </row>
    <row r="404" ht="40.5" customHeight="1">
      <c r="A404" s="1">
        <v>403.0</v>
      </c>
      <c r="B404" s="2" t="s">
        <v>47</v>
      </c>
      <c r="C404" s="2" t="s">
        <v>39</v>
      </c>
      <c r="D404" s="53">
        <v>0.1111111111111111</v>
      </c>
      <c r="E404" s="13"/>
      <c r="F404" s="44" t="s">
        <v>668</v>
      </c>
      <c r="G404" s="42"/>
      <c r="H404" s="42"/>
      <c r="I404" s="42"/>
      <c r="J404" s="22"/>
    </row>
    <row r="405" ht="40.5" customHeight="1">
      <c r="A405" s="1">
        <v>404.0</v>
      </c>
      <c r="B405" s="2" t="s">
        <v>48</v>
      </c>
      <c r="C405" s="2" t="s">
        <v>69</v>
      </c>
      <c r="D405" s="13"/>
      <c r="E405" s="51">
        <v>0.9791666666666666</v>
      </c>
      <c r="F405" s="44" t="s">
        <v>669</v>
      </c>
      <c r="G405" s="42"/>
      <c r="H405" s="42"/>
      <c r="I405" s="42"/>
      <c r="J405" s="22"/>
    </row>
    <row r="406" ht="40.5" customHeight="1">
      <c r="A406" s="1">
        <v>405.0</v>
      </c>
      <c r="B406" s="21"/>
      <c r="C406" s="21"/>
      <c r="D406" s="21"/>
      <c r="E406" s="21"/>
      <c r="F406" s="46"/>
      <c r="G406" s="47"/>
      <c r="H406" s="47"/>
      <c r="I406" s="47"/>
      <c r="J406" s="48"/>
      <c r="K406" s="49"/>
      <c r="L406" s="49"/>
      <c r="M406" s="49"/>
    </row>
    <row r="407" ht="40.5" customHeight="1">
      <c r="A407" s="1">
        <v>406.0</v>
      </c>
      <c r="B407" s="2" t="s">
        <v>12</v>
      </c>
      <c r="C407" s="2" t="s">
        <v>62</v>
      </c>
      <c r="D407" s="40"/>
      <c r="E407" s="40"/>
      <c r="F407" s="45"/>
      <c r="G407" s="42"/>
      <c r="H407" s="42"/>
      <c r="I407" s="42"/>
      <c r="J407" s="27" t="s">
        <v>491</v>
      </c>
      <c r="K407" s="15" t="s">
        <v>274</v>
      </c>
    </row>
    <row r="408" ht="40.5" customHeight="1">
      <c r="A408" s="1">
        <v>407.0</v>
      </c>
      <c r="B408" s="2" t="s">
        <v>16</v>
      </c>
      <c r="C408" s="2" t="s">
        <v>27</v>
      </c>
      <c r="D408" s="13"/>
      <c r="E408" s="13"/>
      <c r="F408" s="44" t="s">
        <v>670</v>
      </c>
      <c r="G408" s="43">
        <v>3.0</v>
      </c>
      <c r="H408" s="42"/>
      <c r="I408" s="43">
        <v>1.0</v>
      </c>
      <c r="J408" s="27" t="s">
        <v>274</v>
      </c>
    </row>
    <row r="409" ht="40.5" customHeight="1">
      <c r="A409" s="1">
        <v>408.0</v>
      </c>
      <c r="B409" s="2" t="s">
        <v>17</v>
      </c>
      <c r="C409" s="2" t="s">
        <v>54</v>
      </c>
      <c r="D409" s="13"/>
      <c r="E409" s="51">
        <v>0.8125</v>
      </c>
      <c r="F409" s="44" t="s">
        <v>671</v>
      </c>
      <c r="G409" s="43">
        <v>1.0</v>
      </c>
      <c r="H409" s="42"/>
      <c r="I409" s="42"/>
      <c r="J409" s="27" t="s">
        <v>111</v>
      </c>
    </row>
    <row r="410" ht="40.5" customHeight="1">
      <c r="A410" s="1">
        <v>409.0</v>
      </c>
      <c r="B410" s="2" t="s">
        <v>331</v>
      </c>
      <c r="C410" s="2" t="s">
        <v>542</v>
      </c>
      <c r="D410" s="13"/>
      <c r="E410" s="13"/>
      <c r="F410" s="44" t="s">
        <v>503</v>
      </c>
      <c r="G410" s="43">
        <v>1.0</v>
      </c>
      <c r="H410" s="42"/>
      <c r="I410" s="42"/>
      <c r="J410" s="22"/>
    </row>
    <row r="411" ht="40.5" customHeight="1">
      <c r="A411" s="1">
        <v>410.0</v>
      </c>
      <c r="B411" s="2" t="s">
        <v>21</v>
      </c>
      <c r="C411" s="2" t="s">
        <v>63</v>
      </c>
      <c r="D411" s="13"/>
      <c r="E411" s="13"/>
      <c r="F411" s="45"/>
      <c r="G411" s="42"/>
      <c r="H411" s="42"/>
      <c r="I411" s="42"/>
      <c r="J411" s="22"/>
    </row>
    <row r="412" ht="40.5" customHeight="1">
      <c r="A412" s="1">
        <v>411.0</v>
      </c>
      <c r="B412" s="2" t="s">
        <v>22</v>
      </c>
      <c r="C412" s="2"/>
      <c r="D412" s="13"/>
      <c r="E412" s="13"/>
      <c r="F412" s="44" t="s">
        <v>672</v>
      </c>
      <c r="G412" s="43">
        <v>1.0</v>
      </c>
      <c r="H412" s="42"/>
      <c r="I412" s="42"/>
      <c r="J412" s="22"/>
    </row>
    <row r="413" ht="40.5" customHeight="1">
      <c r="A413" s="1">
        <v>412.0</v>
      </c>
      <c r="B413" s="2" t="s">
        <v>23</v>
      </c>
      <c r="C413" s="2" t="s">
        <v>54</v>
      </c>
      <c r="D413" s="13"/>
      <c r="E413" s="13"/>
      <c r="F413" s="44" t="s">
        <v>673</v>
      </c>
      <c r="G413" s="43">
        <v>1.0</v>
      </c>
      <c r="H413" s="42"/>
      <c r="I413" s="42"/>
      <c r="J413" s="22"/>
    </row>
    <row r="414" ht="40.5" customHeight="1">
      <c r="A414" s="1">
        <v>413.0</v>
      </c>
      <c r="B414" s="2" t="s">
        <v>24</v>
      </c>
      <c r="C414" s="2" t="s">
        <v>277</v>
      </c>
      <c r="D414" s="13"/>
      <c r="E414" s="13"/>
      <c r="F414" s="45"/>
      <c r="G414" s="42"/>
      <c r="H414" s="42"/>
      <c r="I414" s="42"/>
      <c r="J414" s="22"/>
    </row>
    <row r="415" ht="40.5" customHeight="1">
      <c r="A415" s="1">
        <v>414.0</v>
      </c>
      <c r="B415" s="2" t="s">
        <v>25</v>
      </c>
      <c r="C415" s="2"/>
      <c r="D415" s="13"/>
      <c r="E415" s="51">
        <v>0.8472222222222222</v>
      </c>
      <c r="F415" s="44" t="s">
        <v>674</v>
      </c>
      <c r="G415" s="43">
        <v>1.0</v>
      </c>
      <c r="H415" s="43"/>
      <c r="I415" s="43"/>
      <c r="J415" s="22"/>
    </row>
    <row r="416" ht="40.5" customHeight="1">
      <c r="A416" s="1">
        <v>415.0</v>
      </c>
      <c r="B416" s="2" t="s">
        <v>26</v>
      </c>
      <c r="C416" s="2"/>
      <c r="D416" s="13"/>
      <c r="E416" s="51">
        <v>0.8263888888888888</v>
      </c>
      <c r="F416" s="44" t="s">
        <v>675</v>
      </c>
      <c r="G416" s="43">
        <v>1.0</v>
      </c>
      <c r="H416" s="42"/>
      <c r="I416" s="42"/>
      <c r="J416" s="22"/>
    </row>
    <row r="417" ht="40.5" hidden="1" customHeight="1">
      <c r="A417" s="1">
        <v>416.0</v>
      </c>
      <c r="B417" s="2" t="s">
        <v>29</v>
      </c>
      <c r="C417" s="2" t="s">
        <v>58</v>
      </c>
      <c r="D417" s="13"/>
      <c r="E417" s="13"/>
      <c r="F417" s="44"/>
      <c r="G417" s="42"/>
      <c r="H417" s="42"/>
      <c r="I417" s="42"/>
      <c r="J417" s="22"/>
    </row>
    <row r="418" ht="40.5" customHeight="1">
      <c r="A418" s="1">
        <v>417.0</v>
      </c>
      <c r="B418" s="2" t="s">
        <v>30</v>
      </c>
      <c r="C418" s="2" t="s">
        <v>64</v>
      </c>
      <c r="D418" s="13"/>
      <c r="E418" s="13"/>
      <c r="F418" s="44"/>
      <c r="G418" s="42"/>
      <c r="H418" s="42"/>
      <c r="I418" s="42"/>
      <c r="J418" s="22"/>
    </row>
    <row r="419" ht="40.5" customHeight="1">
      <c r="A419" s="1">
        <v>418.0</v>
      </c>
      <c r="B419" s="2" t="s">
        <v>31</v>
      </c>
      <c r="C419" s="2" t="s">
        <v>44</v>
      </c>
      <c r="D419" s="55"/>
      <c r="E419" s="55">
        <v>0.3958333333333333</v>
      </c>
      <c r="F419" s="52" t="s">
        <v>676</v>
      </c>
      <c r="G419" s="56">
        <v>1.0</v>
      </c>
      <c r="H419" s="42"/>
      <c r="I419" s="42"/>
      <c r="J419" s="22"/>
    </row>
    <row r="420" ht="40.5" customHeight="1">
      <c r="A420" s="1">
        <v>419.0</v>
      </c>
      <c r="B420" s="2" t="s">
        <v>32</v>
      </c>
      <c r="C420" s="2"/>
      <c r="D420" s="13"/>
      <c r="E420" s="13"/>
      <c r="F420" s="44" t="s">
        <v>677</v>
      </c>
      <c r="G420" s="43">
        <v>1.0</v>
      </c>
      <c r="H420" s="42"/>
      <c r="I420" s="42"/>
      <c r="J420" s="22"/>
    </row>
    <row r="421" ht="40.5" customHeight="1">
      <c r="A421" s="1">
        <v>420.0</v>
      </c>
      <c r="B421" s="2" t="s">
        <v>67</v>
      </c>
      <c r="C421" s="2" t="s">
        <v>69</v>
      </c>
      <c r="D421" s="13"/>
      <c r="E421" s="51">
        <v>0.9375</v>
      </c>
      <c r="F421" s="44" t="s">
        <v>678</v>
      </c>
      <c r="G421" s="43">
        <v>2.0</v>
      </c>
      <c r="H421" s="42"/>
      <c r="I421" s="43">
        <v>1.0</v>
      </c>
      <c r="J421" s="22"/>
    </row>
    <row r="422" ht="40.5" customHeight="1">
      <c r="A422" s="1">
        <v>421.0</v>
      </c>
      <c r="B422" s="2" t="s">
        <v>34</v>
      </c>
      <c r="C422" s="2" t="s">
        <v>69</v>
      </c>
      <c r="D422" s="13"/>
      <c r="E422" s="40">
        <v>0.9166666666666666</v>
      </c>
      <c r="F422" s="44" t="s">
        <v>679</v>
      </c>
      <c r="G422" s="43">
        <v>1.0</v>
      </c>
      <c r="H422" s="43"/>
      <c r="I422" s="43">
        <v>1.0</v>
      </c>
      <c r="J422" s="22"/>
    </row>
    <row r="423" ht="40.5" customHeight="1">
      <c r="A423" s="1">
        <v>422.0</v>
      </c>
      <c r="B423" s="2" t="s">
        <v>35</v>
      </c>
      <c r="C423" s="2"/>
      <c r="D423" s="13"/>
      <c r="E423" s="13"/>
      <c r="F423" s="44" t="s">
        <v>680</v>
      </c>
      <c r="G423" s="43">
        <v>1.0</v>
      </c>
      <c r="H423" s="42"/>
      <c r="I423" s="42"/>
      <c r="J423" s="22"/>
    </row>
    <row r="424" ht="40.5" customHeight="1">
      <c r="A424" s="1">
        <v>423.0</v>
      </c>
      <c r="B424" s="2" t="s">
        <v>36</v>
      </c>
      <c r="C424" s="2" t="s">
        <v>39</v>
      </c>
      <c r="D424" s="53">
        <v>0.25</v>
      </c>
      <c r="E424" s="13"/>
      <c r="F424" s="44" t="s">
        <v>681</v>
      </c>
      <c r="G424" s="43">
        <v>1.0</v>
      </c>
      <c r="H424" s="42"/>
      <c r="I424" s="42"/>
      <c r="J424" s="22"/>
    </row>
    <row r="425" ht="40.5" customHeight="1">
      <c r="A425" s="1">
        <v>424.0</v>
      </c>
      <c r="B425" s="2" t="s">
        <v>38</v>
      </c>
      <c r="C425" s="2" t="s">
        <v>54</v>
      </c>
      <c r="D425" s="13"/>
      <c r="E425" s="51">
        <v>0.8541666666666666</v>
      </c>
      <c r="F425" s="44" t="s">
        <v>682</v>
      </c>
      <c r="G425" s="43">
        <v>2.0</v>
      </c>
      <c r="H425" s="42"/>
      <c r="I425" s="43">
        <v>1.0</v>
      </c>
      <c r="J425" s="22"/>
    </row>
    <row r="426" ht="40.5" hidden="1" customHeight="1">
      <c r="A426" s="1">
        <v>425.0</v>
      </c>
      <c r="B426" s="2" t="s">
        <v>41</v>
      </c>
      <c r="C426" s="2" t="s">
        <v>58</v>
      </c>
      <c r="D426" s="13"/>
      <c r="E426" s="13"/>
      <c r="F426" s="44"/>
      <c r="G426" s="42"/>
      <c r="H426" s="42"/>
      <c r="I426" s="42"/>
      <c r="J426" s="22"/>
    </row>
    <row r="427" ht="40.5" customHeight="1">
      <c r="A427" s="1">
        <v>426.0</v>
      </c>
      <c r="B427" s="2" t="s">
        <v>42</v>
      </c>
      <c r="C427" s="2" t="s">
        <v>69</v>
      </c>
      <c r="D427" s="13"/>
      <c r="E427" s="51">
        <v>0.9236111111111112</v>
      </c>
      <c r="F427" s="44" t="s">
        <v>683</v>
      </c>
      <c r="G427" s="43">
        <v>2.0</v>
      </c>
      <c r="H427" s="42"/>
      <c r="I427" s="43">
        <v>1.0</v>
      </c>
      <c r="J427" s="22"/>
    </row>
    <row r="428" ht="40.5" customHeight="1">
      <c r="A428" s="1">
        <v>427.0</v>
      </c>
      <c r="B428" s="2" t="s">
        <v>43</v>
      </c>
      <c r="C428" s="2" t="s">
        <v>39</v>
      </c>
      <c r="D428" s="40">
        <v>0.2916666666666667</v>
      </c>
      <c r="E428" s="13"/>
      <c r="F428" s="44" t="s">
        <v>676</v>
      </c>
      <c r="G428" s="43">
        <v>1.0</v>
      </c>
      <c r="H428" s="42"/>
      <c r="I428" s="42"/>
      <c r="J428" s="22"/>
    </row>
    <row r="429" ht="40.5" customHeight="1">
      <c r="A429" s="1">
        <v>428.0</v>
      </c>
      <c r="B429" s="2" t="s">
        <v>45</v>
      </c>
      <c r="C429" s="2" t="s">
        <v>54</v>
      </c>
      <c r="D429" s="53">
        <v>0.3472222222222222</v>
      </c>
      <c r="E429" s="40">
        <v>0.7638888888888888</v>
      </c>
      <c r="F429" s="44" t="s">
        <v>684</v>
      </c>
      <c r="G429" s="43">
        <v>1.0</v>
      </c>
      <c r="H429" s="42"/>
      <c r="I429" s="42"/>
      <c r="J429" s="22"/>
    </row>
    <row r="430" ht="40.5" customHeight="1">
      <c r="A430" s="1">
        <v>429.0</v>
      </c>
      <c r="B430" s="2" t="s">
        <v>46</v>
      </c>
      <c r="C430" s="2"/>
      <c r="D430" s="40"/>
      <c r="E430" s="51">
        <v>0.7708333333333334</v>
      </c>
      <c r="F430" s="44" t="s">
        <v>685</v>
      </c>
      <c r="G430" s="43">
        <v>1.0</v>
      </c>
      <c r="H430" s="42"/>
      <c r="I430" s="43">
        <v>1.0</v>
      </c>
      <c r="J430" s="22"/>
    </row>
    <row r="431" ht="40.5" hidden="1" customHeight="1">
      <c r="A431" s="1">
        <v>430.0</v>
      </c>
      <c r="B431" s="2" t="s">
        <v>47</v>
      </c>
      <c r="C431" s="2" t="s">
        <v>58</v>
      </c>
      <c r="D431" s="13"/>
      <c r="E431" s="13"/>
      <c r="F431" s="45"/>
      <c r="G431" s="42"/>
      <c r="H431" s="42"/>
      <c r="I431" s="42"/>
      <c r="J431" s="22"/>
    </row>
    <row r="432" ht="40.5" hidden="1" customHeight="1">
      <c r="A432" s="1">
        <v>431.0</v>
      </c>
      <c r="B432" s="2" t="s">
        <v>48</v>
      </c>
      <c r="C432" s="2" t="s">
        <v>66</v>
      </c>
      <c r="D432" s="13"/>
      <c r="E432" s="13"/>
      <c r="F432" s="45"/>
      <c r="G432" s="42"/>
      <c r="H432" s="42"/>
      <c r="I432" s="42"/>
      <c r="J432" s="22"/>
    </row>
    <row r="433" ht="40.5" customHeight="1">
      <c r="A433" s="1">
        <v>432.0</v>
      </c>
      <c r="B433" s="21"/>
      <c r="C433" s="21"/>
      <c r="D433" s="21"/>
      <c r="E433" s="21"/>
      <c r="F433" s="46"/>
      <c r="G433" s="47"/>
      <c r="H433" s="47"/>
      <c r="I433" s="47"/>
      <c r="J433" s="48"/>
      <c r="K433" s="49"/>
      <c r="L433" s="49"/>
      <c r="M433" s="49"/>
    </row>
    <row r="434" ht="40.5" customHeight="1">
      <c r="A434" s="1">
        <v>433.0</v>
      </c>
      <c r="B434" s="2" t="s">
        <v>12</v>
      </c>
      <c r="C434" s="2" t="s">
        <v>62</v>
      </c>
      <c r="D434" s="13"/>
      <c r="E434" s="13"/>
      <c r="F434" s="45"/>
      <c r="G434" s="42"/>
      <c r="H434" s="42"/>
      <c r="I434" s="42"/>
      <c r="J434" s="27" t="s">
        <v>491</v>
      </c>
      <c r="K434" s="15" t="s">
        <v>294</v>
      </c>
    </row>
    <row r="435" ht="40.5" customHeight="1">
      <c r="A435" s="1">
        <v>434.0</v>
      </c>
      <c r="B435" s="2" t="s">
        <v>16</v>
      </c>
      <c r="C435" s="2" t="s">
        <v>44</v>
      </c>
      <c r="D435" s="13"/>
      <c r="E435" s="55">
        <v>0.3125</v>
      </c>
      <c r="F435" s="52" t="s">
        <v>686</v>
      </c>
      <c r="G435" s="56">
        <v>1.0</v>
      </c>
      <c r="H435" s="42"/>
      <c r="I435" s="56">
        <v>1.0</v>
      </c>
      <c r="J435" s="27" t="s">
        <v>294</v>
      </c>
    </row>
    <row r="436" ht="40.5" customHeight="1">
      <c r="A436" s="1">
        <v>435.0</v>
      </c>
      <c r="B436" s="2" t="s">
        <v>17</v>
      </c>
      <c r="C436" s="2" t="s">
        <v>54</v>
      </c>
      <c r="D436" s="13"/>
      <c r="E436" s="13"/>
      <c r="F436" s="44" t="s">
        <v>687</v>
      </c>
      <c r="G436" s="43">
        <v>1.0</v>
      </c>
      <c r="H436" s="42"/>
      <c r="I436" s="42"/>
      <c r="J436" s="27" t="s">
        <v>131</v>
      </c>
    </row>
    <row r="437" ht="40.5" customHeight="1">
      <c r="A437" s="1">
        <v>436.0</v>
      </c>
      <c r="B437" s="2" t="s">
        <v>331</v>
      </c>
      <c r="C437" s="2" t="s">
        <v>542</v>
      </c>
      <c r="D437" s="13"/>
      <c r="E437" s="13"/>
      <c r="F437" s="44" t="s">
        <v>674</v>
      </c>
      <c r="G437" s="43">
        <v>2.0</v>
      </c>
      <c r="H437" s="42"/>
      <c r="I437" s="42"/>
      <c r="J437" s="22"/>
    </row>
    <row r="438" ht="40.5" customHeight="1">
      <c r="A438" s="1">
        <v>437.0</v>
      </c>
      <c r="B438" s="2" t="s">
        <v>21</v>
      </c>
      <c r="C438" s="2" t="s">
        <v>63</v>
      </c>
      <c r="D438" s="13"/>
      <c r="E438" s="13"/>
      <c r="F438" s="45"/>
      <c r="G438" s="42"/>
      <c r="H438" s="42"/>
      <c r="I438" s="42"/>
      <c r="J438" s="22"/>
    </row>
    <row r="439" ht="40.5" customHeight="1">
      <c r="A439" s="1">
        <v>438.0</v>
      </c>
      <c r="B439" s="2" t="s">
        <v>22</v>
      </c>
      <c r="C439" s="2" t="s">
        <v>39</v>
      </c>
      <c r="D439" s="13"/>
      <c r="E439" s="13"/>
      <c r="F439" s="44" t="s">
        <v>688</v>
      </c>
      <c r="G439" s="43">
        <v>1.0</v>
      </c>
      <c r="H439" s="42"/>
      <c r="I439" s="42"/>
      <c r="J439" s="22"/>
    </row>
    <row r="440" ht="40.5" customHeight="1">
      <c r="A440" s="1">
        <v>439.0</v>
      </c>
      <c r="B440" s="2" t="s">
        <v>23</v>
      </c>
      <c r="C440" s="2" t="s">
        <v>69</v>
      </c>
      <c r="D440" s="13"/>
      <c r="E440" s="13"/>
      <c r="F440" s="44" t="s">
        <v>689</v>
      </c>
      <c r="G440" s="43">
        <v>1.0</v>
      </c>
      <c r="H440" s="42"/>
      <c r="I440" s="42"/>
      <c r="J440" s="22"/>
    </row>
    <row r="441" ht="40.5" customHeight="1">
      <c r="A441" s="1">
        <v>440.0</v>
      </c>
      <c r="B441" s="2" t="s">
        <v>24</v>
      </c>
      <c r="C441" s="2" t="s">
        <v>277</v>
      </c>
      <c r="D441" s="13"/>
      <c r="E441" s="13"/>
      <c r="F441" s="45"/>
      <c r="G441" s="42"/>
      <c r="H441" s="42"/>
      <c r="I441" s="42"/>
      <c r="J441" s="22"/>
    </row>
    <row r="442" ht="40.5" customHeight="1">
      <c r="A442" s="1">
        <v>441.0</v>
      </c>
      <c r="B442" s="2" t="s">
        <v>25</v>
      </c>
      <c r="C442" s="2" t="s">
        <v>69</v>
      </c>
      <c r="D442" s="13"/>
      <c r="E442" s="13"/>
      <c r="F442" s="44" t="s">
        <v>511</v>
      </c>
      <c r="G442" s="43">
        <v>1.0</v>
      </c>
      <c r="H442" s="42"/>
      <c r="I442" s="42"/>
      <c r="J442" s="22"/>
    </row>
    <row r="443" ht="40.5" customHeight="1">
      <c r="A443" s="1">
        <v>442.0</v>
      </c>
      <c r="B443" s="2" t="s">
        <v>116</v>
      </c>
      <c r="C443" s="2"/>
      <c r="D443" s="13"/>
      <c r="E443" s="13"/>
      <c r="F443" s="44" t="s">
        <v>690</v>
      </c>
      <c r="G443" s="43">
        <v>1.0</v>
      </c>
      <c r="H443" s="42"/>
      <c r="I443" s="42"/>
      <c r="J443" s="22"/>
    </row>
    <row r="444" ht="40.5" customHeight="1">
      <c r="A444" s="1">
        <v>443.0</v>
      </c>
      <c r="B444" s="2" t="s">
        <v>29</v>
      </c>
      <c r="C444" s="2" t="s">
        <v>69</v>
      </c>
      <c r="D444" s="13"/>
      <c r="E444" s="13"/>
      <c r="F444" s="44" t="s">
        <v>691</v>
      </c>
      <c r="G444" s="43">
        <v>1.0</v>
      </c>
      <c r="H444" s="42"/>
      <c r="I444" s="42"/>
      <c r="J444" s="22"/>
    </row>
    <row r="445" ht="40.5" customHeight="1">
      <c r="A445" s="1">
        <v>444.0</v>
      </c>
      <c r="B445" s="2" t="s">
        <v>30</v>
      </c>
      <c r="C445" s="2" t="s">
        <v>64</v>
      </c>
      <c r="D445" s="13"/>
      <c r="E445" s="13"/>
      <c r="F445" s="45"/>
      <c r="G445" s="42"/>
      <c r="H445" s="42"/>
      <c r="I445" s="42"/>
      <c r="J445" s="22"/>
    </row>
    <row r="446" ht="40.5" customHeight="1">
      <c r="A446" s="1">
        <v>445.0</v>
      </c>
      <c r="B446" s="2" t="s">
        <v>31</v>
      </c>
      <c r="C446" s="2" t="s">
        <v>54</v>
      </c>
      <c r="D446" s="13"/>
      <c r="E446" s="13"/>
      <c r="F446" s="45"/>
      <c r="G446" s="42"/>
      <c r="H446" s="42"/>
      <c r="I446" s="42"/>
      <c r="J446" s="22"/>
    </row>
    <row r="447" ht="40.5" hidden="1" customHeight="1">
      <c r="A447" s="1">
        <v>446.0</v>
      </c>
      <c r="B447" s="2" t="s">
        <v>32</v>
      </c>
      <c r="C447" s="2" t="s">
        <v>66</v>
      </c>
      <c r="D447" s="13"/>
      <c r="E447" s="13"/>
      <c r="F447" s="45"/>
      <c r="G447" s="42"/>
      <c r="H447" s="42"/>
      <c r="I447" s="42"/>
      <c r="J447" s="22"/>
    </row>
    <row r="448" ht="40.5" customHeight="1">
      <c r="A448" s="1">
        <v>447.0</v>
      </c>
      <c r="B448" s="2" t="s">
        <v>67</v>
      </c>
      <c r="C448" s="2"/>
      <c r="D448" s="13"/>
      <c r="E448" s="13"/>
      <c r="F448" s="44" t="s">
        <v>692</v>
      </c>
      <c r="G448" s="43">
        <v>1.0</v>
      </c>
      <c r="H448" s="42"/>
      <c r="I448" s="43">
        <v>1.0</v>
      </c>
      <c r="J448" s="22"/>
    </row>
    <row r="449" ht="40.5" customHeight="1">
      <c r="A449" s="1">
        <v>448.0</v>
      </c>
      <c r="B449" s="2" t="s">
        <v>34</v>
      </c>
      <c r="C449" s="2"/>
      <c r="D449" s="13"/>
      <c r="E449" s="13"/>
      <c r="F449" s="44" t="s">
        <v>693</v>
      </c>
      <c r="G449" s="42"/>
      <c r="H449" s="42"/>
      <c r="I449" s="42"/>
      <c r="J449" s="22"/>
    </row>
    <row r="450" ht="40.5" customHeight="1">
      <c r="A450" s="1">
        <v>449.0</v>
      </c>
      <c r="B450" s="2" t="s">
        <v>35</v>
      </c>
      <c r="C450" s="2" t="s">
        <v>39</v>
      </c>
      <c r="D450" s="13"/>
      <c r="E450" s="13"/>
      <c r="F450" s="44" t="s">
        <v>510</v>
      </c>
      <c r="G450" s="43">
        <v>1.0</v>
      </c>
      <c r="H450" s="42"/>
      <c r="I450" s="43">
        <v>1.0</v>
      </c>
      <c r="J450" s="22"/>
    </row>
    <row r="451" ht="40.5" customHeight="1">
      <c r="A451" s="1">
        <v>450.0</v>
      </c>
      <c r="B451" s="2" t="s">
        <v>36</v>
      </c>
      <c r="C451" s="2"/>
      <c r="D451" s="13"/>
      <c r="E451" s="13"/>
      <c r="F451" s="44" t="s">
        <v>694</v>
      </c>
      <c r="G451" s="43">
        <v>1.0</v>
      </c>
      <c r="H451" s="42"/>
      <c r="I451" s="42"/>
      <c r="J451" s="22"/>
    </row>
    <row r="452" ht="40.5" customHeight="1">
      <c r="A452" s="1">
        <v>451.0</v>
      </c>
      <c r="B452" s="2" t="s">
        <v>38</v>
      </c>
      <c r="C452" s="13"/>
      <c r="D452" s="13"/>
      <c r="E452" s="13"/>
      <c r="F452" s="44" t="s">
        <v>695</v>
      </c>
      <c r="G452" s="43">
        <v>1.0</v>
      </c>
      <c r="H452" s="42"/>
      <c r="I452" s="43">
        <v>1.0</v>
      </c>
      <c r="J452" s="22"/>
    </row>
    <row r="453" ht="40.5" customHeight="1">
      <c r="A453" s="1">
        <v>452.0</v>
      </c>
      <c r="B453" s="2" t="s">
        <v>41</v>
      </c>
      <c r="C453" s="2" t="s">
        <v>54</v>
      </c>
      <c r="D453" s="13"/>
      <c r="E453" s="13"/>
      <c r="F453" s="44" t="s">
        <v>696</v>
      </c>
      <c r="G453" s="43">
        <v>1.0</v>
      </c>
      <c r="H453" s="42"/>
      <c r="I453" s="42"/>
      <c r="J453" s="22"/>
    </row>
    <row r="454" ht="40.5" customHeight="1">
      <c r="A454" s="1">
        <v>453.0</v>
      </c>
      <c r="B454" s="2" t="s">
        <v>42</v>
      </c>
      <c r="C454" s="2"/>
      <c r="D454" s="13"/>
      <c r="E454" s="13"/>
      <c r="F454" s="45"/>
      <c r="G454" s="42"/>
      <c r="H454" s="42"/>
      <c r="I454" s="42"/>
      <c r="J454" s="22"/>
    </row>
    <row r="455" ht="40.5" customHeight="1">
      <c r="A455" s="1">
        <v>454.0</v>
      </c>
      <c r="B455" s="2" t="s">
        <v>43</v>
      </c>
      <c r="C455" s="2"/>
      <c r="D455" s="13"/>
      <c r="E455" s="13"/>
      <c r="F455" s="44" t="s">
        <v>697</v>
      </c>
      <c r="G455" s="43">
        <v>1.0</v>
      </c>
      <c r="H455" s="42"/>
      <c r="I455" s="42"/>
      <c r="J455" s="22"/>
    </row>
    <row r="456" ht="40.5" hidden="1" customHeight="1">
      <c r="A456" s="1">
        <v>455.0</v>
      </c>
      <c r="B456" s="2" t="s">
        <v>45</v>
      </c>
      <c r="C456" s="2" t="s">
        <v>58</v>
      </c>
      <c r="D456" s="13"/>
      <c r="E456" s="13"/>
      <c r="F456" s="45"/>
      <c r="G456" s="42"/>
      <c r="H456" s="42"/>
      <c r="I456" s="42"/>
      <c r="J456" s="22"/>
    </row>
    <row r="457" ht="40.5" customHeight="1">
      <c r="A457" s="1">
        <v>456.0</v>
      </c>
      <c r="B457" s="2" t="s">
        <v>46</v>
      </c>
      <c r="C457" s="2" t="s">
        <v>54</v>
      </c>
      <c r="D457" s="13"/>
      <c r="E457" s="13"/>
      <c r="F457" s="44" t="s">
        <v>503</v>
      </c>
      <c r="G457" s="43">
        <v>1.0</v>
      </c>
      <c r="H457" s="42"/>
      <c r="I457" s="42"/>
      <c r="J457" s="22"/>
    </row>
    <row r="458" ht="40.5" hidden="1" customHeight="1">
      <c r="A458" s="1">
        <v>457.0</v>
      </c>
      <c r="B458" s="2" t="s">
        <v>47</v>
      </c>
      <c r="C458" s="2" t="s">
        <v>66</v>
      </c>
      <c r="D458" s="13"/>
      <c r="E458" s="13"/>
      <c r="F458" s="45"/>
      <c r="G458" s="42"/>
      <c r="H458" s="42"/>
      <c r="I458" s="42"/>
      <c r="J458" s="22"/>
    </row>
    <row r="459" ht="40.5" customHeight="1">
      <c r="A459" s="1">
        <v>458.0</v>
      </c>
      <c r="B459" s="2" t="s">
        <v>48</v>
      </c>
      <c r="C459" s="2" t="s">
        <v>27</v>
      </c>
      <c r="D459" s="13"/>
      <c r="E459" s="13"/>
      <c r="F459" s="44" t="s">
        <v>698</v>
      </c>
      <c r="G459" s="43">
        <v>1.0</v>
      </c>
      <c r="H459" s="42"/>
      <c r="I459" s="42"/>
      <c r="J459" s="22"/>
    </row>
    <row r="460" ht="40.5" customHeight="1">
      <c r="A460" s="1">
        <v>459.0</v>
      </c>
      <c r="B460" s="21"/>
      <c r="C460" s="21"/>
      <c r="D460" s="21"/>
      <c r="E460" s="21"/>
      <c r="F460" s="46"/>
      <c r="G460" s="47"/>
      <c r="H460" s="47"/>
      <c r="I460" s="47"/>
      <c r="J460" s="48"/>
      <c r="K460" s="49"/>
      <c r="L460" s="49"/>
      <c r="M460" s="49"/>
    </row>
    <row r="461" ht="40.5" customHeight="1">
      <c r="A461" s="1">
        <v>460.0</v>
      </c>
      <c r="B461" s="2" t="s">
        <v>12</v>
      </c>
      <c r="C461" s="2" t="s">
        <v>145</v>
      </c>
      <c r="D461" s="40">
        <v>0.4583333333333333</v>
      </c>
      <c r="E461" s="58" t="s">
        <v>699</v>
      </c>
      <c r="F461" s="44" t="s">
        <v>700</v>
      </c>
      <c r="G461" s="43">
        <v>2.0</v>
      </c>
      <c r="H461" s="42"/>
      <c r="I461" s="43">
        <v>1.0</v>
      </c>
      <c r="J461" s="27" t="s">
        <v>491</v>
      </c>
      <c r="K461" s="15" t="s">
        <v>309</v>
      </c>
    </row>
    <row r="462" ht="40.5" customHeight="1">
      <c r="A462" s="1">
        <v>461.0</v>
      </c>
      <c r="B462" s="2" t="s">
        <v>116</v>
      </c>
      <c r="C462" s="2" t="s">
        <v>145</v>
      </c>
      <c r="D462" s="40">
        <v>0.4583333333333333</v>
      </c>
      <c r="E462" s="58" t="s">
        <v>699</v>
      </c>
      <c r="F462" s="44" t="s">
        <v>701</v>
      </c>
      <c r="G462" s="43">
        <v>3.0</v>
      </c>
      <c r="H462" s="42"/>
      <c r="I462" s="43">
        <v>1.0</v>
      </c>
      <c r="J462" s="27" t="s">
        <v>309</v>
      </c>
    </row>
    <row r="463" ht="40.5" hidden="1" customHeight="1">
      <c r="A463" s="1">
        <v>462.0</v>
      </c>
      <c r="B463" s="2" t="s">
        <v>17</v>
      </c>
      <c r="C463" s="2" t="s">
        <v>13</v>
      </c>
      <c r="D463" s="13"/>
      <c r="E463" s="13"/>
      <c r="F463" s="45"/>
      <c r="G463" s="42"/>
      <c r="H463" s="42"/>
      <c r="I463" s="42"/>
      <c r="J463" s="27" t="s">
        <v>149</v>
      </c>
    </row>
    <row r="464" ht="40.5" customHeight="1">
      <c r="A464" s="1">
        <v>463.0</v>
      </c>
      <c r="B464" s="2" t="s">
        <v>331</v>
      </c>
      <c r="C464" s="2"/>
      <c r="D464" s="40">
        <v>0.375</v>
      </c>
      <c r="E464" s="51">
        <v>0.8958333333333334</v>
      </c>
      <c r="F464" s="44" t="s">
        <v>702</v>
      </c>
      <c r="G464" s="43">
        <v>1.0</v>
      </c>
      <c r="H464" s="42"/>
      <c r="I464" s="42"/>
      <c r="J464" s="27" t="s">
        <v>410</v>
      </c>
    </row>
    <row r="465" ht="40.5" customHeight="1">
      <c r="A465" s="1">
        <v>464.0</v>
      </c>
      <c r="B465" s="2" t="s">
        <v>21</v>
      </c>
      <c r="C465" s="2" t="s">
        <v>63</v>
      </c>
      <c r="D465" s="13"/>
      <c r="E465" s="13"/>
      <c r="F465" s="45"/>
      <c r="G465" s="42"/>
      <c r="H465" s="42"/>
      <c r="I465" s="42"/>
      <c r="J465" s="27" t="s">
        <v>412</v>
      </c>
    </row>
    <row r="466" ht="40.5" customHeight="1">
      <c r="A466" s="1">
        <v>465.0</v>
      </c>
      <c r="B466" s="2" t="s">
        <v>22</v>
      </c>
      <c r="C466" s="2" t="s">
        <v>145</v>
      </c>
      <c r="D466" s="40">
        <v>0.4166666666666667</v>
      </c>
      <c r="E466" s="51">
        <v>0.9375</v>
      </c>
      <c r="F466" s="44" t="s">
        <v>703</v>
      </c>
      <c r="G466" s="43">
        <v>1.0</v>
      </c>
      <c r="H466" s="42"/>
      <c r="I466" s="42"/>
      <c r="J466" s="27" t="s">
        <v>413</v>
      </c>
    </row>
    <row r="467" ht="40.5" hidden="1" customHeight="1">
      <c r="A467" s="1">
        <v>466.0</v>
      </c>
      <c r="B467" s="2" t="s">
        <v>23</v>
      </c>
      <c r="C467" s="2" t="s">
        <v>13</v>
      </c>
      <c r="D467" s="13"/>
      <c r="E467" s="13"/>
      <c r="F467" s="45"/>
      <c r="G467" s="42"/>
      <c r="H467" s="42"/>
      <c r="I467" s="42"/>
      <c r="J467" s="22"/>
    </row>
    <row r="468" ht="40.5" hidden="1" customHeight="1">
      <c r="A468" s="1">
        <v>467.0</v>
      </c>
      <c r="B468" s="2" t="s">
        <v>24</v>
      </c>
      <c r="C468" s="2" t="s">
        <v>13</v>
      </c>
      <c r="D468" s="13"/>
      <c r="E468" s="13"/>
      <c r="F468" s="45"/>
      <c r="G468" s="42"/>
      <c r="H468" s="42"/>
      <c r="I468" s="42"/>
      <c r="J468" s="22"/>
    </row>
    <row r="469" ht="40.5" hidden="1" customHeight="1">
      <c r="A469" s="1">
        <v>468.0</v>
      </c>
      <c r="B469" s="2" t="s">
        <v>25</v>
      </c>
      <c r="C469" s="2" t="s">
        <v>13</v>
      </c>
      <c r="D469" s="13"/>
      <c r="E469" s="13"/>
      <c r="F469" s="45"/>
      <c r="G469" s="42"/>
      <c r="H469" s="42"/>
      <c r="I469" s="42"/>
      <c r="J469" s="22"/>
    </row>
    <row r="470" ht="40.5" hidden="1" customHeight="1">
      <c r="A470" s="1">
        <v>469.0</v>
      </c>
      <c r="B470" s="2" t="s">
        <v>26</v>
      </c>
      <c r="C470" s="2" t="s">
        <v>13</v>
      </c>
      <c r="D470" s="13"/>
      <c r="E470" s="13"/>
      <c r="F470" s="45"/>
      <c r="G470" s="42"/>
      <c r="H470" s="42"/>
      <c r="I470" s="42"/>
      <c r="J470" s="22"/>
    </row>
    <row r="471" ht="40.5" hidden="1" customHeight="1">
      <c r="A471" s="1">
        <v>470.0</v>
      </c>
      <c r="B471" s="2" t="s">
        <v>29</v>
      </c>
      <c r="C471" s="2" t="s">
        <v>13</v>
      </c>
      <c r="D471" s="13"/>
      <c r="E471" s="13"/>
      <c r="F471" s="45"/>
      <c r="G471" s="42"/>
      <c r="H471" s="42"/>
      <c r="I471" s="42"/>
      <c r="J471" s="22"/>
    </row>
    <row r="472" ht="40.5" customHeight="1">
      <c r="A472" s="1">
        <v>471.0</v>
      </c>
      <c r="B472" s="2" t="s">
        <v>30</v>
      </c>
      <c r="C472" s="2" t="s">
        <v>27</v>
      </c>
      <c r="D472" s="53">
        <v>0.5</v>
      </c>
      <c r="E472" s="13"/>
      <c r="F472" s="44" t="s">
        <v>704</v>
      </c>
      <c r="G472" s="43">
        <v>2.0</v>
      </c>
      <c r="H472" s="42"/>
      <c r="I472" s="42"/>
      <c r="J472" s="22"/>
    </row>
    <row r="473" ht="40.5" hidden="1" customHeight="1">
      <c r="A473" s="1">
        <v>472.0</v>
      </c>
      <c r="B473" s="2" t="s">
        <v>31</v>
      </c>
      <c r="C473" s="2" t="s">
        <v>13</v>
      </c>
      <c r="D473" s="13"/>
      <c r="E473" s="13"/>
      <c r="F473" s="45"/>
      <c r="G473" s="42"/>
      <c r="H473" s="42"/>
      <c r="I473" s="42"/>
      <c r="J473" s="22"/>
    </row>
    <row r="474" ht="40.5" hidden="1" customHeight="1">
      <c r="A474" s="1">
        <v>473.0</v>
      </c>
      <c r="B474" s="2" t="s">
        <v>32</v>
      </c>
      <c r="C474" s="2" t="s">
        <v>13</v>
      </c>
      <c r="D474" s="13"/>
      <c r="E474" s="13"/>
      <c r="F474" s="45"/>
      <c r="G474" s="42"/>
      <c r="H474" s="42"/>
      <c r="I474" s="42"/>
      <c r="J474" s="22"/>
    </row>
    <row r="475" ht="40.5" hidden="1" customHeight="1">
      <c r="A475" s="1">
        <v>474.0</v>
      </c>
      <c r="B475" s="2" t="s">
        <v>67</v>
      </c>
      <c r="C475" s="2" t="s">
        <v>13</v>
      </c>
      <c r="D475" s="13"/>
      <c r="E475" s="13"/>
      <c r="F475" s="45"/>
      <c r="G475" s="42"/>
      <c r="H475" s="42"/>
      <c r="I475" s="42"/>
      <c r="J475" s="22"/>
    </row>
    <row r="476" ht="40.5" hidden="1" customHeight="1">
      <c r="A476" s="1">
        <v>475.0</v>
      </c>
      <c r="B476" s="2" t="s">
        <v>34</v>
      </c>
      <c r="C476" s="2" t="s">
        <v>13</v>
      </c>
      <c r="D476" s="13"/>
      <c r="E476" s="13"/>
      <c r="F476" s="45"/>
      <c r="G476" s="42"/>
      <c r="H476" s="42"/>
      <c r="I476" s="42"/>
      <c r="J476" s="22"/>
    </row>
    <row r="477" ht="40.5" customHeight="1">
      <c r="A477" s="1">
        <v>476.0</v>
      </c>
      <c r="B477" s="2" t="s">
        <v>35</v>
      </c>
      <c r="C477" s="2" t="s">
        <v>49</v>
      </c>
      <c r="D477" s="40">
        <v>0.4583333333333333</v>
      </c>
      <c r="E477" s="51">
        <v>0.9097222222222222</v>
      </c>
      <c r="F477" s="44" t="s">
        <v>705</v>
      </c>
      <c r="G477" s="43">
        <v>1.0</v>
      </c>
      <c r="H477" s="42"/>
      <c r="I477" s="43">
        <v>1.0</v>
      </c>
      <c r="J477" s="22"/>
    </row>
    <row r="478" ht="40.5" hidden="1" customHeight="1">
      <c r="A478" s="1">
        <v>477.0</v>
      </c>
      <c r="B478" s="2" t="s">
        <v>36</v>
      </c>
      <c r="C478" s="2" t="s">
        <v>13</v>
      </c>
      <c r="D478" s="13"/>
      <c r="E478" s="13"/>
      <c r="F478" s="45"/>
      <c r="G478" s="42"/>
      <c r="H478" s="42"/>
      <c r="I478" s="42"/>
      <c r="J478" s="22"/>
    </row>
    <row r="479" ht="40.5" hidden="1" customHeight="1">
      <c r="A479" s="1">
        <v>478.0</v>
      </c>
      <c r="B479" s="2" t="s">
        <v>38</v>
      </c>
      <c r="C479" s="2" t="s">
        <v>13</v>
      </c>
      <c r="D479" s="13"/>
      <c r="E479" s="13"/>
      <c r="F479" s="45"/>
      <c r="G479" s="42"/>
      <c r="H479" s="42"/>
      <c r="I479" s="42"/>
      <c r="J479" s="22"/>
    </row>
    <row r="480" ht="40.5" hidden="1" customHeight="1">
      <c r="A480" s="1">
        <v>479.0</v>
      </c>
      <c r="B480" s="2" t="s">
        <v>41</v>
      </c>
      <c r="C480" s="2" t="s">
        <v>13</v>
      </c>
      <c r="D480" s="13"/>
      <c r="E480" s="13"/>
      <c r="F480" s="45"/>
      <c r="G480" s="42"/>
      <c r="H480" s="42"/>
      <c r="I480" s="42"/>
      <c r="J480" s="22"/>
    </row>
    <row r="481" ht="40.5" hidden="1" customHeight="1">
      <c r="A481" s="1">
        <v>480.0</v>
      </c>
      <c r="B481" s="2" t="s">
        <v>42</v>
      </c>
      <c r="C481" s="2" t="s">
        <v>13</v>
      </c>
      <c r="D481" s="13"/>
      <c r="E481" s="13"/>
      <c r="F481" s="45"/>
      <c r="G481" s="42"/>
      <c r="H481" s="42"/>
      <c r="I481" s="42"/>
      <c r="J481" s="22"/>
    </row>
    <row r="482" ht="40.5" hidden="1" customHeight="1">
      <c r="A482" s="1">
        <v>481.0</v>
      </c>
      <c r="B482" s="2" t="s">
        <v>43</v>
      </c>
      <c r="C482" s="2" t="s">
        <v>13</v>
      </c>
      <c r="D482" s="13"/>
      <c r="E482" s="13"/>
      <c r="F482" s="45"/>
      <c r="G482" s="42"/>
      <c r="H482" s="42"/>
      <c r="I482" s="42"/>
      <c r="J482" s="22"/>
    </row>
    <row r="483" ht="40.5" hidden="1" customHeight="1">
      <c r="A483" s="1">
        <v>482.0</v>
      </c>
      <c r="B483" s="2" t="s">
        <v>45</v>
      </c>
      <c r="C483" s="2" t="s">
        <v>13</v>
      </c>
      <c r="D483" s="13"/>
      <c r="E483" s="13"/>
      <c r="F483" s="45"/>
      <c r="G483" s="42"/>
      <c r="H483" s="42"/>
      <c r="I483" s="42"/>
      <c r="J483" s="22"/>
    </row>
    <row r="484" ht="40.5" customHeight="1">
      <c r="A484" s="1">
        <v>483.0</v>
      </c>
      <c r="B484" s="2" t="s">
        <v>46</v>
      </c>
      <c r="C484" s="2" t="s">
        <v>39</v>
      </c>
      <c r="D484" s="40">
        <v>0.3333333333333333</v>
      </c>
      <c r="E484" s="51">
        <v>0.9027777777777778</v>
      </c>
      <c r="F484" s="44" t="s">
        <v>706</v>
      </c>
      <c r="G484" s="43">
        <v>2.0</v>
      </c>
      <c r="H484" s="42"/>
      <c r="I484" s="42"/>
      <c r="J484" s="22"/>
    </row>
    <row r="485" ht="40.5" hidden="1" customHeight="1">
      <c r="A485" s="1">
        <v>484.0</v>
      </c>
      <c r="B485" s="2" t="s">
        <v>47</v>
      </c>
      <c r="C485" s="2" t="s">
        <v>13</v>
      </c>
      <c r="D485" s="13"/>
      <c r="E485" s="13"/>
      <c r="F485" s="45"/>
      <c r="G485" s="42"/>
      <c r="H485" s="42"/>
      <c r="I485" s="42"/>
      <c r="J485" s="22"/>
    </row>
    <row r="486" ht="40.5" customHeight="1">
      <c r="A486" s="1">
        <v>485.0</v>
      </c>
      <c r="B486" s="2" t="s">
        <v>48</v>
      </c>
      <c r="C486" s="2" t="s">
        <v>44</v>
      </c>
      <c r="D486" s="13"/>
      <c r="E486" s="13"/>
      <c r="F486" s="45"/>
      <c r="G486" s="42"/>
      <c r="H486" s="42"/>
      <c r="I486" s="42"/>
      <c r="J486" s="22"/>
    </row>
    <row r="487" ht="40.5" customHeight="1">
      <c r="A487" s="1">
        <v>486.0</v>
      </c>
      <c r="B487" s="21"/>
      <c r="C487" s="21"/>
      <c r="D487" s="21"/>
      <c r="E487" s="21"/>
      <c r="F487" s="46"/>
      <c r="G487" s="47"/>
      <c r="H487" s="47"/>
      <c r="I487" s="47"/>
      <c r="J487" s="48"/>
      <c r="K487" s="49"/>
      <c r="L487" s="49"/>
      <c r="M487" s="49"/>
    </row>
    <row r="488" ht="40.5" hidden="1" customHeight="1">
      <c r="A488" s="1">
        <v>487.0</v>
      </c>
      <c r="B488" s="2" t="s">
        <v>12</v>
      </c>
      <c r="C488" s="2" t="s">
        <v>13</v>
      </c>
      <c r="D488" s="13"/>
      <c r="E488" s="13"/>
      <c r="F488" s="45"/>
      <c r="G488" s="42"/>
      <c r="H488" s="42"/>
      <c r="I488" s="42"/>
      <c r="J488" s="27" t="s">
        <v>491</v>
      </c>
      <c r="K488" s="15" t="s">
        <v>328</v>
      </c>
    </row>
    <row r="489" ht="40.5" customHeight="1">
      <c r="A489" s="1">
        <v>488.0</v>
      </c>
      <c r="B489" s="2" t="s">
        <v>16</v>
      </c>
      <c r="C489" s="13"/>
      <c r="D489" s="53">
        <v>0.3333333333333333</v>
      </c>
      <c r="E489" s="13"/>
      <c r="F489" s="44" t="s">
        <v>707</v>
      </c>
      <c r="G489" s="43">
        <v>1.0</v>
      </c>
      <c r="H489" s="42"/>
      <c r="I489" s="42"/>
      <c r="J489" s="27" t="s">
        <v>328</v>
      </c>
    </row>
    <row r="490" ht="40.5" hidden="1" customHeight="1">
      <c r="A490" s="1">
        <v>489.0</v>
      </c>
      <c r="B490" s="2" t="s">
        <v>17</v>
      </c>
      <c r="C490" s="2" t="s">
        <v>13</v>
      </c>
      <c r="D490" s="13"/>
      <c r="E490" s="13"/>
      <c r="F490" s="44"/>
      <c r="G490" s="42"/>
      <c r="H490" s="42"/>
      <c r="I490" s="42"/>
      <c r="J490" s="27" t="s">
        <v>19</v>
      </c>
    </row>
    <row r="491" ht="40.5" hidden="1" customHeight="1">
      <c r="A491" s="1">
        <v>490.0</v>
      </c>
      <c r="B491" s="2" t="s">
        <v>331</v>
      </c>
      <c r="C491" s="2" t="s">
        <v>13</v>
      </c>
      <c r="D491" s="13"/>
      <c r="E491" s="13"/>
      <c r="F491" s="45"/>
      <c r="G491" s="42"/>
      <c r="H491" s="42"/>
      <c r="I491" s="42"/>
      <c r="J491" s="27" t="s">
        <v>165</v>
      </c>
    </row>
    <row r="492" ht="40.5" customHeight="1">
      <c r="A492" s="1">
        <v>491.0</v>
      </c>
      <c r="B492" s="2" t="s">
        <v>21</v>
      </c>
      <c r="C492" s="2" t="s">
        <v>277</v>
      </c>
      <c r="D492" s="13"/>
      <c r="E492" s="13"/>
      <c r="F492" s="45"/>
      <c r="G492" s="42"/>
      <c r="H492" s="42"/>
      <c r="I492" s="42"/>
      <c r="J492" s="27" t="s">
        <v>166</v>
      </c>
    </row>
    <row r="493" ht="40.5" hidden="1" customHeight="1">
      <c r="A493" s="1">
        <v>492.0</v>
      </c>
      <c r="B493" s="2" t="s">
        <v>22</v>
      </c>
      <c r="C493" s="2" t="s">
        <v>13</v>
      </c>
      <c r="D493" s="13"/>
      <c r="E493" s="13"/>
      <c r="F493" s="45"/>
      <c r="G493" s="42"/>
      <c r="H493" s="42"/>
      <c r="I493" s="42"/>
      <c r="J493" s="27" t="s">
        <v>167</v>
      </c>
    </row>
    <row r="494" ht="40.5" customHeight="1">
      <c r="A494" s="1">
        <v>493.0</v>
      </c>
      <c r="B494" s="2" t="s">
        <v>23</v>
      </c>
      <c r="C494" s="2" t="s">
        <v>49</v>
      </c>
      <c r="D494" s="40">
        <v>0.4583333333333333</v>
      </c>
      <c r="E494" s="40">
        <v>0.8333333333333334</v>
      </c>
      <c r="F494" s="44" t="s">
        <v>708</v>
      </c>
      <c r="G494" s="43">
        <v>1.0</v>
      </c>
      <c r="H494" s="42"/>
      <c r="I494" s="42"/>
      <c r="J494" s="22"/>
    </row>
    <row r="495" ht="40.5" hidden="1" customHeight="1">
      <c r="A495" s="1">
        <v>494.0</v>
      </c>
      <c r="B495" s="2" t="s">
        <v>24</v>
      </c>
      <c r="C495" s="2" t="s">
        <v>13</v>
      </c>
      <c r="D495" s="13"/>
      <c r="E495" s="13"/>
      <c r="F495" s="45"/>
      <c r="G495" s="42"/>
      <c r="H495" s="42"/>
      <c r="I495" s="42"/>
      <c r="J495" s="22"/>
    </row>
    <row r="496" ht="40.5" customHeight="1">
      <c r="A496" s="1">
        <v>495.0</v>
      </c>
      <c r="B496" s="2" t="s">
        <v>25</v>
      </c>
      <c r="C496" s="2" t="s">
        <v>39</v>
      </c>
      <c r="D496" s="40">
        <v>0.3333333333333333</v>
      </c>
      <c r="E496" s="13"/>
      <c r="F496" s="44" t="s">
        <v>709</v>
      </c>
      <c r="G496" s="43">
        <v>1.0</v>
      </c>
      <c r="H496" s="42"/>
      <c r="I496" s="42"/>
      <c r="J496" s="22"/>
    </row>
    <row r="497" ht="40.5" hidden="1" customHeight="1">
      <c r="A497" s="1">
        <v>496.0</v>
      </c>
      <c r="B497" s="2" t="s">
        <v>26</v>
      </c>
      <c r="C497" s="2" t="s">
        <v>13</v>
      </c>
      <c r="D497" s="13"/>
      <c r="E497" s="13"/>
      <c r="F497" s="45"/>
      <c r="G497" s="42"/>
      <c r="H497" s="42"/>
      <c r="I497" s="42"/>
      <c r="J497" s="22"/>
    </row>
    <row r="498" ht="40.5" customHeight="1">
      <c r="A498" s="1">
        <v>497.0</v>
      </c>
      <c r="B498" s="2" t="s">
        <v>29</v>
      </c>
      <c r="C498" s="2" t="s">
        <v>145</v>
      </c>
      <c r="D498" s="40">
        <v>0.4166666666666667</v>
      </c>
      <c r="E498" s="51">
        <v>0.8541666666666666</v>
      </c>
      <c r="F498" s="44" t="s">
        <v>710</v>
      </c>
      <c r="G498" s="43">
        <v>1.0</v>
      </c>
      <c r="H498" s="42"/>
      <c r="I498" s="42"/>
      <c r="J498" s="22"/>
    </row>
    <row r="499" ht="40.5" customHeight="1">
      <c r="A499" s="1">
        <v>498.0</v>
      </c>
      <c r="B499" s="2" t="s">
        <v>30</v>
      </c>
      <c r="C499" s="2" t="s">
        <v>44</v>
      </c>
      <c r="D499" s="13"/>
      <c r="E499" s="13"/>
      <c r="F499" s="45"/>
      <c r="G499" s="42"/>
      <c r="H499" s="42"/>
      <c r="I499" s="42"/>
      <c r="J499" s="22"/>
    </row>
    <row r="500" ht="40.5" customHeight="1">
      <c r="A500" s="1">
        <v>499.0</v>
      </c>
      <c r="B500" s="2" t="s">
        <v>31</v>
      </c>
      <c r="C500" s="2" t="s">
        <v>145</v>
      </c>
      <c r="D500" s="40">
        <v>0.4166666666666667</v>
      </c>
      <c r="E500" s="13"/>
      <c r="F500" s="44" t="s">
        <v>711</v>
      </c>
      <c r="G500" s="43">
        <v>1.0</v>
      </c>
      <c r="H500" s="42"/>
      <c r="I500" s="42"/>
      <c r="J500" s="22"/>
    </row>
    <row r="501" ht="40.5" hidden="1" customHeight="1">
      <c r="A501" s="1">
        <v>500.0</v>
      </c>
      <c r="B501" s="2" t="s">
        <v>32</v>
      </c>
      <c r="C501" s="2" t="s">
        <v>13</v>
      </c>
      <c r="D501" s="13"/>
      <c r="E501" s="13"/>
      <c r="F501" s="45"/>
      <c r="G501" s="42"/>
      <c r="H501" s="42"/>
      <c r="I501" s="42"/>
      <c r="J501" s="22"/>
    </row>
    <row r="502" ht="40.5" hidden="1" customHeight="1">
      <c r="A502" s="1">
        <v>501.0</v>
      </c>
      <c r="B502" s="2" t="s">
        <v>67</v>
      </c>
      <c r="C502" s="2" t="s">
        <v>13</v>
      </c>
      <c r="D502" s="13"/>
      <c r="E502" s="13"/>
      <c r="F502" s="45"/>
      <c r="G502" s="42"/>
      <c r="H502" s="42"/>
      <c r="I502" s="42"/>
      <c r="J502" s="22"/>
    </row>
    <row r="503" ht="40.5" hidden="1" customHeight="1">
      <c r="A503" s="1">
        <v>502.0</v>
      </c>
      <c r="B503" s="2" t="s">
        <v>34</v>
      </c>
      <c r="C503" s="2" t="s">
        <v>13</v>
      </c>
      <c r="D503" s="13"/>
      <c r="E503" s="13"/>
      <c r="F503" s="45"/>
      <c r="G503" s="42"/>
      <c r="H503" s="42"/>
      <c r="I503" s="42"/>
      <c r="J503" s="22"/>
    </row>
    <row r="504" ht="40.5" hidden="1" customHeight="1">
      <c r="A504" s="1">
        <v>503.0</v>
      </c>
      <c r="B504" s="2" t="s">
        <v>35</v>
      </c>
      <c r="C504" s="2" t="s">
        <v>13</v>
      </c>
      <c r="D504" s="13"/>
      <c r="E504" s="13"/>
      <c r="F504" s="45"/>
      <c r="G504" s="42"/>
      <c r="H504" s="42"/>
      <c r="I504" s="42"/>
      <c r="J504" s="22"/>
    </row>
    <row r="505" ht="40.5" hidden="1" customHeight="1">
      <c r="A505" s="1">
        <v>504.0</v>
      </c>
      <c r="B505" s="2" t="s">
        <v>36</v>
      </c>
      <c r="C505" s="2" t="s">
        <v>13</v>
      </c>
      <c r="D505" s="13"/>
      <c r="E505" s="13"/>
      <c r="F505" s="45"/>
      <c r="G505" s="42"/>
      <c r="H505" s="42"/>
      <c r="I505" s="42"/>
      <c r="J505" s="22"/>
    </row>
    <row r="506" ht="40.5" hidden="1" customHeight="1">
      <c r="A506" s="1">
        <v>505.0</v>
      </c>
      <c r="B506" s="2" t="s">
        <v>38</v>
      </c>
      <c r="C506" s="2" t="s">
        <v>13</v>
      </c>
      <c r="D506" s="13"/>
      <c r="E506" s="13"/>
      <c r="F506" s="45"/>
      <c r="G506" s="42"/>
      <c r="H506" s="42"/>
      <c r="I506" s="42"/>
      <c r="J506" s="22"/>
    </row>
    <row r="507" ht="40.5" hidden="1" customHeight="1">
      <c r="A507" s="1">
        <v>506.0</v>
      </c>
      <c r="B507" s="2" t="s">
        <v>41</v>
      </c>
      <c r="C507" s="2" t="s">
        <v>13</v>
      </c>
      <c r="D507" s="13"/>
      <c r="E507" s="13"/>
      <c r="F507" s="45"/>
      <c r="G507" s="42"/>
      <c r="H507" s="42"/>
      <c r="I507" s="42"/>
      <c r="J507" s="22"/>
    </row>
    <row r="508" ht="40.5" customHeight="1">
      <c r="A508" s="1">
        <v>507.0</v>
      </c>
      <c r="B508" s="2" t="s">
        <v>42</v>
      </c>
      <c r="C508" s="2" t="s">
        <v>27</v>
      </c>
      <c r="D508" s="40">
        <v>0.6875</v>
      </c>
      <c r="E508" s="13"/>
      <c r="F508" s="44" t="s">
        <v>712</v>
      </c>
      <c r="G508" s="43">
        <v>2.0</v>
      </c>
      <c r="H508" s="42"/>
      <c r="I508" s="42"/>
      <c r="J508" s="22"/>
    </row>
    <row r="509" ht="40.5" hidden="1" customHeight="1">
      <c r="A509" s="1">
        <v>508.0</v>
      </c>
      <c r="B509" s="2" t="s">
        <v>43</v>
      </c>
      <c r="C509" s="2" t="s">
        <v>13</v>
      </c>
      <c r="D509" s="13"/>
      <c r="E509" s="13"/>
      <c r="F509" s="45"/>
      <c r="G509" s="42"/>
      <c r="H509" s="42"/>
      <c r="I509" s="42"/>
      <c r="J509" s="22"/>
    </row>
    <row r="510" ht="40.5" hidden="1" customHeight="1">
      <c r="A510" s="1">
        <v>509.0</v>
      </c>
      <c r="B510" s="2" t="s">
        <v>45</v>
      </c>
      <c r="C510" s="2" t="s">
        <v>13</v>
      </c>
      <c r="D510" s="13"/>
      <c r="E510" s="13"/>
      <c r="F510" s="45"/>
      <c r="G510" s="42"/>
      <c r="H510" s="42"/>
      <c r="I510" s="42"/>
      <c r="J510" s="22"/>
    </row>
    <row r="511" ht="40.5" hidden="1" customHeight="1">
      <c r="A511" s="1">
        <v>510.0</v>
      </c>
      <c r="B511" s="2" t="s">
        <v>46</v>
      </c>
      <c r="C511" s="2" t="s">
        <v>13</v>
      </c>
      <c r="D511" s="13"/>
      <c r="E511" s="13"/>
      <c r="F511" s="45"/>
      <c r="G511" s="42"/>
      <c r="H511" s="42"/>
      <c r="I511" s="42"/>
      <c r="J511" s="22"/>
    </row>
    <row r="512" ht="40.5" hidden="1" customHeight="1">
      <c r="A512" s="1">
        <v>511.0</v>
      </c>
      <c r="B512" s="2" t="s">
        <v>47</v>
      </c>
      <c r="C512" s="2" t="s">
        <v>13</v>
      </c>
      <c r="D512" s="13"/>
      <c r="E512" s="13"/>
      <c r="F512" s="45"/>
      <c r="G512" s="42"/>
      <c r="H512" s="42"/>
      <c r="I512" s="42"/>
      <c r="J512" s="22"/>
    </row>
    <row r="513" ht="40.5" hidden="1" customHeight="1">
      <c r="A513" s="1">
        <v>512.0</v>
      </c>
      <c r="B513" s="2" t="s">
        <v>48</v>
      </c>
      <c r="C513" s="2" t="s">
        <v>13</v>
      </c>
      <c r="D513" s="13"/>
      <c r="E513" s="13"/>
      <c r="F513" s="45"/>
      <c r="G513" s="42"/>
      <c r="H513" s="42"/>
      <c r="I513" s="42"/>
      <c r="J513" s="22"/>
    </row>
    <row r="514" ht="40.5" customHeight="1">
      <c r="A514" s="1">
        <v>513.0</v>
      </c>
      <c r="B514" s="21"/>
      <c r="C514" s="21"/>
      <c r="D514" s="21"/>
      <c r="E514" s="21"/>
      <c r="F514" s="46"/>
      <c r="G514" s="47"/>
      <c r="H514" s="47"/>
      <c r="I514" s="47"/>
      <c r="J514" s="48"/>
      <c r="K514" s="49"/>
      <c r="L514" s="49"/>
      <c r="M514" s="49"/>
    </row>
    <row r="515" ht="40.5" hidden="1" customHeight="1">
      <c r="A515" s="1">
        <v>514.0</v>
      </c>
      <c r="B515" s="2" t="s">
        <v>12</v>
      </c>
      <c r="C515" s="2" t="s">
        <v>58</v>
      </c>
      <c r="D515" s="13"/>
      <c r="E515" s="13"/>
      <c r="F515" s="45"/>
      <c r="G515" s="42"/>
      <c r="H515" s="42"/>
      <c r="I515" s="42"/>
      <c r="J515" s="27" t="s">
        <v>491</v>
      </c>
      <c r="K515" s="15" t="s">
        <v>347</v>
      </c>
    </row>
    <row r="516" ht="40.5" customHeight="1">
      <c r="A516" s="1">
        <v>515.0</v>
      </c>
      <c r="B516" s="2" t="s">
        <v>16</v>
      </c>
      <c r="C516" s="2" t="s">
        <v>39</v>
      </c>
      <c r="D516" s="13"/>
      <c r="E516" s="13"/>
      <c r="F516" s="44" t="s">
        <v>713</v>
      </c>
      <c r="G516" s="43">
        <v>1.0</v>
      </c>
      <c r="H516" s="42"/>
      <c r="I516" s="43">
        <v>1.0</v>
      </c>
      <c r="J516" s="27" t="s">
        <v>347</v>
      </c>
    </row>
    <row r="517" ht="40.5" customHeight="1">
      <c r="A517" s="1">
        <v>516.0</v>
      </c>
      <c r="B517" s="2" t="s">
        <v>17</v>
      </c>
      <c r="C517" s="2" t="s">
        <v>54</v>
      </c>
      <c r="D517" s="13"/>
      <c r="E517" s="13"/>
      <c r="F517" s="44" t="s">
        <v>714</v>
      </c>
      <c r="G517" s="43">
        <v>1.0</v>
      </c>
      <c r="H517" s="42"/>
      <c r="I517" s="43">
        <v>1.0</v>
      </c>
      <c r="J517" s="27" t="s">
        <v>56</v>
      </c>
    </row>
    <row r="518" ht="40.5" customHeight="1">
      <c r="A518" s="1">
        <v>517.0</v>
      </c>
      <c r="B518" s="2" t="s">
        <v>331</v>
      </c>
      <c r="C518" s="2" t="s">
        <v>542</v>
      </c>
      <c r="D518" s="13"/>
      <c r="E518" s="13"/>
      <c r="F518" s="44"/>
      <c r="G518" s="42"/>
      <c r="H518" s="42"/>
      <c r="I518" s="42"/>
      <c r="J518" s="22"/>
    </row>
    <row r="519" ht="40.5" customHeight="1">
      <c r="A519" s="1">
        <v>518.0</v>
      </c>
      <c r="B519" s="2" t="s">
        <v>21</v>
      </c>
      <c r="C519" s="2" t="s">
        <v>277</v>
      </c>
      <c r="D519" s="13"/>
      <c r="E519" s="13"/>
      <c r="F519" s="45"/>
      <c r="G519" s="42"/>
      <c r="H519" s="42"/>
      <c r="I519" s="42"/>
      <c r="J519" s="22"/>
    </row>
    <row r="520" ht="40.5" customHeight="1">
      <c r="A520" s="1">
        <v>519.0</v>
      </c>
      <c r="B520" s="2" t="s">
        <v>22</v>
      </c>
      <c r="C520" s="2"/>
      <c r="D520" s="13"/>
      <c r="E520" s="13"/>
      <c r="F520" s="44" t="s">
        <v>715</v>
      </c>
      <c r="G520" s="43">
        <v>1.0</v>
      </c>
      <c r="H520" s="42"/>
      <c r="I520" s="42"/>
      <c r="J520" s="22"/>
    </row>
    <row r="521" ht="40.5" customHeight="1">
      <c r="A521" s="1">
        <v>520.0</v>
      </c>
      <c r="B521" s="2" t="s">
        <v>23</v>
      </c>
      <c r="C521" s="2"/>
      <c r="D521" s="13"/>
      <c r="E521" s="13"/>
      <c r="F521" s="44" t="s">
        <v>716</v>
      </c>
      <c r="G521" s="43">
        <v>1.0</v>
      </c>
      <c r="H521" s="42"/>
      <c r="I521" s="42"/>
      <c r="J521" s="22"/>
    </row>
    <row r="522" ht="40.5" hidden="1" customHeight="1">
      <c r="A522" s="1">
        <v>521.0</v>
      </c>
      <c r="B522" s="2" t="s">
        <v>24</v>
      </c>
      <c r="C522" s="2" t="s">
        <v>58</v>
      </c>
      <c r="D522" s="13"/>
      <c r="E522" s="13"/>
      <c r="F522" s="45"/>
      <c r="G522" s="42"/>
      <c r="H522" s="42"/>
      <c r="I522" s="42"/>
      <c r="J522" s="22"/>
    </row>
    <row r="523" ht="40.5" customHeight="1">
      <c r="A523" s="1">
        <v>522.0</v>
      </c>
      <c r="B523" s="2" t="s">
        <v>25</v>
      </c>
      <c r="C523" s="2"/>
      <c r="D523" s="13"/>
      <c r="E523" s="13"/>
      <c r="F523" s="44" t="s">
        <v>717</v>
      </c>
      <c r="G523" s="43">
        <v>1.0</v>
      </c>
      <c r="H523" s="42"/>
      <c r="I523" s="42"/>
      <c r="J523" s="22"/>
    </row>
    <row r="524" ht="40.5" customHeight="1">
      <c r="A524" s="1">
        <v>523.0</v>
      </c>
      <c r="B524" s="2" t="s">
        <v>26</v>
      </c>
      <c r="C524" s="2"/>
      <c r="D524" s="13"/>
      <c r="E524" s="13"/>
      <c r="F524" s="44" t="s">
        <v>718</v>
      </c>
      <c r="G524" s="43">
        <v>1.0</v>
      </c>
      <c r="H524" s="42"/>
      <c r="I524" s="42"/>
      <c r="J524" s="22"/>
    </row>
    <row r="525" ht="40.5" customHeight="1">
      <c r="A525" s="1">
        <v>524.0</v>
      </c>
      <c r="B525" s="2" t="s">
        <v>29</v>
      </c>
      <c r="C525" s="2" t="s">
        <v>69</v>
      </c>
      <c r="D525" s="13"/>
      <c r="E525" s="13"/>
      <c r="F525" s="44" t="s">
        <v>719</v>
      </c>
      <c r="G525" s="43">
        <v>1.0</v>
      </c>
      <c r="H525" s="42"/>
      <c r="I525" s="42"/>
      <c r="J525" s="22"/>
    </row>
    <row r="526" ht="40.5" customHeight="1">
      <c r="A526" s="1">
        <v>525.0</v>
      </c>
      <c r="B526" s="2" t="s">
        <v>30</v>
      </c>
      <c r="C526" s="2" t="s">
        <v>64</v>
      </c>
      <c r="D526" s="13"/>
      <c r="E526" s="13"/>
      <c r="F526" s="44"/>
      <c r="G526" s="43"/>
      <c r="H526" s="42"/>
      <c r="I526" s="43"/>
      <c r="J526" s="22"/>
    </row>
    <row r="527" ht="40.5" customHeight="1">
      <c r="A527" s="1">
        <v>526.0</v>
      </c>
      <c r="B527" s="2" t="s">
        <v>31</v>
      </c>
      <c r="C527" s="2" t="s">
        <v>27</v>
      </c>
      <c r="D527" s="13"/>
      <c r="E527" s="13"/>
      <c r="F527" s="44" t="s">
        <v>720</v>
      </c>
      <c r="G527" s="43">
        <v>2.0</v>
      </c>
      <c r="H527" s="42"/>
      <c r="I527" s="43">
        <v>1.0</v>
      </c>
      <c r="J527" s="22"/>
    </row>
    <row r="528" ht="40.5" customHeight="1">
      <c r="A528" s="1">
        <v>527.0</v>
      </c>
      <c r="B528" s="2" t="s">
        <v>32</v>
      </c>
      <c r="C528" s="2"/>
      <c r="D528" s="13"/>
      <c r="E528" s="13"/>
      <c r="F528" s="44" t="s">
        <v>721</v>
      </c>
      <c r="G528" s="43">
        <v>1.0</v>
      </c>
      <c r="H528" s="42"/>
      <c r="I528" s="42"/>
      <c r="J528" s="22"/>
    </row>
    <row r="529" ht="40.5" customHeight="1">
      <c r="A529" s="1">
        <v>528.0</v>
      </c>
      <c r="B529" s="2" t="s">
        <v>67</v>
      </c>
      <c r="C529" s="2"/>
      <c r="D529" s="13"/>
      <c r="E529" s="13"/>
      <c r="F529" s="44" t="s">
        <v>722</v>
      </c>
      <c r="G529" s="43">
        <v>1.0</v>
      </c>
      <c r="H529" s="42"/>
      <c r="I529" s="42"/>
      <c r="J529" s="22"/>
    </row>
    <row r="530" ht="40.5" hidden="1" customHeight="1">
      <c r="A530" s="1">
        <v>529.0</v>
      </c>
      <c r="B530" s="2" t="s">
        <v>34</v>
      </c>
      <c r="C530" s="2" t="s">
        <v>58</v>
      </c>
      <c r="D530" s="13"/>
      <c r="E530" s="13"/>
      <c r="F530" s="45"/>
      <c r="G530" s="42"/>
      <c r="H530" s="42"/>
      <c r="I530" s="42"/>
      <c r="J530" s="22"/>
    </row>
    <row r="531" ht="40.5" customHeight="1">
      <c r="A531" s="1">
        <v>530.0</v>
      </c>
      <c r="B531" s="2" t="s">
        <v>35</v>
      </c>
      <c r="C531" s="2" t="s">
        <v>69</v>
      </c>
      <c r="D531" s="13"/>
      <c r="E531" s="40"/>
      <c r="F531" s="44" t="s">
        <v>674</v>
      </c>
      <c r="G531" s="43">
        <v>1.0</v>
      </c>
      <c r="H531" s="42"/>
      <c r="I531" s="43">
        <v>1.0</v>
      </c>
      <c r="J531" s="22"/>
    </row>
    <row r="532" ht="40.5" customHeight="1">
      <c r="A532" s="1">
        <v>531.0</v>
      </c>
      <c r="B532" s="2" t="s">
        <v>36</v>
      </c>
      <c r="C532" s="2" t="s">
        <v>54</v>
      </c>
      <c r="D532" s="13"/>
      <c r="E532" s="13"/>
      <c r="F532" s="44" t="s">
        <v>723</v>
      </c>
      <c r="G532" s="43">
        <v>1.0</v>
      </c>
      <c r="H532" s="42"/>
      <c r="I532" s="42"/>
      <c r="J532" s="22"/>
    </row>
    <row r="533" ht="40.5" customHeight="1">
      <c r="A533" s="1">
        <v>532.0</v>
      </c>
      <c r="B533" s="2" t="s">
        <v>38</v>
      </c>
      <c r="C533" s="2"/>
      <c r="D533" s="13"/>
      <c r="E533" s="13"/>
      <c r="F533" s="44" t="s">
        <v>724</v>
      </c>
      <c r="G533" s="43">
        <v>1.0</v>
      </c>
      <c r="H533" s="42"/>
      <c r="I533" s="42"/>
      <c r="J533" s="22"/>
    </row>
    <row r="534" ht="40.5" customHeight="1">
      <c r="A534" s="1">
        <v>533.0</v>
      </c>
      <c r="B534" s="2" t="s">
        <v>41</v>
      </c>
      <c r="C534" s="2" t="s">
        <v>69</v>
      </c>
      <c r="D534" s="13"/>
      <c r="E534" s="13"/>
      <c r="F534" s="44" t="s">
        <v>725</v>
      </c>
      <c r="G534" s="43">
        <v>1.0</v>
      </c>
      <c r="H534" s="42"/>
      <c r="I534" s="42"/>
      <c r="J534" s="22"/>
    </row>
    <row r="535" ht="40.5" customHeight="1">
      <c r="A535" s="1">
        <v>534.0</v>
      </c>
      <c r="B535" s="2" t="s">
        <v>42</v>
      </c>
      <c r="C535" s="2" t="s">
        <v>44</v>
      </c>
      <c r="D535" s="13"/>
      <c r="E535" s="13"/>
      <c r="F535" s="45"/>
      <c r="G535" s="42"/>
      <c r="H535" s="42"/>
      <c r="I535" s="42"/>
      <c r="J535" s="22"/>
    </row>
    <row r="536" ht="40.5" hidden="1" customHeight="1">
      <c r="A536" s="1">
        <v>535.0</v>
      </c>
      <c r="B536" s="2" t="s">
        <v>43</v>
      </c>
      <c r="C536" s="2" t="s">
        <v>66</v>
      </c>
      <c r="D536" s="13"/>
      <c r="E536" s="13"/>
      <c r="F536" s="45"/>
      <c r="G536" s="42"/>
      <c r="H536" s="42"/>
      <c r="I536" s="42"/>
      <c r="J536" s="22"/>
    </row>
    <row r="537" ht="40.5" hidden="1" customHeight="1">
      <c r="A537" s="1">
        <v>536.0</v>
      </c>
      <c r="B537" s="2" t="s">
        <v>45</v>
      </c>
      <c r="C537" s="2" t="s">
        <v>58</v>
      </c>
      <c r="D537" s="13"/>
      <c r="E537" s="13"/>
      <c r="F537" s="45"/>
      <c r="G537" s="42"/>
      <c r="H537" s="42"/>
      <c r="I537" s="42"/>
      <c r="J537" s="22"/>
    </row>
    <row r="538" ht="40.5" customHeight="1">
      <c r="A538" s="1">
        <v>537.0</v>
      </c>
      <c r="B538" s="2" t="s">
        <v>46</v>
      </c>
      <c r="C538" s="2" t="s">
        <v>39</v>
      </c>
      <c r="D538" s="13"/>
      <c r="E538" s="13"/>
      <c r="F538" s="44" t="s">
        <v>726</v>
      </c>
      <c r="G538" s="43">
        <v>1.0</v>
      </c>
      <c r="H538" s="42"/>
      <c r="I538" s="42"/>
      <c r="J538" s="22"/>
    </row>
    <row r="539" ht="40.5" customHeight="1">
      <c r="A539" s="1">
        <v>538.0</v>
      </c>
      <c r="B539" s="2" t="s">
        <v>47</v>
      </c>
      <c r="C539" s="2" t="s">
        <v>54</v>
      </c>
      <c r="D539" s="13"/>
      <c r="E539" s="13"/>
      <c r="F539" s="44" t="s">
        <v>727</v>
      </c>
      <c r="G539" s="43">
        <v>1.0</v>
      </c>
      <c r="H539" s="42"/>
      <c r="I539" s="42"/>
      <c r="J539" s="22"/>
    </row>
    <row r="540" ht="40.5" hidden="1" customHeight="1">
      <c r="A540" s="1">
        <v>539.0</v>
      </c>
      <c r="B540" s="2" t="s">
        <v>48</v>
      </c>
      <c r="C540" s="2" t="s">
        <v>58</v>
      </c>
      <c r="D540" s="13"/>
      <c r="E540" s="13"/>
      <c r="F540" s="45"/>
      <c r="G540" s="42"/>
      <c r="H540" s="42"/>
      <c r="I540" s="42"/>
      <c r="J540" s="22"/>
    </row>
    <row r="541" ht="40.5" customHeight="1">
      <c r="A541" s="1">
        <v>540.0</v>
      </c>
      <c r="B541" s="21"/>
      <c r="C541" s="21"/>
      <c r="D541" s="21"/>
      <c r="E541" s="21"/>
      <c r="F541" s="46"/>
      <c r="G541" s="47"/>
      <c r="H541" s="47"/>
      <c r="I541" s="47"/>
      <c r="J541" s="48"/>
      <c r="K541" s="49"/>
      <c r="L541" s="49"/>
      <c r="M541" s="49"/>
    </row>
    <row r="542" ht="40.5" customHeight="1">
      <c r="A542" s="1">
        <v>541.0</v>
      </c>
      <c r="B542" s="2" t="s">
        <v>12</v>
      </c>
      <c r="C542" s="2" t="s">
        <v>62</v>
      </c>
      <c r="D542" s="13"/>
      <c r="E542" s="13"/>
      <c r="F542" s="44" t="s">
        <v>728</v>
      </c>
      <c r="G542" s="43">
        <v>1.0</v>
      </c>
      <c r="H542" s="42"/>
      <c r="I542" s="43">
        <v>1.0</v>
      </c>
      <c r="J542" s="27" t="s">
        <v>491</v>
      </c>
      <c r="K542" s="15" t="s">
        <v>362</v>
      </c>
    </row>
    <row r="543" ht="40.5" customHeight="1">
      <c r="A543" s="1">
        <v>542.0</v>
      </c>
      <c r="B543" s="2" t="s">
        <v>16</v>
      </c>
      <c r="C543" s="2" t="s">
        <v>69</v>
      </c>
      <c r="D543" s="13"/>
      <c r="E543" s="13"/>
      <c r="F543" s="44" t="s">
        <v>729</v>
      </c>
      <c r="G543" s="43">
        <v>1.0</v>
      </c>
      <c r="H543" s="42"/>
      <c r="I543" s="43">
        <v>1.0</v>
      </c>
      <c r="J543" s="27" t="s">
        <v>362</v>
      </c>
    </row>
    <row r="544" ht="40.5" customHeight="1">
      <c r="A544" s="1">
        <v>543.0</v>
      </c>
      <c r="B544" s="2" t="s">
        <v>17</v>
      </c>
      <c r="C544" s="2" t="s">
        <v>39</v>
      </c>
      <c r="D544" s="13"/>
      <c r="E544" s="13"/>
      <c r="F544" s="44" t="s">
        <v>730</v>
      </c>
      <c r="G544" s="43">
        <v>1.0</v>
      </c>
      <c r="H544" s="42"/>
      <c r="I544" s="43">
        <v>1.0</v>
      </c>
      <c r="J544" s="27" t="s">
        <v>77</v>
      </c>
    </row>
    <row r="545" ht="40.5" customHeight="1">
      <c r="A545" s="1">
        <v>544.0</v>
      </c>
      <c r="B545" s="2" t="s">
        <v>331</v>
      </c>
      <c r="C545" s="2" t="s">
        <v>542</v>
      </c>
      <c r="D545" s="13"/>
      <c r="E545" s="13"/>
      <c r="F545" s="44" t="s">
        <v>731</v>
      </c>
      <c r="G545" s="43">
        <v>1.0</v>
      </c>
      <c r="H545" s="42"/>
      <c r="I545" s="43">
        <v>1.0</v>
      </c>
      <c r="J545" s="22"/>
    </row>
    <row r="546" ht="40.5" customHeight="1">
      <c r="A546" s="1">
        <v>545.0</v>
      </c>
      <c r="B546" s="2" t="s">
        <v>21</v>
      </c>
      <c r="C546" s="2" t="s">
        <v>277</v>
      </c>
      <c r="D546" s="13"/>
      <c r="E546" s="13"/>
      <c r="F546" s="45"/>
      <c r="G546" s="42"/>
      <c r="H546" s="42"/>
      <c r="I546" s="42"/>
      <c r="J546" s="22"/>
    </row>
    <row r="547" ht="40.5" customHeight="1">
      <c r="A547" s="1">
        <v>546.0</v>
      </c>
      <c r="B547" s="2" t="s">
        <v>22</v>
      </c>
      <c r="C547" s="2"/>
      <c r="D547" s="13"/>
      <c r="E547" s="13"/>
      <c r="F547" s="44" t="s">
        <v>732</v>
      </c>
      <c r="G547" s="43">
        <v>1.0</v>
      </c>
      <c r="H547" s="42"/>
      <c r="I547" s="42"/>
      <c r="J547" s="22"/>
    </row>
    <row r="548" ht="40.5" customHeight="1">
      <c r="A548" s="1">
        <v>547.0</v>
      </c>
      <c r="B548" s="2" t="s">
        <v>23</v>
      </c>
      <c r="C548" s="2"/>
      <c r="D548" s="13"/>
      <c r="E548" s="13"/>
      <c r="F548" s="44" t="s">
        <v>733</v>
      </c>
      <c r="G548" s="43">
        <v>1.0</v>
      </c>
      <c r="H548" s="42"/>
      <c r="I548" s="42"/>
      <c r="J548" s="22"/>
    </row>
    <row r="549" ht="40.5" hidden="1" customHeight="1">
      <c r="A549" s="1">
        <v>548.0</v>
      </c>
      <c r="B549" s="2" t="s">
        <v>24</v>
      </c>
      <c r="C549" s="2" t="s">
        <v>58</v>
      </c>
      <c r="D549" s="13"/>
      <c r="E549" s="13"/>
      <c r="F549" s="45"/>
      <c r="G549" s="42"/>
      <c r="H549" s="42"/>
      <c r="I549" s="42"/>
      <c r="J549" s="22"/>
    </row>
    <row r="550" ht="40.5" customHeight="1">
      <c r="A550" s="1">
        <v>549.0</v>
      </c>
      <c r="B550" s="2" t="s">
        <v>25</v>
      </c>
      <c r="C550" s="2" t="s">
        <v>54</v>
      </c>
      <c r="D550" s="13"/>
      <c r="E550" s="13"/>
      <c r="F550" s="44" t="s">
        <v>734</v>
      </c>
      <c r="G550" s="43">
        <v>1.0</v>
      </c>
      <c r="H550" s="42"/>
      <c r="I550" s="42"/>
      <c r="J550" s="22"/>
    </row>
    <row r="551" ht="40.5" customHeight="1">
      <c r="A551" s="1">
        <v>550.0</v>
      </c>
      <c r="B551" s="2" t="s">
        <v>26</v>
      </c>
      <c r="C551" s="2"/>
      <c r="D551" s="13"/>
      <c r="E551" s="13"/>
      <c r="F551" s="44" t="s">
        <v>735</v>
      </c>
      <c r="G551" s="43">
        <v>1.0</v>
      </c>
      <c r="H551" s="42"/>
      <c r="I551" s="42"/>
      <c r="J551" s="22"/>
    </row>
    <row r="552" ht="40.5" customHeight="1">
      <c r="A552" s="1">
        <v>551.0</v>
      </c>
      <c r="B552" s="2" t="s">
        <v>29</v>
      </c>
      <c r="C552" s="2" t="s">
        <v>39</v>
      </c>
      <c r="D552" s="13"/>
      <c r="E552" s="13"/>
      <c r="F552" s="44" t="s">
        <v>736</v>
      </c>
      <c r="G552" s="43">
        <v>2.0</v>
      </c>
      <c r="H552" s="42"/>
      <c r="I552" s="43">
        <v>2.0</v>
      </c>
      <c r="J552" s="22"/>
    </row>
    <row r="553" ht="40.5" customHeight="1">
      <c r="A553" s="1">
        <v>552.0</v>
      </c>
      <c r="B553" s="2" t="s">
        <v>30</v>
      </c>
      <c r="C553" s="2" t="s">
        <v>64</v>
      </c>
      <c r="D553" s="13"/>
      <c r="E553" s="13"/>
      <c r="F553" s="45"/>
      <c r="G553" s="42"/>
      <c r="H553" s="42"/>
      <c r="I553" s="42"/>
      <c r="J553" s="22"/>
    </row>
    <row r="554" ht="40.5" customHeight="1">
      <c r="A554" s="1">
        <v>553.0</v>
      </c>
      <c r="B554" s="2" t="s">
        <v>31</v>
      </c>
      <c r="C554" s="2" t="s">
        <v>44</v>
      </c>
      <c r="D554" s="13"/>
      <c r="E554" s="13"/>
      <c r="F554" s="45"/>
      <c r="G554" s="42"/>
      <c r="H554" s="42"/>
      <c r="I554" s="42"/>
      <c r="J554" s="22"/>
    </row>
    <row r="555" ht="40.5" customHeight="1">
      <c r="A555" s="1">
        <v>554.0</v>
      </c>
      <c r="B555" s="2" t="s">
        <v>32</v>
      </c>
      <c r="C555" s="2"/>
      <c r="D555" s="13"/>
      <c r="E555" s="13"/>
      <c r="F555" s="44" t="s">
        <v>737</v>
      </c>
      <c r="G555" s="43">
        <v>1.0</v>
      </c>
      <c r="H555" s="42"/>
      <c r="I555" s="42"/>
      <c r="J555" s="22"/>
    </row>
    <row r="556" ht="40.5" hidden="1" customHeight="1">
      <c r="A556" s="1">
        <v>555.0</v>
      </c>
      <c r="B556" s="2" t="s">
        <v>67</v>
      </c>
      <c r="C556" s="2" t="s">
        <v>58</v>
      </c>
      <c r="D556" s="13"/>
      <c r="E556" s="13"/>
      <c r="F556" s="45"/>
      <c r="G556" s="42"/>
      <c r="H556" s="42"/>
      <c r="I556" s="42"/>
      <c r="J556" s="22"/>
    </row>
    <row r="557" ht="40.5" hidden="1" customHeight="1">
      <c r="A557" s="1">
        <v>556.0</v>
      </c>
      <c r="B557" s="2" t="s">
        <v>34</v>
      </c>
      <c r="C557" s="2" t="s">
        <v>58</v>
      </c>
      <c r="D557" s="13"/>
      <c r="E557" s="13"/>
      <c r="F557" s="45"/>
      <c r="G557" s="42"/>
      <c r="H557" s="42"/>
      <c r="I557" s="42"/>
      <c r="J557" s="22"/>
    </row>
    <row r="558" ht="40.5" customHeight="1">
      <c r="A558" s="1">
        <v>557.0</v>
      </c>
      <c r="B558" s="2" t="s">
        <v>35</v>
      </c>
      <c r="C558" s="2" t="s">
        <v>69</v>
      </c>
      <c r="D558" s="13"/>
      <c r="E558" s="40">
        <v>0.9097222222222222</v>
      </c>
      <c r="F558" s="44" t="s">
        <v>738</v>
      </c>
      <c r="G558" s="43">
        <v>2.0</v>
      </c>
      <c r="H558" s="42"/>
      <c r="I558" s="43">
        <v>2.0</v>
      </c>
      <c r="J558" s="22"/>
    </row>
    <row r="559" ht="40.5" customHeight="1">
      <c r="A559" s="1">
        <v>558.0</v>
      </c>
      <c r="B559" s="2" t="s">
        <v>36</v>
      </c>
      <c r="C559" s="2" t="s">
        <v>54</v>
      </c>
      <c r="D559" s="13"/>
      <c r="E559" s="13"/>
      <c r="F559" s="44" t="s">
        <v>739</v>
      </c>
      <c r="G559" s="43">
        <v>1.0</v>
      </c>
      <c r="H559" s="42"/>
      <c r="I559" s="42"/>
      <c r="J559" s="22"/>
    </row>
    <row r="560" ht="40.5" customHeight="1">
      <c r="A560" s="1">
        <v>559.0</v>
      </c>
      <c r="B560" s="2" t="s">
        <v>38</v>
      </c>
      <c r="C560" s="2"/>
      <c r="D560" s="13"/>
      <c r="E560" s="13"/>
      <c r="F560" s="44" t="s">
        <v>740</v>
      </c>
      <c r="G560" s="43">
        <v>2.0</v>
      </c>
      <c r="H560" s="42"/>
      <c r="I560" s="43">
        <v>2.0</v>
      </c>
      <c r="J560" s="22"/>
    </row>
    <row r="561" ht="40.5" customHeight="1">
      <c r="A561" s="1">
        <v>560.0</v>
      </c>
      <c r="B561" s="2" t="s">
        <v>41</v>
      </c>
      <c r="C561" s="2" t="s">
        <v>54</v>
      </c>
      <c r="D561" s="13"/>
      <c r="E561" s="13"/>
      <c r="F561" s="44" t="s">
        <v>741</v>
      </c>
      <c r="G561" s="43">
        <v>1.0</v>
      </c>
      <c r="H561" s="42"/>
      <c r="I561" s="43">
        <v>1.0</v>
      </c>
      <c r="J561" s="22"/>
    </row>
    <row r="562" ht="40.5" hidden="1" customHeight="1">
      <c r="A562" s="1">
        <v>561.0</v>
      </c>
      <c r="B562" s="2" t="s">
        <v>42</v>
      </c>
      <c r="C562" s="2" t="s">
        <v>66</v>
      </c>
      <c r="D562" s="13"/>
      <c r="E562" s="13"/>
      <c r="F562" s="45"/>
      <c r="G562" s="42"/>
      <c r="H562" s="42"/>
      <c r="I562" s="42"/>
      <c r="J562" s="22"/>
    </row>
    <row r="563" ht="40.5" customHeight="1">
      <c r="A563" s="1">
        <v>562.0</v>
      </c>
      <c r="B563" s="2" t="s">
        <v>43</v>
      </c>
      <c r="C563" s="2" t="s">
        <v>69</v>
      </c>
      <c r="D563" s="13"/>
      <c r="E563" s="40">
        <v>0.8541666666666666</v>
      </c>
      <c r="F563" s="44" t="s">
        <v>742</v>
      </c>
      <c r="G563" s="43">
        <v>2.0</v>
      </c>
      <c r="H563" s="42"/>
      <c r="I563" s="43">
        <v>1.0</v>
      </c>
      <c r="J563" s="22"/>
    </row>
    <row r="564" ht="40.5" customHeight="1">
      <c r="A564" s="1">
        <v>563.0</v>
      </c>
      <c r="B564" s="2" t="s">
        <v>45</v>
      </c>
      <c r="C564" s="2" t="s">
        <v>27</v>
      </c>
      <c r="D564" s="13"/>
      <c r="E564" s="13"/>
      <c r="F564" s="44" t="s">
        <v>743</v>
      </c>
      <c r="G564" s="43">
        <v>1.0</v>
      </c>
      <c r="H564" s="42"/>
      <c r="I564" s="43">
        <v>1.0</v>
      </c>
      <c r="J564" s="22"/>
    </row>
    <row r="565" ht="40.5" hidden="1" customHeight="1">
      <c r="A565" s="1">
        <v>564.0</v>
      </c>
      <c r="B565" s="2" t="s">
        <v>46</v>
      </c>
      <c r="C565" s="2" t="s">
        <v>66</v>
      </c>
      <c r="D565" s="13"/>
      <c r="E565" s="13"/>
      <c r="F565" s="45"/>
      <c r="G565" s="42"/>
      <c r="H565" s="42"/>
      <c r="I565" s="42"/>
      <c r="J565" s="22"/>
    </row>
    <row r="566" ht="40.5" customHeight="1">
      <c r="A566" s="1">
        <v>565.0</v>
      </c>
      <c r="B566" s="2" t="s">
        <v>47</v>
      </c>
      <c r="C566" s="2" t="s">
        <v>54</v>
      </c>
      <c r="D566" s="13"/>
      <c r="E566" s="13"/>
      <c r="F566" s="44" t="s">
        <v>744</v>
      </c>
      <c r="G566" s="43">
        <v>1.0</v>
      </c>
      <c r="H566" s="42"/>
      <c r="I566" s="43">
        <v>1.0</v>
      </c>
      <c r="J566" s="22"/>
    </row>
    <row r="567" ht="40.5" hidden="1" customHeight="1">
      <c r="A567" s="1">
        <v>566.0</v>
      </c>
      <c r="B567" s="2" t="s">
        <v>48</v>
      </c>
      <c r="C567" s="2" t="s">
        <v>58</v>
      </c>
      <c r="D567" s="13"/>
      <c r="E567" s="13"/>
      <c r="F567" s="45"/>
      <c r="G567" s="42"/>
      <c r="H567" s="42"/>
      <c r="I567" s="42"/>
      <c r="J567" s="22"/>
    </row>
    <row r="568" ht="40.5" customHeight="1">
      <c r="A568" s="1">
        <v>567.0</v>
      </c>
      <c r="B568" s="21"/>
      <c r="C568" s="21"/>
      <c r="D568" s="21"/>
      <c r="E568" s="21"/>
      <c r="F568" s="46"/>
      <c r="G568" s="47"/>
      <c r="H568" s="47"/>
      <c r="I568" s="47"/>
      <c r="J568" s="48"/>
      <c r="K568" s="49"/>
      <c r="L568" s="49"/>
      <c r="M568" s="49"/>
    </row>
    <row r="569" ht="40.5" hidden="1" customHeight="1">
      <c r="A569" s="1">
        <v>568.0</v>
      </c>
      <c r="B569" s="2" t="s">
        <v>12</v>
      </c>
      <c r="C569" s="2" t="s">
        <v>66</v>
      </c>
      <c r="D569" s="13"/>
      <c r="E569" s="13"/>
      <c r="F569" s="45"/>
      <c r="G569" s="42"/>
      <c r="H569" s="42"/>
      <c r="I569" s="42"/>
      <c r="J569" s="27" t="s">
        <v>491</v>
      </c>
      <c r="K569" s="15" t="s">
        <v>369</v>
      </c>
    </row>
    <row r="570" ht="40.5" customHeight="1">
      <c r="A570" s="1">
        <v>569.0</v>
      </c>
      <c r="B570" s="2" t="s">
        <v>16</v>
      </c>
      <c r="C570" s="2"/>
      <c r="D570" s="13"/>
      <c r="E570" s="13"/>
      <c r="F570" s="44" t="s">
        <v>745</v>
      </c>
      <c r="G570" s="43">
        <v>1.0</v>
      </c>
      <c r="H570" s="42"/>
      <c r="I570" s="43">
        <v>1.0</v>
      </c>
      <c r="J570" s="27" t="s">
        <v>369</v>
      </c>
    </row>
    <row r="571" ht="40.5" customHeight="1">
      <c r="A571" s="1">
        <v>570.0</v>
      </c>
      <c r="B571" s="2" t="s">
        <v>17</v>
      </c>
      <c r="C571" s="2" t="s">
        <v>27</v>
      </c>
      <c r="D571" s="13"/>
      <c r="E571" s="13"/>
      <c r="F571" s="45"/>
      <c r="G571" s="42"/>
      <c r="H571" s="42"/>
      <c r="I571" s="42"/>
      <c r="J571" s="27" t="s">
        <v>95</v>
      </c>
    </row>
    <row r="572" ht="40.5" customHeight="1">
      <c r="A572" s="1">
        <v>571.0</v>
      </c>
      <c r="B572" s="2" t="s">
        <v>331</v>
      </c>
      <c r="C572" s="2" t="s">
        <v>542</v>
      </c>
      <c r="D572" s="13"/>
      <c r="E572" s="13"/>
      <c r="F572" s="44"/>
      <c r="G572" s="42"/>
      <c r="H572" s="42"/>
      <c r="I572" s="42"/>
      <c r="J572" s="22"/>
    </row>
    <row r="573" ht="40.5" customHeight="1">
      <c r="A573" s="1">
        <v>572.0</v>
      </c>
      <c r="B573" s="2" t="s">
        <v>21</v>
      </c>
      <c r="C573" s="2" t="s">
        <v>277</v>
      </c>
      <c r="D573" s="13"/>
      <c r="E573" s="13"/>
      <c r="F573" s="45"/>
      <c r="G573" s="42"/>
      <c r="H573" s="42"/>
      <c r="I573" s="42"/>
      <c r="J573" s="22"/>
    </row>
    <row r="574" ht="40.5" customHeight="1">
      <c r="A574" s="1">
        <v>573.0</v>
      </c>
      <c r="B574" s="2" t="s">
        <v>22</v>
      </c>
      <c r="C574" s="2"/>
      <c r="D574" s="13"/>
      <c r="E574" s="13"/>
      <c r="F574" s="44" t="s">
        <v>746</v>
      </c>
      <c r="G574" s="43">
        <v>1.0</v>
      </c>
      <c r="H574" s="42"/>
      <c r="I574" s="42"/>
      <c r="J574" s="22"/>
    </row>
    <row r="575" ht="40.5" customHeight="1">
      <c r="A575" s="1">
        <v>574.0</v>
      </c>
      <c r="B575" s="2" t="s">
        <v>23</v>
      </c>
      <c r="C575" s="2" t="s">
        <v>39</v>
      </c>
      <c r="D575" s="13"/>
      <c r="E575" s="13"/>
      <c r="F575" s="44" t="s">
        <v>747</v>
      </c>
      <c r="G575" s="43">
        <v>1.0</v>
      </c>
      <c r="H575" s="42"/>
      <c r="I575" s="43"/>
      <c r="J575" s="22"/>
    </row>
    <row r="576" ht="40.5" hidden="1" customHeight="1">
      <c r="A576" s="1">
        <v>575.0</v>
      </c>
      <c r="B576" s="2" t="s">
        <v>24</v>
      </c>
      <c r="C576" s="2" t="s">
        <v>58</v>
      </c>
      <c r="D576" s="13"/>
      <c r="E576" s="13"/>
      <c r="F576" s="45"/>
      <c r="G576" s="42"/>
      <c r="H576" s="42"/>
      <c r="I576" s="42"/>
      <c r="J576" s="22"/>
    </row>
    <row r="577" ht="40.5" customHeight="1">
      <c r="A577" s="1">
        <v>576.0</v>
      </c>
      <c r="B577" s="2" t="s">
        <v>25</v>
      </c>
      <c r="C577" s="2" t="s">
        <v>54</v>
      </c>
      <c r="D577" s="13"/>
      <c r="E577" s="13"/>
      <c r="F577" s="44" t="s">
        <v>748</v>
      </c>
      <c r="G577" s="43">
        <v>1.0</v>
      </c>
      <c r="H577" s="42"/>
      <c r="I577" s="43">
        <v>1.0</v>
      </c>
      <c r="J577" s="22"/>
    </row>
    <row r="578" ht="40.5" hidden="1" customHeight="1">
      <c r="A578" s="1">
        <v>577.0</v>
      </c>
      <c r="B578" s="2" t="s">
        <v>26</v>
      </c>
      <c r="C578" s="2" t="s">
        <v>66</v>
      </c>
      <c r="D578" s="13"/>
      <c r="E578" s="13"/>
      <c r="F578" s="45"/>
      <c r="G578" s="42"/>
      <c r="H578" s="42"/>
      <c r="I578" s="42"/>
      <c r="J578" s="22"/>
    </row>
    <row r="579" ht="40.5" hidden="1" customHeight="1">
      <c r="A579" s="1">
        <v>578.0</v>
      </c>
      <c r="B579" s="2" t="s">
        <v>29</v>
      </c>
      <c r="C579" s="2" t="s">
        <v>58</v>
      </c>
      <c r="D579" s="13"/>
      <c r="E579" s="13"/>
      <c r="F579" s="45"/>
      <c r="G579" s="42"/>
      <c r="H579" s="42"/>
      <c r="I579" s="42"/>
      <c r="J579" s="22"/>
    </row>
    <row r="580" ht="40.5" customHeight="1">
      <c r="A580" s="1">
        <v>579.0</v>
      </c>
      <c r="B580" s="2" t="s">
        <v>30</v>
      </c>
      <c r="C580" s="2" t="s">
        <v>64</v>
      </c>
      <c r="D580" s="13"/>
      <c r="E580" s="13"/>
      <c r="F580" s="44" t="s">
        <v>749</v>
      </c>
      <c r="G580" s="43">
        <v>1.0</v>
      </c>
      <c r="H580" s="42"/>
      <c r="I580" s="43">
        <v>1.0</v>
      </c>
      <c r="J580" s="22"/>
    </row>
    <row r="581" ht="40.5" customHeight="1">
      <c r="A581" s="1">
        <v>580.0</v>
      </c>
      <c r="B581" s="2" t="s">
        <v>31</v>
      </c>
      <c r="C581" s="2" t="s">
        <v>39</v>
      </c>
      <c r="D581" s="13"/>
      <c r="E581" s="13"/>
      <c r="F581" s="44" t="s">
        <v>750</v>
      </c>
      <c r="G581" s="43">
        <v>2.0</v>
      </c>
      <c r="H581" s="42"/>
      <c r="I581" s="43">
        <v>1.0</v>
      </c>
      <c r="J581" s="22"/>
    </row>
    <row r="582" ht="40.5" customHeight="1">
      <c r="A582" s="1">
        <v>581.0</v>
      </c>
      <c r="B582" s="2" t="s">
        <v>32</v>
      </c>
      <c r="C582" s="2" t="s">
        <v>69</v>
      </c>
      <c r="D582" s="13"/>
      <c r="E582" s="13"/>
      <c r="F582" s="44" t="s">
        <v>751</v>
      </c>
      <c r="G582" s="43">
        <v>1.0</v>
      </c>
      <c r="H582" s="42"/>
      <c r="I582" s="43"/>
      <c r="J582" s="22"/>
    </row>
    <row r="583" ht="40.5" customHeight="1">
      <c r="A583" s="1">
        <v>582.0</v>
      </c>
      <c r="B583" s="2" t="s">
        <v>67</v>
      </c>
      <c r="C583" s="2" t="s">
        <v>69</v>
      </c>
      <c r="D583" s="13"/>
      <c r="E583" s="13"/>
      <c r="F583" s="44" t="s">
        <v>752</v>
      </c>
      <c r="G583" s="43">
        <v>1.0</v>
      </c>
      <c r="H583" s="42"/>
      <c r="I583" s="42"/>
      <c r="J583" s="22"/>
    </row>
    <row r="584" ht="40.5" hidden="1" customHeight="1">
      <c r="A584" s="1">
        <v>583.0</v>
      </c>
      <c r="B584" s="2" t="s">
        <v>34</v>
      </c>
      <c r="C584" s="2" t="s">
        <v>58</v>
      </c>
      <c r="D584" s="13"/>
      <c r="E584" s="13"/>
      <c r="F584" s="45"/>
      <c r="G584" s="42"/>
      <c r="H584" s="42"/>
      <c r="I584" s="42"/>
      <c r="J584" s="22"/>
    </row>
    <row r="585" ht="40.5" customHeight="1">
      <c r="A585" s="1">
        <v>584.0</v>
      </c>
      <c r="B585" s="2" t="s">
        <v>35</v>
      </c>
      <c r="C585" s="2" t="s">
        <v>54</v>
      </c>
      <c r="D585" s="13"/>
      <c r="E585" s="13"/>
      <c r="F585" s="45"/>
      <c r="G585" s="42"/>
      <c r="H585" s="42"/>
      <c r="I585" s="42"/>
      <c r="J585" s="22"/>
    </row>
    <row r="586" ht="40.5" customHeight="1">
      <c r="A586" s="1">
        <v>585.0</v>
      </c>
      <c r="B586" s="2" t="s">
        <v>36</v>
      </c>
      <c r="C586" s="2" t="s">
        <v>54</v>
      </c>
      <c r="D586" s="13"/>
      <c r="E586" s="13"/>
      <c r="F586" s="44" t="s">
        <v>753</v>
      </c>
      <c r="G586" s="43">
        <v>1.0</v>
      </c>
      <c r="H586" s="42"/>
      <c r="I586" s="43">
        <v>1.0</v>
      </c>
      <c r="J586" s="22"/>
    </row>
    <row r="587" ht="40.5" customHeight="1">
      <c r="A587" s="1">
        <v>586.0</v>
      </c>
      <c r="B587" s="2" t="s">
        <v>38</v>
      </c>
      <c r="C587" s="2"/>
      <c r="D587" s="13"/>
      <c r="E587" s="13"/>
      <c r="F587" s="44" t="s">
        <v>754</v>
      </c>
      <c r="G587" s="43">
        <v>1.0</v>
      </c>
      <c r="H587" s="42"/>
      <c r="I587" s="43">
        <v>1.0</v>
      </c>
      <c r="J587" s="22"/>
    </row>
    <row r="588" ht="40.5" customHeight="1">
      <c r="A588" s="1">
        <v>587.0</v>
      </c>
      <c r="B588" s="2" t="s">
        <v>41</v>
      </c>
      <c r="C588" s="2"/>
      <c r="D588" s="13"/>
      <c r="E588" s="13"/>
      <c r="F588" s="44" t="s">
        <v>755</v>
      </c>
      <c r="G588" s="43">
        <v>1.0</v>
      </c>
      <c r="H588" s="42"/>
      <c r="I588" s="42"/>
      <c r="J588" s="22"/>
    </row>
    <row r="589" ht="40.5" customHeight="1">
      <c r="A589" s="1">
        <v>588.0</v>
      </c>
      <c r="B589" s="2" t="s">
        <v>42</v>
      </c>
      <c r="C589" s="2"/>
      <c r="D589" s="13"/>
      <c r="E589" s="13"/>
      <c r="F589" s="44" t="s">
        <v>756</v>
      </c>
      <c r="G589" s="43">
        <v>1.0</v>
      </c>
      <c r="H589" s="42"/>
      <c r="I589" s="42"/>
      <c r="J589" s="22"/>
    </row>
    <row r="590" ht="40.5" customHeight="1">
      <c r="A590" s="1">
        <v>589.0</v>
      </c>
      <c r="B590" s="2" t="s">
        <v>43</v>
      </c>
      <c r="C590" s="2"/>
      <c r="D590" s="13"/>
      <c r="E590" s="13"/>
      <c r="F590" s="44" t="s">
        <v>757</v>
      </c>
      <c r="G590" s="43">
        <v>1.0</v>
      </c>
      <c r="H590" s="42"/>
      <c r="I590" s="42"/>
      <c r="J590" s="22"/>
    </row>
    <row r="591" ht="40.5" customHeight="1">
      <c r="A591" s="1">
        <v>590.0</v>
      </c>
      <c r="B591" s="2" t="s">
        <v>45</v>
      </c>
      <c r="C591" s="2" t="s">
        <v>44</v>
      </c>
      <c r="D591" s="13"/>
      <c r="E591" s="13"/>
      <c r="F591" s="45"/>
      <c r="G591" s="42"/>
      <c r="H591" s="42"/>
      <c r="I591" s="42"/>
      <c r="J591" s="22"/>
    </row>
    <row r="592" ht="40.5" customHeight="1">
      <c r="A592" s="1">
        <v>591.0</v>
      </c>
      <c r="B592" s="2" t="s">
        <v>46</v>
      </c>
      <c r="C592" s="2" t="s">
        <v>69</v>
      </c>
      <c r="D592" s="13"/>
      <c r="E592" s="13"/>
      <c r="F592" s="44" t="s">
        <v>758</v>
      </c>
      <c r="G592" s="43">
        <v>1.0</v>
      </c>
      <c r="H592" s="42"/>
      <c r="I592" s="43">
        <v>1.0</v>
      </c>
      <c r="J592" s="22"/>
    </row>
    <row r="593" ht="40.5" customHeight="1">
      <c r="A593" s="1">
        <v>592.0</v>
      </c>
      <c r="B593" s="2" t="s">
        <v>47</v>
      </c>
      <c r="C593" s="2" t="s">
        <v>54</v>
      </c>
      <c r="D593" s="13"/>
      <c r="E593" s="13"/>
      <c r="F593" s="44" t="s">
        <v>759</v>
      </c>
      <c r="G593" s="43">
        <v>1.0</v>
      </c>
      <c r="H593" s="42"/>
      <c r="I593" s="43">
        <v>1.0</v>
      </c>
      <c r="J593" s="22"/>
    </row>
    <row r="594" ht="40.5" hidden="1" customHeight="1">
      <c r="A594" s="1">
        <v>593.0</v>
      </c>
      <c r="B594" s="2" t="s">
        <v>48</v>
      </c>
      <c r="C594" s="2" t="s">
        <v>58</v>
      </c>
      <c r="D594" s="13"/>
      <c r="E594" s="13"/>
      <c r="F594" s="45"/>
      <c r="G594" s="42"/>
      <c r="H594" s="42"/>
      <c r="I594" s="42"/>
      <c r="J594" s="22"/>
    </row>
    <row r="595" ht="40.5" customHeight="1">
      <c r="A595" s="1">
        <v>594.0</v>
      </c>
      <c r="B595" s="21"/>
      <c r="C595" s="21"/>
      <c r="D595" s="21"/>
      <c r="E595" s="21"/>
      <c r="F595" s="46"/>
      <c r="G595" s="47"/>
      <c r="H595" s="47"/>
      <c r="I595" s="47"/>
      <c r="J595" s="48"/>
      <c r="K595" s="49"/>
      <c r="L595" s="49"/>
      <c r="M595" s="49"/>
    </row>
    <row r="596" ht="40.5" customHeight="1">
      <c r="A596" s="1">
        <v>595.0</v>
      </c>
      <c r="B596" s="2" t="s">
        <v>12</v>
      </c>
      <c r="C596" s="2" t="s">
        <v>62</v>
      </c>
      <c r="D596" s="13"/>
      <c r="E596" s="13"/>
      <c r="F596" s="44" t="s">
        <v>760</v>
      </c>
      <c r="G596" s="43">
        <v>1.0</v>
      </c>
      <c r="H596" s="42"/>
      <c r="I596" s="42"/>
      <c r="J596" s="27" t="s">
        <v>491</v>
      </c>
      <c r="K596" s="15" t="s">
        <v>376</v>
      </c>
    </row>
    <row r="597" ht="40.5" customHeight="1">
      <c r="A597" s="1">
        <v>596.0</v>
      </c>
      <c r="B597" s="2" t="s">
        <v>16</v>
      </c>
      <c r="C597" s="2"/>
      <c r="D597" s="13"/>
      <c r="E597" s="13"/>
      <c r="F597" s="44" t="s">
        <v>761</v>
      </c>
      <c r="G597" s="43">
        <v>1.0</v>
      </c>
      <c r="H597" s="42"/>
      <c r="I597" s="42"/>
      <c r="J597" s="27" t="s">
        <v>376</v>
      </c>
    </row>
    <row r="598" ht="40.5" customHeight="1">
      <c r="A598" s="1">
        <v>597.0</v>
      </c>
      <c r="B598" s="2" t="s">
        <v>17</v>
      </c>
      <c r="C598" s="2" t="s">
        <v>44</v>
      </c>
      <c r="D598" s="13"/>
      <c r="E598" s="13"/>
      <c r="F598" s="45"/>
      <c r="G598" s="42"/>
      <c r="H598" s="42"/>
      <c r="I598" s="42"/>
      <c r="J598" s="27" t="s">
        <v>111</v>
      </c>
    </row>
    <row r="599" ht="40.5" hidden="1" customHeight="1">
      <c r="A599" s="1">
        <v>598.0</v>
      </c>
      <c r="B599" s="2" t="s">
        <v>331</v>
      </c>
      <c r="C599" s="2" t="s">
        <v>66</v>
      </c>
      <c r="D599" s="13"/>
      <c r="E599" s="13"/>
      <c r="F599" s="44"/>
      <c r="G599" s="42"/>
      <c r="H599" s="42"/>
      <c r="I599" s="42"/>
      <c r="J599" s="22"/>
    </row>
    <row r="600" ht="40.5" customHeight="1">
      <c r="A600" s="1">
        <v>599.0</v>
      </c>
      <c r="B600" s="2" t="s">
        <v>21</v>
      </c>
      <c r="C600" s="2" t="s">
        <v>277</v>
      </c>
      <c r="D600" s="13"/>
      <c r="E600" s="13"/>
      <c r="F600" s="45"/>
      <c r="G600" s="42"/>
      <c r="H600" s="42"/>
      <c r="I600" s="42"/>
      <c r="J600" s="22"/>
    </row>
    <row r="601" ht="40.5" customHeight="1">
      <c r="A601" s="1">
        <v>600.0</v>
      </c>
      <c r="B601" s="2" t="s">
        <v>22</v>
      </c>
      <c r="C601" s="2" t="s">
        <v>39</v>
      </c>
      <c r="D601" s="40">
        <v>0.2916666666666667</v>
      </c>
      <c r="E601" s="13"/>
      <c r="F601" s="44" t="s">
        <v>762</v>
      </c>
      <c r="G601" s="42"/>
      <c r="H601" s="42"/>
      <c r="I601" s="42"/>
      <c r="J601" s="22"/>
    </row>
    <row r="602" ht="40.5" customHeight="1">
      <c r="A602" s="1">
        <v>601.0</v>
      </c>
      <c r="B602" s="2" t="s">
        <v>23</v>
      </c>
      <c r="C602" s="2"/>
      <c r="D602" s="13"/>
      <c r="E602" s="13"/>
      <c r="F602" s="44" t="s">
        <v>763</v>
      </c>
      <c r="G602" s="43">
        <v>1.0</v>
      </c>
      <c r="H602" s="42"/>
      <c r="I602" s="43">
        <v>1.0</v>
      </c>
      <c r="J602" s="22"/>
    </row>
    <row r="603" ht="40.5" customHeight="1">
      <c r="A603" s="1">
        <v>602.0</v>
      </c>
      <c r="B603" s="2" t="s">
        <v>24</v>
      </c>
      <c r="C603" s="2"/>
      <c r="D603" s="13"/>
      <c r="E603" s="13"/>
      <c r="F603" s="44" t="s">
        <v>764</v>
      </c>
      <c r="G603" s="43">
        <v>1.0</v>
      </c>
      <c r="H603" s="42"/>
      <c r="I603" s="42"/>
      <c r="J603" s="22"/>
    </row>
    <row r="604" ht="40.5" customHeight="1">
      <c r="A604" s="1">
        <v>603.0</v>
      </c>
      <c r="B604" s="2" t="s">
        <v>25</v>
      </c>
      <c r="C604" s="2" t="s">
        <v>54</v>
      </c>
      <c r="D604" s="13"/>
      <c r="E604" s="13"/>
      <c r="F604" s="44" t="s">
        <v>765</v>
      </c>
      <c r="G604" s="43">
        <v>1.0</v>
      </c>
      <c r="H604" s="42"/>
      <c r="I604" s="42"/>
      <c r="J604" s="22"/>
    </row>
    <row r="605" ht="40.5" customHeight="1">
      <c r="A605" s="1">
        <v>604.0</v>
      </c>
      <c r="B605" s="2" t="s">
        <v>26</v>
      </c>
      <c r="C605" s="2"/>
      <c r="D605" s="40">
        <v>0.375</v>
      </c>
      <c r="E605" s="13"/>
      <c r="F605" s="44" t="s">
        <v>766</v>
      </c>
      <c r="G605" s="43">
        <v>1.0</v>
      </c>
      <c r="H605" s="42"/>
      <c r="I605" s="42"/>
      <c r="J605" s="22"/>
    </row>
    <row r="606" ht="40.5" hidden="1" customHeight="1">
      <c r="A606" s="1">
        <v>605.0</v>
      </c>
      <c r="B606" s="2" t="s">
        <v>29</v>
      </c>
      <c r="C606" s="2" t="s">
        <v>66</v>
      </c>
      <c r="D606" s="13"/>
      <c r="E606" s="13"/>
      <c r="F606" s="45"/>
      <c r="G606" s="42"/>
      <c r="H606" s="42"/>
      <c r="I606" s="42"/>
      <c r="J606" s="22"/>
    </row>
    <row r="607" ht="40.5" customHeight="1">
      <c r="A607" s="1">
        <v>606.0</v>
      </c>
      <c r="B607" s="2" t="s">
        <v>30</v>
      </c>
      <c r="C607" s="2" t="s">
        <v>64</v>
      </c>
      <c r="D607" s="13"/>
      <c r="E607" s="13"/>
      <c r="F607" s="45"/>
      <c r="G607" s="42"/>
      <c r="H607" s="42"/>
      <c r="I607" s="42"/>
      <c r="J607" s="22"/>
    </row>
    <row r="608" ht="40.5" customHeight="1">
      <c r="A608" s="1">
        <v>607.0</v>
      </c>
      <c r="B608" s="2" t="s">
        <v>31</v>
      </c>
      <c r="C608" s="2" t="s">
        <v>69</v>
      </c>
      <c r="D608" s="13"/>
      <c r="E608" s="40">
        <v>0.8472222222222222</v>
      </c>
      <c r="F608" s="44" t="s">
        <v>767</v>
      </c>
      <c r="G608" s="43">
        <v>1.0</v>
      </c>
      <c r="H608" s="42"/>
      <c r="I608" s="42"/>
      <c r="J608" s="22"/>
    </row>
    <row r="609" ht="40.5" customHeight="1">
      <c r="A609" s="1">
        <v>608.0</v>
      </c>
      <c r="B609" s="2" t="s">
        <v>32</v>
      </c>
      <c r="C609" s="2"/>
      <c r="D609" s="13"/>
      <c r="E609" s="13"/>
      <c r="F609" s="44" t="s">
        <v>768</v>
      </c>
      <c r="G609" s="43">
        <v>1.0</v>
      </c>
      <c r="H609" s="42"/>
      <c r="I609" s="43">
        <v>1.0</v>
      </c>
      <c r="J609" s="22"/>
    </row>
    <row r="610" ht="40.5" customHeight="1">
      <c r="A610" s="1">
        <v>609.0</v>
      </c>
      <c r="B610" s="2" t="s">
        <v>67</v>
      </c>
      <c r="C610" s="2" t="s">
        <v>69</v>
      </c>
      <c r="D610" s="13"/>
      <c r="E610" s="40">
        <v>0.8541666666666666</v>
      </c>
      <c r="F610" s="44" t="s">
        <v>769</v>
      </c>
      <c r="G610" s="43">
        <v>1.0</v>
      </c>
      <c r="H610" s="42"/>
      <c r="I610" s="43">
        <v>1.0</v>
      </c>
      <c r="J610" s="22"/>
    </row>
    <row r="611" ht="40.5" hidden="1" customHeight="1">
      <c r="A611" s="1">
        <v>610.0</v>
      </c>
      <c r="B611" s="2" t="s">
        <v>34</v>
      </c>
      <c r="C611" s="2" t="s">
        <v>58</v>
      </c>
      <c r="D611" s="13"/>
      <c r="E611" s="13"/>
      <c r="F611" s="45"/>
      <c r="G611" s="42"/>
      <c r="H611" s="42"/>
      <c r="I611" s="42"/>
      <c r="J611" s="22"/>
    </row>
    <row r="612" ht="40.5" customHeight="1">
      <c r="A612" s="1">
        <v>611.0</v>
      </c>
      <c r="B612" s="2" t="s">
        <v>35</v>
      </c>
      <c r="C612" s="2" t="s">
        <v>54</v>
      </c>
      <c r="D612" s="53">
        <v>0.3541666666666667</v>
      </c>
      <c r="E612" s="13"/>
      <c r="F612" s="57" t="s">
        <v>770</v>
      </c>
      <c r="G612" s="43">
        <v>1.0</v>
      </c>
      <c r="H612" s="42"/>
      <c r="I612" s="42"/>
      <c r="J612" s="22"/>
    </row>
    <row r="613" ht="40.5" customHeight="1">
      <c r="A613" s="1">
        <v>612.0</v>
      </c>
      <c r="B613" s="2" t="s">
        <v>36</v>
      </c>
      <c r="C613" s="2" t="s">
        <v>54</v>
      </c>
      <c r="D613" s="13"/>
      <c r="E613" s="13"/>
      <c r="F613" s="44" t="s">
        <v>771</v>
      </c>
      <c r="G613" s="43">
        <v>1.0</v>
      </c>
      <c r="H613" s="42"/>
      <c r="I613" s="42"/>
      <c r="J613" s="22"/>
    </row>
    <row r="614" ht="40.5" hidden="1" customHeight="1">
      <c r="A614" s="1">
        <v>613.0</v>
      </c>
      <c r="B614" s="2" t="s">
        <v>38</v>
      </c>
      <c r="C614" s="2" t="s">
        <v>58</v>
      </c>
      <c r="D614" s="13"/>
      <c r="E614" s="13"/>
      <c r="F614" s="45"/>
      <c r="G614" s="42"/>
      <c r="H614" s="42"/>
      <c r="I614" s="42"/>
      <c r="J614" s="22"/>
    </row>
    <row r="615" ht="40.5" customHeight="1">
      <c r="A615" s="1">
        <v>614.0</v>
      </c>
      <c r="B615" s="2" t="s">
        <v>41</v>
      </c>
      <c r="C615" s="2" t="s">
        <v>39</v>
      </c>
      <c r="D615" s="13"/>
      <c r="E615" s="13"/>
      <c r="F615" s="44" t="s">
        <v>772</v>
      </c>
      <c r="G615" s="43">
        <v>1.0</v>
      </c>
      <c r="H615" s="42"/>
      <c r="I615" s="42"/>
      <c r="J615" s="22"/>
    </row>
    <row r="616" ht="40.5" customHeight="1">
      <c r="A616" s="1">
        <v>615.0</v>
      </c>
      <c r="B616" s="2" t="s">
        <v>42</v>
      </c>
      <c r="C616" s="2"/>
      <c r="D616" s="13"/>
      <c r="E616" s="13"/>
      <c r="F616" s="44" t="s">
        <v>773</v>
      </c>
      <c r="G616" s="43">
        <v>1.0</v>
      </c>
      <c r="H616" s="42"/>
      <c r="I616" s="43">
        <v>1.0</v>
      </c>
      <c r="J616" s="22"/>
    </row>
    <row r="617" ht="40.5" customHeight="1">
      <c r="A617" s="1">
        <v>616.0</v>
      </c>
      <c r="B617" s="2" t="s">
        <v>43</v>
      </c>
      <c r="C617" s="2" t="s">
        <v>27</v>
      </c>
      <c r="D617" s="13"/>
      <c r="E617" s="13"/>
      <c r="F617" s="44" t="s">
        <v>774</v>
      </c>
      <c r="G617" s="43">
        <v>1.0</v>
      </c>
      <c r="H617" s="42"/>
      <c r="I617" s="43">
        <v>1.0</v>
      </c>
      <c r="J617" s="22"/>
    </row>
    <row r="618" ht="40.5" customHeight="1">
      <c r="A618" s="1">
        <v>617.0</v>
      </c>
      <c r="B618" s="2" t="s">
        <v>45</v>
      </c>
      <c r="C618" s="2" t="s">
        <v>69</v>
      </c>
      <c r="D618" s="13"/>
      <c r="E618" s="40">
        <v>0.8611111111111112</v>
      </c>
      <c r="F618" s="44" t="s">
        <v>775</v>
      </c>
      <c r="G618" s="43">
        <v>1.0</v>
      </c>
      <c r="H618" s="42"/>
      <c r="I618" s="42"/>
      <c r="J618" s="22"/>
    </row>
    <row r="619" ht="40.5" hidden="1" customHeight="1">
      <c r="A619" s="1">
        <v>618.0</v>
      </c>
      <c r="B619" s="2" t="s">
        <v>46</v>
      </c>
      <c r="C619" s="2" t="s">
        <v>58</v>
      </c>
      <c r="D619" s="13"/>
      <c r="E619" s="13"/>
      <c r="F619" s="45"/>
      <c r="G619" s="42"/>
      <c r="H619" s="42"/>
      <c r="I619" s="42"/>
      <c r="J619" s="22"/>
    </row>
    <row r="620" ht="40.5" customHeight="1">
      <c r="A620" s="1">
        <v>619.0</v>
      </c>
      <c r="B620" s="2" t="s">
        <v>47</v>
      </c>
      <c r="C620" s="2" t="s">
        <v>54</v>
      </c>
      <c r="D620" s="13"/>
      <c r="E620" s="13"/>
      <c r="F620" s="44" t="s">
        <v>776</v>
      </c>
      <c r="G620" s="43">
        <v>2.0</v>
      </c>
      <c r="H620" s="42"/>
      <c r="I620" s="43">
        <v>2.0</v>
      </c>
      <c r="J620" s="22"/>
    </row>
    <row r="621" ht="40.5" hidden="1" customHeight="1">
      <c r="A621" s="1">
        <v>620.0</v>
      </c>
      <c r="B621" s="2" t="s">
        <v>48</v>
      </c>
      <c r="C621" s="2" t="s">
        <v>58</v>
      </c>
      <c r="D621" s="13"/>
      <c r="E621" s="13"/>
      <c r="F621" s="45"/>
      <c r="G621" s="42"/>
      <c r="H621" s="42"/>
      <c r="I621" s="42"/>
      <c r="J621" s="22"/>
    </row>
    <row r="622" ht="40.5" customHeight="1">
      <c r="A622" s="1">
        <v>621.0</v>
      </c>
      <c r="B622" s="21"/>
      <c r="C622" s="21"/>
      <c r="D622" s="21"/>
      <c r="E622" s="21"/>
      <c r="F622" s="46"/>
      <c r="G622" s="47"/>
      <c r="H622" s="47"/>
      <c r="I622" s="47"/>
      <c r="J622" s="48"/>
      <c r="K622" s="49"/>
      <c r="L622" s="49"/>
      <c r="M622" s="49"/>
    </row>
    <row r="623" ht="40.5" customHeight="1">
      <c r="A623" s="1">
        <v>622.0</v>
      </c>
      <c r="B623" s="2" t="s">
        <v>12</v>
      </c>
      <c r="C623" s="2" t="s">
        <v>62</v>
      </c>
      <c r="D623" s="13"/>
      <c r="E623" s="13"/>
      <c r="F623" s="45"/>
      <c r="G623" s="42"/>
      <c r="H623" s="42"/>
      <c r="I623" s="42"/>
      <c r="J623" s="27" t="s">
        <v>491</v>
      </c>
      <c r="K623" s="15" t="s">
        <v>389</v>
      </c>
    </row>
    <row r="624" ht="40.5" customHeight="1">
      <c r="A624" s="1">
        <v>623.0</v>
      </c>
      <c r="B624" s="2" t="s">
        <v>16</v>
      </c>
      <c r="C624" s="2" t="s">
        <v>69</v>
      </c>
      <c r="D624" s="13"/>
      <c r="E624" s="13"/>
      <c r="F624" s="44" t="s">
        <v>777</v>
      </c>
      <c r="G624" s="43">
        <v>2.0</v>
      </c>
      <c r="H624" s="42"/>
      <c r="I624" s="42"/>
      <c r="J624" s="27" t="s">
        <v>389</v>
      </c>
    </row>
    <row r="625" ht="40.5" customHeight="1">
      <c r="A625" s="1">
        <v>624.0</v>
      </c>
      <c r="B625" s="2" t="s">
        <v>17</v>
      </c>
      <c r="C625" s="2" t="s">
        <v>69</v>
      </c>
      <c r="D625" s="13"/>
      <c r="E625" s="40">
        <v>0.8541666666666666</v>
      </c>
      <c r="F625" s="44" t="s">
        <v>778</v>
      </c>
      <c r="G625" s="43">
        <v>1.0</v>
      </c>
      <c r="H625" s="42"/>
      <c r="I625" s="42"/>
      <c r="J625" s="27" t="s">
        <v>131</v>
      </c>
    </row>
    <row r="626" ht="40.5" customHeight="1">
      <c r="A626" s="1">
        <v>625.0</v>
      </c>
      <c r="B626" s="2" t="s">
        <v>331</v>
      </c>
      <c r="C626" s="2" t="s">
        <v>542</v>
      </c>
      <c r="D626" s="13"/>
      <c r="E626" s="13"/>
      <c r="F626" s="44" t="s">
        <v>779</v>
      </c>
      <c r="G626" s="43">
        <v>1.0</v>
      </c>
      <c r="H626" s="42"/>
      <c r="I626" s="43">
        <v>1.0</v>
      </c>
      <c r="J626" s="22"/>
    </row>
    <row r="627" ht="40.5" customHeight="1">
      <c r="A627" s="1">
        <v>626.0</v>
      </c>
      <c r="B627" s="2" t="s">
        <v>21</v>
      </c>
      <c r="C627" s="2" t="s">
        <v>277</v>
      </c>
      <c r="D627" s="13"/>
      <c r="E627" s="13"/>
      <c r="F627" s="45"/>
      <c r="G627" s="42"/>
      <c r="H627" s="42"/>
      <c r="I627" s="42"/>
      <c r="J627" s="22"/>
    </row>
    <row r="628" ht="40.5" hidden="1" customHeight="1">
      <c r="A628" s="1">
        <v>627.0</v>
      </c>
      <c r="B628" s="2" t="s">
        <v>22</v>
      </c>
      <c r="C628" s="2" t="s">
        <v>66</v>
      </c>
      <c r="D628" s="13"/>
      <c r="E628" s="13"/>
      <c r="F628" s="45"/>
      <c r="G628" s="42"/>
      <c r="H628" s="42"/>
      <c r="I628" s="42"/>
      <c r="J628" s="22"/>
    </row>
    <row r="629" ht="40.5" hidden="1" customHeight="1">
      <c r="A629" s="1">
        <v>628.0</v>
      </c>
      <c r="B629" s="2" t="s">
        <v>23</v>
      </c>
      <c r="C629" s="2" t="s">
        <v>58</v>
      </c>
      <c r="D629" s="13"/>
      <c r="E629" s="13"/>
      <c r="F629" s="45"/>
      <c r="G629" s="42"/>
      <c r="H629" s="42"/>
      <c r="I629" s="42"/>
      <c r="J629" s="22"/>
    </row>
    <row r="630" ht="40.5" customHeight="1">
      <c r="A630" s="1">
        <v>629.0</v>
      </c>
      <c r="B630" s="2" t="s">
        <v>24</v>
      </c>
      <c r="C630" s="2"/>
      <c r="D630" s="13"/>
      <c r="E630" s="13"/>
      <c r="F630" s="44" t="s">
        <v>780</v>
      </c>
      <c r="G630" s="43">
        <v>1.0</v>
      </c>
      <c r="H630" s="42"/>
      <c r="I630" s="42"/>
      <c r="J630" s="22"/>
    </row>
    <row r="631" ht="40.5" customHeight="1">
      <c r="A631" s="1">
        <v>630.0</v>
      </c>
      <c r="B631" s="2" t="s">
        <v>25</v>
      </c>
      <c r="C631" s="2" t="s">
        <v>54</v>
      </c>
      <c r="D631" s="13"/>
      <c r="E631" s="13"/>
      <c r="F631" s="44" t="s">
        <v>781</v>
      </c>
      <c r="G631" s="43">
        <v>1.0</v>
      </c>
      <c r="H631" s="42"/>
      <c r="I631" s="42"/>
      <c r="J631" s="22"/>
    </row>
    <row r="632" ht="40.5" customHeight="1">
      <c r="A632" s="1">
        <v>631.0</v>
      </c>
      <c r="B632" s="2" t="s">
        <v>26</v>
      </c>
      <c r="C632" s="2"/>
      <c r="D632" s="13"/>
      <c r="E632" s="13"/>
      <c r="F632" s="44" t="s">
        <v>782</v>
      </c>
      <c r="G632" s="43">
        <v>1.0</v>
      </c>
      <c r="H632" s="42"/>
      <c r="I632" s="42"/>
      <c r="J632" s="22"/>
    </row>
    <row r="633" ht="40.5" customHeight="1">
      <c r="A633" s="1">
        <v>632.0</v>
      </c>
      <c r="B633" s="2" t="s">
        <v>29</v>
      </c>
      <c r="C633" s="2"/>
      <c r="D633" s="13"/>
      <c r="E633" s="13"/>
      <c r="F633" s="44" t="s">
        <v>783</v>
      </c>
      <c r="G633" s="43">
        <v>1.0</v>
      </c>
      <c r="H633" s="42"/>
      <c r="I633" s="42"/>
      <c r="J633" s="22"/>
    </row>
    <row r="634" ht="40.5" customHeight="1">
      <c r="A634" s="1">
        <v>633.0</v>
      </c>
      <c r="B634" s="2" t="s">
        <v>30</v>
      </c>
      <c r="C634" s="2" t="s">
        <v>64</v>
      </c>
      <c r="D634" s="13"/>
      <c r="E634" s="13"/>
      <c r="F634" s="45"/>
      <c r="G634" s="42"/>
      <c r="H634" s="42"/>
      <c r="I634" s="42"/>
      <c r="J634" s="22"/>
    </row>
    <row r="635" ht="40.5" hidden="1" customHeight="1">
      <c r="A635" s="1">
        <v>634.0</v>
      </c>
      <c r="B635" s="2" t="s">
        <v>31</v>
      </c>
      <c r="C635" s="2" t="s">
        <v>66</v>
      </c>
      <c r="D635" s="13"/>
      <c r="E635" s="13"/>
      <c r="F635" s="45"/>
      <c r="G635" s="42"/>
      <c r="H635" s="42"/>
      <c r="I635" s="42"/>
      <c r="J635" s="22"/>
    </row>
    <row r="636" ht="40.5" customHeight="1">
      <c r="A636" s="1">
        <v>635.0</v>
      </c>
      <c r="B636" s="2" t="s">
        <v>32</v>
      </c>
      <c r="C636" s="2" t="s">
        <v>69</v>
      </c>
      <c r="D636" s="13"/>
      <c r="E636" s="13"/>
      <c r="F636" s="44" t="s">
        <v>784</v>
      </c>
      <c r="G636" s="43">
        <v>1.0</v>
      </c>
      <c r="H636" s="42"/>
      <c r="I636" s="42"/>
      <c r="J636" s="22"/>
    </row>
    <row r="637" ht="40.5" customHeight="1">
      <c r="A637" s="1">
        <v>636.0</v>
      </c>
      <c r="B637" s="2" t="s">
        <v>67</v>
      </c>
      <c r="C637" s="2"/>
      <c r="D637" s="13"/>
      <c r="E637" s="13"/>
      <c r="F637" s="44" t="s">
        <v>785</v>
      </c>
      <c r="G637" s="43">
        <v>1.0</v>
      </c>
      <c r="H637" s="42"/>
      <c r="I637" s="42"/>
      <c r="J637" s="22"/>
    </row>
    <row r="638" ht="40.5" hidden="1" customHeight="1">
      <c r="A638" s="1">
        <v>637.0</v>
      </c>
      <c r="B638" s="2" t="s">
        <v>34</v>
      </c>
      <c r="C638" s="2" t="s">
        <v>58</v>
      </c>
      <c r="D638" s="13"/>
      <c r="E638" s="13"/>
      <c r="F638" s="45"/>
      <c r="G638" s="42"/>
      <c r="H638" s="42"/>
      <c r="I638" s="42"/>
      <c r="J638" s="22"/>
    </row>
    <row r="639" ht="40.5" customHeight="1">
      <c r="A639" s="1">
        <v>638.0</v>
      </c>
      <c r="B639" s="2" t="s">
        <v>35</v>
      </c>
      <c r="C639" s="2" t="s">
        <v>27</v>
      </c>
      <c r="D639" s="13"/>
      <c r="E639" s="13"/>
      <c r="F639" s="44" t="s">
        <v>786</v>
      </c>
      <c r="G639" s="43">
        <v>1.0</v>
      </c>
      <c r="H639" s="42"/>
      <c r="I639" s="42"/>
      <c r="J639" s="22"/>
    </row>
    <row r="640" ht="40.5" customHeight="1">
      <c r="A640" s="1">
        <v>639.0</v>
      </c>
      <c r="B640" s="2" t="s">
        <v>36</v>
      </c>
      <c r="C640" s="2" t="s">
        <v>54</v>
      </c>
      <c r="D640" s="13"/>
      <c r="E640" s="13"/>
      <c r="F640" s="44" t="s">
        <v>787</v>
      </c>
      <c r="G640" s="43">
        <v>2.0</v>
      </c>
      <c r="H640" s="42"/>
      <c r="I640" s="42"/>
      <c r="J640" s="22"/>
    </row>
    <row r="641" ht="40.5" customHeight="1">
      <c r="A641" s="1">
        <v>640.0</v>
      </c>
      <c r="B641" s="2" t="s">
        <v>38</v>
      </c>
      <c r="C641" s="2" t="s">
        <v>54</v>
      </c>
      <c r="D641" s="13"/>
      <c r="E641" s="13"/>
      <c r="F641" s="44" t="s">
        <v>788</v>
      </c>
      <c r="G641" s="43">
        <v>1.0</v>
      </c>
      <c r="H641" s="42"/>
      <c r="I641" s="43">
        <v>1.0</v>
      </c>
      <c r="J641" s="22"/>
    </row>
    <row r="642" ht="40.5" customHeight="1">
      <c r="A642" s="1">
        <v>641.0</v>
      </c>
      <c r="B642" s="2" t="s">
        <v>41</v>
      </c>
      <c r="C642" s="2" t="s">
        <v>39</v>
      </c>
      <c r="D642" s="53">
        <v>0.25</v>
      </c>
      <c r="E642" s="13"/>
      <c r="F642" s="44" t="s">
        <v>789</v>
      </c>
      <c r="G642" s="43">
        <v>2.0</v>
      </c>
      <c r="H642" s="42"/>
      <c r="I642" s="42"/>
      <c r="J642" s="22"/>
    </row>
    <row r="643" ht="40.5" customHeight="1">
      <c r="A643" s="1">
        <v>642.0</v>
      </c>
      <c r="B643" s="2" t="s">
        <v>42</v>
      </c>
      <c r="C643" s="2"/>
      <c r="D643" s="13"/>
      <c r="E643" s="13"/>
      <c r="F643" s="44" t="s">
        <v>790</v>
      </c>
      <c r="G643" s="43">
        <v>1.0</v>
      </c>
      <c r="H643" s="42"/>
      <c r="I643" s="43">
        <v>1.0</v>
      </c>
      <c r="J643" s="22"/>
    </row>
    <row r="644" ht="40.5" customHeight="1">
      <c r="A644" s="1">
        <v>643.0</v>
      </c>
      <c r="B644" s="2" t="s">
        <v>43</v>
      </c>
      <c r="C644" s="2" t="s">
        <v>44</v>
      </c>
      <c r="D644" s="13"/>
      <c r="E644" s="13"/>
      <c r="F644" s="45"/>
      <c r="G644" s="42"/>
      <c r="H644" s="42"/>
      <c r="I644" s="42"/>
      <c r="J644" s="22"/>
    </row>
    <row r="645" ht="40.5" customHeight="1">
      <c r="A645" s="1">
        <v>644.0</v>
      </c>
      <c r="B645" s="2" t="s">
        <v>45</v>
      </c>
      <c r="C645" s="2" t="s">
        <v>39</v>
      </c>
      <c r="D645" s="53">
        <v>0.2847222222222222</v>
      </c>
      <c r="E645" s="13"/>
      <c r="F645" s="44" t="s">
        <v>791</v>
      </c>
      <c r="G645" s="43">
        <v>2.0</v>
      </c>
      <c r="H645" s="42"/>
      <c r="I645" s="43">
        <v>2.0</v>
      </c>
      <c r="J645" s="22"/>
    </row>
    <row r="646" ht="40.5" customHeight="1">
      <c r="A646" s="1">
        <v>645.0</v>
      </c>
      <c r="B646" s="2" t="s">
        <v>46</v>
      </c>
      <c r="C646" s="13"/>
      <c r="D646" s="13"/>
      <c r="E646" s="13"/>
      <c r="F646" s="44" t="s">
        <v>792</v>
      </c>
      <c r="G646" s="43">
        <v>1.0</v>
      </c>
      <c r="H646" s="42"/>
      <c r="I646" s="42"/>
      <c r="J646" s="22"/>
    </row>
    <row r="647" ht="40.5" customHeight="1">
      <c r="A647" s="1">
        <v>646.0</v>
      </c>
      <c r="B647" s="2" t="s">
        <v>47</v>
      </c>
      <c r="C647" s="2" t="s">
        <v>54</v>
      </c>
      <c r="D647" s="13"/>
      <c r="E647" s="13"/>
      <c r="F647" s="44" t="s">
        <v>793</v>
      </c>
      <c r="G647" s="43">
        <v>1.0</v>
      </c>
      <c r="H647" s="42"/>
      <c r="I647" s="42"/>
      <c r="J647" s="22"/>
    </row>
    <row r="648" ht="40.5" hidden="1" customHeight="1">
      <c r="A648" s="1">
        <v>647.0</v>
      </c>
      <c r="B648" s="2" t="s">
        <v>48</v>
      </c>
      <c r="C648" s="2" t="s">
        <v>58</v>
      </c>
      <c r="D648" s="13"/>
      <c r="E648" s="13"/>
      <c r="F648" s="45"/>
      <c r="G648" s="42"/>
      <c r="H648" s="42"/>
      <c r="I648" s="42"/>
      <c r="J648" s="22"/>
    </row>
    <row r="649" ht="40.5" customHeight="1">
      <c r="A649" s="1">
        <v>648.0</v>
      </c>
      <c r="B649" s="21"/>
      <c r="C649" s="21"/>
      <c r="D649" s="21"/>
      <c r="E649" s="21"/>
      <c r="F649" s="46"/>
      <c r="G649" s="47"/>
      <c r="H649" s="47"/>
      <c r="I649" s="47"/>
      <c r="J649" s="48"/>
      <c r="K649" s="49"/>
      <c r="L649" s="49"/>
      <c r="M649" s="49"/>
    </row>
    <row r="650" ht="40.5" hidden="1" customHeight="1">
      <c r="A650" s="1">
        <v>649.0</v>
      </c>
      <c r="B650" s="2" t="s">
        <v>12</v>
      </c>
      <c r="C650" s="2" t="s">
        <v>13</v>
      </c>
      <c r="D650" s="13"/>
      <c r="E650" s="13"/>
      <c r="F650" s="45"/>
      <c r="G650" s="42"/>
      <c r="H650" s="42"/>
      <c r="I650" s="42"/>
      <c r="J650" s="27" t="s">
        <v>491</v>
      </c>
      <c r="K650" s="15" t="s">
        <v>406</v>
      </c>
    </row>
    <row r="651" ht="40.5" hidden="1" customHeight="1">
      <c r="A651" s="1">
        <v>650.0</v>
      </c>
      <c r="B651" s="2" t="s">
        <v>16</v>
      </c>
      <c r="C651" s="2" t="s">
        <v>13</v>
      </c>
      <c r="D651" s="13"/>
      <c r="E651" s="13"/>
      <c r="F651" s="45"/>
      <c r="G651" s="42"/>
      <c r="H651" s="42"/>
      <c r="I651" s="42"/>
      <c r="J651" s="27" t="s">
        <v>406</v>
      </c>
    </row>
    <row r="652" ht="40.5" hidden="1" customHeight="1">
      <c r="A652" s="1">
        <v>651.0</v>
      </c>
      <c r="B652" s="2" t="s">
        <v>17</v>
      </c>
      <c r="C652" s="2" t="s">
        <v>13</v>
      </c>
      <c r="D652" s="13"/>
      <c r="E652" s="13"/>
      <c r="F652" s="45"/>
      <c r="G652" s="42"/>
      <c r="H652" s="42"/>
      <c r="I652" s="42"/>
      <c r="J652" s="27" t="s">
        <v>149</v>
      </c>
    </row>
    <row r="653" ht="40.5" hidden="1" customHeight="1">
      <c r="A653" s="1">
        <v>652.0</v>
      </c>
      <c r="B653" s="2" t="s">
        <v>331</v>
      </c>
      <c r="C653" s="2" t="s">
        <v>13</v>
      </c>
      <c r="D653" s="13"/>
      <c r="E653" s="13"/>
      <c r="F653" s="44"/>
      <c r="G653" s="42"/>
      <c r="H653" s="42"/>
      <c r="I653" s="42"/>
      <c r="J653" s="27" t="s">
        <v>262</v>
      </c>
    </row>
    <row r="654" ht="40.5" customHeight="1">
      <c r="A654" s="1">
        <v>653.0</v>
      </c>
      <c r="B654" s="2" t="s">
        <v>21</v>
      </c>
      <c r="C654" s="2" t="s">
        <v>63</v>
      </c>
      <c r="D654" s="13"/>
      <c r="E654" s="13"/>
      <c r="F654" s="45"/>
      <c r="G654" s="42"/>
      <c r="H654" s="42"/>
      <c r="I654" s="42"/>
      <c r="J654" s="27" t="s">
        <v>264</v>
      </c>
    </row>
    <row r="655" ht="40.5" hidden="1" customHeight="1">
      <c r="A655" s="1">
        <v>654.0</v>
      </c>
      <c r="B655" s="2" t="s">
        <v>22</v>
      </c>
      <c r="C655" s="2" t="s">
        <v>13</v>
      </c>
      <c r="D655" s="13"/>
      <c r="E655" s="13"/>
      <c r="F655" s="45"/>
      <c r="G655" s="42"/>
      <c r="H655" s="42"/>
      <c r="I655" s="42"/>
      <c r="J655" s="27" t="s">
        <v>265</v>
      </c>
    </row>
    <row r="656" ht="40.5" hidden="1" customHeight="1">
      <c r="A656" s="1">
        <v>655.0</v>
      </c>
      <c r="B656" s="2" t="s">
        <v>23</v>
      </c>
      <c r="C656" s="2" t="s">
        <v>13</v>
      </c>
      <c r="D656" s="13"/>
      <c r="E656" s="13"/>
      <c r="F656" s="45"/>
      <c r="G656" s="42"/>
      <c r="H656" s="42"/>
      <c r="I656" s="42"/>
      <c r="J656" s="22"/>
    </row>
    <row r="657" ht="40.5" customHeight="1">
      <c r="A657" s="1">
        <v>656.0</v>
      </c>
      <c r="B657" s="2" t="s">
        <v>24</v>
      </c>
      <c r="C657" s="2" t="s">
        <v>145</v>
      </c>
      <c r="D657" s="40">
        <v>0.4166666666666667</v>
      </c>
      <c r="E657" s="40">
        <v>0.7083333333333334</v>
      </c>
      <c r="F657" s="44" t="s">
        <v>794</v>
      </c>
      <c r="G657" s="43">
        <v>2.0</v>
      </c>
      <c r="H657" s="42"/>
      <c r="I657" s="42"/>
      <c r="J657" s="22"/>
    </row>
    <row r="658" ht="40.5" hidden="1" customHeight="1">
      <c r="A658" s="1">
        <v>657.0</v>
      </c>
      <c r="B658" s="2" t="s">
        <v>25</v>
      </c>
      <c r="C658" s="2" t="s">
        <v>13</v>
      </c>
      <c r="D658" s="13"/>
      <c r="E658" s="13"/>
      <c r="F658" s="45"/>
      <c r="G658" s="42"/>
      <c r="H658" s="42"/>
      <c r="I658" s="42"/>
      <c r="J658" s="22"/>
    </row>
    <row r="659" ht="40.5" hidden="1" customHeight="1">
      <c r="A659" s="1">
        <v>658.0</v>
      </c>
      <c r="B659" s="2" t="s">
        <v>26</v>
      </c>
      <c r="C659" s="2" t="s">
        <v>13</v>
      </c>
      <c r="D659" s="13"/>
      <c r="E659" s="13"/>
      <c r="F659" s="45"/>
      <c r="G659" s="42"/>
      <c r="H659" s="42"/>
      <c r="I659" s="42"/>
      <c r="J659" s="22"/>
    </row>
    <row r="660" ht="40.5" hidden="1" customHeight="1">
      <c r="A660" s="1">
        <v>659.0</v>
      </c>
      <c r="B660" s="2" t="s">
        <v>29</v>
      </c>
      <c r="C660" s="2" t="s">
        <v>13</v>
      </c>
      <c r="D660" s="13"/>
      <c r="E660" s="13"/>
      <c r="F660" s="45"/>
      <c r="G660" s="42"/>
      <c r="H660" s="42"/>
      <c r="I660" s="42"/>
      <c r="J660" s="22"/>
    </row>
    <row r="661" ht="40.5" customHeight="1">
      <c r="A661" s="1">
        <v>660.0</v>
      </c>
      <c r="B661" s="2" t="s">
        <v>30</v>
      </c>
      <c r="C661" s="2" t="s">
        <v>49</v>
      </c>
      <c r="D661" s="40">
        <v>0.4583333333333333</v>
      </c>
      <c r="E661" s="40">
        <v>0.75</v>
      </c>
      <c r="F661" s="44" t="s">
        <v>795</v>
      </c>
      <c r="G661" s="43">
        <v>2.0</v>
      </c>
      <c r="H661" s="42"/>
      <c r="I661" s="43">
        <v>2.0</v>
      </c>
      <c r="J661" s="22"/>
    </row>
    <row r="662" ht="40.5" hidden="1" customHeight="1">
      <c r="A662" s="1">
        <v>661.0</v>
      </c>
      <c r="B662" s="2" t="s">
        <v>31</v>
      </c>
      <c r="C662" s="2" t="s">
        <v>13</v>
      </c>
      <c r="D662" s="2"/>
      <c r="E662" s="13"/>
      <c r="F662" s="45"/>
      <c r="G662" s="42"/>
      <c r="H662" s="42"/>
      <c r="I662" s="42"/>
      <c r="J662" s="22"/>
    </row>
    <row r="663" ht="40.5" hidden="1" customHeight="1">
      <c r="A663" s="1">
        <v>662.0</v>
      </c>
      <c r="B663" s="2" t="s">
        <v>32</v>
      </c>
      <c r="C663" s="2" t="s">
        <v>13</v>
      </c>
      <c r="D663" s="13"/>
      <c r="E663" s="13"/>
      <c r="F663" s="45"/>
      <c r="G663" s="42"/>
      <c r="H663" s="42"/>
      <c r="I663" s="42"/>
      <c r="J663" s="22"/>
    </row>
    <row r="664" ht="40.5" customHeight="1">
      <c r="A664" s="1">
        <v>663.0</v>
      </c>
      <c r="B664" s="2" t="s">
        <v>67</v>
      </c>
      <c r="C664" s="2"/>
      <c r="D664" s="40">
        <v>0.375</v>
      </c>
      <c r="E664" s="40">
        <v>0.7083333333333334</v>
      </c>
      <c r="F664" s="44" t="s">
        <v>796</v>
      </c>
      <c r="G664" s="43">
        <v>1.0</v>
      </c>
      <c r="H664" s="42"/>
      <c r="I664" s="42"/>
      <c r="J664" s="22"/>
    </row>
    <row r="665" ht="40.5" hidden="1" customHeight="1">
      <c r="A665" s="1">
        <v>664.0</v>
      </c>
      <c r="B665" s="2" t="s">
        <v>34</v>
      </c>
      <c r="C665" s="2" t="s">
        <v>13</v>
      </c>
      <c r="D665" s="13"/>
      <c r="E665" s="13"/>
      <c r="F665" s="45"/>
      <c r="G665" s="42"/>
      <c r="H665" s="42"/>
      <c r="I665" s="42"/>
      <c r="J665" s="22"/>
    </row>
    <row r="666" ht="40.5" customHeight="1">
      <c r="A666" s="1">
        <v>665.0</v>
      </c>
      <c r="B666" s="2" t="s">
        <v>35</v>
      </c>
      <c r="C666" s="2" t="s">
        <v>44</v>
      </c>
      <c r="D666" s="13"/>
      <c r="E666" s="13"/>
      <c r="F666" s="45"/>
      <c r="G666" s="42"/>
      <c r="H666" s="42"/>
      <c r="I666" s="42"/>
      <c r="J666" s="22"/>
    </row>
    <row r="667" ht="40.5" hidden="1" customHeight="1">
      <c r="A667" s="1">
        <v>666.0</v>
      </c>
      <c r="B667" s="2" t="s">
        <v>36</v>
      </c>
      <c r="C667" s="2" t="s">
        <v>13</v>
      </c>
      <c r="D667" s="13"/>
      <c r="E667" s="13"/>
      <c r="F667" s="45"/>
      <c r="G667" s="42"/>
      <c r="H667" s="42"/>
      <c r="I667" s="42"/>
      <c r="J667" s="22"/>
    </row>
    <row r="668" ht="40.5" hidden="1" customHeight="1">
      <c r="A668" s="1">
        <v>667.0</v>
      </c>
      <c r="B668" s="2" t="s">
        <v>38</v>
      </c>
      <c r="C668" s="2" t="s">
        <v>13</v>
      </c>
      <c r="D668" s="13"/>
      <c r="E668" s="13"/>
      <c r="F668" s="45"/>
      <c r="G668" s="42"/>
      <c r="H668" s="42"/>
      <c r="I668" s="42"/>
      <c r="J668" s="22"/>
    </row>
    <row r="669" ht="40.5" hidden="1" customHeight="1">
      <c r="A669" s="1">
        <v>668.0</v>
      </c>
      <c r="B669" s="2" t="s">
        <v>41</v>
      </c>
      <c r="C669" s="2" t="s">
        <v>13</v>
      </c>
      <c r="D669" s="13"/>
      <c r="E669" s="13"/>
      <c r="F669" s="45"/>
      <c r="G669" s="42"/>
      <c r="H669" s="42"/>
      <c r="I669" s="42"/>
      <c r="J669" s="22"/>
    </row>
    <row r="670" ht="40.5" hidden="1" customHeight="1">
      <c r="A670" s="1">
        <v>669.0</v>
      </c>
      <c r="B670" s="2" t="s">
        <v>42</v>
      </c>
      <c r="C670" s="2" t="s">
        <v>13</v>
      </c>
      <c r="D670" s="13"/>
      <c r="E670" s="13"/>
      <c r="F670" s="45"/>
      <c r="G670" s="42"/>
      <c r="H670" s="42"/>
      <c r="I670" s="42"/>
      <c r="J670" s="22"/>
    </row>
    <row r="671" ht="40.5" hidden="1" customHeight="1">
      <c r="A671" s="1">
        <v>670.0</v>
      </c>
      <c r="B671" s="2" t="s">
        <v>43</v>
      </c>
      <c r="C671" s="2" t="s">
        <v>13</v>
      </c>
      <c r="D671" s="13"/>
      <c r="E671" s="13"/>
      <c r="F671" s="45"/>
      <c r="G671" s="42"/>
      <c r="H671" s="42"/>
      <c r="I671" s="42"/>
      <c r="J671" s="22"/>
    </row>
    <row r="672" ht="40.5" customHeight="1">
      <c r="A672" s="1">
        <v>671.0</v>
      </c>
      <c r="B672" s="2" t="s">
        <v>45</v>
      </c>
      <c r="C672" s="2" t="s">
        <v>39</v>
      </c>
      <c r="D672" s="40">
        <v>0.375</v>
      </c>
      <c r="E672" s="40">
        <v>0.75</v>
      </c>
      <c r="F672" s="44" t="s">
        <v>797</v>
      </c>
      <c r="G672" s="43">
        <v>2.0</v>
      </c>
      <c r="H672" s="42"/>
      <c r="I672" s="43">
        <v>1.0</v>
      </c>
      <c r="J672" s="22"/>
    </row>
    <row r="673" ht="40.5" customHeight="1">
      <c r="A673" s="1">
        <v>672.0</v>
      </c>
      <c r="B673" s="2" t="s">
        <v>46</v>
      </c>
      <c r="C673" s="2" t="s">
        <v>27</v>
      </c>
      <c r="D673" s="40">
        <v>0.6875</v>
      </c>
      <c r="E673" s="13"/>
      <c r="F673" s="44" t="s">
        <v>798</v>
      </c>
      <c r="G673" s="43">
        <v>1.0</v>
      </c>
      <c r="H673" s="42"/>
      <c r="I673" s="42"/>
      <c r="J673" s="22"/>
    </row>
    <row r="674" ht="40.5" hidden="1" customHeight="1">
      <c r="A674" s="1">
        <v>673.0</v>
      </c>
      <c r="B674" s="2" t="s">
        <v>47</v>
      </c>
      <c r="C674" s="2" t="s">
        <v>13</v>
      </c>
      <c r="D674" s="13"/>
      <c r="E674" s="13"/>
      <c r="F674" s="45"/>
      <c r="G674" s="42"/>
      <c r="H674" s="42"/>
      <c r="I674" s="42"/>
      <c r="J674" s="22"/>
    </row>
    <row r="675" ht="40.5" hidden="1" customHeight="1">
      <c r="A675" s="1">
        <v>674.0</v>
      </c>
      <c r="B675" s="2" t="s">
        <v>48</v>
      </c>
      <c r="C675" s="2" t="s">
        <v>13</v>
      </c>
      <c r="D675" s="13"/>
      <c r="E675" s="13"/>
      <c r="F675" s="45"/>
      <c r="G675" s="42"/>
      <c r="H675" s="42"/>
      <c r="I675" s="42"/>
      <c r="J675" s="22"/>
    </row>
    <row r="676" ht="40.5" customHeight="1">
      <c r="A676" s="1">
        <v>675.0</v>
      </c>
      <c r="B676" s="21"/>
      <c r="C676" s="21"/>
      <c r="D676" s="21"/>
      <c r="E676" s="21"/>
      <c r="F676" s="46"/>
      <c r="G676" s="47"/>
      <c r="H676" s="47"/>
      <c r="I676" s="47"/>
      <c r="J676" s="48"/>
      <c r="K676" s="49"/>
      <c r="L676" s="49"/>
      <c r="M676" s="49"/>
    </row>
    <row r="677" ht="40.5" hidden="1" customHeight="1">
      <c r="A677" s="1">
        <v>676.0</v>
      </c>
      <c r="B677" s="2" t="s">
        <v>12</v>
      </c>
      <c r="C677" s="2" t="s">
        <v>13</v>
      </c>
      <c r="D677" s="13"/>
      <c r="E677" s="13"/>
      <c r="F677" s="45"/>
      <c r="G677" s="42"/>
      <c r="H677" s="42"/>
      <c r="I677" s="42"/>
      <c r="J677" s="27" t="s">
        <v>491</v>
      </c>
      <c r="K677" s="15" t="s">
        <v>423</v>
      </c>
    </row>
    <row r="678" ht="40.5" hidden="1" customHeight="1">
      <c r="A678" s="1">
        <v>677.0</v>
      </c>
      <c r="B678" s="2" t="s">
        <v>16</v>
      </c>
      <c r="C678" s="2" t="s">
        <v>13</v>
      </c>
      <c r="D678" s="13"/>
      <c r="E678" s="13"/>
      <c r="F678" s="45"/>
      <c r="G678" s="42"/>
      <c r="H678" s="42"/>
      <c r="I678" s="42"/>
      <c r="J678" s="27" t="s">
        <v>423</v>
      </c>
    </row>
    <row r="679" ht="40.5" customHeight="1">
      <c r="A679" s="1">
        <v>678.0</v>
      </c>
      <c r="B679" s="2" t="s">
        <v>17</v>
      </c>
      <c r="C679" s="2"/>
      <c r="D679" s="40">
        <v>0.375</v>
      </c>
      <c r="E679" s="13"/>
      <c r="F679" s="44" t="s">
        <v>799</v>
      </c>
      <c r="G679" s="43">
        <v>1.0</v>
      </c>
      <c r="H679" s="42"/>
      <c r="I679" s="43">
        <v>1.0</v>
      </c>
      <c r="J679" s="27" t="s">
        <v>19</v>
      </c>
    </row>
    <row r="680" ht="40.5" hidden="1" customHeight="1">
      <c r="A680" s="1">
        <v>679.0</v>
      </c>
      <c r="B680" s="2" t="s">
        <v>331</v>
      </c>
      <c r="C680" s="2" t="s">
        <v>13</v>
      </c>
      <c r="D680" s="13"/>
      <c r="E680" s="13"/>
      <c r="F680" s="44"/>
      <c r="G680" s="42"/>
      <c r="H680" s="42"/>
      <c r="I680" s="42"/>
      <c r="J680" s="27" t="s">
        <v>410</v>
      </c>
    </row>
    <row r="681" ht="40.5" customHeight="1">
      <c r="A681" s="1">
        <v>680.0</v>
      </c>
      <c r="B681" s="2" t="s">
        <v>21</v>
      </c>
      <c r="C681" s="2" t="s">
        <v>63</v>
      </c>
      <c r="D681" s="40">
        <v>0.375</v>
      </c>
      <c r="E681" s="13"/>
      <c r="F681" s="45"/>
      <c r="G681" s="42"/>
      <c r="H681" s="42"/>
      <c r="I681" s="42"/>
      <c r="J681" s="27" t="s">
        <v>412</v>
      </c>
    </row>
    <row r="682" ht="40.5" hidden="1" customHeight="1">
      <c r="A682" s="1">
        <v>681.0</v>
      </c>
      <c r="B682" s="2" t="s">
        <v>22</v>
      </c>
      <c r="C682" s="2" t="s">
        <v>13</v>
      </c>
      <c r="D682" s="13"/>
      <c r="E682" s="13"/>
      <c r="F682" s="45"/>
      <c r="G682" s="42"/>
      <c r="H682" s="42"/>
      <c r="I682" s="42"/>
      <c r="J682" s="27" t="s">
        <v>413</v>
      </c>
    </row>
    <row r="683" ht="40.5" hidden="1" customHeight="1">
      <c r="A683" s="1">
        <v>682.0</v>
      </c>
      <c r="B683" s="2" t="s">
        <v>23</v>
      </c>
      <c r="C683" s="2" t="s">
        <v>13</v>
      </c>
      <c r="D683" s="13"/>
      <c r="E683" s="13"/>
      <c r="F683" s="45"/>
      <c r="G683" s="42"/>
      <c r="H683" s="42"/>
      <c r="I683" s="42"/>
      <c r="J683" s="22"/>
    </row>
    <row r="684" ht="40.5" hidden="1" customHeight="1">
      <c r="A684" s="1">
        <v>683.0</v>
      </c>
      <c r="B684" s="2" t="s">
        <v>24</v>
      </c>
      <c r="C684" s="2" t="s">
        <v>13</v>
      </c>
      <c r="D684" s="13"/>
      <c r="E684" s="13"/>
      <c r="F684" s="45"/>
      <c r="G684" s="42"/>
      <c r="H684" s="42"/>
      <c r="I684" s="42"/>
      <c r="J684" s="22"/>
    </row>
    <row r="685" ht="40.5" hidden="1" customHeight="1">
      <c r="A685" s="1">
        <v>684.0</v>
      </c>
      <c r="B685" s="2" t="s">
        <v>25</v>
      </c>
      <c r="C685" s="2" t="s">
        <v>13</v>
      </c>
      <c r="D685" s="13"/>
      <c r="E685" s="13"/>
      <c r="F685" s="45"/>
      <c r="G685" s="42"/>
      <c r="H685" s="42"/>
      <c r="I685" s="42"/>
      <c r="J685" s="22"/>
    </row>
    <row r="686" ht="40.5" hidden="1" customHeight="1">
      <c r="A686" s="1">
        <v>685.0</v>
      </c>
      <c r="B686" s="2" t="s">
        <v>26</v>
      </c>
      <c r="C686" s="2" t="s">
        <v>13</v>
      </c>
      <c r="D686" s="13"/>
      <c r="E686" s="13"/>
      <c r="F686" s="45"/>
      <c r="G686" s="42"/>
      <c r="H686" s="42"/>
      <c r="I686" s="42"/>
      <c r="J686" s="22"/>
    </row>
    <row r="687" ht="40.5" customHeight="1">
      <c r="A687" s="1">
        <v>686.0</v>
      </c>
      <c r="B687" s="2" t="s">
        <v>29</v>
      </c>
      <c r="C687" s="2" t="s">
        <v>27</v>
      </c>
      <c r="D687" s="40">
        <v>0.6875</v>
      </c>
      <c r="E687" s="13"/>
      <c r="F687" s="44" t="s">
        <v>800</v>
      </c>
      <c r="G687" s="43">
        <v>1.0</v>
      </c>
      <c r="H687" s="42"/>
      <c r="I687" s="43"/>
      <c r="J687" s="22"/>
    </row>
    <row r="688" ht="40.5" hidden="1" customHeight="1">
      <c r="A688" s="1">
        <v>687.0</v>
      </c>
      <c r="B688" s="2" t="s">
        <v>30</v>
      </c>
      <c r="C688" s="2" t="s">
        <v>13</v>
      </c>
      <c r="D688" s="13"/>
      <c r="E688" s="13"/>
      <c r="F688" s="45"/>
      <c r="G688" s="42"/>
      <c r="H688" s="42"/>
      <c r="I688" s="42"/>
      <c r="J688" s="22"/>
    </row>
    <row r="689" ht="40.5" hidden="1" customHeight="1">
      <c r="A689" s="1">
        <v>688.0</v>
      </c>
      <c r="B689" s="2" t="s">
        <v>31</v>
      </c>
      <c r="C689" s="2" t="s">
        <v>13</v>
      </c>
      <c r="D689" s="13"/>
      <c r="E689" s="13"/>
      <c r="F689" s="45"/>
      <c r="G689" s="42"/>
      <c r="H689" s="42"/>
      <c r="I689" s="42"/>
      <c r="J689" s="22"/>
    </row>
    <row r="690" ht="40.5" hidden="1" customHeight="1">
      <c r="A690" s="1">
        <v>689.0</v>
      </c>
      <c r="B690" s="2" t="s">
        <v>32</v>
      </c>
      <c r="C690" s="2" t="s">
        <v>13</v>
      </c>
      <c r="D690" s="13"/>
      <c r="E690" s="13"/>
      <c r="F690" s="45"/>
      <c r="G690" s="42"/>
      <c r="H690" s="42"/>
      <c r="I690" s="42"/>
      <c r="J690" s="22"/>
    </row>
    <row r="691" ht="40.5" hidden="1" customHeight="1">
      <c r="A691" s="1">
        <v>690.0</v>
      </c>
      <c r="B691" s="2" t="s">
        <v>67</v>
      </c>
      <c r="C691" s="2" t="s">
        <v>13</v>
      </c>
      <c r="D691" s="13"/>
      <c r="E691" s="13"/>
      <c r="F691" s="45"/>
      <c r="G691" s="42"/>
      <c r="H691" s="42"/>
      <c r="I691" s="42"/>
      <c r="J691" s="22"/>
    </row>
    <row r="692" ht="40.5" hidden="1" customHeight="1">
      <c r="A692" s="1">
        <v>691.0</v>
      </c>
      <c r="B692" s="2" t="s">
        <v>34</v>
      </c>
      <c r="C692" s="2" t="s">
        <v>13</v>
      </c>
      <c r="D692" s="13"/>
      <c r="E692" s="13"/>
      <c r="F692" s="45"/>
      <c r="G692" s="42"/>
      <c r="H692" s="42"/>
      <c r="I692" s="42"/>
      <c r="J692" s="22"/>
    </row>
    <row r="693" ht="40.5" hidden="1" customHeight="1">
      <c r="A693" s="1">
        <v>692.0</v>
      </c>
      <c r="B693" s="2" t="s">
        <v>35</v>
      </c>
      <c r="C693" s="2" t="s">
        <v>13</v>
      </c>
      <c r="D693" s="13"/>
      <c r="E693" s="13"/>
      <c r="F693" s="45"/>
      <c r="G693" s="42"/>
      <c r="H693" s="42"/>
      <c r="I693" s="42"/>
      <c r="J693" s="22"/>
    </row>
    <row r="694" ht="40.5" customHeight="1">
      <c r="A694" s="1">
        <v>693.0</v>
      </c>
      <c r="B694" s="2" t="s">
        <v>36</v>
      </c>
      <c r="C694" s="2" t="s">
        <v>39</v>
      </c>
      <c r="D694" s="40">
        <v>0.375</v>
      </c>
      <c r="E694" s="13"/>
      <c r="F694" s="44" t="s">
        <v>801</v>
      </c>
      <c r="G694" s="43">
        <v>1.0</v>
      </c>
      <c r="H694" s="42"/>
      <c r="I694" s="43"/>
      <c r="J694" s="22"/>
    </row>
    <row r="695" ht="40.5" hidden="1" customHeight="1">
      <c r="A695" s="1">
        <v>694.0</v>
      </c>
      <c r="B695" s="2" t="s">
        <v>38</v>
      </c>
      <c r="C695" s="2" t="s">
        <v>13</v>
      </c>
      <c r="D695" s="13"/>
      <c r="E695" s="13"/>
      <c r="F695" s="45"/>
      <c r="G695" s="42"/>
      <c r="H695" s="42"/>
      <c r="I695" s="42"/>
      <c r="J695" s="22"/>
    </row>
    <row r="696" ht="40.5" customHeight="1">
      <c r="A696" s="1">
        <v>695.0</v>
      </c>
      <c r="B696" s="2" t="s">
        <v>41</v>
      </c>
      <c r="C696" s="2" t="s">
        <v>49</v>
      </c>
      <c r="D696" s="40">
        <v>0.4583333333333333</v>
      </c>
      <c r="E696" s="13"/>
      <c r="F696" s="44" t="s">
        <v>802</v>
      </c>
      <c r="G696" s="43">
        <v>1.0</v>
      </c>
      <c r="H696" s="42"/>
      <c r="I696" s="42"/>
      <c r="J696" s="22"/>
    </row>
    <row r="697" ht="40.5" hidden="1" customHeight="1">
      <c r="A697" s="1">
        <v>696.0</v>
      </c>
      <c r="B697" s="2" t="s">
        <v>42</v>
      </c>
      <c r="C697" s="2" t="s">
        <v>13</v>
      </c>
      <c r="D697" s="13"/>
      <c r="E697" s="13"/>
      <c r="F697" s="45"/>
      <c r="G697" s="42"/>
      <c r="H697" s="42"/>
      <c r="I697" s="42"/>
      <c r="J697" s="22"/>
    </row>
    <row r="698" ht="40.5" hidden="1" customHeight="1">
      <c r="A698" s="1">
        <v>697.0</v>
      </c>
      <c r="B698" s="2" t="s">
        <v>43</v>
      </c>
      <c r="C698" s="2" t="s">
        <v>13</v>
      </c>
      <c r="D698" s="13"/>
      <c r="E698" s="13"/>
      <c r="F698" s="45"/>
      <c r="G698" s="42"/>
      <c r="H698" s="42"/>
      <c r="I698" s="42"/>
      <c r="J698" s="22"/>
    </row>
    <row r="699" ht="40.5" customHeight="1">
      <c r="A699" s="1">
        <v>698.0</v>
      </c>
      <c r="B699" s="2" t="s">
        <v>45</v>
      </c>
      <c r="C699" s="2" t="s">
        <v>145</v>
      </c>
      <c r="D699" s="40">
        <v>0.4166666666666667</v>
      </c>
      <c r="E699" s="13"/>
      <c r="F699" s="44" t="s">
        <v>803</v>
      </c>
      <c r="G699" s="43">
        <v>3.0</v>
      </c>
      <c r="H699" s="42"/>
      <c r="I699" s="43">
        <v>1.0</v>
      </c>
      <c r="J699" s="22"/>
    </row>
    <row r="700" ht="40.5" customHeight="1">
      <c r="A700" s="1">
        <v>699.0</v>
      </c>
      <c r="B700" s="2" t="s">
        <v>46</v>
      </c>
      <c r="C700" s="2" t="s">
        <v>44</v>
      </c>
      <c r="D700" s="13"/>
      <c r="E700" s="13"/>
      <c r="F700" s="45"/>
      <c r="G700" s="42"/>
      <c r="H700" s="42"/>
      <c r="I700" s="42"/>
      <c r="J700" s="22"/>
    </row>
    <row r="701" ht="40.5" hidden="1" customHeight="1">
      <c r="A701" s="1">
        <v>700.0</v>
      </c>
      <c r="B701" s="2" t="s">
        <v>47</v>
      </c>
      <c r="C701" s="2" t="s">
        <v>13</v>
      </c>
      <c r="D701" s="13"/>
      <c r="E701" s="13"/>
      <c r="F701" s="45"/>
      <c r="G701" s="42"/>
      <c r="H701" s="42"/>
      <c r="I701" s="42"/>
      <c r="J701" s="22"/>
    </row>
    <row r="702" ht="40.5" hidden="1" customHeight="1">
      <c r="A702" s="1">
        <v>701.0</v>
      </c>
      <c r="B702" s="2" t="s">
        <v>48</v>
      </c>
      <c r="C702" s="2" t="s">
        <v>13</v>
      </c>
      <c r="D702" s="13"/>
      <c r="E702" s="13"/>
      <c r="F702" s="45"/>
      <c r="G702" s="42"/>
      <c r="H702" s="42"/>
      <c r="I702" s="42"/>
      <c r="J702" s="22"/>
    </row>
    <row r="703" ht="40.5" customHeight="1">
      <c r="A703" s="1">
        <v>702.0</v>
      </c>
      <c r="B703" s="21"/>
      <c r="C703" s="21"/>
      <c r="D703" s="21"/>
      <c r="E703" s="21"/>
      <c r="F703" s="46"/>
      <c r="G703" s="47"/>
      <c r="H703" s="47"/>
      <c r="I703" s="47"/>
      <c r="J703" s="48"/>
      <c r="K703" s="49"/>
      <c r="L703" s="49"/>
      <c r="M703" s="49"/>
    </row>
    <row r="704" ht="40.5" hidden="1" customHeight="1">
      <c r="A704" s="1">
        <v>703.0</v>
      </c>
      <c r="B704" s="2" t="s">
        <v>12</v>
      </c>
      <c r="C704" s="2" t="s">
        <v>13</v>
      </c>
      <c r="D704" s="13"/>
      <c r="E704" s="13"/>
      <c r="F704" s="45"/>
      <c r="G704" s="42"/>
      <c r="H704" s="42"/>
      <c r="I704" s="42"/>
      <c r="J704" s="27" t="s">
        <v>491</v>
      </c>
      <c r="K704" s="15" t="s">
        <v>438</v>
      </c>
    </row>
    <row r="705" ht="40.5" hidden="1" customHeight="1">
      <c r="A705" s="1">
        <v>704.0</v>
      </c>
      <c r="B705" s="2" t="s">
        <v>16</v>
      </c>
      <c r="C705" s="2" t="s">
        <v>13</v>
      </c>
      <c r="D705" s="13"/>
      <c r="E705" s="13"/>
      <c r="F705" s="45"/>
      <c r="G705" s="42"/>
      <c r="H705" s="42"/>
      <c r="I705" s="42"/>
      <c r="J705" s="27" t="s">
        <v>438</v>
      </c>
    </row>
    <row r="706" ht="40.5" customHeight="1">
      <c r="A706" s="1">
        <v>705.0</v>
      </c>
      <c r="B706" s="2" t="s">
        <v>17</v>
      </c>
      <c r="C706" s="2"/>
      <c r="D706" s="40">
        <v>0.375</v>
      </c>
      <c r="E706" s="13"/>
      <c r="F706" s="45"/>
      <c r="G706" s="42"/>
      <c r="H706" s="42"/>
      <c r="I706" s="42"/>
      <c r="J706" s="27" t="s">
        <v>56</v>
      </c>
    </row>
    <row r="707" ht="40.5" hidden="1" customHeight="1">
      <c r="A707" s="1">
        <v>706.0</v>
      </c>
      <c r="B707" s="2" t="s">
        <v>331</v>
      </c>
      <c r="C707" s="2" t="s">
        <v>13</v>
      </c>
      <c r="D707" s="13"/>
      <c r="E707" s="13"/>
      <c r="F707" s="44"/>
      <c r="G707" s="42"/>
      <c r="H707" s="42"/>
      <c r="I707" s="42"/>
      <c r="J707" s="27" t="s">
        <v>262</v>
      </c>
    </row>
    <row r="708" ht="40.5" hidden="1" customHeight="1">
      <c r="A708" s="1">
        <v>707.0</v>
      </c>
      <c r="B708" s="2" t="s">
        <v>21</v>
      </c>
      <c r="C708" s="2" t="s">
        <v>13</v>
      </c>
      <c r="D708" s="40"/>
      <c r="E708" s="13"/>
      <c r="F708" s="45"/>
      <c r="G708" s="42"/>
      <c r="H708" s="42"/>
      <c r="I708" s="42"/>
      <c r="J708" s="27" t="s">
        <v>264</v>
      </c>
    </row>
    <row r="709" ht="40.5" hidden="1" customHeight="1">
      <c r="A709" s="1">
        <v>708.0</v>
      </c>
      <c r="B709" s="2" t="s">
        <v>22</v>
      </c>
      <c r="C709" s="2" t="s">
        <v>13</v>
      </c>
      <c r="D709" s="13"/>
      <c r="E709" s="13"/>
      <c r="F709" s="45"/>
      <c r="G709" s="42"/>
      <c r="H709" s="42"/>
      <c r="I709" s="42"/>
      <c r="J709" s="27" t="s">
        <v>265</v>
      </c>
    </row>
    <row r="710" ht="40.5" hidden="1" customHeight="1">
      <c r="A710" s="1">
        <v>709.0</v>
      </c>
      <c r="B710" s="2" t="s">
        <v>23</v>
      </c>
      <c r="C710" s="2" t="s">
        <v>13</v>
      </c>
      <c r="D710" s="13"/>
      <c r="E710" s="13"/>
      <c r="F710" s="45"/>
      <c r="G710" s="42"/>
      <c r="H710" s="42"/>
      <c r="I710" s="42"/>
      <c r="J710" s="22"/>
    </row>
    <row r="711" ht="40.5" customHeight="1">
      <c r="A711" s="1">
        <v>710.0</v>
      </c>
      <c r="B711" s="2" t="s">
        <v>24</v>
      </c>
      <c r="C711" s="2" t="s">
        <v>277</v>
      </c>
      <c r="D711" s="40">
        <v>0.375</v>
      </c>
      <c r="E711" s="13"/>
      <c r="F711" s="44" t="s">
        <v>804</v>
      </c>
      <c r="G711" s="42"/>
      <c r="H711" s="42"/>
      <c r="I711" s="42"/>
      <c r="J711" s="22"/>
    </row>
    <row r="712" ht="40.5" hidden="1" customHeight="1">
      <c r="A712" s="1">
        <v>711.0</v>
      </c>
      <c r="B712" s="2" t="s">
        <v>25</v>
      </c>
      <c r="C712" s="2" t="s">
        <v>13</v>
      </c>
      <c r="D712" s="13"/>
      <c r="E712" s="13"/>
      <c r="F712" s="45"/>
      <c r="G712" s="42"/>
      <c r="H712" s="42"/>
      <c r="I712" s="42"/>
      <c r="J712" s="22"/>
    </row>
    <row r="713" ht="40.5" customHeight="1">
      <c r="A713" s="1">
        <v>712.0</v>
      </c>
      <c r="B713" s="2" t="s">
        <v>26</v>
      </c>
      <c r="C713" s="2"/>
      <c r="D713" s="40">
        <v>0.375</v>
      </c>
      <c r="E713" s="13"/>
      <c r="F713" s="45"/>
      <c r="G713" s="42"/>
      <c r="H713" s="42"/>
      <c r="I713" s="42"/>
      <c r="J713" s="22"/>
    </row>
    <row r="714" ht="40.5" customHeight="1">
      <c r="A714" s="1">
        <v>713.0</v>
      </c>
      <c r="B714" s="2" t="s">
        <v>29</v>
      </c>
      <c r="C714" s="2" t="s">
        <v>44</v>
      </c>
      <c r="D714" s="13"/>
      <c r="E714" s="13"/>
      <c r="F714" s="45"/>
      <c r="G714" s="42"/>
      <c r="H714" s="42"/>
      <c r="I714" s="42"/>
      <c r="J714" s="22"/>
    </row>
    <row r="715" ht="40.5" hidden="1" customHeight="1">
      <c r="A715" s="1">
        <v>714.0</v>
      </c>
      <c r="B715" s="2" t="s">
        <v>30</v>
      </c>
      <c r="C715" s="2" t="s">
        <v>13</v>
      </c>
      <c r="D715" s="13"/>
      <c r="E715" s="13"/>
      <c r="F715" s="45"/>
      <c r="G715" s="42"/>
      <c r="H715" s="42"/>
      <c r="I715" s="42"/>
      <c r="J715" s="22"/>
    </row>
    <row r="716" ht="40.5" hidden="1" customHeight="1">
      <c r="A716" s="1">
        <v>715.0</v>
      </c>
      <c r="B716" s="2" t="s">
        <v>31</v>
      </c>
      <c r="C716" s="2" t="s">
        <v>13</v>
      </c>
      <c r="D716" s="13"/>
      <c r="E716" s="13"/>
      <c r="F716" s="45"/>
      <c r="G716" s="42"/>
      <c r="H716" s="42"/>
      <c r="I716" s="42"/>
      <c r="J716" s="22"/>
    </row>
    <row r="717" ht="40.5" hidden="1" customHeight="1">
      <c r="A717" s="1">
        <v>716.0</v>
      </c>
      <c r="B717" s="2" t="s">
        <v>32</v>
      </c>
      <c r="C717" s="2" t="s">
        <v>13</v>
      </c>
      <c r="D717" s="13"/>
      <c r="E717" s="13"/>
      <c r="F717" s="45"/>
      <c r="G717" s="42"/>
      <c r="H717" s="42"/>
      <c r="I717" s="42"/>
      <c r="J717" s="22"/>
    </row>
    <row r="718" ht="40.5" customHeight="1">
      <c r="A718" s="1">
        <v>717.0</v>
      </c>
      <c r="B718" s="2" t="s">
        <v>67</v>
      </c>
      <c r="C718" s="2"/>
      <c r="D718" s="40">
        <v>0.375</v>
      </c>
      <c r="E718" s="13"/>
      <c r="F718" s="44" t="s">
        <v>805</v>
      </c>
      <c r="G718" s="43">
        <v>1.0</v>
      </c>
      <c r="H718" s="42"/>
      <c r="I718" s="43">
        <v>1.0</v>
      </c>
      <c r="J718" s="22"/>
    </row>
    <row r="719" ht="40.5" hidden="1" customHeight="1">
      <c r="A719" s="1">
        <v>718.0</v>
      </c>
      <c r="B719" s="2" t="s">
        <v>34</v>
      </c>
      <c r="C719" s="2" t="s">
        <v>13</v>
      </c>
      <c r="D719" s="13"/>
      <c r="E719" s="13"/>
      <c r="F719" s="45"/>
      <c r="G719" s="42"/>
      <c r="H719" s="42"/>
      <c r="I719" s="42"/>
      <c r="J719" s="22"/>
    </row>
    <row r="720" ht="40.5" hidden="1" customHeight="1">
      <c r="A720" s="1">
        <v>719.0</v>
      </c>
      <c r="B720" s="2" t="s">
        <v>35</v>
      </c>
      <c r="C720" s="2" t="s">
        <v>13</v>
      </c>
      <c r="D720" s="13"/>
      <c r="E720" s="13"/>
      <c r="F720" s="45"/>
      <c r="G720" s="42"/>
      <c r="H720" s="42"/>
      <c r="I720" s="42"/>
      <c r="J720" s="22"/>
    </row>
    <row r="721" ht="40.5" customHeight="1">
      <c r="A721" s="1">
        <v>720.0</v>
      </c>
      <c r="B721" s="2" t="s">
        <v>36</v>
      </c>
      <c r="C721" s="2" t="s">
        <v>69</v>
      </c>
      <c r="D721" s="40">
        <v>0.5416666666666666</v>
      </c>
      <c r="E721" s="13"/>
      <c r="F721" s="44" t="s">
        <v>806</v>
      </c>
      <c r="G721" s="43">
        <v>1.0</v>
      </c>
      <c r="H721" s="42"/>
      <c r="I721" s="42"/>
      <c r="J721" s="22"/>
    </row>
    <row r="722" ht="40.5" customHeight="1">
      <c r="A722" s="1">
        <v>721.0</v>
      </c>
      <c r="B722" s="2" t="s">
        <v>38</v>
      </c>
      <c r="C722" s="2" t="s">
        <v>69</v>
      </c>
      <c r="D722" s="40">
        <v>0.5416666666666666</v>
      </c>
      <c r="E722" s="13"/>
      <c r="F722" s="44" t="s">
        <v>807</v>
      </c>
      <c r="G722" s="43">
        <v>1.0</v>
      </c>
      <c r="H722" s="42"/>
      <c r="I722" s="42"/>
      <c r="J722" s="22"/>
    </row>
    <row r="723" ht="40.5" customHeight="1">
      <c r="A723" s="1">
        <v>722.0</v>
      </c>
      <c r="B723" s="2" t="s">
        <v>41</v>
      </c>
      <c r="C723" s="2" t="s">
        <v>39</v>
      </c>
      <c r="D723" s="40">
        <v>0.3333333333333333</v>
      </c>
      <c r="E723" s="13"/>
      <c r="F723" s="44" t="s">
        <v>808</v>
      </c>
      <c r="G723" s="43">
        <v>2.0</v>
      </c>
      <c r="H723" s="42"/>
      <c r="I723" s="43">
        <v>2.0</v>
      </c>
      <c r="J723" s="22"/>
    </row>
    <row r="724" ht="40.5" hidden="1" customHeight="1">
      <c r="A724" s="1">
        <v>723.0</v>
      </c>
      <c r="B724" s="2" t="s">
        <v>42</v>
      </c>
      <c r="C724" s="2" t="s">
        <v>13</v>
      </c>
      <c r="D724" s="13"/>
      <c r="E724" s="13"/>
      <c r="F724" s="45"/>
      <c r="G724" s="42"/>
      <c r="H724" s="42"/>
      <c r="I724" s="42"/>
      <c r="J724" s="22"/>
    </row>
    <row r="725" ht="40.5" hidden="1" customHeight="1">
      <c r="A725" s="1">
        <v>724.0</v>
      </c>
      <c r="B725" s="2" t="s">
        <v>43</v>
      </c>
      <c r="C725" s="2" t="s">
        <v>13</v>
      </c>
      <c r="D725" s="13"/>
      <c r="E725" s="13"/>
      <c r="F725" s="45"/>
      <c r="G725" s="42"/>
      <c r="H725" s="42"/>
      <c r="I725" s="42"/>
      <c r="J725" s="22"/>
    </row>
    <row r="726" ht="40.5" customHeight="1">
      <c r="A726" s="1">
        <v>725.0</v>
      </c>
      <c r="B726" s="2" t="s">
        <v>45</v>
      </c>
      <c r="C726" s="2"/>
      <c r="D726" s="40">
        <v>0.375</v>
      </c>
      <c r="E726" s="13"/>
      <c r="F726" s="44" t="s">
        <v>809</v>
      </c>
      <c r="G726" s="43">
        <v>1.0</v>
      </c>
      <c r="H726" s="42"/>
      <c r="I726" s="43">
        <v>1.0</v>
      </c>
      <c r="J726" s="22"/>
    </row>
    <row r="727" ht="40.5" customHeight="1">
      <c r="A727" s="1">
        <v>726.0</v>
      </c>
      <c r="B727" s="2" t="s">
        <v>46</v>
      </c>
      <c r="C727" s="2" t="s">
        <v>27</v>
      </c>
      <c r="D727" s="13"/>
      <c r="E727" s="13"/>
      <c r="F727" s="45"/>
      <c r="G727" s="42"/>
      <c r="H727" s="42"/>
      <c r="I727" s="42"/>
      <c r="J727" s="22"/>
    </row>
    <row r="728" ht="40.5" hidden="1" customHeight="1">
      <c r="A728" s="1">
        <v>727.0</v>
      </c>
      <c r="B728" s="2" t="s">
        <v>47</v>
      </c>
      <c r="C728" s="2" t="s">
        <v>13</v>
      </c>
      <c r="D728" s="13"/>
      <c r="E728" s="13"/>
      <c r="F728" s="45"/>
      <c r="G728" s="42"/>
      <c r="H728" s="42"/>
      <c r="I728" s="42"/>
      <c r="J728" s="22"/>
    </row>
    <row r="729" ht="40.5" hidden="1" customHeight="1">
      <c r="A729" s="1">
        <v>728.0</v>
      </c>
      <c r="B729" s="2" t="s">
        <v>48</v>
      </c>
      <c r="C729" s="2" t="s">
        <v>13</v>
      </c>
      <c r="D729" s="13"/>
      <c r="E729" s="13"/>
      <c r="F729" s="45"/>
      <c r="G729" s="42"/>
      <c r="H729" s="42"/>
      <c r="I729" s="42"/>
      <c r="J729" s="22"/>
    </row>
    <row r="730" ht="40.5" customHeight="1">
      <c r="A730" s="1">
        <v>729.0</v>
      </c>
      <c r="B730" s="21"/>
      <c r="C730" s="21"/>
      <c r="D730" s="21"/>
      <c r="E730" s="21"/>
      <c r="F730" s="46"/>
      <c r="G730" s="47"/>
      <c r="H730" s="47"/>
      <c r="I730" s="47"/>
      <c r="J730" s="48"/>
      <c r="K730" s="49"/>
      <c r="L730" s="49"/>
      <c r="M730" s="49"/>
    </row>
    <row r="731" ht="40.5" hidden="1" customHeight="1">
      <c r="A731" s="1">
        <v>730.0</v>
      </c>
      <c r="B731" s="2" t="s">
        <v>12</v>
      </c>
      <c r="C731" s="2" t="s">
        <v>13</v>
      </c>
      <c r="D731" s="13"/>
      <c r="E731" s="13"/>
      <c r="F731" s="45"/>
      <c r="G731" s="42"/>
      <c r="H731" s="42"/>
      <c r="I731" s="42"/>
      <c r="J731" s="27" t="s">
        <v>491</v>
      </c>
      <c r="K731" s="15" t="s">
        <v>452</v>
      </c>
    </row>
    <row r="732" ht="40.5" hidden="1" customHeight="1">
      <c r="A732" s="1">
        <v>731.0</v>
      </c>
      <c r="B732" s="2" t="s">
        <v>16</v>
      </c>
      <c r="C732" s="2" t="s">
        <v>13</v>
      </c>
      <c r="D732" s="13"/>
      <c r="E732" s="13"/>
      <c r="F732" s="45"/>
      <c r="G732" s="42"/>
      <c r="H732" s="42"/>
      <c r="I732" s="42"/>
      <c r="J732" s="27" t="s">
        <v>452</v>
      </c>
    </row>
    <row r="733" ht="40.5" hidden="1" customHeight="1">
      <c r="A733" s="1">
        <v>732.0</v>
      </c>
      <c r="B733" s="2" t="s">
        <v>17</v>
      </c>
      <c r="C733" s="2" t="s">
        <v>13</v>
      </c>
      <c r="D733" s="13"/>
      <c r="E733" s="13"/>
      <c r="F733" s="45"/>
      <c r="G733" s="42"/>
      <c r="H733" s="42"/>
      <c r="I733" s="42"/>
      <c r="J733" s="27" t="s">
        <v>77</v>
      </c>
    </row>
    <row r="734" ht="40.5" customHeight="1">
      <c r="A734" s="1">
        <v>733.0</v>
      </c>
      <c r="B734" s="2" t="s">
        <v>331</v>
      </c>
      <c r="C734" s="13"/>
      <c r="D734" s="40">
        <v>0.375</v>
      </c>
      <c r="E734" s="13"/>
      <c r="F734" s="44" t="s">
        <v>810</v>
      </c>
      <c r="G734" s="43">
        <v>1.0</v>
      </c>
      <c r="H734" s="42"/>
      <c r="I734" s="43">
        <v>1.0</v>
      </c>
      <c r="J734" s="27" t="s">
        <v>165</v>
      </c>
    </row>
    <row r="735" ht="40.5" customHeight="1">
      <c r="A735" s="1">
        <v>734.0</v>
      </c>
      <c r="B735" s="2" t="s">
        <v>268</v>
      </c>
      <c r="C735" s="2" t="s">
        <v>63</v>
      </c>
      <c r="D735" s="13"/>
      <c r="E735" s="13"/>
      <c r="F735" s="45"/>
      <c r="G735" s="42"/>
      <c r="H735" s="42"/>
      <c r="I735" s="42"/>
      <c r="J735" s="27" t="s">
        <v>166</v>
      </c>
    </row>
    <row r="736" ht="40.5" customHeight="1">
      <c r="A736" s="1">
        <v>735.0</v>
      </c>
      <c r="B736" s="2" t="s">
        <v>22</v>
      </c>
      <c r="C736" s="2" t="s">
        <v>69</v>
      </c>
      <c r="D736" s="13"/>
      <c r="E736" s="13"/>
      <c r="F736" s="45"/>
      <c r="G736" s="42"/>
      <c r="H736" s="42"/>
      <c r="I736" s="42"/>
      <c r="J736" s="27" t="s">
        <v>167</v>
      </c>
    </row>
    <row r="737" ht="40.5" hidden="1" customHeight="1">
      <c r="A737" s="1">
        <v>736.0</v>
      </c>
      <c r="B737" s="2" t="s">
        <v>23</v>
      </c>
      <c r="C737" s="2" t="s">
        <v>13</v>
      </c>
      <c r="D737" s="13"/>
      <c r="E737" s="13"/>
      <c r="F737" s="45"/>
      <c r="G737" s="42"/>
      <c r="H737" s="42"/>
      <c r="I737" s="42"/>
      <c r="J737" s="22"/>
    </row>
    <row r="738" ht="40.5" hidden="1" customHeight="1">
      <c r="A738" s="1">
        <v>737.0</v>
      </c>
      <c r="B738" s="2" t="s">
        <v>24</v>
      </c>
      <c r="C738" s="2" t="s">
        <v>13</v>
      </c>
      <c r="D738" s="13"/>
      <c r="E738" s="13"/>
      <c r="F738" s="45"/>
      <c r="G738" s="42"/>
      <c r="H738" s="42"/>
      <c r="I738" s="42"/>
      <c r="J738" s="22"/>
    </row>
    <row r="739" ht="40.5" customHeight="1">
      <c r="A739" s="1">
        <v>738.0</v>
      </c>
      <c r="B739" s="2" t="s">
        <v>25</v>
      </c>
      <c r="C739" s="2" t="s">
        <v>39</v>
      </c>
      <c r="D739" s="13"/>
      <c r="E739" s="13"/>
      <c r="F739" s="44" t="s">
        <v>811</v>
      </c>
      <c r="G739" s="43">
        <v>2.0</v>
      </c>
      <c r="H739" s="42"/>
      <c r="I739" s="43">
        <v>1.0</v>
      </c>
      <c r="J739" s="22"/>
    </row>
    <row r="740" ht="40.5" customHeight="1">
      <c r="A740" s="1">
        <v>739.0</v>
      </c>
      <c r="B740" s="2" t="s">
        <v>26</v>
      </c>
      <c r="C740" s="2"/>
      <c r="D740" s="40">
        <v>0.375</v>
      </c>
      <c r="E740" s="13"/>
      <c r="F740" s="44" t="s">
        <v>812</v>
      </c>
      <c r="G740" s="43">
        <v>1.0</v>
      </c>
      <c r="H740" s="42"/>
      <c r="I740" s="43"/>
      <c r="J740" s="22"/>
    </row>
    <row r="741" ht="40.5" hidden="1" customHeight="1">
      <c r="A741" s="1">
        <v>740.0</v>
      </c>
      <c r="B741" s="2" t="s">
        <v>29</v>
      </c>
      <c r="C741" s="2" t="s">
        <v>13</v>
      </c>
      <c r="D741" s="13"/>
      <c r="E741" s="13"/>
      <c r="F741" s="45"/>
      <c r="G741" s="42"/>
      <c r="H741" s="42"/>
      <c r="I741" s="42"/>
      <c r="J741" s="22"/>
    </row>
    <row r="742" ht="40.5" customHeight="1">
      <c r="A742" s="1">
        <v>741.0</v>
      </c>
      <c r="B742" s="2" t="s">
        <v>30</v>
      </c>
      <c r="C742" s="2" t="s">
        <v>27</v>
      </c>
      <c r="D742" s="13"/>
      <c r="E742" s="13"/>
      <c r="F742" s="44" t="s">
        <v>813</v>
      </c>
      <c r="G742" s="43">
        <v>1.0</v>
      </c>
      <c r="H742" s="42"/>
      <c r="I742" s="43"/>
      <c r="J742" s="22"/>
    </row>
    <row r="743" ht="40.5" hidden="1" customHeight="1">
      <c r="A743" s="1">
        <v>742.0</v>
      </c>
      <c r="B743" s="2" t="s">
        <v>31</v>
      </c>
      <c r="C743" s="2" t="s">
        <v>13</v>
      </c>
      <c r="D743" s="13"/>
      <c r="E743" s="13"/>
      <c r="F743" s="45"/>
      <c r="G743" s="42"/>
      <c r="H743" s="42"/>
      <c r="I743" s="42"/>
      <c r="J743" s="22"/>
    </row>
    <row r="744" ht="40.5" hidden="1" customHeight="1">
      <c r="A744" s="1">
        <v>743.0</v>
      </c>
      <c r="B744" s="2" t="s">
        <v>32</v>
      </c>
      <c r="C744" s="2" t="s">
        <v>13</v>
      </c>
      <c r="D744" s="13"/>
      <c r="E744" s="13"/>
      <c r="F744" s="45"/>
      <c r="G744" s="42"/>
      <c r="H744" s="42"/>
      <c r="I744" s="42"/>
      <c r="J744" s="22"/>
    </row>
    <row r="745" ht="40.5" hidden="1" customHeight="1">
      <c r="A745" s="1">
        <v>744.0</v>
      </c>
      <c r="B745" s="2" t="s">
        <v>67</v>
      </c>
      <c r="C745" s="2" t="s">
        <v>13</v>
      </c>
      <c r="D745" s="13"/>
      <c r="E745" s="13"/>
      <c r="F745" s="45"/>
      <c r="G745" s="42"/>
      <c r="H745" s="42"/>
      <c r="I745" s="42"/>
      <c r="J745" s="22"/>
    </row>
    <row r="746" ht="40.5" hidden="1" customHeight="1">
      <c r="A746" s="1">
        <v>745.0</v>
      </c>
      <c r="B746" s="2" t="s">
        <v>34</v>
      </c>
      <c r="C746" s="2" t="s">
        <v>13</v>
      </c>
      <c r="D746" s="13"/>
      <c r="E746" s="13"/>
      <c r="F746" s="45"/>
      <c r="G746" s="42"/>
      <c r="H746" s="42"/>
      <c r="I746" s="42"/>
      <c r="J746" s="22"/>
    </row>
    <row r="747" ht="40.5" hidden="1" customHeight="1">
      <c r="A747" s="1">
        <v>746.0</v>
      </c>
      <c r="B747" s="2" t="s">
        <v>35</v>
      </c>
      <c r="C747" s="2" t="s">
        <v>13</v>
      </c>
      <c r="D747" s="13"/>
      <c r="E747" s="13"/>
      <c r="F747" s="45"/>
      <c r="G747" s="42"/>
      <c r="H747" s="42"/>
      <c r="I747" s="42"/>
      <c r="J747" s="22"/>
    </row>
    <row r="748" ht="40.5" customHeight="1">
      <c r="A748" s="1">
        <v>747.0</v>
      </c>
      <c r="B748" s="2" t="s">
        <v>36</v>
      </c>
      <c r="C748" s="13"/>
      <c r="D748" s="40">
        <v>0.375</v>
      </c>
      <c r="E748" s="13"/>
      <c r="F748" s="44" t="s">
        <v>814</v>
      </c>
      <c r="G748" s="43">
        <v>1.0</v>
      </c>
      <c r="H748" s="42"/>
      <c r="I748" s="43">
        <v>1.0</v>
      </c>
      <c r="J748" s="22"/>
    </row>
    <row r="749" ht="40.5" hidden="1" customHeight="1">
      <c r="A749" s="1">
        <v>748.0</v>
      </c>
      <c r="B749" s="2" t="s">
        <v>38</v>
      </c>
      <c r="C749" s="2" t="s">
        <v>13</v>
      </c>
      <c r="D749" s="13"/>
      <c r="E749" s="13"/>
      <c r="F749" s="45"/>
      <c r="G749" s="42"/>
      <c r="H749" s="42"/>
      <c r="I749" s="42"/>
      <c r="J749" s="22"/>
    </row>
    <row r="750" ht="40.5" hidden="1" customHeight="1">
      <c r="A750" s="1">
        <v>749.0</v>
      </c>
      <c r="B750" s="2" t="s">
        <v>41</v>
      </c>
      <c r="C750" s="2" t="s">
        <v>13</v>
      </c>
      <c r="D750" s="13"/>
      <c r="E750" s="13"/>
      <c r="F750" s="45"/>
      <c r="G750" s="42"/>
      <c r="H750" s="42"/>
      <c r="I750" s="42"/>
      <c r="J750" s="22"/>
    </row>
    <row r="751" ht="40.5" hidden="1" customHeight="1">
      <c r="A751" s="1">
        <v>750.0</v>
      </c>
      <c r="B751" s="2" t="s">
        <v>42</v>
      </c>
      <c r="C751" s="2" t="s">
        <v>13</v>
      </c>
      <c r="D751" s="13"/>
      <c r="E751" s="13"/>
      <c r="F751" s="45"/>
      <c r="G751" s="42"/>
      <c r="H751" s="42"/>
      <c r="I751" s="42"/>
      <c r="J751" s="22"/>
    </row>
    <row r="752" ht="40.5" customHeight="1">
      <c r="A752" s="1">
        <v>751.0</v>
      </c>
      <c r="B752" s="2" t="s">
        <v>43</v>
      </c>
      <c r="C752" s="2"/>
      <c r="D752" s="40">
        <v>0.375</v>
      </c>
      <c r="E752" s="13"/>
      <c r="F752" s="44" t="s">
        <v>815</v>
      </c>
      <c r="G752" s="43">
        <v>1.0</v>
      </c>
      <c r="H752" s="42"/>
      <c r="I752" s="43">
        <v>1.0</v>
      </c>
      <c r="J752" s="22"/>
    </row>
    <row r="753" ht="40.5" hidden="1" customHeight="1">
      <c r="A753" s="1">
        <v>752.0</v>
      </c>
      <c r="B753" s="2" t="s">
        <v>45</v>
      </c>
      <c r="C753" s="2" t="s">
        <v>13</v>
      </c>
      <c r="D753" s="13"/>
      <c r="E753" s="13"/>
      <c r="F753" s="45"/>
      <c r="G753" s="42"/>
      <c r="H753" s="42"/>
      <c r="I753" s="42"/>
      <c r="J753" s="22"/>
    </row>
    <row r="754" ht="40.5" customHeight="1">
      <c r="A754" s="1">
        <v>753.0</v>
      </c>
      <c r="B754" s="2" t="s">
        <v>46</v>
      </c>
      <c r="C754" s="2" t="s">
        <v>44</v>
      </c>
      <c r="D754" s="13"/>
      <c r="E754" s="13"/>
      <c r="F754" s="45"/>
      <c r="G754" s="42"/>
      <c r="H754" s="42"/>
      <c r="I754" s="42"/>
      <c r="J754" s="22"/>
    </row>
    <row r="755" ht="40.5" customHeight="1">
      <c r="A755" s="1">
        <v>754.0</v>
      </c>
      <c r="B755" s="2" t="s">
        <v>47</v>
      </c>
      <c r="C755" s="2" t="s">
        <v>69</v>
      </c>
      <c r="D755" s="13"/>
      <c r="E755" s="13"/>
      <c r="F755" s="45"/>
      <c r="G755" s="42"/>
      <c r="H755" s="42"/>
      <c r="I755" s="42"/>
      <c r="J755" s="22"/>
    </row>
    <row r="756" ht="40.5" hidden="1" customHeight="1">
      <c r="A756" s="1">
        <v>755.0</v>
      </c>
      <c r="B756" s="2" t="s">
        <v>48</v>
      </c>
      <c r="C756" s="2" t="s">
        <v>13</v>
      </c>
      <c r="D756" s="13"/>
      <c r="E756" s="13"/>
      <c r="F756" s="45"/>
      <c r="G756" s="42"/>
      <c r="H756" s="42"/>
      <c r="I756" s="42"/>
      <c r="J756" s="22"/>
    </row>
    <row r="757" ht="40.5" customHeight="1">
      <c r="A757" s="1">
        <v>756.0</v>
      </c>
      <c r="B757" s="21"/>
      <c r="C757" s="21"/>
      <c r="D757" s="21"/>
      <c r="E757" s="21"/>
      <c r="F757" s="46"/>
      <c r="G757" s="47"/>
      <c r="H757" s="47"/>
      <c r="I757" s="47"/>
      <c r="J757" s="48"/>
      <c r="K757" s="49"/>
      <c r="L757" s="49"/>
      <c r="M757" s="49"/>
    </row>
    <row r="758" ht="40.5" hidden="1" customHeight="1">
      <c r="A758" s="1">
        <v>757.0</v>
      </c>
      <c r="B758" s="2" t="s">
        <v>12</v>
      </c>
      <c r="C758" s="2" t="s">
        <v>13</v>
      </c>
      <c r="D758" s="13"/>
      <c r="E758" s="13"/>
      <c r="F758" s="45"/>
      <c r="G758" s="42"/>
      <c r="H758" s="42"/>
      <c r="I758" s="42"/>
      <c r="J758" s="27" t="s">
        <v>491</v>
      </c>
      <c r="K758" s="15" t="s">
        <v>460</v>
      </c>
    </row>
    <row r="759" ht="40.5" customHeight="1">
      <c r="A759" s="1">
        <v>758.0</v>
      </c>
      <c r="B759" s="2" t="s">
        <v>16</v>
      </c>
      <c r="C759" s="2"/>
      <c r="D759" s="40">
        <v>0.375</v>
      </c>
      <c r="E759" s="13"/>
      <c r="F759" s="44" t="s">
        <v>816</v>
      </c>
      <c r="G759" s="43">
        <v>1.0</v>
      </c>
      <c r="H759" s="42"/>
      <c r="I759" s="43">
        <v>1.0</v>
      </c>
      <c r="J759" s="27" t="s">
        <v>460</v>
      </c>
    </row>
    <row r="760" ht="40.5" hidden="1" customHeight="1">
      <c r="A760" s="1">
        <v>759.0</v>
      </c>
      <c r="B760" s="2" t="s">
        <v>17</v>
      </c>
      <c r="C760" s="2" t="s">
        <v>13</v>
      </c>
      <c r="D760" s="13"/>
      <c r="E760" s="13"/>
      <c r="F760" s="45"/>
      <c r="G760" s="42"/>
      <c r="H760" s="42"/>
      <c r="I760" s="42"/>
      <c r="J760" s="27" t="s">
        <v>95</v>
      </c>
    </row>
    <row r="761" ht="40.5" hidden="1" customHeight="1">
      <c r="A761" s="1">
        <v>760.0</v>
      </c>
      <c r="B761" s="2" t="s">
        <v>331</v>
      </c>
      <c r="C761" s="2" t="s">
        <v>13</v>
      </c>
      <c r="D761" s="13"/>
      <c r="E761" s="13"/>
      <c r="F761" s="44"/>
      <c r="G761" s="42"/>
      <c r="H761" s="42"/>
      <c r="I761" s="42"/>
      <c r="J761" s="27" t="s">
        <v>410</v>
      </c>
    </row>
    <row r="762" ht="40.5" hidden="1" customHeight="1">
      <c r="A762" s="1">
        <v>761.0</v>
      </c>
      <c r="B762" s="2" t="s">
        <v>21</v>
      </c>
      <c r="C762" s="2" t="s">
        <v>13</v>
      </c>
      <c r="D762" s="13"/>
      <c r="E762" s="13"/>
      <c r="F762" s="45"/>
      <c r="G762" s="42"/>
      <c r="H762" s="42"/>
      <c r="I762" s="42"/>
      <c r="J762" s="27" t="s">
        <v>412</v>
      </c>
    </row>
    <row r="763" ht="40.5" hidden="1" customHeight="1">
      <c r="A763" s="1">
        <v>762.0</v>
      </c>
      <c r="B763" s="2" t="s">
        <v>22</v>
      </c>
      <c r="C763" s="2" t="s">
        <v>13</v>
      </c>
      <c r="D763" s="13"/>
      <c r="E763" s="13"/>
      <c r="F763" s="45"/>
      <c r="G763" s="42"/>
      <c r="H763" s="42"/>
      <c r="I763" s="42"/>
      <c r="J763" s="27" t="s">
        <v>413</v>
      </c>
    </row>
    <row r="764" ht="40.5" hidden="1" customHeight="1">
      <c r="A764" s="1">
        <v>763.0</v>
      </c>
      <c r="B764" s="2" t="s">
        <v>23</v>
      </c>
      <c r="C764" s="2" t="s">
        <v>13</v>
      </c>
      <c r="D764" s="13"/>
      <c r="E764" s="13"/>
      <c r="F764" s="45"/>
      <c r="G764" s="42"/>
      <c r="H764" s="42"/>
      <c r="I764" s="42"/>
      <c r="J764" s="22"/>
    </row>
    <row r="765" ht="40.5" customHeight="1">
      <c r="A765" s="1">
        <v>764.0</v>
      </c>
      <c r="B765" s="2" t="s">
        <v>268</v>
      </c>
      <c r="C765" s="2" t="s">
        <v>63</v>
      </c>
      <c r="D765" s="13"/>
      <c r="E765" s="13"/>
      <c r="F765" s="45"/>
      <c r="G765" s="42"/>
      <c r="H765" s="42"/>
      <c r="I765" s="42"/>
      <c r="J765" s="22"/>
    </row>
    <row r="766" ht="40.5" hidden="1" customHeight="1">
      <c r="A766" s="1">
        <v>765.0</v>
      </c>
      <c r="B766" s="2" t="s">
        <v>25</v>
      </c>
      <c r="C766" s="2" t="s">
        <v>13</v>
      </c>
      <c r="D766" s="13"/>
      <c r="E766" s="13"/>
      <c r="F766" s="45"/>
      <c r="G766" s="42"/>
      <c r="H766" s="42"/>
      <c r="I766" s="42"/>
      <c r="J766" s="22"/>
    </row>
    <row r="767" ht="40.5" hidden="1" customHeight="1">
      <c r="A767" s="1">
        <v>766.0</v>
      </c>
      <c r="B767" s="2" t="s">
        <v>26</v>
      </c>
      <c r="C767" s="2" t="s">
        <v>13</v>
      </c>
      <c r="D767" s="13"/>
      <c r="E767" s="13"/>
      <c r="F767" s="45"/>
      <c r="G767" s="42"/>
      <c r="H767" s="42"/>
      <c r="I767" s="42"/>
      <c r="J767" s="22"/>
    </row>
    <row r="768" ht="40.5" customHeight="1">
      <c r="A768" s="1">
        <v>767.0</v>
      </c>
      <c r="B768" s="2" t="s">
        <v>29</v>
      </c>
      <c r="C768" s="2" t="s">
        <v>27</v>
      </c>
      <c r="D768" s="13"/>
      <c r="E768" s="13"/>
      <c r="F768" s="45"/>
      <c r="G768" s="42"/>
      <c r="H768" s="42"/>
      <c r="I768" s="42"/>
      <c r="J768" s="22"/>
    </row>
    <row r="769" ht="40.5" customHeight="1">
      <c r="A769" s="1">
        <v>768.0</v>
      </c>
      <c r="B769" s="2" t="s">
        <v>30</v>
      </c>
      <c r="C769" s="2" t="s">
        <v>44</v>
      </c>
      <c r="D769" s="13"/>
      <c r="E769" s="13"/>
      <c r="F769" s="45"/>
      <c r="G769" s="42"/>
      <c r="H769" s="42"/>
      <c r="I769" s="42"/>
      <c r="J769" s="22"/>
    </row>
    <row r="770" ht="40.5" customHeight="1">
      <c r="A770" s="1">
        <v>769.0</v>
      </c>
      <c r="B770" s="2" t="s">
        <v>31</v>
      </c>
      <c r="C770" s="2" t="s">
        <v>69</v>
      </c>
      <c r="D770" s="40">
        <v>0.5416666666666666</v>
      </c>
      <c r="E770" s="13"/>
      <c r="F770" s="44" t="s">
        <v>817</v>
      </c>
      <c r="G770" s="43">
        <v>1.0</v>
      </c>
      <c r="H770" s="42"/>
      <c r="I770" s="43">
        <v>1.0</v>
      </c>
      <c r="J770" s="22"/>
    </row>
    <row r="771" ht="40.5" customHeight="1">
      <c r="A771" s="1">
        <v>770.0</v>
      </c>
      <c r="B771" s="2" t="s">
        <v>32</v>
      </c>
      <c r="C771" s="2"/>
      <c r="D771" s="40">
        <v>0.375</v>
      </c>
      <c r="E771" s="13"/>
      <c r="F771" s="44" t="s">
        <v>818</v>
      </c>
      <c r="G771" s="43">
        <v>1.0</v>
      </c>
      <c r="H771" s="42"/>
      <c r="I771" s="42"/>
      <c r="J771" s="22"/>
    </row>
    <row r="772" ht="40.5" hidden="1" customHeight="1">
      <c r="A772" s="1">
        <v>771.0</v>
      </c>
      <c r="B772" s="2" t="s">
        <v>67</v>
      </c>
      <c r="C772" s="2" t="s">
        <v>13</v>
      </c>
      <c r="D772" s="13"/>
      <c r="E772" s="13"/>
      <c r="F772" s="45"/>
      <c r="G772" s="42"/>
      <c r="H772" s="42"/>
      <c r="I772" s="42"/>
      <c r="J772" s="22"/>
    </row>
    <row r="773" ht="40.5" hidden="1" customHeight="1">
      <c r="A773" s="1">
        <v>772.0</v>
      </c>
      <c r="B773" s="2" t="s">
        <v>34</v>
      </c>
      <c r="C773" s="2" t="s">
        <v>13</v>
      </c>
      <c r="D773" s="13"/>
      <c r="E773" s="13"/>
      <c r="F773" s="45"/>
      <c r="G773" s="42"/>
      <c r="H773" s="42"/>
      <c r="I773" s="42"/>
      <c r="J773" s="22"/>
    </row>
    <row r="774" ht="40.5" hidden="1" customHeight="1">
      <c r="A774" s="1">
        <v>773.0</v>
      </c>
      <c r="B774" s="2" t="s">
        <v>35</v>
      </c>
      <c r="C774" s="2" t="s">
        <v>13</v>
      </c>
      <c r="D774" s="13"/>
      <c r="E774" s="13"/>
      <c r="F774" s="45"/>
      <c r="G774" s="42"/>
      <c r="H774" s="42"/>
      <c r="I774" s="42"/>
      <c r="J774" s="22"/>
    </row>
    <row r="775" ht="40.5" hidden="1" customHeight="1">
      <c r="A775" s="1">
        <v>774.0</v>
      </c>
      <c r="B775" s="2" t="s">
        <v>36</v>
      </c>
      <c r="C775" s="2" t="s">
        <v>13</v>
      </c>
      <c r="D775" s="13"/>
      <c r="E775" s="13"/>
      <c r="F775" s="45"/>
      <c r="G775" s="42"/>
      <c r="H775" s="42"/>
      <c r="I775" s="42"/>
      <c r="J775" s="22"/>
    </row>
    <row r="776" ht="40.5" hidden="1" customHeight="1">
      <c r="A776" s="1">
        <v>775.0</v>
      </c>
      <c r="B776" s="2" t="s">
        <v>38</v>
      </c>
      <c r="C776" s="2" t="s">
        <v>13</v>
      </c>
      <c r="D776" s="13"/>
      <c r="E776" s="13"/>
      <c r="F776" s="45"/>
      <c r="G776" s="42"/>
      <c r="H776" s="42"/>
      <c r="I776" s="42"/>
      <c r="J776" s="22"/>
    </row>
    <row r="777" ht="40.5" hidden="1" customHeight="1">
      <c r="A777" s="1">
        <v>776.0</v>
      </c>
      <c r="B777" s="2" t="s">
        <v>41</v>
      </c>
      <c r="C777" s="2" t="s">
        <v>13</v>
      </c>
      <c r="D777" s="13"/>
      <c r="E777" s="13"/>
      <c r="F777" s="45"/>
      <c r="G777" s="42"/>
      <c r="H777" s="42"/>
      <c r="I777" s="42"/>
      <c r="J777" s="22"/>
    </row>
    <row r="778" ht="40.5" customHeight="1">
      <c r="A778" s="1">
        <v>777.0</v>
      </c>
      <c r="B778" s="2" t="s">
        <v>42</v>
      </c>
      <c r="C778" s="2" t="s">
        <v>39</v>
      </c>
      <c r="D778" s="40">
        <v>0.3333333333333333</v>
      </c>
      <c r="E778" s="13"/>
      <c r="F778" s="44" t="s">
        <v>819</v>
      </c>
      <c r="G778" s="43">
        <v>3.0</v>
      </c>
      <c r="H778" s="42"/>
      <c r="I778" s="43">
        <v>3.0</v>
      </c>
      <c r="J778" s="22"/>
    </row>
    <row r="779" ht="40.5" hidden="1" customHeight="1">
      <c r="A779" s="1">
        <v>778.0</v>
      </c>
      <c r="B779" s="2" t="s">
        <v>43</v>
      </c>
      <c r="C779" s="2" t="s">
        <v>13</v>
      </c>
      <c r="D779" s="13"/>
      <c r="E779" s="13"/>
      <c r="F779" s="45"/>
      <c r="G779" s="42"/>
      <c r="H779" s="42"/>
      <c r="I779" s="42"/>
      <c r="J779" s="22"/>
    </row>
    <row r="780" ht="40.5" hidden="1" customHeight="1">
      <c r="A780" s="1">
        <v>779.0</v>
      </c>
      <c r="B780" s="2" t="s">
        <v>45</v>
      </c>
      <c r="C780" s="2" t="s">
        <v>13</v>
      </c>
      <c r="D780" s="13"/>
      <c r="E780" s="13"/>
      <c r="F780" s="45"/>
      <c r="G780" s="42"/>
      <c r="H780" s="42"/>
      <c r="I780" s="42"/>
      <c r="J780" s="22"/>
    </row>
    <row r="781" ht="40.5" customHeight="1">
      <c r="A781" s="1">
        <v>780.0</v>
      </c>
      <c r="B781" s="2" t="s">
        <v>46</v>
      </c>
      <c r="C781" s="2" t="s">
        <v>69</v>
      </c>
      <c r="D781" s="40">
        <v>0.5416666666666666</v>
      </c>
      <c r="E781" s="13"/>
      <c r="F781" s="44" t="s">
        <v>820</v>
      </c>
      <c r="G781" s="43">
        <v>1.0</v>
      </c>
      <c r="H781" s="42"/>
      <c r="I781" s="43">
        <v>1.0</v>
      </c>
      <c r="J781" s="22"/>
    </row>
    <row r="782" ht="40.5" hidden="1" customHeight="1">
      <c r="A782" s="1">
        <v>781.0</v>
      </c>
      <c r="B782" s="2" t="s">
        <v>47</v>
      </c>
      <c r="C782" s="2" t="s">
        <v>13</v>
      </c>
      <c r="D782" s="13"/>
      <c r="E782" s="13"/>
      <c r="F782" s="45"/>
      <c r="G782" s="42"/>
      <c r="H782" s="42"/>
      <c r="I782" s="42"/>
      <c r="J782" s="22"/>
    </row>
    <row r="783" ht="40.5" hidden="1" customHeight="1">
      <c r="A783" s="1">
        <v>782.0</v>
      </c>
      <c r="B783" s="2" t="s">
        <v>48</v>
      </c>
      <c r="C783" s="2" t="s">
        <v>13</v>
      </c>
      <c r="D783" s="13"/>
      <c r="E783" s="13"/>
      <c r="F783" s="45"/>
      <c r="G783" s="42"/>
      <c r="H783" s="42"/>
      <c r="I783" s="42"/>
      <c r="J783" s="22"/>
    </row>
    <row r="784" ht="40.5" customHeight="1">
      <c r="A784" s="1">
        <v>783.0</v>
      </c>
      <c r="B784" s="21"/>
      <c r="C784" s="21"/>
      <c r="D784" s="21"/>
      <c r="E784" s="21"/>
      <c r="F784" s="46"/>
      <c r="G784" s="47"/>
      <c r="H784" s="47"/>
      <c r="I784" s="47"/>
      <c r="J784" s="48"/>
      <c r="K784" s="49"/>
      <c r="L784" s="49"/>
      <c r="M784" s="49"/>
    </row>
    <row r="785" ht="40.5" customHeight="1">
      <c r="A785" s="1">
        <v>784.0</v>
      </c>
      <c r="B785" s="2" t="s">
        <v>12</v>
      </c>
      <c r="C785" s="2" t="s">
        <v>39</v>
      </c>
      <c r="D785" s="40">
        <v>0.3333333333333333</v>
      </c>
      <c r="E785" s="40">
        <v>0.625</v>
      </c>
      <c r="F785" s="44" t="s">
        <v>821</v>
      </c>
      <c r="G785" s="43">
        <v>1.0</v>
      </c>
      <c r="H785" s="42"/>
      <c r="I785" s="43">
        <v>1.0</v>
      </c>
      <c r="J785" s="27" t="s">
        <v>491</v>
      </c>
      <c r="K785" s="15" t="s">
        <v>467</v>
      </c>
    </row>
    <row r="786" ht="40.5" customHeight="1">
      <c r="A786" s="1">
        <v>785.0</v>
      </c>
      <c r="B786" s="2" t="s">
        <v>116</v>
      </c>
      <c r="C786" s="2"/>
      <c r="D786" s="59">
        <v>0.3888888888888889</v>
      </c>
      <c r="E786" s="13"/>
      <c r="F786" s="44" t="s">
        <v>822</v>
      </c>
      <c r="G786" s="43">
        <v>1.0</v>
      </c>
      <c r="H786" s="42"/>
      <c r="I786" s="42"/>
      <c r="J786" s="27" t="s">
        <v>467</v>
      </c>
    </row>
    <row r="787" ht="40.5" hidden="1" customHeight="1">
      <c r="A787" s="1">
        <v>786.0</v>
      </c>
      <c r="B787" s="2" t="s">
        <v>17</v>
      </c>
      <c r="C787" s="2" t="s">
        <v>13</v>
      </c>
      <c r="D787" s="13"/>
      <c r="E787" s="13"/>
      <c r="F787" s="45"/>
      <c r="G787" s="42"/>
      <c r="H787" s="42"/>
      <c r="I787" s="42"/>
      <c r="J787" s="27" t="s">
        <v>111</v>
      </c>
    </row>
    <row r="788" ht="40.5" customHeight="1">
      <c r="A788" s="1">
        <v>787.0</v>
      </c>
      <c r="B788" s="2" t="s">
        <v>331</v>
      </c>
      <c r="C788" s="13"/>
      <c r="D788" s="40">
        <v>0.375</v>
      </c>
      <c r="E788" s="13"/>
      <c r="F788" s="44" t="s">
        <v>823</v>
      </c>
      <c r="G788" s="43">
        <v>1.0</v>
      </c>
      <c r="H788" s="42"/>
      <c r="I788" s="43">
        <v>1.0</v>
      </c>
      <c r="J788" s="27" t="s">
        <v>262</v>
      </c>
    </row>
    <row r="789" ht="40.5" customHeight="1">
      <c r="A789" s="1">
        <v>788.0</v>
      </c>
      <c r="B789" s="2" t="s">
        <v>21</v>
      </c>
      <c r="C789" s="2" t="s">
        <v>63</v>
      </c>
      <c r="D789" s="13"/>
      <c r="E789" s="13"/>
      <c r="F789" s="45"/>
      <c r="G789" s="42"/>
      <c r="H789" s="42"/>
      <c r="I789" s="42"/>
      <c r="J789" s="27" t="s">
        <v>264</v>
      </c>
    </row>
    <row r="790" ht="40.5" hidden="1" customHeight="1">
      <c r="A790" s="1">
        <v>789.0</v>
      </c>
      <c r="B790" s="2" t="s">
        <v>22</v>
      </c>
      <c r="C790" s="2" t="s">
        <v>13</v>
      </c>
      <c r="D790" s="13"/>
      <c r="E790" s="13"/>
      <c r="F790" s="45"/>
      <c r="G790" s="42"/>
      <c r="H790" s="42"/>
      <c r="I790" s="42"/>
      <c r="J790" s="27" t="s">
        <v>265</v>
      </c>
    </row>
    <row r="791" ht="40.5" hidden="1" customHeight="1">
      <c r="A791" s="1">
        <v>790.0</v>
      </c>
      <c r="B791" s="2" t="s">
        <v>23</v>
      </c>
      <c r="C791" s="2" t="s">
        <v>13</v>
      </c>
      <c r="D791" s="13"/>
      <c r="E791" s="13"/>
      <c r="F791" s="45"/>
      <c r="G791" s="42"/>
      <c r="H791" s="42"/>
      <c r="I791" s="42"/>
      <c r="J791" s="22"/>
    </row>
    <row r="792" ht="40.5" hidden="1" customHeight="1">
      <c r="A792" s="1">
        <v>791.0</v>
      </c>
      <c r="B792" s="2" t="s">
        <v>24</v>
      </c>
      <c r="C792" s="2" t="s">
        <v>13</v>
      </c>
      <c r="D792" s="13"/>
      <c r="E792" s="13"/>
      <c r="F792" s="45"/>
      <c r="G792" s="42"/>
      <c r="H792" s="42"/>
      <c r="I792" s="42"/>
      <c r="J792" s="22"/>
    </row>
    <row r="793" ht="40.5" hidden="1" customHeight="1">
      <c r="A793" s="1">
        <v>792.0</v>
      </c>
      <c r="B793" s="2" t="s">
        <v>25</v>
      </c>
      <c r="C793" s="2" t="s">
        <v>13</v>
      </c>
      <c r="D793" s="13"/>
      <c r="E793" s="13"/>
      <c r="F793" s="45"/>
      <c r="G793" s="42"/>
      <c r="H793" s="42"/>
      <c r="I793" s="42"/>
      <c r="J793" s="22"/>
    </row>
    <row r="794" ht="40.5" hidden="1" customHeight="1">
      <c r="A794" s="1">
        <v>793.0</v>
      </c>
      <c r="B794" s="2" t="s">
        <v>26</v>
      </c>
      <c r="C794" s="2" t="s">
        <v>13</v>
      </c>
      <c r="D794" s="13"/>
      <c r="E794" s="13"/>
      <c r="F794" s="45"/>
      <c r="G794" s="42"/>
      <c r="H794" s="42"/>
      <c r="I794" s="42"/>
      <c r="J794" s="22"/>
    </row>
    <row r="795" ht="40.5" customHeight="1">
      <c r="A795" s="1">
        <v>794.0</v>
      </c>
      <c r="B795" s="2" t="s">
        <v>29</v>
      </c>
      <c r="C795" s="2" t="s">
        <v>44</v>
      </c>
      <c r="D795" s="13"/>
      <c r="E795" s="13"/>
      <c r="F795" s="45"/>
      <c r="G795" s="42"/>
      <c r="H795" s="42"/>
      <c r="I795" s="42"/>
      <c r="J795" s="22"/>
    </row>
    <row r="796" ht="40.5" hidden="1" customHeight="1">
      <c r="A796" s="1">
        <v>795.0</v>
      </c>
      <c r="B796" s="2" t="s">
        <v>30</v>
      </c>
      <c r="C796" s="2" t="s">
        <v>13</v>
      </c>
      <c r="D796" s="13"/>
      <c r="E796" s="13"/>
      <c r="F796" s="45"/>
      <c r="G796" s="42"/>
      <c r="H796" s="42"/>
      <c r="I796" s="42"/>
      <c r="J796" s="22"/>
    </row>
    <row r="797" ht="40.5" hidden="1" customHeight="1">
      <c r="A797" s="1">
        <v>796.0</v>
      </c>
      <c r="B797" s="2" t="s">
        <v>31</v>
      </c>
      <c r="C797" s="2" t="s">
        <v>13</v>
      </c>
      <c r="D797" s="13"/>
      <c r="E797" s="13"/>
      <c r="F797" s="45"/>
      <c r="G797" s="42"/>
      <c r="H797" s="42"/>
      <c r="I797" s="42"/>
      <c r="J797" s="22"/>
    </row>
    <row r="798" ht="40.5" customHeight="1">
      <c r="A798" s="1">
        <v>797.0</v>
      </c>
      <c r="B798" s="2" t="s">
        <v>32</v>
      </c>
      <c r="C798" s="2" t="s">
        <v>69</v>
      </c>
      <c r="D798" s="40">
        <v>0.5416666666666666</v>
      </c>
      <c r="E798" s="13"/>
      <c r="F798" s="60" t="s">
        <v>824</v>
      </c>
      <c r="G798" s="43">
        <v>1.0</v>
      </c>
      <c r="H798" s="42"/>
      <c r="I798" s="42"/>
      <c r="J798" s="22"/>
    </row>
    <row r="799" ht="40.5" hidden="1" customHeight="1">
      <c r="A799" s="1">
        <v>798.0</v>
      </c>
      <c r="B799" s="2" t="s">
        <v>67</v>
      </c>
      <c r="C799" s="2" t="s">
        <v>13</v>
      </c>
      <c r="D799" s="13"/>
      <c r="E799" s="13"/>
      <c r="F799" s="45"/>
      <c r="G799" s="42"/>
      <c r="H799" s="42"/>
      <c r="I799" s="42"/>
      <c r="J799" s="22"/>
    </row>
    <row r="800" ht="40.5" customHeight="1">
      <c r="A800" s="1">
        <v>799.0</v>
      </c>
      <c r="B800" s="2" t="s">
        <v>34</v>
      </c>
      <c r="C800" s="2" t="s">
        <v>69</v>
      </c>
      <c r="D800" s="40">
        <v>0.5208333333333334</v>
      </c>
      <c r="E800" s="13"/>
      <c r="F800" s="44" t="s">
        <v>825</v>
      </c>
      <c r="G800" s="43">
        <v>1.0</v>
      </c>
      <c r="H800" s="42"/>
      <c r="I800" s="42"/>
      <c r="J800" s="22"/>
    </row>
    <row r="801" ht="40.5" hidden="1" customHeight="1">
      <c r="A801" s="1">
        <v>800.0</v>
      </c>
      <c r="B801" s="2" t="s">
        <v>35</v>
      </c>
      <c r="C801" s="2" t="s">
        <v>13</v>
      </c>
      <c r="D801" s="13"/>
      <c r="E801" s="13"/>
      <c r="F801" s="45"/>
      <c r="G801" s="42"/>
      <c r="H801" s="42"/>
      <c r="I801" s="42"/>
      <c r="J801" s="22"/>
    </row>
    <row r="802" ht="40.5" hidden="1" customHeight="1">
      <c r="A802" s="1">
        <v>801.0</v>
      </c>
      <c r="B802" s="2" t="s">
        <v>36</v>
      </c>
      <c r="C802" s="2" t="s">
        <v>13</v>
      </c>
      <c r="D802" s="13"/>
      <c r="E802" s="13"/>
      <c r="F802" s="45"/>
      <c r="G802" s="42"/>
      <c r="H802" s="42"/>
      <c r="I802" s="42"/>
      <c r="J802" s="22"/>
    </row>
    <row r="803" ht="40.5" hidden="1" customHeight="1">
      <c r="A803" s="1">
        <v>802.0</v>
      </c>
      <c r="B803" s="2" t="s">
        <v>38</v>
      </c>
      <c r="C803" s="2" t="s">
        <v>13</v>
      </c>
      <c r="D803" s="13"/>
      <c r="E803" s="13"/>
      <c r="F803" s="45"/>
      <c r="G803" s="42"/>
      <c r="H803" s="42"/>
      <c r="I803" s="42"/>
      <c r="J803" s="22"/>
    </row>
    <row r="804" ht="40.5" hidden="1" customHeight="1">
      <c r="A804" s="1">
        <v>803.0</v>
      </c>
      <c r="B804" s="2" t="s">
        <v>41</v>
      </c>
      <c r="C804" s="2" t="s">
        <v>13</v>
      </c>
      <c r="D804" s="13"/>
      <c r="E804" s="13"/>
      <c r="F804" s="45"/>
      <c r="G804" s="42"/>
      <c r="H804" s="42"/>
      <c r="I804" s="42"/>
      <c r="J804" s="22"/>
    </row>
    <row r="805" ht="40.5" hidden="1" customHeight="1">
      <c r="A805" s="1">
        <v>804.0</v>
      </c>
      <c r="B805" s="2" t="s">
        <v>42</v>
      </c>
      <c r="C805" s="2" t="s">
        <v>13</v>
      </c>
      <c r="D805" s="13"/>
      <c r="E805" s="13"/>
      <c r="F805" s="45"/>
      <c r="G805" s="42"/>
      <c r="H805" s="42"/>
      <c r="I805" s="42"/>
      <c r="J805" s="22"/>
    </row>
    <row r="806" ht="40.5" hidden="1" customHeight="1">
      <c r="A806" s="1">
        <v>805.0</v>
      </c>
      <c r="B806" s="2" t="s">
        <v>43</v>
      </c>
      <c r="C806" s="2" t="s">
        <v>13</v>
      </c>
      <c r="D806" s="13"/>
      <c r="E806" s="13"/>
      <c r="F806" s="45"/>
      <c r="G806" s="42"/>
      <c r="H806" s="42"/>
      <c r="I806" s="42"/>
      <c r="J806" s="22"/>
    </row>
    <row r="807" ht="40.5" hidden="1" customHeight="1">
      <c r="A807" s="1">
        <v>806.0</v>
      </c>
      <c r="B807" s="2" t="s">
        <v>45</v>
      </c>
      <c r="C807" s="2" t="s">
        <v>13</v>
      </c>
      <c r="D807" s="13"/>
      <c r="E807" s="13"/>
      <c r="F807" s="45"/>
      <c r="G807" s="42"/>
      <c r="H807" s="42"/>
      <c r="I807" s="42"/>
      <c r="J807" s="22"/>
    </row>
    <row r="808" ht="40.5" hidden="1" customHeight="1">
      <c r="A808" s="1">
        <v>807.0</v>
      </c>
      <c r="B808" s="2" t="s">
        <v>46</v>
      </c>
      <c r="C808" s="2" t="s">
        <v>13</v>
      </c>
      <c r="D808" s="13"/>
      <c r="E808" s="13"/>
      <c r="F808" s="45"/>
      <c r="G808" s="42"/>
      <c r="H808" s="42"/>
      <c r="I808" s="42"/>
      <c r="J808" s="22"/>
    </row>
    <row r="809" ht="40.5" hidden="1" customHeight="1">
      <c r="A809" s="1">
        <v>808.0</v>
      </c>
      <c r="B809" s="2" t="s">
        <v>47</v>
      </c>
      <c r="C809" s="2" t="s">
        <v>13</v>
      </c>
      <c r="D809" s="13"/>
      <c r="E809" s="13"/>
      <c r="F809" s="45"/>
      <c r="G809" s="42"/>
      <c r="H809" s="42"/>
      <c r="I809" s="42"/>
      <c r="J809" s="22"/>
    </row>
    <row r="810" ht="40.5" customHeight="1">
      <c r="A810" s="1">
        <v>809.0</v>
      </c>
      <c r="B810" s="2" t="s">
        <v>48</v>
      </c>
      <c r="C810" s="2" t="s">
        <v>27</v>
      </c>
      <c r="D810" s="40">
        <v>0.6875</v>
      </c>
      <c r="E810" s="13"/>
      <c r="F810" s="44" t="s">
        <v>826</v>
      </c>
      <c r="G810" s="43">
        <v>1.0</v>
      </c>
      <c r="H810" s="42"/>
      <c r="I810" s="42"/>
      <c r="J810" s="22"/>
    </row>
    <row r="811" ht="40.5" customHeight="1">
      <c r="A811" s="1">
        <v>810.0</v>
      </c>
      <c r="B811" s="21"/>
      <c r="C811" s="21"/>
      <c r="D811" s="21"/>
      <c r="E811" s="21"/>
      <c r="F811" s="46"/>
      <c r="G811" s="47"/>
      <c r="H811" s="47"/>
      <c r="I811" s="47"/>
      <c r="J811" s="48"/>
      <c r="K811" s="49"/>
      <c r="L811" s="49"/>
      <c r="M811" s="49"/>
    </row>
    <row r="812" ht="40.5" customHeight="1">
      <c r="A812" s="1">
        <v>811.0</v>
      </c>
      <c r="B812" s="2" t="s">
        <v>12</v>
      </c>
      <c r="C812" s="2" t="s">
        <v>62</v>
      </c>
      <c r="D812" s="13"/>
      <c r="E812" s="13"/>
      <c r="F812" s="44" t="s">
        <v>827</v>
      </c>
      <c r="G812" s="43">
        <v>1.0</v>
      </c>
      <c r="H812" s="42"/>
      <c r="I812" s="43">
        <v>1.0</v>
      </c>
      <c r="J812" s="27" t="s">
        <v>491</v>
      </c>
      <c r="K812" s="15" t="s">
        <v>477</v>
      </c>
    </row>
    <row r="813" ht="40.5" customHeight="1">
      <c r="A813" s="1">
        <v>812.0</v>
      </c>
      <c r="B813" s="2" t="s">
        <v>16</v>
      </c>
      <c r="C813" s="2" t="s">
        <v>54</v>
      </c>
      <c r="D813" s="13"/>
      <c r="E813" s="13"/>
      <c r="F813" s="45"/>
      <c r="G813" s="42"/>
      <c r="H813" s="42"/>
      <c r="I813" s="42"/>
      <c r="J813" s="27" t="s">
        <v>477</v>
      </c>
    </row>
    <row r="814" ht="40.5" customHeight="1">
      <c r="A814" s="1">
        <v>813.0</v>
      </c>
      <c r="B814" s="2" t="s">
        <v>17</v>
      </c>
      <c r="C814" s="2" t="s">
        <v>39</v>
      </c>
      <c r="D814" s="13"/>
      <c r="E814" s="13"/>
      <c r="F814" s="44" t="s">
        <v>828</v>
      </c>
      <c r="G814" s="43">
        <v>1.0</v>
      </c>
      <c r="H814" s="43"/>
      <c r="I814" s="43">
        <v>1.0</v>
      </c>
      <c r="J814" s="27" t="s">
        <v>131</v>
      </c>
    </row>
    <row r="815" ht="40.5" customHeight="1">
      <c r="A815" s="1">
        <v>814.0</v>
      </c>
      <c r="B815" s="2" t="s">
        <v>331</v>
      </c>
      <c r="C815" s="2" t="s">
        <v>542</v>
      </c>
      <c r="D815" s="40"/>
      <c r="E815" s="13"/>
      <c r="F815" s="61" t="s">
        <v>829</v>
      </c>
      <c r="G815" s="43">
        <v>1.0</v>
      </c>
      <c r="H815" s="42"/>
      <c r="I815" s="42"/>
      <c r="J815" s="22"/>
    </row>
    <row r="816" ht="40.5" hidden="1" customHeight="1">
      <c r="A816" s="1">
        <v>815.0</v>
      </c>
      <c r="B816" s="2" t="s">
        <v>21</v>
      </c>
      <c r="C816" s="2" t="s">
        <v>66</v>
      </c>
      <c r="D816" s="13"/>
      <c r="E816" s="13"/>
      <c r="F816" s="45"/>
      <c r="G816" s="42"/>
      <c r="H816" s="42"/>
      <c r="I816" s="42"/>
      <c r="J816" s="22"/>
    </row>
    <row r="817" ht="40.5" customHeight="1">
      <c r="A817" s="1">
        <v>816.0</v>
      </c>
      <c r="B817" s="2" t="s">
        <v>22</v>
      </c>
      <c r="C817" s="2" t="s">
        <v>69</v>
      </c>
      <c r="D817" s="13"/>
      <c r="E817" s="13"/>
      <c r="F817" s="44" t="s">
        <v>830</v>
      </c>
      <c r="G817" s="43">
        <v>1.0</v>
      </c>
      <c r="H817" s="42"/>
      <c r="I817" s="43">
        <v>1.0</v>
      </c>
      <c r="J817" s="22"/>
    </row>
    <row r="818" ht="40.5" hidden="1" customHeight="1">
      <c r="A818" s="1">
        <v>817.0</v>
      </c>
      <c r="B818" s="2" t="s">
        <v>23</v>
      </c>
      <c r="C818" s="2" t="s">
        <v>66</v>
      </c>
      <c r="D818" s="13"/>
      <c r="E818" s="13"/>
      <c r="F818" s="45"/>
      <c r="G818" s="42"/>
      <c r="H818" s="42"/>
      <c r="I818" s="42"/>
      <c r="J818" s="22"/>
    </row>
    <row r="819" ht="40.5" customHeight="1">
      <c r="A819" s="1">
        <v>818.0</v>
      </c>
      <c r="B819" s="2" t="s">
        <v>24</v>
      </c>
      <c r="C819" s="2" t="s">
        <v>277</v>
      </c>
      <c r="D819" s="13"/>
      <c r="E819" s="13"/>
      <c r="F819" s="45"/>
      <c r="G819" s="42"/>
      <c r="H819" s="42"/>
      <c r="I819" s="42"/>
      <c r="J819" s="22"/>
    </row>
    <row r="820" ht="40.5" customHeight="1">
      <c r="A820" s="1">
        <v>819.0</v>
      </c>
      <c r="B820" s="2" t="s">
        <v>25</v>
      </c>
      <c r="C820" s="2" t="s">
        <v>27</v>
      </c>
      <c r="D820" s="13"/>
      <c r="E820" s="13"/>
      <c r="F820" s="44" t="s">
        <v>831</v>
      </c>
      <c r="G820" s="43">
        <v>1.0</v>
      </c>
      <c r="H820" s="42"/>
      <c r="I820" s="42"/>
      <c r="J820" s="22"/>
    </row>
    <row r="821" ht="40.5" customHeight="1">
      <c r="A821" s="1">
        <v>820.0</v>
      </c>
      <c r="B821" s="2" t="s">
        <v>26</v>
      </c>
      <c r="C821" s="2" t="s">
        <v>54</v>
      </c>
      <c r="D821" s="13"/>
      <c r="E821" s="13"/>
      <c r="F821" s="44" t="s">
        <v>832</v>
      </c>
      <c r="G821" s="43">
        <v>1.0</v>
      </c>
      <c r="H821" s="42"/>
      <c r="I821" s="43">
        <v>1.0</v>
      </c>
      <c r="J821" s="22"/>
    </row>
    <row r="822" ht="40.5" customHeight="1">
      <c r="A822" s="1">
        <v>821.0</v>
      </c>
      <c r="B822" s="2" t="s">
        <v>29</v>
      </c>
      <c r="C822" s="2"/>
      <c r="D822" s="13"/>
      <c r="E822" s="13"/>
      <c r="F822" s="44" t="s">
        <v>833</v>
      </c>
      <c r="G822" s="43">
        <v>1.0</v>
      </c>
      <c r="H822" s="42"/>
      <c r="I822" s="43">
        <v>1.0</v>
      </c>
      <c r="J822" s="22"/>
    </row>
    <row r="823" ht="40.5" customHeight="1">
      <c r="A823" s="1">
        <v>822.0</v>
      </c>
      <c r="B823" s="2" t="s">
        <v>30</v>
      </c>
      <c r="C823" s="2" t="s">
        <v>64</v>
      </c>
      <c r="D823" s="13"/>
      <c r="E823" s="13"/>
      <c r="F823" s="45"/>
      <c r="G823" s="42"/>
      <c r="H823" s="42"/>
      <c r="I823" s="42"/>
      <c r="J823" s="22"/>
    </row>
    <row r="824" ht="40.5" customHeight="1">
      <c r="A824" s="1">
        <v>823.0</v>
      </c>
      <c r="B824" s="2" t="s">
        <v>31</v>
      </c>
      <c r="C824" s="2" t="s">
        <v>69</v>
      </c>
      <c r="D824" s="13"/>
      <c r="E824" s="13"/>
      <c r="F824" s="45"/>
      <c r="G824" s="42"/>
      <c r="H824" s="42"/>
      <c r="I824" s="42"/>
      <c r="J824" s="22"/>
    </row>
    <row r="825" ht="40.5" customHeight="1">
      <c r="A825" s="1">
        <v>824.0</v>
      </c>
      <c r="B825" s="2" t="s">
        <v>32</v>
      </c>
      <c r="C825" s="2"/>
      <c r="D825" s="13"/>
      <c r="E825" s="13"/>
      <c r="F825" s="45"/>
      <c r="G825" s="42"/>
      <c r="H825" s="42"/>
      <c r="I825" s="42"/>
      <c r="J825" s="22"/>
    </row>
    <row r="826" ht="40.5" customHeight="1">
      <c r="A826" s="1">
        <v>825.0</v>
      </c>
      <c r="B826" s="2" t="s">
        <v>67</v>
      </c>
      <c r="C826" s="2" t="s">
        <v>54</v>
      </c>
      <c r="D826" s="13"/>
      <c r="E826" s="13"/>
      <c r="F826" s="44" t="s">
        <v>834</v>
      </c>
      <c r="G826" s="43">
        <v>1.0</v>
      </c>
      <c r="H826" s="42"/>
      <c r="I826" s="43">
        <v>1.0</v>
      </c>
      <c r="J826" s="22"/>
    </row>
    <row r="827" ht="40.5" customHeight="1">
      <c r="A827" s="1">
        <v>826.0</v>
      </c>
      <c r="B827" s="2" t="s">
        <v>34</v>
      </c>
      <c r="C827" s="2" t="s">
        <v>54</v>
      </c>
      <c r="D827" s="59">
        <v>0.43819444444444444</v>
      </c>
      <c r="E827" s="13"/>
      <c r="F827" s="44" t="s">
        <v>835</v>
      </c>
      <c r="G827" s="43">
        <v>1.0</v>
      </c>
      <c r="H827" s="42"/>
      <c r="I827" s="43">
        <v>1.0</v>
      </c>
      <c r="J827" s="22"/>
    </row>
    <row r="828" ht="40.5" hidden="1" customHeight="1">
      <c r="A828" s="1">
        <v>827.0</v>
      </c>
      <c r="B828" s="2" t="s">
        <v>35</v>
      </c>
      <c r="C828" s="2" t="s">
        <v>58</v>
      </c>
      <c r="D828" s="13"/>
      <c r="E828" s="13"/>
      <c r="F828" s="45"/>
      <c r="G828" s="42"/>
      <c r="H828" s="42"/>
      <c r="I828" s="42"/>
      <c r="J828" s="22"/>
    </row>
    <row r="829" ht="40.5" customHeight="1">
      <c r="A829" s="1">
        <v>828.0</v>
      </c>
      <c r="B829" s="2" t="s">
        <v>36</v>
      </c>
      <c r="C829" s="2" t="s">
        <v>69</v>
      </c>
      <c r="D829" s="13"/>
      <c r="E829" s="13"/>
      <c r="F829" s="44"/>
      <c r="G829" s="43"/>
      <c r="H829" s="42"/>
      <c r="I829" s="42"/>
      <c r="J829" s="22"/>
    </row>
    <row r="830" ht="40.5" customHeight="1">
      <c r="A830" s="1">
        <v>829.0</v>
      </c>
      <c r="B830" s="2" t="s">
        <v>38</v>
      </c>
      <c r="C830" s="2"/>
      <c r="D830" s="13"/>
      <c r="E830" s="13"/>
      <c r="F830" s="44" t="s">
        <v>836</v>
      </c>
      <c r="G830" s="43">
        <v>1.0</v>
      </c>
      <c r="H830" s="42"/>
      <c r="I830" s="42"/>
      <c r="J830" s="22"/>
    </row>
    <row r="831" ht="40.5" customHeight="1">
      <c r="A831" s="1">
        <v>830.0</v>
      </c>
      <c r="B831" s="2" t="s">
        <v>41</v>
      </c>
      <c r="C831" s="2" t="s">
        <v>39</v>
      </c>
      <c r="D831" s="13"/>
      <c r="E831" s="13"/>
      <c r="F831" s="44" t="s">
        <v>837</v>
      </c>
      <c r="G831" s="43">
        <v>1.0</v>
      </c>
      <c r="H831" s="42"/>
      <c r="I831" s="42"/>
      <c r="J831" s="22"/>
    </row>
    <row r="832" ht="40.5" hidden="1" customHeight="1">
      <c r="A832" s="1">
        <v>831.0</v>
      </c>
      <c r="B832" s="2" t="s">
        <v>42</v>
      </c>
      <c r="C832" s="2" t="s">
        <v>58</v>
      </c>
      <c r="D832" s="13"/>
      <c r="E832" s="13"/>
      <c r="F832" s="45"/>
      <c r="G832" s="42"/>
      <c r="H832" s="42"/>
      <c r="I832" s="42"/>
      <c r="J832" s="22"/>
    </row>
    <row r="833" ht="40.5" customHeight="1">
      <c r="A833" s="1">
        <v>832.0</v>
      </c>
      <c r="B833" s="2" t="s">
        <v>43</v>
      </c>
      <c r="C833" s="2"/>
      <c r="D833" s="13"/>
      <c r="E833" s="13"/>
      <c r="F833" s="44" t="s">
        <v>838</v>
      </c>
      <c r="G833" s="43">
        <v>1.0</v>
      </c>
      <c r="H833" s="42"/>
      <c r="I833" s="43">
        <v>1.0</v>
      </c>
      <c r="J833" s="22"/>
    </row>
    <row r="834" ht="40.5" hidden="1" customHeight="1">
      <c r="A834" s="1">
        <v>833.0</v>
      </c>
      <c r="B834" s="2" t="s">
        <v>45</v>
      </c>
      <c r="C834" s="2" t="s">
        <v>66</v>
      </c>
      <c r="D834" s="13"/>
      <c r="E834" s="13"/>
      <c r="F834" s="45"/>
      <c r="G834" s="42"/>
      <c r="H834" s="42"/>
      <c r="I834" s="42"/>
      <c r="J834" s="22"/>
    </row>
    <row r="835" ht="40.5" hidden="1" customHeight="1">
      <c r="A835" s="1">
        <v>834.0</v>
      </c>
      <c r="B835" s="2" t="s">
        <v>46</v>
      </c>
      <c r="C835" s="2" t="s">
        <v>58</v>
      </c>
      <c r="D835" s="13"/>
      <c r="E835" s="13"/>
      <c r="F835" s="45"/>
      <c r="G835" s="42"/>
      <c r="H835" s="42"/>
      <c r="I835" s="42"/>
      <c r="J835" s="22"/>
    </row>
    <row r="836" ht="40.5" customHeight="1">
      <c r="A836" s="1">
        <v>835.0</v>
      </c>
      <c r="B836" s="2" t="s">
        <v>47</v>
      </c>
      <c r="C836" s="13"/>
      <c r="D836" s="13"/>
      <c r="E836" s="13"/>
      <c r="F836" s="44" t="s">
        <v>833</v>
      </c>
      <c r="G836" s="43">
        <v>1.0</v>
      </c>
      <c r="H836" s="42"/>
      <c r="I836" s="43">
        <v>1.0</v>
      </c>
      <c r="J836" s="22"/>
    </row>
    <row r="837" ht="40.5" customHeight="1">
      <c r="A837" s="1">
        <v>836.0</v>
      </c>
      <c r="B837" s="2" t="s">
        <v>48</v>
      </c>
      <c r="C837" s="2" t="s">
        <v>44</v>
      </c>
      <c r="D837" s="13"/>
      <c r="E837" s="13"/>
      <c r="F837" s="45"/>
      <c r="G837" s="42"/>
      <c r="H837" s="42"/>
      <c r="I837" s="42"/>
      <c r="J837" s="22"/>
    </row>
    <row r="838" ht="40.5" customHeight="1">
      <c r="A838" s="1">
        <v>837.0</v>
      </c>
      <c r="B838" s="21"/>
      <c r="C838" s="21"/>
      <c r="D838" s="21"/>
      <c r="E838" s="21"/>
      <c r="F838" s="46"/>
      <c r="G838" s="62"/>
      <c r="H838" s="62"/>
      <c r="I838" s="62"/>
      <c r="J838" s="48"/>
      <c r="K838" s="49"/>
      <c r="L838" s="49"/>
      <c r="M838" s="49"/>
    </row>
    <row r="839" ht="40.5" hidden="1" customHeight="1">
      <c r="A839" s="1"/>
      <c r="B839" s="2" t="s">
        <v>12</v>
      </c>
      <c r="C839" s="21"/>
      <c r="D839" s="21"/>
      <c r="E839" s="21"/>
      <c r="F839" s="46"/>
      <c r="G839" s="62">
        <f>SUMIF(B3:B837,"*이동현*",G3:G837)</f>
        <v>10</v>
      </c>
      <c r="H839" s="62"/>
      <c r="I839" s="62"/>
      <c r="J839" s="48"/>
      <c r="K839" s="49"/>
      <c r="L839" s="49"/>
      <c r="M839" s="49"/>
    </row>
    <row r="840" ht="40.5" hidden="1" customHeight="1">
      <c r="A840" s="1"/>
      <c r="B840" s="2" t="s">
        <v>16</v>
      </c>
      <c r="C840" s="21"/>
      <c r="D840" s="21"/>
      <c r="E840" s="21"/>
      <c r="F840" s="46"/>
      <c r="G840" s="62">
        <f>SUMIF(B4:B837,"*반일훈*",G4:G837)</f>
        <v>21</v>
      </c>
      <c r="H840" s="62"/>
      <c r="I840" s="62"/>
      <c r="J840" s="48"/>
      <c r="K840" s="49"/>
      <c r="L840" s="49"/>
      <c r="M840" s="49"/>
    </row>
    <row r="841" ht="40.5" hidden="1" customHeight="1">
      <c r="A841" s="1"/>
      <c r="B841" s="2" t="s">
        <v>116</v>
      </c>
      <c r="C841" s="21"/>
      <c r="D841" s="21"/>
      <c r="E841" s="21"/>
      <c r="F841" s="46"/>
      <c r="G841" s="62">
        <f>SUMIF(B5:B837,"*김재식*",G5:G837)</f>
        <v>8.5</v>
      </c>
      <c r="H841" s="62"/>
      <c r="I841" s="62"/>
      <c r="J841" s="48"/>
      <c r="K841" s="49"/>
      <c r="L841" s="49"/>
      <c r="M841" s="49"/>
    </row>
    <row r="842" ht="40.5" hidden="1" customHeight="1">
      <c r="A842" s="1"/>
      <c r="B842" s="2" t="s">
        <v>17</v>
      </c>
      <c r="C842" s="21"/>
      <c r="D842" s="21"/>
      <c r="E842" s="21"/>
      <c r="F842" s="46"/>
      <c r="G842" s="62">
        <f>SUMIF(B5:B837,"*신동환*",G5:G837)</f>
        <v>8</v>
      </c>
      <c r="H842" s="62"/>
      <c r="I842" s="62"/>
      <c r="J842" s="48"/>
      <c r="K842" s="49"/>
      <c r="L842" s="49"/>
      <c r="M842" s="49"/>
    </row>
    <row r="843" ht="40.5" hidden="1" customHeight="1">
      <c r="A843" s="1"/>
      <c r="B843" s="2" t="s">
        <v>331</v>
      </c>
      <c r="C843" s="21"/>
      <c r="D843" s="21"/>
      <c r="E843" s="21"/>
      <c r="F843" s="46"/>
      <c r="G843" s="62">
        <f>SUMIF(B5:B837,"*장후원*",G5:G837)</f>
        <v>11</v>
      </c>
      <c r="H843" s="62"/>
      <c r="I843" s="62"/>
      <c r="J843" s="48"/>
      <c r="K843" s="49"/>
      <c r="L843" s="49"/>
      <c r="M843" s="49"/>
    </row>
    <row r="844" ht="40.5" hidden="1" customHeight="1">
      <c r="A844" s="1"/>
      <c r="B844" s="2" t="s">
        <v>21</v>
      </c>
      <c r="C844" s="21"/>
      <c r="D844" s="21"/>
      <c r="E844" s="21"/>
      <c r="F844" s="46"/>
      <c r="G844" s="62">
        <f>SUMIF(B5:B837,"*구본준*",G5:G837)</f>
        <v>0</v>
      </c>
      <c r="H844" s="62"/>
      <c r="I844" s="62"/>
      <c r="J844" s="48"/>
      <c r="K844" s="49"/>
      <c r="L844" s="49"/>
      <c r="M844" s="49"/>
    </row>
    <row r="845" ht="40.5" hidden="1" customHeight="1">
      <c r="A845" s="1"/>
      <c r="B845" s="2" t="s">
        <v>22</v>
      </c>
      <c r="C845" s="21"/>
      <c r="D845" s="21"/>
      <c r="E845" s="21"/>
      <c r="F845" s="46"/>
      <c r="G845" s="62">
        <f>SUMIF(B5:B837,"*이학진*",G5:G837)</f>
        <v>16.5</v>
      </c>
      <c r="H845" s="62"/>
      <c r="I845" s="62"/>
      <c r="J845" s="48"/>
      <c r="K845" s="49"/>
      <c r="L845" s="49"/>
      <c r="M845" s="49"/>
    </row>
    <row r="846" ht="40.5" hidden="1" customHeight="1">
      <c r="A846" s="1"/>
      <c r="B846" s="2" t="s">
        <v>23</v>
      </c>
      <c r="C846" s="21"/>
      <c r="D846" s="21"/>
      <c r="E846" s="21"/>
      <c r="F846" s="46"/>
      <c r="G846" s="62">
        <f>SUMIF(B5:B837,"*황현우*",G5:G837)</f>
        <v>14</v>
      </c>
      <c r="H846" s="62"/>
      <c r="I846" s="62"/>
      <c r="J846" s="48"/>
      <c r="K846" s="49"/>
      <c r="L846" s="49"/>
      <c r="M846" s="49"/>
    </row>
    <row r="847" ht="40.5" hidden="1" customHeight="1">
      <c r="A847" s="1"/>
      <c r="B847" s="2" t="s">
        <v>24</v>
      </c>
      <c r="C847" s="21"/>
      <c r="D847" s="21"/>
      <c r="E847" s="21"/>
      <c r="F847" s="46"/>
      <c r="G847" s="62">
        <f>SUMIF(B5:B837,"*김미란*",G5:G837)</f>
        <v>9</v>
      </c>
      <c r="H847" s="62"/>
      <c r="I847" s="62"/>
      <c r="J847" s="48"/>
      <c r="K847" s="49"/>
      <c r="L847" s="49"/>
      <c r="M847" s="49"/>
    </row>
    <row r="848" ht="40.5" hidden="1" customHeight="1">
      <c r="A848" s="1"/>
      <c r="B848" s="2" t="s">
        <v>25</v>
      </c>
      <c r="C848" s="21"/>
      <c r="D848" s="21"/>
      <c r="E848" s="21"/>
      <c r="F848" s="46"/>
      <c r="G848" s="62">
        <f>SUMIF(B5:B837,"*유규열*",G5:G837)</f>
        <v>18.5</v>
      </c>
      <c r="H848" s="62"/>
      <c r="I848" s="62"/>
      <c r="J848" s="48"/>
      <c r="K848" s="49"/>
      <c r="L848" s="49"/>
      <c r="M848" s="49"/>
    </row>
    <row r="849" ht="40.5" hidden="1" customHeight="1">
      <c r="A849" s="1"/>
      <c r="B849" s="2" t="s">
        <v>26</v>
      </c>
      <c r="C849" s="21"/>
      <c r="D849" s="21"/>
      <c r="E849" s="21"/>
      <c r="F849" s="46"/>
      <c r="G849" s="62">
        <f>SUMIF(B5:B837,"*김준택*",G5:G837)</f>
        <v>14</v>
      </c>
      <c r="H849" s="62"/>
      <c r="I849" s="62"/>
      <c r="J849" s="48"/>
      <c r="K849" s="49"/>
      <c r="L849" s="49"/>
      <c r="M849" s="49"/>
    </row>
    <row r="850" ht="40.5" hidden="1" customHeight="1">
      <c r="A850" s="1"/>
      <c r="B850" s="2" t="s">
        <v>29</v>
      </c>
      <c r="C850" s="21"/>
      <c r="D850" s="21"/>
      <c r="E850" s="21"/>
      <c r="F850" s="46"/>
      <c r="G850" s="62">
        <f>SUMIF(B5:B837,"*방극철*",G5:G837)</f>
        <v>15</v>
      </c>
      <c r="H850" s="62"/>
      <c r="I850" s="62"/>
      <c r="J850" s="48"/>
      <c r="K850" s="49"/>
      <c r="L850" s="49"/>
      <c r="M850" s="49"/>
    </row>
    <row r="851" ht="40.5" hidden="1" customHeight="1">
      <c r="A851" s="1"/>
      <c r="B851" s="2" t="s">
        <v>30</v>
      </c>
      <c r="C851" s="21"/>
      <c r="D851" s="21"/>
      <c r="E851" s="21"/>
      <c r="F851" s="46"/>
      <c r="G851" s="62">
        <f>SUMIF(B5:B837,"*홍승재*",G5:G837)</f>
        <v>7</v>
      </c>
      <c r="H851" s="62"/>
      <c r="I851" s="62"/>
      <c r="J851" s="48"/>
      <c r="K851" s="49"/>
      <c r="L851" s="49"/>
      <c r="M851" s="49"/>
    </row>
    <row r="852" ht="40.5" hidden="1" customHeight="1">
      <c r="A852" s="1"/>
      <c r="B852" s="2" t="s">
        <v>31</v>
      </c>
      <c r="C852" s="21"/>
      <c r="D852" s="21"/>
      <c r="E852" s="21"/>
      <c r="F852" s="46"/>
      <c r="G852" s="62">
        <f>SUMIF(B5:B837,"*이   경*",G5:G837)</f>
        <v>18</v>
      </c>
      <c r="H852" s="62"/>
      <c r="I852" s="62"/>
      <c r="J852" s="48"/>
      <c r="K852" s="49"/>
      <c r="L852" s="49"/>
      <c r="M852" s="49"/>
    </row>
    <row r="853" ht="40.5" hidden="1" customHeight="1">
      <c r="A853" s="1"/>
      <c r="B853" s="2" t="s">
        <v>32</v>
      </c>
      <c r="C853" s="21"/>
      <c r="D853" s="21"/>
      <c r="E853" s="21"/>
      <c r="F853" s="46"/>
      <c r="G853" s="62">
        <f>SUMIF(B5:B837,"*정상원*",G5:G837)</f>
        <v>18</v>
      </c>
      <c r="H853" s="62"/>
      <c r="I853" s="62"/>
      <c r="J853" s="48"/>
      <c r="K853" s="49"/>
      <c r="L853" s="49"/>
      <c r="M853" s="49"/>
    </row>
    <row r="854" ht="40.5" hidden="1" customHeight="1">
      <c r="A854" s="1"/>
      <c r="B854" s="2" t="s">
        <v>67</v>
      </c>
      <c r="C854" s="21"/>
      <c r="D854" s="21"/>
      <c r="E854" s="21"/>
      <c r="F854" s="46"/>
      <c r="G854" s="62">
        <f>SUMIF(B5:B837,"*이주원*",G5:G837)</f>
        <v>16</v>
      </c>
      <c r="H854" s="62"/>
      <c r="I854" s="62"/>
      <c r="J854" s="48"/>
      <c r="K854" s="49"/>
      <c r="L854" s="49"/>
      <c r="M854" s="49"/>
    </row>
    <row r="855" ht="40.5" hidden="1" customHeight="1">
      <c r="A855" s="1"/>
      <c r="B855" s="2" t="s">
        <v>35</v>
      </c>
      <c r="C855" s="21"/>
      <c r="D855" s="21"/>
      <c r="E855" s="21"/>
      <c r="F855" s="46"/>
      <c r="G855" s="62">
        <f>SUMIF(B5:B837,"*최무룡*",G5:G837)</f>
        <v>11</v>
      </c>
      <c r="H855" s="62"/>
      <c r="I855" s="62"/>
      <c r="J855" s="48"/>
      <c r="K855" s="49"/>
      <c r="L855" s="49"/>
      <c r="M855" s="49"/>
    </row>
    <row r="856" ht="40.5" hidden="1" customHeight="1">
      <c r="A856" s="1"/>
      <c r="B856" s="2" t="s">
        <v>36</v>
      </c>
      <c r="C856" s="21"/>
      <c r="D856" s="21"/>
      <c r="E856" s="21"/>
      <c r="F856" s="46"/>
      <c r="G856" s="62">
        <f>SUMIF(B5:B837,"*정철원*",G5:G837)</f>
        <v>21</v>
      </c>
      <c r="H856" s="62"/>
      <c r="I856" s="62"/>
      <c r="J856" s="48"/>
      <c r="K856" s="49"/>
      <c r="L856" s="49"/>
      <c r="M856" s="49"/>
    </row>
    <row r="857" ht="40.5" hidden="1" customHeight="1">
      <c r="A857" s="1"/>
      <c r="B857" s="2" t="s">
        <v>38</v>
      </c>
      <c r="C857" s="21"/>
      <c r="D857" s="21"/>
      <c r="E857" s="21"/>
      <c r="F857" s="46"/>
      <c r="G857" s="62">
        <f>SUMIF(B5:B837,"*김진광*",G5:G837)</f>
        <v>19</v>
      </c>
      <c r="H857" s="62"/>
      <c r="I857" s="62"/>
      <c r="J857" s="48"/>
      <c r="K857" s="49"/>
      <c r="L857" s="49"/>
      <c r="M857" s="49"/>
    </row>
    <row r="858" ht="40.5" hidden="1" customHeight="1">
      <c r="A858" s="1"/>
      <c r="B858" s="2" t="s">
        <v>41</v>
      </c>
      <c r="C858" s="21"/>
      <c r="D858" s="21"/>
      <c r="E858" s="21"/>
      <c r="F858" s="46"/>
      <c r="G858" s="62">
        <f>SUMIF(B5:B837,"*조용희*",G5:G837)</f>
        <v>18</v>
      </c>
      <c r="H858" s="62"/>
      <c r="I858" s="62"/>
      <c r="J858" s="48"/>
      <c r="K858" s="49"/>
      <c r="L858" s="49"/>
      <c r="M858" s="49"/>
    </row>
    <row r="859" ht="40.5" hidden="1" customHeight="1">
      <c r="A859" s="1"/>
      <c r="B859" s="2" t="s">
        <v>42</v>
      </c>
      <c r="C859" s="21"/>
      <c r="D859" s="21"/>
      <c r="E859" s="21"/>
      <c r="F859" s="46"/>
      <c r="G859" s="62">
        <f>SUMIF(B5:B837,"*이완근*",G5:G837)</f>
        <v>20</v>
      </c>
      <c r="H859" s="62"/>
      <c r="I859" s="62"/>
      <c r="J859" s="48"/>
      <c r="K859" s="49"/>
      <c r="L859" s="49"/>
      <c r="M859" s="49"/>
    </row>
    <row r="860" ht="40.5" hidden="1" customHeight="1">
      <c r="A860" s="1"/>
      <c r="B860" s="2" t="s">
        <v>43</v>
      </c>
      <c r="C860" s="21"/>
      <c r="D860" s="21"/>
      <c r="E860" s="21"/>
      <c r="F860" s="46"/>
      <c r="G860" s="62">
        <f>SUMIF(B5:B837,"*박대권*",G5:G837)</f>
        <v>16.5</v>
      </c>
      <c r="H860" s="62"/>
      <c r="I860" s="62"/>
      <c r="J860" s="48"/>
      <c r="K860" s="49"/>
      <c r="L860" s="49"/>
      <c r="M860" s="49"/>
    </row>
    <row r="861" ht="40.5" hidden="1" customHeight="1">
      <c r="A861" s="1"/>
      <c r="B861" s="2" t="s">
        <v>45</v>
      </c>
      <c r="C861" s="21"/>
      <c r="D861" s="21"/>
      <c r="E861" s="21"/>
      <c r="F861" s="46"/>
      <c r="G861" s="62">
        <f>SUMIF(B5:B837,"*김대호*",G5:G837)</f>
        <v>19</v>
      </c>
      <c r="H861" s="62"/>
      <c r="I861" s="62"/>
      <c r="J861" s="48"/>
      <c r="K861" s="49"/>
      <c r="L861" s="49"/>
      <c r="M861" s="49"/>
    </row>
    <row r="862" ht="40.5" hidden="1" customHeight="1">
      <c r="A862" s="1"/>
      <c r="B862" s="2" t="s">
        <v>46</v>
      </c>
      <c r="C862" s="21"/>
      <c r="D862" s="21"/>
      <c r="E862" s="21"/>
      <c r="F862" s="46"/>
      <c r="G862" s="62">
        <f>SUMIF(B5:B837,"*이현일*",G5:G837)</f>
        <v>21</v>
      </c>
      <c r="H862" s="62"/>
      <c r="I862" s="62"/>
      <c r="J862" s="48"/>
      <c r="K862" s="49"/>
      <c r="L862" s="49"/>
      <c r="M862" s="49"/>
    </row>
    <row r="863" ht="40.5" hidden="1" customHeight="1">
      <c r="A863" s="1"/>
      <c r="B863" s="2" t="s">
        <v>47</v>
      </c>
      <c r="C863" s="21"/>
      <c r="D863" s="21"/>
      <c r="E863" s="21"/>
      <c r="F863" s="46"/>
      <c r="G863" s="62">
        <f>SUMIF(B5:B837,"*유연경*",G5:G837)</f>
        <v>15</v>
      </c>
      <c r="H863" s="62"/>
      <c r="I863" s="62"/>
      <c r="J863" s="48"/>
      <c r="K863" s="49"/>
      <c r="L863" s="49"/>
      <c r="M863" s="49"/>
    </row>
    <row r="864" ht="40.5" hidden="1" customHeight="1">
      <c r="A864" s="1"/>
      <c r="B864" s="2" t="s">
        <v>48</v>
      </c>
      <c r="C864" s="21"/>
      <c r="D864" s="21"/>
      <c r="E864" s="21"/>
      <c r="F864" s="46"/>
      <c r="G864" s="62">
        <f>SUMIF(B5:B837,"*정재우*",G5:G837)</f>
        <v>15</v>
      </c>
      <c r="H864" s="62"/>
      <c r="I864" s="62"/>
      <c r="J864" s="48"/>
      <c r="K864" s="49"/>
      <c r="L864" s="49"/>
      <c r="M864" s="49"/>
    </row>
  </sheetData>
  <mergeCells count="31">
    <mergeCell ref="K2:M27"/>
    <mergeCell ref="K29:M54"/>
    <mergeCell ref="K56:M81"/>
    <mergeCell ref="K83:M108"/>
    <mergeCell ref="K110:M135"/>
    <mergeCell ref="K137:M162"/>
    <mergeCell ref="K164:M189"/>
    <mergeCell ref="K191:M216"/>
    <mergeCell ref="K218:M243"/>
    <mergeCell ref="K245:M270"/>
    <mergeCell ref="K272:M297"/>
    <mergeCell ref="K299:M324"/>
    <mergeCell ref="K326:M351"/>
    <mergeCell ref="K353:M378"/>
    <mergeCell ref="K380:M405"/>
    <mergeCell ref="K407:M432"/>
    <mergeCell ref="K434:M459"/>
    <mergeCell ref="K461:M486"/>
    <mergeCell ref="K488:M513"/>
    <mergeCell ref="K515:M540"/>
    <mergeCell ref="K542:M567"/>
    <mergeCell ref="K758:M783"/>
    <mergeCell ref="K785:M810"/>
    <mergeCell ref="K812:M837"/>
    <mergeCell ref="K569:M594"/>
    <mergeCell ref="K596:M621"/>
    <mergeCell ref="K623:M648"/>
    <mergeCell ref="K650:M675"/>
    <mergeCell ref="K677:M702"/>
    <mergeCell ref="K704:M729"/>
    <mergeCell ref="K731:M756"/>
  </mergeCells>
  <conditionalFormatting sqref="B2:I864">
    <cfRule type="expression" dxfId="6" priority="1">
      <formula>$C2="휴가"</formula>
    </cfRule>
  </conditionalFormatting>
  <conditionalFormatting sqref="B2:I864">
    <cfRule type="expression" dxfId="6" priority="2">
      <formula>$C2="휴무"</formula>
    </cfRule>
  </conditionalFormatting>
  <conditionalFormatting sqref="B2:I864">
    <cfRule type="expression" dxfId="6" priority="3">
      <formula>$C2="제크"</formula>
    </cfRule>
  </conditionalFormatting>
  <conditionalFormatting sqref="B2:I864">
    <cfRule type="expression" dxfId="7" priority="4">
      <formula>$C2="야퇴"</formula>
    </cfRule>
  </conditionalFormatting>
  <conditionalFormatting sqref="B2:I864">
    <cfRule type="expression" dxfId="8" priority="5">
      <formula>$C2="대통령실"</formula>
    </cfRule>
  </conditionalFormatting>
  <conditionalFormatting sqref="B2:I864">
    <cfRule type="expression" dxfId="8" priority="6">
      <formula>$C2="헌법재판소"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8.25"/>
    <col customWidth="1" min="3" max="3" width="10.75"/>
    <col customWidth="1" min="4" max="5" width="8.88"/>
    <col customWidth="1" min="6" max="6" width="50.13"/>
    <col customWidth="1" min="7" max="7" width="8.88"/>
    <col customWidth="1" min="8" max="8" width="10.63"/>
    <col customWidth="1" min="9" max="9" width="11.38"/>
    <col customWidth="1" min="10" max="10" width="8.5"/>
    <col customWidth="1" min="11" max="13" width="12.0"/>
  </cols>
  <sheetData>
    <row r="1" ht="22.5" customHeight="1">
      <c r="A1" s="1">
        <v>1.0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36"/>
      <c r="K1" s="37" t="s">
        <v>490</v>
      </c>
      <c r="L1" s="38" t="s">
        <v>10</v>
      </c>
      <c r="M1" s="39" t="s">
        <v>11</v>
      </c>
    </row>
    <row r="2" ht="39.75" customHeight="1">
      <c r="A2" s="1">
        <v>1.0</v>
      </c>
      <c r="B2" s="2" t="s">
        <v>12</v>
      </c>
      <c r="C2" s="2" t="s">
        <v>145</v>
      </c>
      <c r="D2" s="53">
        <v>0.2916666666666667</v>
      </c>
      <c r="E2" s="51">
        <v>0.9166666666666666</v>
      </c>
      <c r="F2" s="44" t="s">
        <v>839</v>
      </c>
      <c r="G2" s="43">
        <v>1.0</v>
      </c>
      <c r="H2" s="43">
        <v>1.0</v>
      </c>
      <c r="I2" s="43">
        <v>1.0</v>
      </c>
      <c r="J2" s="14" t="s">
        <v>840</v>
      </c>
      <c r="K2" s="15" t="s">
        <v>15</v>
      </c>
    </row>
    <row r="3" ht="39.75" hidden="1" customHeight="1">
      <c r="A3" s="1">
        <v>2.0</v>
      </c>
      <c r="B3" s="2" t="s">
        <v>16</v>
      </c>
      <c r="C3" s="2" t="s">
        <v>13</v>
      </c>
      <c r="D3" s="13"/>
      <c r="E3" s="13"/>
      <c r="F3" s="44"/>
      <c r="G3" s="42"/>
      <c r="H3" s="42"/>
      <c r="I3" s="42"/>
      <c r="J3" s="14" t="s">
        <v>15</v>
      </c>
    </row>
    <row r="4" ht="39.75" customHeight="1">
      <c r="A4" s="1">
        <v>3.0</v>
      </c>
      <c r="B4" s="2" t="s">
        <v>17</v>
      </c>
      <c r="C4" s="2" t="s">
        <v>27</v>
      </c>
      <c r="D4" s="40">
        <v>0.6875</v>
      </c>
      <c r="E4" s="13"/>
      <c r="F4" s="44" t="s">
        <v>841</v>
      </c>
      <c r="G4" s="43">
        <v>1.0</v>
      </c>
      <c r="H4" s="42"/>
      <c r="I4" s="42"/>
      <c r="J4" s="14" t="s">
        <v>149</v>
      </c>
    </row>
    <row r="5" ht="39.75" hidden="1" customHeight="1">
      <c r="A5" s="1">
        <v>4.0</v>
      </c>
      <c r="B5" s="2" t="s">
        <v>331</v>
      </c>
      <c r="C5" s="2" t="s">
        <v>13</v>
      </c>
      <c r="D5" s="13"/>
      <c r="E5" s="13"/>
      <c r="F5" s="44"/>
      <c r="G5" s="42"/>
      <c r="H5" s="42"/>
      <c r="I5" s="42"/>
      <c r="J5" s="14" t="s">
        <v>165</v>
      </c>
    </row>
    <row r="6" ht="39.75" customHeight="1">
      <c r="A6" s="1">
        <v>5.0</v>
      </c>
      <c r="B6" s="2" t="s">
        <v>268</v>
      </c>
      <c r="C6" s="2" t="s">
        <v>63</v>
      </c>
      <c r="D6" s="13"/>
      <c r="E6" s="13"/>
      <c r="F6" s="44" t="s">
        <v>842</v>
      </c>
      <c r="G6" s="43">
        <v>1.0</v>
      </c>
      <c r="H6" s="42"/>
      <c r="I6" s="42"/>
      <c r="J6" s="14" t="s">
        <v>166</v>
      </c>
    </row>
    <row r="7" ht="39.75" customHeight="1">
      <c r="A7" s="1">
        <v>6.0</v>
      </c>
      <c r="B7" s="2" t="s">
        <v>22</v>
      </c>
      <c r="C7" s="2" t="s">
        <v>39</v>
      </c>
      <c r="D7" s="63">
        <v>0.4305555555555556</v>
      </c>
      <c r="E7" s="13"/>
      <c r="F7" s="44" t="s">
        <v>843</v>
      </c>
      <c r="G7" s="43">
        <v>1.0</v>
      </c>
      <c r="H7" s="42"/>
      <c r="I7" s="42"/>
      <c r="J7" s="14" t="s">
        <v>167</v>
      </c>
    </row>
    <row r="8" ht="39.75" hidden="1" customHeight="1">
      <c r="A8" s="1">
        <v>7.0</v>
      </c>
      <c r="B8" s="2" t="s">
        <v>23</v>
      </c>
      <c r="C8" s="2" t="s">
        <v>13</v>
      </c>
      <c r="D8" s="13"/>
      <c r="E8" s="13"/>
      <c r="F8" s="44"/>
      <c r="G8" s="42"/>
      <c r="H8" s="42"/>
      <c r="I8" s="42"/>
      <c r="J8" s="14"/>
    </row>
    <row r="9" ht="39.75" hidden="1" customHeight="1">
      <c r="A9" s="1">
        <v>8.0</v>
      </c>
      <c r="B9" s="2" t="s">
        <v>24</v>
      </c>
      <c r="C9" s="2" t="s">
        <v>13</v>
      </c>
      <c r="D9" s="13"/>
      <c r="E9" s="13"/>
      <c r="F9" s="45"/>
      <c r="G9" s="42"/>
      <c r="H9" s="42"/>
      <c r="I9" s="42"/>
      <c r="J9" s="14"/>
    </row>
    <row r="10" ht="39.75" customHeight="1">
      <c r="A10" s="1">
        <v>9.0</v>
      </c>
      <c r="B10" s="2" t="s">
        <v>25</v>
      </c>
      <c r="C10" s="2" t="s">
        <v>44</v>
      </c>
      <c r="D10" s="13"/>
      <c r="E10" s="13"/>
      <c r="F10" s="44"/>
      <c r="G10" s="42"/>
      <c r="H10" s="43"/>
      <c r="I10" s="43"/>
      <c r="J10" s="14"/>
    </row>
    <row r="11" ht="39.75" hidden="1" customHeight="1">
      <c r="A11" s="1">
        <v>10.0</v>
      </c>
      <c r="B11" s="2" t="s">
        <v>26</v>
      </c>
      <c r="C11" s="2" t="s">
        <v>13</v>
      </c>
      <c r="D11" s="13"/>
      <c r="E11" s="13"/>
      <c r="F11" s="45"/>
      <c r="G11" s="42"/>
      <c r="H11" s="42"/>
      <c r="I11" s="42"/>
      <c r="J11" s="14"/>
    </row>
    <row r="12" ht="39.75" hidden="1" customHeight="1">
      <c r="A12" s="1">
        <v>11.0</v>
      </c>
      <c r="B12" s="2" t="s">
        <v>29</v>
      </c>
      <c r="C12" s="2" t="s">
        <v>13</v>
      </c>
      <c r="D12" s="13"/>
      <c r="E12" s="13"/>
      <c r="F12" s="44"/>
      <c r="G12" s="42"/>
      <c r="H12" s="42"/>
      <c r="I12" s="42"/>
      <c r="J12" s="14"/>
    </row>
    <row r="13" ht="39.75" hidden="1" customHeight="1">
      <c r="A13" s="1">
        <v>12.0</v>
      </c>
      <c r="B13" s="2" t="s">
        <v>30</v>
      </c>
      <c r="C13" s="2" t="s">
        <v>13</v>
      </c>
      <c r="D13" s="13"/>
      <c r="E13" s="13"/>
      <c r="F13" s="44"/>
      <c r="G13" s="42"/>
      <c r="H13" s="42"/>
      <c r="I13" s="42"/>
      <c r="J13" s="14"/>
    </row>
    <row r="14" ht="39.75" hidden="1" customHeight="1">
      <c r="A14" s="1">
        <v>13.0</v>
      </c>
      <c r="B14" s="2" t="s">
        <v>31</v>
      </c>
      <c r="C14" s="2" t="s">
        <v>13</v>
      </c>
      <c r="D14" s="13"/>
      <c r="E14" s="13"/>
      <c r="F14" s="44"/>
      <c r="G14" s="42"/>
      <c r="H14" s="42"/>
      <c r="I14" s="42"/>
      <c r="J14" s="14"/>
    </row>
    <row r="15" ht="39.75" hidden="1" customHeight="1">
      <c r="A15" s="1">
        <v>14.0</v>
      </c>
      <c r="B15" s="2" t="s">
        <v>32</v>
      </c>
      <c r="C15" s="2" t="s">
        <v>13</v>
      </c>
      <c r="D15" s="13"/>
      <c r="E15" s="13"/>
      <c r="F15" s="45"/>
      <c r="G15" s="42"/>
      <c r="H15" s="42"/>
      <c r="I15" s="42"/>
      <c r="J15" s="14"/>
    </row>
    <row r="16" ht="39.75" hidden="1" customHeight="1">
      <c r="A16" s="1">
        <v>15.0</v>
      </c>
      <c r="B16" s="2" t="s">
        <v>67</v>
      </c>
      <c r="C16" s="2" t="s">
        <v>13</v>
      </c>
      <c r="D16" s="13"/>
      <c r="E16" s="13"/>
      <c r="F16" s="45"/>
      <c r="G16" s="42"/>
      <c r="H16" s="42"/>
      <c r="I16" s="42"/>
      <c r="J16" s="14"/>
    </row>
    <row r="17" ht="39.75" customHeight="1">
      <c r="A17" s="1">
        <v>16.0</v>
      </c>
      <c r="B17" s="2" t="s">
        <v>34</v>
      </c>
      <c r="C17" s="2"/>
      <c r="D17" s="40">
        <v>0.375</v>
      </c>
      <c r="E17" s="13"/>
      <c r="F17" s="44" t="s">
        <v>844</v>
      </c>
      <c r="G17" s="43">
        <v>1.0</v>
      </c>
      <c r="H17" s="43"/>
      <c r="I17" s="43">
        <v>1.0</v>
      </c>
      <c r="J17" s="14"/>
    </row>
    <row r="18" ht="39.75" hidden="1" customHeight="1">
      <c r="A18" s="1">
        <v>17.0</v>
      </c>
      <c r="B18" s="2" t="s">
        <v>35</v>
      </c>
      <c r="C18" s="2" t="s">
        <v>13</v>
      </c>
      <c r="D18" s="13"/>
      <c r="E18" s="13"/>
      <c r="F18" s="45"/>
      <c r="G18" s="42"/>
      <c r="H18" s="42"/>
      <c r="I18" s="42"/>
      <c r="J18" s="14"/>
    </row>
    <row r="19" ht="39.75" hidden="1" customHeight="1">
      <c r="A19" s="1">
        <v>18.0</v>
      </c>
      <c r="B19" s="2" t="s">
        <v>36</v>
      </c>
      <c r="C19" s="2" t="s">
        <v>13</v>
      </c>
      <c r="D19" s="13"/>
      <c r="E19" s="13"/>
      <c r="F19" s="44"/>
      <c r="G19" s="42"/>
      <c r="H19" s="42"/>
      <c r="I19" s="42"/>
      <c r="J19" s="14"/>
    </row>
    <row r="20" ht="39.75" hidden="1" customHeight="1">
      <c r="A20" s="1">
        <v>19.0</v>
      </c>
      <c r="B20" s="2" t="s">
        <v>38</v>
      </c>
      <c r="C20" s="2" t="s">
        <v>13</v>
      </c>
      <c r="D20" s="13"/>
      <c r="E20" s="13"/>
      <c r="F20" s="44"/>
      <c r="G20" s="42"/>
      <c r="H20" s="42"/>
      <c r="I20" s="42"/>
      <c r="J20" s="14"/>
    </row>
    <row r="21" ht="39.75" hidden="1" customHeight="1">
      <c r="A21" s="1">
        <v>20.0</v>
      </c>
      <c r="B21" s="2" t="s">
        <v>41</v>
      </c>
      <c r="C21" s="2" t="s">
        <v>13</v>
      </c>
      <c r="D21" s="13"/>
      <c r="E21" s="13"/>
      <c r="F21" s="44"/>
      <c r="G21" s="42"/>
      <c r="H21" s="42"/>
      <c r="I21" s="42"/>
      <c r="J21" s="14"/>
    </row>
    <row r="22" ht="39.75" hidden="1" customHeight="1">
      <c r="A22" s="1">
        <v>21.0</v>
      </c>
      <c r="B22" s="2" t="s">
        <v>42</v>
      </c>
      <c r="C22" s="2" t="s">
        <v>13</v>
      </c>
      <c r="D22" s="13"/>
      <c r="E22" s="13"/>
      <c r="F22" s="45"/>
      <c r="G22" s="42"/>
      <c r="H22" s="42"/>
      <c r="I22" s="42"/>
      <c r="J22" s="14"/>
    </row>
    <row r="23" ht="39.75" hidden="1" customHeight="1">
      <c r="A23" s="1">
        <v>22.0</v>
      </c>
      <c r="B23" s="2" t="s">
        <v>43</v>
      </c>
      <c r="C23" s="2" t="s">
        <v>13</v>
      </c>
      <c r="D23" s="13"/>
      <c r="E23" s="13"/>
      <c r="F23" s="45"/>
      <c r="G23" s="42"/>
      <c r="H23" s="42"/>
      <c r="I23" s="42"/>
      <c r="J23" s="14"/>
    </row>
    <row r="24" ht="39.75" hidden="1" customHeight="1">
      <c r="A24" s="1">
        <v>23.0</v>
      </c>
      <c r="B24" s="2" t="s">
        <v>45</v>
      </c>
      <c r="C24" s="2" t="s">
        <v>13</v>
      </c>
      <c r="D24" s="13"/>
      <c r="E24" s="13"/>
      <c r="F24" s="45"/>
      <c r="G24" s="42"/>
      <c r="H24" s="42"/>
      <c r="I24" s="42"/>
      <c r="J24" s="14"/>
    </row>
    <row r="25" ht="39.75" hidden="1" customHeight="1">
      <c r="A25" s="1">
        <v>24.0</v>
      </c>
      <c r="B25" s="2" t="s">
        <v>46</v>
      </c>
      <c r="C25" s="2" t="s">
        <v>13</v>
      </c>
      <c r="D25" s="40"/>
      <c r="E25" s="13"/>
      <c r="F25" s="44"/>
      <c r="G25" s="42"/>
      <c r="H25" s="42"/>
      <c r="I25" s="42"/>
      <c r="J25" s="14"/>
    </row>
    <row r="26" ht="39.75" customHeight="1">
      <c r="A26" s="1">
        <v>25.0</v>
      </c>
      <c r="B26" s="2" t="s">
        <v>47</v>
      </c>
      <c r="C26" s="2" t="s">
        <v>49</v>
      </c>
      <c r="D26" s="13"/>
      <c r="E26" s="13"/>
      <c r="F26" s="44" t="s">
        <v>845</v>
      </c>
      <c r="G26" s="43">
        <v>1.0</v>
      </c>
      <c r="H26" s="42"/>
      <c r="I26" s="42"/>
      <c r="J26" s="14"/>
    </row>
    <row r="27" ht="39.75" hidden="1" customHeight="1">
      <c r="A27" s="1">
        <v>26.0</v>
      </c>
      <c r="B27" s="2" t="s">
        <v>48</v>
      </c>
      <c r="C27" s="2" t="s">
        <v>13</v>
      </c>
      <c r="D27" s="13"/>
      <c r="E27" s="13"/>
      <c r="F27" s="45"/>
      <c r="G27" s="42"/>
      <c r="H27" s="42"/>
      <c r="I27" s="42"/>
      <c r="J27" s="14"/>
    </row>
    <row r="28" ht="39.75" customHeight="1">
      <c r="A28" s="1">
        <v>27.0</v>
      </c>
      <c r="B28" s="21"/>
      <c r="C28" s="21"/>
      <c r="D28" s="21"/>
      <c r="E28" s="21"/>
      <c r="F28" s="46"/>
      <c r="G28" s="47"/>
      <c r="H28" s="47"/>
      <c r="I28" s="47"/>
      <c r="J28" s="48"/>
      <c r="K28" s="49"/>
      <c r="L28" s="49"/>
      <c r="M28" s="49"/>
    </row>
    <row r="29" ht="39.75" customHeight="1">
      <c r="A29" s="1">
        <v>28.0</v>
      </c>
      <c r="B29" s="2" t="s">
        <v>12</v>
      </c>
      <c r="C29" s="2" t="s">
        <v>49</v>
      </c>
      <c r="D29" s="40">
        <v>0.4583333333333333</v>
      </c>
      <c r="E29" s="13"/>
      <c r="F29" s="64" t="s">
        <v>846</v>
      </c>
      <c r="G29" s="43">
        <v>1.0</v>
      </c>
      <c r="H29" s="42"/>
      <c r="I29" s="42"/>
      <c r="J29" s="14" t="s">
        <v>840</v>
      </c>
      <c r="K29" s="15" t="s">
        <v>52</v>
      </c>
    </row>
    <row r="30" ht="39.75" customHeight="1">
      <c r="A30" s="1">
        <v>29.0</v>
      </c>
      <c r="B30" s="2" t="s">
        <v>16</v>
      </c>
      <c r="C30" s="2" t="s">
        <v>27</v>
      </c>
      <c r="D30" s="13"/>
      <c r="E30" s="13"/>
      <c r="F30" s="45"/>
      <c r="G30" s="42"/>
      <c r="H30" s="42"/>
      <c r="I30" s="42"/>
      <c r="J30" s="14" t="s">
        <v>52</v>
      </c>
    </row>
    <row r="31" ht="39.75" customHeight="1">
      <c r="A31" s="1">
        <v>30.0</v>
      </c>
      <c r="B31" s="2" t="s">
        <v>17</v>
      </c>
      <c r="C31" s="2" t="s">
        <v>44</v>
      </c>
      <c r="D31" s="13"/>
      <c r="E31" s="13"/>
      <c r="F31" s="45"/>
      <c r="G31" s="42"/>
      <c r="H31" s="42"/>
      <c r="I31" s="42"/>
      <c r="J31" s="14" t="s">
        <v>19</v>
      </c>
    </row>
    <row r="32" ht="39.75" hidden="1" customHeight="1">
      <c r="A32" s="1">
        <v>31.0</v>
      </c>
      <c r="B32" s="2" t="s">
        <v>331</v>
      </c>
      <c r="C32" s="2" t="s">
        <v>13</v>
      </c>
      <c r="D32" s="13"/>
      <c r="E32" s="13"/>
      <c r="F32" s="45"/>
      <c r="G32" s="42"/>
      <c r="H32" s="42"/>
      <c r="I32" s="42"/>
      <c r="J32" s="14" t="s">
        <v>262</v>
      </c>
    </row>
    <row r="33" ht="39.75" customHeight="1">
      <c r="A33" s="1">
        <v>32.0</v>
      </c>
      <c r="B33" s="2" t="s">
        <v>21</v>
      </c>
      <c r="C33" s="2" t="s">
        <v>63</v>
      </c>
      <c r="D33" s="13"/>
      <c r="E33" s="13"/>
      <c r="F33" s="44" t="s">
        <v>842</v>
      </c>
      <c r="G33" s="43">
        <v>1.0</v>
      </c>
      <c r="H33" s="42"/>
      <c r="I33" s="42"/>
      <c r="J33" s="14" t="s">
        <v>264</v>
      </c>
    </row>
    <row r="34" ht="39.75" hidden="1" customHeight="1">
      <c r="A34" s="1">
        <v>33.0</v>
      </c>
      <c r="B34" s="2" t="s">
        <v>22</v>
      </c>
      <c r="C34" s="2" t="s">
        <v>13</v>
      </c>
      <c r="D34" s="13"/>
      <c r="E34" s="13"/>
      <c r="F34" s="45"/>
      <c r="G34" s="42"/>
      <c r="H34" s="42"/>
      <c r="I34" s="42"/>
      <c r="J34" s="14" t="s">
        <v>265</v>
      </c>
    </row>
    <row r="35" ht="39.75" hidden="1" customHeight="1">
      <c r="A35" s="1">
        <v>34.0</v>
      </c>
      <c r="B35" s="2" t="s">
        <v>23</v>
      </c>
      <c r="C35" s="2" t="s">
        <v>13</v>
      </c>
      <c r="D35" s="13"/>
      <c r="E35" s="13"/>
      <c r="F35" s="45"/>
      <c r="G35" s="42"/>
      <c r="H35" s="42"/>
      <c r="I35" s="42"/>
      <c r="J35" s="14"/>
    </row>
    <row r="36" ht="39.75" hidden="1" customHeight="1">
      <c r="A36" s="1">
        <v>35.0</v>
      </c>
      <c r="B36" s="2" t="s">
        <v>24</v>
      </c>
      <c r="C36" s="2" t="s">
        <v>13</v>
      </c>
      <c r="D36" s="13"/>
      <c r="E36" s="13"/>
      <c r="F36" s="45"/>
      <c r="G36" s="42"/>
      <c r="H36" s="42"/>
      <c r="I36" s="42"/>
      <c r="J36" s="14"/>
    </row>
    <row r="37" ht="39.75" hidden="1" customHeight="1">
      <c r="A37" s="1">
        <v>36.0</v>
      </c>
      <c r="B37" s="2" t="s">
        <v>25</v>
      </c>
      <c r="C37" s="2" t="s">
        <v>13</v>
      </c>
      <c r="D37" s="13"/>
      <c r="E37" s="13"/>
      <c r="F37" s="45"/>
      <c r="G37" s="42"/>
      <c r="H37" s="42"/>
      <c r="I37" s="42"/>
      <c r="J37" s="14"/>
    </row>
    <row r="38" ht="39.75" hidden="1" customHeight="1">
      <c r="A38" s="1">
        <v>37.0</v>
      </c>
      <c r="B38" s="2" t="s">
        <v>26</v>
      </c>
      <c r="C38" s="2" t="s">
        <v>13</v>
      </c>
      <c r="D38" s="13"/>
      <c r="E38" s="13"/>
      <c r="F38" s="45"/>
      <c r="G38" s="42"/>
      <c r="H38" s="42"/>
      <c r="I38" s="42"/>
      <c r="J38" s="14"/>
    </row>
    <row r="39" ht="39.75" hidden="1" customHeight="1">
      <c r="A39" s="1">
        <v>38.0</v>
      </c>
      <c r="B39" s="2" t="s">
        <v>29</v>
      </c>
      <c r="C39" s="2" t="s">
        <v>13</v>
      </c>
      <c r="D39" s="13"/>
      <c r="E39" s="13"/>
      <c r="F39" s="45"/>
      <c r="G39" s="42"/>
      <c r="H39" s="42"/>
      <c r="I39" s="42"/>
      <c r="J39" s="14"/>
    </row>
    <row r="40" ht="39.75" hidden="1" customHeight="1">
      <c r="A40" s="1">
        <v>39.0</v>
      </c>
      <c r="B40" s="2" t="s">
        <v>30</v>
      </c>
      <c r="C40" s="2" t="s">
        <v>13</v>
      </c>
      <c r="D40" s="13"/>
      <c r="E40" s="13"/>
      <c r="F40" s="45"/>
      <c r="G40" s="42"/>
      <c r="H40" s="42"/>
      <c r="I40" s="42"/>
      <c r="J40" s="14"/>
    </row>
    <row r="41" ht="39.75" customHeight="1">
      <c r="A41" s="1">
        <v>40.0</v>
      </c>
      <c r="B41" s="2" t="s">
        <v>31</v>
      </c>
      <c r="C41" s="2" t="s">
        <v>39</v>
      </c>
      <c r="D41" s="40">
        <v>0.375</v>
      </c>
      <c r="E41" s="13"/>
      <c r="F41" s="44" t="s">
        <v>847</v>
      </c>
      <c r="G41" s="43">
        <v>1.0</v>
      </c>
      <c r="H41" s="42"/>
      <c r="I41" s="42"/>
      <c r="J41" s="14"/>
    </row>
    <row r="42" ht="39.75" customHeight="1">
      <c r="A42" s="1">
        <v>41.0</v>
      </c>
      <c r="B42" s="2" t="s">
        <v>32</v>
      </c>
      <c r="C42" s="2"/>
      <c r="D42" s="40">
        <v>0.375</v>
      </c>
      <c r="E42" s="13"/>
      <c r="F42" s="44" t="s">
        <v>848</v>
      </c>
      <c r="G42" s="43">
        <v>1.0</v>
      </c>
      <c r="H42" s="42"/>
      <c r="I42" s="42"/>
      <c r="J42" s="14"/>
    </row>
    <row r="43" ht="39.75" hidden="1" customHeight="1">
      <c r="A43" s="1">
        <v>42.0</v>
      </c>
      <c r="B43" s="2" t="s">
        <v>67</v>
      </c>
      <c r="C43" s="2" t="s">
        <v>13</v>
      </c>
      <c r="D43" s="13"/>
      <c r="E43" s="13"/>
      <c r="F43" s="45"/>
      <c r="G43" s="42"/>
      <c r="H43" s="42"/>
      <c r="I43" s="42"/>
      <c r="J43" s="14"/>
    </row>
    <row r="44" ht="39.75" hidden="1" customHeight="1">
      <c r="A44" s="1">
        <v>43.0</v>
      </c>
      <c r="B44" s="2" t="s">
        <v>34</v>
      </c>
      <c r="C44" s="2" t="s">
        <v>13</v>
      </c>
      <c r="D44" s="13"/>
      <c r="E44" s="13"/>
      <c r="F44" s="45"/>
      <c r="G44" s="42"/>
      <c r="H44" s="42"/>
      <c r="I44" s="42"/>
      <c r="J44" s="14"/>
    </row>
    <row r="45" ht="39.75" hidden="1" customHeight="1">
      <c r="A45" s="1">
        <v>44.0</v>
      </c>
      <c r="B45" s="2" t="s">
        <v>35</v>
      </c>
      <c r="C45" s="2" t="s">
        <v>13</v>
      </c>
      <c r="D45" s="13"/>
      <c r="E45" s="13"/>
      <c r="F45" s="45"/>
      <c r="G45" s="42"/>
      <c r="H45" s="42"/>
      <c r="I45" s="42"/>
      <c r="J45" s="14"/>
    </row>
    <row r="46" ht="39.75" hidden="1" customHeight="1">
      <c r="A46" s="1">
        <v>45.0</v>
      </c>
      <c r="B46" s="2" t="s">
        <v>36</v>
      </c>
      <c r="C46" s="2" t="s">
        <v>13</v>
      </c>
      <c r="D46" s="13"/>
      <c r="E46" s="13"/>
      <c r="F46" s="45"/>
      <c r="G46" s="42"/>
      <c r="H46" s="42"/>
      <c r="I46" s="42"/>
      <c r="J46" s="14"/>
    </row>
    <row r="47" ht="39.75" hidden="1" customHeight="1">
      <c r="A47" s="1">
        <v>46.0</v>
      </c>
      <c r="B47" s="2" t="s">
        <v>38</v>
      </c>
      <c r="C47" s="2" t="s">
        <v>13</v>
      </c>
      <c r="D47" s="13"/>
      <c r="E47" s="13"/>
      <c r="F47" s="45"/>
      <c r="G47" s="42"/>
      <c r="H47" s="42"/>
      <c r="I47" s="42"/>
      <c r="J47" s="14"/>
    </row>
    <row r="48" ht="39.75" hidden="1" customHeight="1">
      <c r="A48" s="1">
        <v>47.0</v>
      </c>
      <c r="B48" s="2" t="s">
        <v>41</v>
      </c>
      <c r="C48" s="2" t="s">
        <v>13</v>
      </c>
      <c r="D48" s="13"/>
      <c r="E48" s="13"/>
      <c r="F48" s="45"/>
      <c r="G48" s="42"/>
      <c r="H48" s="42"/>
      <c r="I48" s="42"/>
      <c r="J48" s="14"/>
    </row>
    <row r="49" ht="39.75" hidden="1" customHeight="1">
      <c r="A49" s="1">
        <v>48.0</v>
      </c>
      <c r="B49" s="2" t="s">
        <v>42</v>
      </c>
      <c r="C49" s="2" t="s">
        <v>13</v>
      </c>
      <c r="D49" s="13"/>
      <c r="E49" s="13"/>
      <c r="F49" s="45"/>
      <c r="G49" s="42"/>
      <c r="H49" s="42"/>
      <c r="I49" s="42"/>
      <c r="J49" s="14"/>
    </row>
    <row r="50" ht="39.75" hidden="1" customHeight="1">
      <c r="A50" s="1">
        <v>49.0</v>
      </c>
      <c r="B50" s="2" t="s">
        <v>43</v>
      </c>
      <c r="C50" s="2" t="s">
        <v>13</v>
      </c>
      <c r="D50" s="13"/>
      <c r="E50" s="13"/>
      <c r="F50" s="45"/>
      <c r="G50" s="42"/>
      <c r="H50" s="42"/>
      <c r="I50" s="42"/>
      <c r="J50" s="14"/>
    </row>
    <row r="51" ht="39.75" hidden="1" customHeight="1">
      <c r="A51" s="1">
        <v>50.0</v>
      </c>
      <c r="B51" s="2" t="s">
        <v>45</v>
      </c>
      <c r="C51" s="2" t="s">
        <v>13</v>
      </c>
      <c r="D51" s="13"/>
      <c r="E51" s="13"/>
      <c r="F51" s="45"/>
      <c r="G51" s="42"/>
      <c r="H51" s="42"/>
      <c r="I51" s="42"/>
      <c r="J51" s="14"/>
    </row>
    <row r="52" ht="39.75" hidden="1" customHeight="1">
      <c r="A52" s="1">
        <v>51.0</v>
      </c>
      <c r="B52" s="2" t="s">
        <v>46</v>
      </c>
      <c r="C52" s="2" t="s">
        <v>13</v>
      </c>
      <c r="D52" s="13"/>
      <c r="E52" s="13"/>
      <c r="F52" s="45"/>
      <c r="G52" s="42"/>
      <c r="H52" s="42"/>
      <c r="I52" s="42"/>
      <c r="J52" s="14"/>
    </row>
    <row r="53" ht="39.75" hidden="1" customHeight="1">
      <c r="A53" s="1">
        <v>52.0</v>
      </c>
      <c r="B53" s="2" t="s">
        <v>47</v>
      </c>
      <c r="C53" s="2" t="s">
        <v>13</v>
      </c>
      <c r="D53" s="13"/>
      <c r="E53" s="13"/>
      <c r="F53" s="45"/>
      <c r="G53" s="42"/>
      <c r="H53" s="42"/>
      <c r="I53" s="42"/>
      <c r="J53" s="14"/>
    </row>
    <row r="54" ht="39.75" hidden="1" customHeight="1">
      <c r="A54" s="1">
        <v>53.0</v>
      </c>
      <c r="B54" s="2" t="s">
        <v>48</v>
      </c>
      <c r="C54" s="2" t="s">
        <v>13</v>
      </c>
      <c r="D54" s="13"/>
      <c r="E54" s="13"/>
      <c r="F54" s="45"/>
      <c r="G54" s="42"/>
      <c r="H54" s="42"/>
      <c r="I54" s="42"/>
      <c r="J54" s="14"/>
    </row>
    <row r="55" ht="39.75" customHeight="1">
      <c r="A55" s="1">
        <v>54.0</v>
      </c>
      <c r="B55" s="21"/>
      <c r="C55" s="21"/>
      <c r="D55" s="21"/>
      <c r="E55" s="21"/>
      <c r="F55" s="46"/>
      <c r="G55" s="47"/>
      <c r="H55" s="47"/>
      <c r="I55" s="47"/>
      <c r="J55" s="48"/>
      <c r="K55" s="49"/>
      <c r="L55" s="49"/>
      <c r="M55" s="49"/>
    </row>
    <row r="56" ht="39.75" customHeight="1">
      <c r="A56" s="1">
        <v>55.0</v>
      </c>
      <c r="B56" s="2" t="s">
        <v>12</v>
      </c>
      <c r="C56" s="2" t="s">
        <v>62</v>
      </c>
      <c r="D56" s="13"/>
      <c r="E56" s="13"/>
      <c r="F56" s="45"/>
      <c r="G56" s="42"/>
      <c r="H56" s="42"/>
      <c r="I56" s="42"/>
      <c r="J56" s="14" t="s">
        <v>840</v>
      </c>
      <c r="K56" s="15" t="s">
        <v>74</v>
      </c>
    </row>
    <row r="57" ht="39.75" customHeight="1">
      <c r="A57" s="1">
        <v>56.0</v>
      </c>
      <c r="B57" s="2" t="s">
        <v>16</v>
      </c>
      <c r="C57" s="2" t="s">
        <v>44</v>
      </c>
      <c r="D57" s="13"/>
      <c r="E57" s="55">
        <v>0.3333333333333333</v>
      </c>
      <c r="F57" s="52" t="s">
        <v>849</v>
      </c>
      <c r="G57" s="56">
        <v>1.0</v>
      </c>
      <c r="H57" s="42"/>
      <c r="I57" s="42"/>
      <c r="J57" s="14" t="s">
        <v>74</v>
      </c>
    </row>
    <row r="58" ht="39.75" customHeight="1">
      <c r="A58" s="1">
        <v>57.0</v>
      </c>
      <c r="B58" s="2" t="s">
        <v>17</v>
      </c>
      <c r="C58" s="2" t="s">
        <v>54</v>
      </c>
      <c r="D58" s="13"/>
      <c r="E58" s="13"/>
      <c r="F58" s="45"/>
      <c r="G58" s="42"/>
      <c r="H58" s="42"/>
      <c r="I58" s="42"/>
      <c r="J58" s="14" t="s">
        <v>56</v>
      </c>
    </row>
    <row r="59" ht="39.75" customHeight="1">
      <c r="A59" s="1">
        <v>58.0</v>
      </c>
      <c r="B59" s="2" t="s">
        <v>331</v>
      </c>
      <c r="C59" s="2" t="s">
        <v>542</v>
      </c>
      <c r="D59" s="13"/>
      <c r="E59" s="13"/>
      <c r="F59" s="45"/>
      <c r="G59" s="42"/>
      <c r="H59" s="42"/>
      <c r="I59" s="42"/>
      <c r="J59" s="14"/>
    </row>
    <row r="60" ht="39.75" customHeight="1">
      <c r="A60" s="1">
        <v>59.0</v>
      </c>
      <c r="B60" s="2" t="s">
        <v>21</v>
      </c>
      <c r="C60" s="2" t="s">
        <v>277</v>
      </c>
      <c r="D60" s="13"/>
      <c r="E60" s="13"/>
      <c r="F60" s="45"/>
      <c r="G60" s="42"/>
      <c r="H60" s="42"/>
      <c r="I60" s="42"/>
      <c r="J60" s="14"/>
    </row>
    <row r="61" ht="39.75" customHeight="1">
      <c r="A61" s="1">
        <v>60.0</v>
      </c>
      <c r="B61" s="2" t="s">
        <v>22</v>
      </c>
      <c r="C61" s="2" t="s">
        <v>54</v>
      </c>
      <c r="D61" s="13"/>
      <c r="E61" s="13"/>
      <c r="F61" s="44" t="s">
        <v>850</v>
      </c>
      <c r="G61" s="43">
        <v>1.0</v>
      </c>
      <c r="H61" s="42"/>
      <c r="I61" s="43">
        <v>1.0</v>
      </c>
      <c r="J61" s="14"/>
    </row>
    <row r="62" ht="39.75" customHeight="1">
      <c r="A62" s="1">
        <v>61.0</v>
      </c>
      <c r="B62" s="2" t="s">
        <v>23</v>
      </c>
      <c r="C62" s="2" t="s">
        <v>39</v>
      </c>
      <c r="D62" s="13"/>
      <c r="E62" s="13"/>
      <c r="F62" s="44" t="s">
        <v>851</v>
      </c>
      <c r="G62" s="43">
        <v>1.0</v>
      </c>
      <c r="H62" s="42"/>
      <c r="I62" s="43">
        <v>1.0</v>
      </c>
      <c r="J62" s="14"/>
    </row>
    <row r="63" ht="39.75" hidden="1" customHeight="1">
      <c r="A63" s="1">
        <v>62.0</v>
      </c>
      <c r="B63" s="2" t="s">
        <v>24</v>
      </c>
      <c r="C63" s="2" t="s">
        <v>58</v>
      </c>
      <c r="D63" s="13"/>
      <c r="E63" s="13"/>
      <c r="F63" s="45"/>
      <c r="G63" s="42"/>
      <c r="H63" s="42"/>
      <c r="I63" s="42"/>
      <c r="J63" s="14"/>
    </row>
    <row r="64" ht="39.75" customHeight="1">
      <c r="A64" s="1">
        <v>63.0</v>
      </c>
      <c r="B64" s="2" t="s">
        <v>25</v>
      </c>
      <c r="C64" s="2"/>
      <c r="D64" s="13"/>
      <c r="E64" s="13"/>
      <c r="F64" s="44" t="s">
        <v>852</v>
      </c>
      <c r="G64" s="43">
        <v>1.0</v>
      </c>
      <c r="H64" s="42"/>
      <c r="I64" s="42"/>
      <c r="J64" s="14"/>
    </row>
    <row r="65" ht="39.75" customHeight="1">
      <c r="A65" s="1">
        <v>64.0</v>
      </c>
      <c r="B65" s="2" t="s">
        <v>26</v>
      </c>
      <c r="C65" s="2"/>
      <c r="D65" s="13"/>
      <c r="E65" s="40"/>
      <c r="F65" s="44" t="s">
        <v>853</v>
      </c>
      <c r="G65" s="43">
        <v>1.0</v>
      </c>
      <c r="H65" s="42"/>
      <c r="I65" s="43">
        <v>1.0</v>
      </c>
      <c r="J65" s="14"/>
    </row>
    <row r="66" ht="39.75" customHeight="1">
      <c r="A66" s="1">
        <v>65.0</v>
      </c>
      <c r="B66" s="2" t="s">
        <v>29</v>
      </c>
      <c r="C66" s="2" t="s">
        <v>69</v>
      </c>
      <c r="D66" s="13"/>
      <c r="E66" s="13"/>
      <c r="F66" s="45"/>
      <c r="G66" s="42"/>
      <c r="H66" s="42"/>
      <c r="I66" s="42"/>
      <c r="J66" s="14"/>
    </row>
    <row r="67" ht="39.75" customHeight="1">
      <c r="A67" s="1">
        <v>66.0</v>
      </c>
      <c r="B67" s="2" t="s">
        <v>30</v>
      </c>
      <c r="C67" s="2" t="s">
        <v>64</v>
      </c>
      <c r="D67" s="13"/>
      <c r="E67" s="13"/>
      <c r="F67" s="45"/>
      <c r="G67" s="42"/>
      <c r="H67" s="42"/>
      <c r="I67" s="42"/>
      <c r="J67" s="14"/>
    </row>
    <row r="68" ht="39.75" customHeight="1">
      <c r="A68" s="1">
        <v>67.0</v>
      </c>
      <c r="B68" s="2" t="s">
        <v>31</v>
      </c>
      <c r="C68" s="2" t="s">
        <v>39</v>
      </c>
      <c r="D68" s="13"/>
      <c r="E68" s="13"/>
      <c r="F68" s="44" t="s">
        <v>854</v>
      </c>
      <c r="G68" s="43">
        <v>2.0</v>
      </c>
      <c r="H68" s="42"/>
      <c r="I68" s="43">
        <v>1.0</v>
      </c>
      <c r="J68" s="14"/>
    </row>
    <row r="69" ht="39.75" customHeight="1">
      <c r="A69" s="1">
        <v>68.0</v>
      </c>
      <c r="B69" s="2" t="s">
        <v>32</v>
      </c>
      <c r="C69" s="2"/>
      <c r="D69" s="13"/>
      <c r="E69" s="13"/>
      <c r="F69" s="45"/>
      <c r="G69" s="42"/>
      <c r="H69" s="42"/>
      <c r="I69" s="42"/>
      <c r="J69" s="14"/>
    </row>
    <row r="70" ht="39.75" customHeight="1">
      <c r="A70" s="1">
        <v>69.0</v>
      </c>
      <c r="B70" s="2" t="s">
        <v>67</v>
      </c>
      <c r="C70" s="2" t="s">
        <v>69</v>
      </c>
      <c r="D70" s="13"/>
      <c r="E70" s="13"/>
      <c r="F70" s="45"/>
      <c r="G70" s="42"/>
      <c r="H70" s="42"/>
      <c r="I70" s="42"/>
      <c r="J70" s="14"/>
    </row>
    <row r="71" ht="39.75" customHeight="1">
      <c r="A71" s="1">
        <v>70.0</v>
      </c>
      <c r="B71" s="2" t="s">
        <v>34</v>
      </c>
      <c r="C71" s="2" t="s">
        <v>27</v>
      </c>
      <c r="D71" s="13"/>
      <c r="E71" s="13"/>
      <c r="F71" s="44" t="s">
        <v>855</v>
      </c>
      <c r="G71" s="43">
        <v>1.0</v>
      </c>
      <c r="H71" s="42"/>
      <c r="I71" s="42"/>
      <c r="J71" s="14"/>
    </row>
    <row r="72" ht="39.75" customHeight="1">
      <c r="A72" s="1">
        <v>71.0</v>
      </c>
      <c r="B72" s="2" t="s">
        <v>35</v>
      </c>
      <c r="C72" s="13"/>
      <c r="D72" s="13"/>
      <c r="E72" s="13"/>
      <c r="F72" s="44" t="s">
        <v>856</v>
      </c>
      <c r="G72" s="43">
        <v>1.0</v>
      </c>
      <c r="H72" s="42"/>
      <c r="I72" s="43">
        <v>1.0</v>
      </c>
      <c r="J72" s="14"/>
    </row>
    <row r="73" ht="39.75" customHeight="1">
      <c r="A73" s="1">
        <v>72.0</v>
      </c>
      <c r="B73" s="2" t="s">
        <v>36</v>
      </c>
      <c r="C73" s="2"/>
      <c r="D73" s="13"/>
      <c r="E73" s="13"/>
      <c r="F73" s="45"/>
      <c r="G73" s="42"/>
      <c r="H73" s="42"/>
      <c r="I73" s="42"/>
      <c r="J73" s="14"/>
    </row>
    <row r="74" ht="39.75" customHeight="1">
      <c r="A74" s="1">
        <v>73.0</v>
      </c>
      <c r="B74" s="2" t="s">
        <v>38</v>
      </c>
      <c r="C74" s="2"/>
      <c r="D74" s="13"/>
      <c r="E74" s="13"/>
      <c r="F74" s="44" t="s">
        <v>857</v>
      </c>
      <c r="G74" s="43">
        <v>1.0</v>
      </c>
      <c r="H74" s="42"/>
      <c r="I74" s="42"/>
      <c r="J74" s="14"/>
    </row>
    <row r="75" ht="39.75" customHeight="1">
      <c r="A75" s="1">
        <v>74.0</v>
      </c>
      <c r="B75" s="2" t="s">
        <v>41</v>
      </c>
      <c r="C75" s="2" t="s">
        <v>54</v>
      </c>
      <c r="D75" s="13"/>
      <c r="E75" s="13"/>
      <c r="F75" s="45"/>
      <c r="G75" s="42"/>
      <c r="H75" s="42"/>
      <c r="I75" s="42"/>
      <c r="J75" s="14"/>
    </row>
    <row r="76" ht="39.75" customHeight="1">
      <c r="A76" s="1">
        <v>75.0</v>
      </c>
      <c r="B76" s="2" t="s">
        <v>42</v>
      </c>
      <c r="C76" s="2" t="s">
        <v>54</v>
      </c>
      <c r="D76" s="13"/>
      <c r="E76" s="13"/>
      <c r="F76" s="44" t="s">
        <v>858</v>
      </c>
      <c r="G76" s="43">
        <v>1.0</v>
      </c>
      <c r="H76" s="42"/>
      <c r="I76" s="43">
        <v>1.0</v>
      </c>
      <c r="J76" s="14"/>
    </row>
    <row r="77" ht="39.75" hidden="1" customHeight="1">
      <c r="A77" s="1">
        <v>76.0</v>
      </c>
      <c r="B77" s="2" t="s">
        <v>43</v>
      </c>
      <c r="C77" s="2" t="s">
        <v>58</v>
      </c>
      <c r="D77" s="13"/>
      <c r="E77" s="13"/>
      <c r="F77" s="45"/>
      <c r="G77" s="42"/>
      <c r="H77" s="42"/>
      <c r="I77" s="42"/>
      <c r="J77" s="14"/>
    </row>
    <row r="78" ht="39.75" customHeight="1">
      <c r="A78" s="1">
        <v>77.0</v>
      </c>
      <c r="B78" s="2" t="s">
        <v>45</v>
      </c>
      <c r="C78" s="2"/>
      <c r="D78" s="13"/>
      <c r="E78" s="13"/>
      <c r="F78" s="44" t="s">
        <v>859</v>
      </c>
      <c r="G78" s="43">
        <v>1.0</v>
      </c>
      <c r="H78" s="42"/>
      <c r="I78" s="42"/>
      <c r="J78" s="14"/>
    </row>
    <row r="79" ht="39.75" customHeight="1">
      <c r="A79" s="1">
        <v>78.0</v>
      </c>
      <c r="B79" s="2" t="s">
        <v>46</v>
      </c>
      <c r="C79" s="2" t="s">
        <v>69</v>
      </c>
      <c r="D79" s="13"/>
      <c r="E79" s="13"/>
      <c r="F79" s="44" t="s">
        <v>860</v>
      </c>
      <c r="G79" s="43">
        <v>1.0</v>
      </c>
      <c r="H79" s="42"/>
      <c r="I79" s="42"/>
      <c r="J79" s="14"/>
    </row>
    <row r="80" ht="39.75" hidden="1" customHeight="1">
      <c r="A80" s="1">
        <v>79.0</v>
      </c>
      <c r="B80" s="2" t="s">
        <v>47</v>
      </c>
      <c r="C80" s="2" t="s">
        <v>58</v>
      </c>
      <c r="D80" s="13"/>
      <c r="E80" s="13"/>
      <c r="F80" s="45"/>
      <c r="G80" s="42"/>
      <c r="H80" s="42"/>
      <c r="I80" s="42"/>
      <c r="J80" s="14"/>
    </row>
    <row r="81" ht="39.75" hidden="1" customHeight="1">
      <c r="A81" s="1">
        <v>80.0</v>
      </c>
      <c r="B81" s="2" t="s">
        <v>48</v>
      </c>
      <c r="C81" s="2" t="s">
        <v>66</v>
      </c>
      <c r="D81" s="13"/>
      <c r="E81" s="13"/>
      <c r="F81" s="45"/>
      <c r="G81" s="42"/>
      <c r="H81" s="42"/>
      <c r="I81" s="42"/>
      <c r="J81" s="14"/>
    </row>
    <row r="82" ht="39.75" customHeight="1">
      <c r="A82" s="1">
        <v>81.0</v>
      </c>
      <c r="B82" s="21"/>
      <c r="C82" s="21"/>
      <c r="D82" s="21"/>
      <c r="E82" s="21"/>
      <c r="F82" s="46"/>
      <c r="G82" s="47"/>
      <c r="H82" s="47"/>
      <c r="I82" s="47"/>
      <c r="J82" s="48"/>
      <c r="K82" s="49"/>
      <c r="L82" s="49"/>
      <c r="M82" s="49"/>
    </row>
    <row r="83" ht="39.75" customHeight="1">
      <c r="A83" s="1">
        <v>82.0</v>
      </c>
      <c r="B83" s="2" t="s">
        <v>12</v>
      </c>
      <c r="C83" s="2" t="s">
        <v>62</v>
      </c>
      <c r="D83" s="13"/>
      <c r="E83" s="13"/>
      <c r="F83" s="44" t="s">
        <v>861</v>
      </c>
      <c r="G83" s="43">
        <v>1.0</v>
      </c>
      <c r="H83" s="42"/>
      <c r="I83" s="43">
        <v>1.0</v>
      </c>
      <c r="J83" s="14" t="s">
        <v>840</v>
      </c>
      <c r="K83" s="15" t="s">
        <v>94</v>
      </c>
    </row>
    <row r="84" ht="39.75" customHeight="1">
      <c r="A84" s="1">
        <v>83.0</v>
      </c>
      <c r="B84" s="2" t="s">
        <v>16</v>
      </c>
      <c r="C84" s="2" t="s">
        <v>69</v>
      </c>
      <c r="D84" s="13"/>
      <c r="E84" s="40">
        <v>0.8541666666666666</v>
      </c>
      <c r="F84" s="44" t="s">
        <v>862</v>
      </c>
      <c r="G84" s="42"/>
      <c r="H84" s="42"/>
      <c r="I84" s="42"/>
      <c r="J84" s="14" t="s">
        <v>94</v>
      </c>
    </row>
    <row r="85" ht="39.75" customHeight="1">
      <c r="A85" s="1">
        <v>84.0</v>
      </c>
      <c r="B85" s="2" t="s">
        <v>17</v>
      </c>
      <c r="C85" s="2" t="s">
        <v>54</v>
      </c>
      <c r="D85" s="13"/>
      <c r="E85" s="13"/>
      <c r="F85" s="44" t="s">
        <v>863</v>
      </c>
      <c r="G85" s="43">
        <v>1.0</v>
      </c>
      <c r="H85" s="42"/>
      <c r="I85" s="43">
        <v>1.0</v>
      </c>
      <c r="J85" s="14" t="s">
        <v>77</v>
      </c>
    </row>
    <row r="86" ht="39.75" hidden="1" customHeight="1">
      <c r="A86" s="1">
        <v>85.0</v>
      </c>
      <c r="B86" s="2" t="s">
        <v>331</v>
      </c>
      <c r="C86" s="2" t="s">
        <v>58</v>
      </c>
      <c r="D86" s="13"/>
      <c r="E86" s="13"/>
      <c r="F86" s="45"/>
      <c r="G86" s="42"/>
      <c r="H86" s="42"/>
      <c r="I86" s="42"/>
      <c r="J86" s="14"/>
    </row>
    <row r="87" ht="39.75" customHeight="1">
      <c r="A87" s="1">
        <v>86.0</v>
      </c>
      <c r="B87" s="2" t="s">
        <v>21</v>
      </c>
      <c r="C87" s="2" t="s">
        <v>277</v>
      </c>
      <c r="D87" s="13"/>
      <c r="E87" s="13"/>
      <c r="F87" s="45"/>
      <c r="G87" s="42"/>
      <c r="H87" s="42"/>
      <c r="I87" s="42"/>
      <c r="J87" s="14"/>
    </row>
    <row r="88" ht="39.75" hidden="1" customHeight="1">
      <c r="A88" s="1">
        <v>87.0</v>
      </c>
      <c r="B88" s="2" t="s">
        <v>22</v>
      </c>
      <c r="C88" s="2" t="s">
        <v>58</v>
      </c>
      <c r="D88" s="13"/>
      <c r="E88" s="13"/>
      <c r="F88" s="45"/>
      <c r="G88" s="42"/>
      <c r="H88" s="42"/>
      <c r="I88" s="42"/>
      <c r="J88" s="14"/>
    </row>
    <row r="89" ht="39.75" customHeight="1">
      <c r="A89" s="1">
        <v>88.0</v>
      </c>
      <c r="B89" s="2" t="s">
        <v>23</v>
      </c>
      <c r="C89" s="2" t="s">
        <v>69</v>
      </c>
      <c r="D89" s="13"/>
      <c r="E89" s="40">
        <v>0.8958333333333334</v>
      </c>
      <c r="F89" s="44" t="s">
        <v>864</v>
      </c>
      <c r="G89" s="42"/>
      <c r="H89" s="42"/>
      <c r="I89" s="42"/>
      <c r="J89" s="14"/>
    </row>
    <row r="90" ht="39.75" hidden="1" customHeight="1">
      <c r="A90" s="1">
        <v>89.0</v>
      </c>
      <c r="B90" s="2" t="s">
        <v>24</v>
      </c>
      <c r="C90" s="2" t="s">
        <v>58</v>
      </c>
      <c r="D90" s="13"/>
      <c r="E90" s="13"/>
      <c r="F90" s="45"/>
      <c r="G90" s="42"/>
      <c r="H90" s="42"/>
      <c r="I90" s="42"/>
      <c r="J90" s="14"/>
    </row>
    <row r="91" ht="39.75" customHeight="1">
      <c r="A91" s="1">
        <v>90.0</v>
      </c>
      <c r="B91" s="2" t="s">
        <v>25</v>
      </c>
      <c r="C91" s="2" t="s">
        <v>27</v>
      </c>
      <c r="D91" s="13"/>
      <c r="E91" s="13"/>
      <c r="F91" s="44" t="s">
        <v>865</v>
      </c>
      <c r="G91" s="42"/>
      <c r="H91" s="42"/>
      <c r="I91" s="42"/>
      <c r="J91" s="14"/>
    </row>
    <row r="92" ht="39.75" customHeight="1">
      <c r="A92" s="1">
        <v>91.0</v>
      </c>
      <c r="B92" s="2" t="s">
        <v>26</v>
      </c>
      <c r="C92" s="2" t="s">
        <v>69</v>
      </c>
      <c r="D92" s="13"/>
      <c r="E92" s="51">
        <v>0.9375</v>
      </c>
      <c r="F92" s="44" t="s">
        <v>866</v>
      </c>
      <c r="G92" s="43">
        <v>1.0</v>
      </c>
      <c r="H92" s="42"/>
      <c r="I92" s="43">
        <v>1.0</v>
      </c>
      <c r="J92" s="14"/>
    </row>
    <row r="93" ht="39.75" customHeight="1">
      <c r="A93" s="1">
        <v>92.0</v>
      </c>
      <c r="B93" s="2" t="s">
        <v>29</v>
      </c>
      <c r="C93" s="2"/>
      <c r="D93" s="13"/>
      <c r="E93" s="13"/>
      <c r="F93" s="44" t="s">
        <v>867</v>
      </c>
      <c r="G93" s="43">
        <v>1.0</v>
      </c>
      <c r="H93" s="42"/>
      <c r="I93" s="43">
        <v>1.0</v>
      </c>
      <c r="J93" s="14"/>
    </row>
    <row r="94" ht="39.75" customHeight="1">
      <c r="A94" s="1">
        <v>93.0</v>
      </c>
      <c r="B94" s="2" t="s">
        <v>30</v>
      </c>
      <c r="C94" s="2" t="s">
        <v>64</v>
      </c>
      <c r="D94" s="13"/>
      <c r="E94" s="13"/>
      <c r="F94" s="45"/>
      <c r="G94" s="42"/>
      <c r="H94" s="42"/>
      <c r="I94" s="42"/>
      <c r="J94" s="14"/>
    </row>
    <row r="95" ht="39.75" customHeight="1">
      <c r="A95" s="1">
        <v>94.0</v>
      </c>
      <c r="B95" s="2" t="s">
        <v>31</v>
      </c>
      <c r="C95" s="2" t="s">
        <v>54</v>
      </c>
      <c r="D95" s="13"/>
      <c r="E95" s="51">
        <v>0.8333333333333334</v>
      </c>
      <c r="F95" s="44" t="s">
        <v>868</v>
      </c>
      <c r="G95" s="43">
        <v>2.0</v>
      </c>
      <c r="H95" s="42"/>
      <c r="I95" s="43">
        <v>2.0</v>
      </c>
      <c r="J95" s="14"/>
    </row>
    <row r="96" ht="39.75" customHeight="1">
      <c r="A96" s="1">
        <v>95.0</v>
      </c>
      <c r="B96" s="2" t="s">
        <v>32</v>
      </c>
      <c r="C96" s="13"/>
      <c r="D96" s="13"/>
      <c r="E96" s="13"/>
      <c r="F96" s="44" t="s">
        <v>869</v>
      </c>
      <c r="G96" s="43">
        <v>1.0</v>
      </c>
      <c r="H96" s="42"/>
      <c r="I96" s="42"/>
      <c r="J96" s="14"/>
    </row>
    <row r="97" ht="39.75" customHeight="1">
      <c r="A97" s="1">
        <v>96.0</v>
      </c>
      <c r="B97" s="2" t="s">
        <v>67</v>
      </c>
      <c r="C97" s="2"/>
      <c r="D97" s="13"/>
      <c r="E97" s="13"/>
      <c r="F97" s="44" t="s">
        <v>870</v>
      </c>
      <c r="G97" s="43">
        <v>1.0</v>
      </c>
      <c r="H97" s="42"/>
      <c r="I97" s="43">
        <v>1.0</v>
      </c>
      <c r="J97" s="14"/>
    </row>
    <row r="98" ht="39.75" customHeight="1">
      <c r="A98" s="1">
        <v>97.0</v>
      </c>
      <c r="B98" s="2" t="s">
        <v>34</v>
      </c>
      <c r="C98" s="2" t="s">
        <v>44</v>
      </c>
      <c r="D98" s="13"/>
      <c r="E98" s="55">
        <v>0.3611111111111111</v>
      </c>
      <c r="F98" s="52" t="s">
        <v>871</v>
      </c>
      <c r="G98" s="56">
        <v>1.0</v>
      </c>
      <c r="H98" s="42"/>
      <c r="I98" s="42"/>
      <c r="J98" s="14"/>
    </row>
    <row r="99" ht="39.75" customHeight="1">
      <c r="A99" s="1">
        <v>98.0</v>
      </c>
      <c r="B99" s="2" t="s">
        <v>35</v>
      </c>
      <c r="C99" s="2"/>
      <c r="D99" s="13"/>
      <c r="E99" s="13"/>
      <c r="F99" s="44" t="s">
        <v>872</v>
      </c>
      <c r="G99" s="43">
        <v>1.0</v>
      </c>
      <c r="H99" s="42"/>
      <c r="I99" s="42"/>
      <c r="J99" s="14"/>
    </row>
    <row r="100" ht="39.75" customHeight="1">
      <c r="A100" s="1">
        <v>99.0</v>
      </c>
      <c r="B100" s="2" t="s">
        <v>36</v>
      </c>
      <c r="C100" s="2"/>
      <c r="D100" s="13"/>
      <c r="E100" s="13"/>
      <c r="F100" s="44" t="s">
        <v>873</v>
      </c>
      <c r="G100" s="43">
        <v>1.0</v>
      </c>
      <c r="H100" s="42"/>
      <c r="I100" s="42"/>
      <c r="J100" s="14"/>
    </row>
    <row r="101" ht="39.75" customHeight="1">
      <c r="A101" s="1">
        <v>100.0</v>
      </c>
      <c r="B101" s="2" t="s">
        <v>38</v>
      </c>
      <c r="C101" s="13"/>
      <c r="D101" s="13"/>
      <c r="E101" s="13"/>
      <c r="F101" s="44" t="s">
        <v>874</v>
      </c>
      <c r="G101" s="43">
        <v>1.0</v>
      </c>
      <c r="H101" s="42"/>
      <c r="I101" s="42"/>
      <c r="J101" s="14"/>
    </row>
    <row r="102" ht="39.75" customHeight="1">
      <c r="A102" s="1">
        <v>101.0</v>
      </c>
      <c r="B102" s="2" t="s">
        <v>41</v>
      </c>
      <c r="C102" s="2" t="s">
        <v>54</v>
      </c>
      <c r="D102" s="13"/>
      <c r="E102" s="13"/>
      <c r="F102" s="44" t="s">
        <v>875</v>
      </c>
      <c r="G102" s="43">
        <v>1.0</v>
      </c>
      <c r="H102" s="42"/>
      <c r="I102" s="42"/>
      <c r="J102" s="14"/>
    </row>
    <row r="103" ht="39.75" customHeight="1">
      <c r="A103" s="1">
        <v>102.0</v>
      </c>
      <c r="B103" s="2" t="s">
        <v>42</v>
      </c>
      <c r="C103" s="2" t="s">
        <v>54</v>
      </c>
      <c r="D103" s="13"/>
      <c r="E103" s="51">
        <v>0.8333333333333334</v>
      </c>
      <c r="F103" s="44" t="s">
        <v>769</v>
      </c>
      <c r="G103" s="43">
        <v>1.0</v>
      </c>
      <c r="H103" s="42"/>
      <c r="I103" s="43">
        <v>1.0</v>
      </c>
      <c r="J103" s="14"/>
    </row>
    <row r="104" ht="39.75" hidden="1" customHeight="1">
      <c r="A104" s="1">
        <v>103.0</v>
      </c>
      <c r="B104" s="2" t="s">
        <v>43</v>
      </c>
      <c r="C104" s="2" t="s">
        <v>66</v>
      </c>
      <c r="D104" s="13"/>
      <c r="E104" s="13"/>
      <c r="F104" s="45"/>
      <c r="G104" s="42"/>
      <c r="H104" s="42"/>
      <c r="I104" s="42"/>
      <c r="J104" s="14"/>
    </row>
    <row r="105" ht="39.75" customHeight="1">
      <c r="A105" s="1">
        <v>104.0</v>
      </c>
      <c r="B105" s="2" t="s">
        <v>45</v>
      </c>
      <c r="C105" s="2"/>
      <c r="D105" s="13"/>
      <c r="E105" s="13"/>
      <c r="F105" s="44" t="s">
        <v>768</v>
      </c>
      <c r="G105" s="43">
        <v>1.0</v>
      </c>
      <c r="H105" s="42"/>
      <c r="I105" s="43">
        <v>1.0</v>
      </c>
      <c r="J105" s="14"/>
    </row>
    <row r="106" ht="39.75" customHeight="1">
      <c r="A106" s="1">
        <v>105.0</v>
      </c>
      <c r="B106" s="2" t="s">
        <v>46</v>
      </c>
      <c r="C106" s="2" t="s">
        <v>39</v>
      </c>
      <c r="D106" s="13"/>
      <c r="E106" s="13"/>
      <c r="F106" s="44" t="s">
        <v>876</v>
      </c>
      <c r="G106" s="43">
        <v>2.0</v>
      </c>
      <c r="H106" s="42"/>
      <c r="I106" s="43">
        <v>2.0</v>
      </c>
      <c r="J106" s="14"/>
    </row>
    <row r="107" ht="39.75" customHeight="1">
      <c r="A107" s="1">
        <v>106.0</v>
      </c>
      <c r="B107" s="2" t="s">
        <v>47</v>
      </c>
      <c r="C107" s="2"/>
      <c r="D107" s="13"/>
      <c r="E107" s="13"/>
      <c r="F107" s="44" t="s">
        <v>877</v>
      </c>
      <c r="G107" s="43">
        <v>1.0</v>
      </c>
      <c r="H107" s="42"/>
      <c r="I107" s="42"/>
      <c r="J107" s="14"/>
    </row>
    <row r="108" ht="39.75" customHeight="1">
      <c r="A108" s="1">
        <v>107.0</v>
      </c>
      <c r="B108" s="2" t="s">
        <v>48</v>
      </c>
      <c r="C108" s="2" t="s">
        <v>39</v>
      </c>
      <c r="D108" s="13"/>
      <c r="E108" s="13"/>
      <c r="F108" s="44" t="s">
        <v>878</v>
      </c>
      <c r="G108" s="43">
        <v>1.0</v>
      </c>
      <c r="H108" s="42"/>
      <c r="I108" s="42"/>
      <c r="J108" s="14"/>
    </row>
    <row r="109" ht="39.75" customHeight="1">
      <c r="A109" s="1">
        <v>108.0</v>
      </c>
      <c r="B109" s="21"/>
      <c r="C109" s="21"/>
      <c r="D109" s="21"/>
      <c r="E109" s="21"/>
      <c r="F109" s="46"/>
      <c r="G109" s="47"/>
      <c r="H109" s="47"/>
      <c r="I109" s="47"/>
      <c r="J109" s="54"/>
      <c r="K109" s="49"/>
      <c r="L109" s="49"/>
      <c r="M109" s="49"/>
    </row>
    <row r="110" ht="39.75" hidden="1" customHeight="1">
      <c r="A110" s="1">
        <v>109.0</v>
      </c>
      <c r="B110" s="2" t="s">
        <v>12</v>
      </c>
      <c r="C110" s="2" t="s">
        <v>66</v>
      </c>
      <c r="D110" s="13"/>
      <c r="E110" s="13"/>
      <c r="F110" s="45"/>
      <c r="G110" s="42"/>
      <c r="H110" s="42"/>
      <c r="I110" s="42"/>
      <c r="J110" s="27" t="s">
        <v>840</v>
      </c>
      <c r="K110" s="15" t="s">
        <v>109</v>
      </c>
    </row>
    <row r="111" ht="39.75" customHeight="1">
      <c r="A111" s="1">
        <v>110.0</v>
      </c>
      <c r="B111" s="2" t="s">
        <v>16</v>
      </c>
      <c r="C111" s="2"/>
      <c r="D111" s="13"/>
      <c r="E111" s="13"/>
      <c r="F111" s="44" t="s">
        <v>879</v>
      </c>
      <c r="G111" s="43">
        <v>1.0</v>
      </c>
      <c r="H111" s="42"/>
      <c r="I111" s="43">
        <v>1.0</v>
      </c>
      <c r="J111" s="27" t="s">
        <v>109</v>
      </c>
    </row>
    <row r="112" ht="39.75" customHeight="1">
      <c r="A112" s="1">
        <v>111.0</v>
      </c>
      <c r="B112" s="2" t="s">
        <v>17</v>
      </c>
      <c r="C112" s="2" t="s">
        <v>54</v>
      </c>
      <c r="D112" s="13"/>
      <c r="E112" s="13"/>
      <c r="F112" s="45"/>
      <c r="G112" s="42"/>
      <c r="H112" s="42"/>
      <c r="I112" s="42"/>
      <c r="J112" s="27" t="s">
        <v>95</v>
      </c>
    </row>
    <row r="113" ht="39.75" customHeight="1">
      <c r="A113" s="1">
        <v>112.0</v>
      </c>
      <c r="B113" s="2" t="s">
        <v>331</v>
      </c>
      <c r="C113" s="2" t="s">
        <v>542</v>
      </c>
      <c r="D113" s="13"/>
      <c r="E113" s="13"/>
      <c r="F113" s="44" t="s">
        <v>788</v>
      </c>
      <c r="G113" s="43">
        <v>1.0</v>
      </c>
      <c r="H113" s="42"/>
      <c r="I113" s="43">
        <v>1.0</v>
      </c>
      <c r="J113" s="22"/>
    </row>
    <row r="114" ht="39.75" customHeight="1">
      <c r="A114" s="1">
        <v>113.0</v>
      </c>
      <c r="B114" s="2" t="s">
        <v>21</v>
      </c>
      <c r="C114" s="2" t="s">
        <v>277</v>
      </c>
      <c r="D114" s="13"/>
      <c r="E114" s="13"/>
      <c r="F114" s="45"/>
      <c r="G114" s="42"/>
      <c r="H114" s="42"/>
      <c r="I114" s="42"/>
      <c r="J114" s="22"/>
    </row>
    <row r="115" ht="39.75" hidden="1" customHeight="1">
      <c r="A115" s="1">
        <v>114.0</v>
      </c>
      <c r="B115" s="2" t="s">
        <v>22</v>
      </c>
      <c r="C115" s="2" t="s">
        <v>58</v>
      </c>
      <c r="D115" s="13"/>
      <c r="E115" s="13"/>
      <c r="F115" s="45"/>
      <c r="G115" s="42"/>
      <c r="H115" s="42"/>
      <c r="I115" s="42"/>
      <c r="J115" s="22"/>
    </row>
    <row r="116" ht="39.75" hidden="1" customHeight="1">
      <c r="A116" s="1">
        <v>115.0</v>
      </c>
      <c r="B116" s="2" t="s">
        <v>23</v>
      </c>
      <c r="C116" s="2" t="s">
        <v>66</v>
      </c>
      <c r="D116" s="13"/>
      <c r="E116" s="13"/>
      <c r="F116" s="45"/>
      <c r="G116" s="42"/>
      <c r="H116" s="42"/>
      <c r="I116" s="42"/>
      <c r="J116" s="22"/>
    </row>
    <row r="117" ht="39.75" hidden="1" customHeight="1">
      <c r="A117" s="1">
        <v>116.0</v>
      </c>
      <c r="B117" s="2" t="s">
        <v>24</v>
      </c>
      <c r="C117" s="2" t="s">
        <v>58</v>
      </c>
      <c r="D117" s="13"/>
      <c r="E117" s="13"/>
      <c r="F117" s="45"/>
      <c r="G117" s="42"/>
      <c r="H117" s="42"/>
      <c r="I117" s="42"/>
      <c r="J117" s="22"/>
    </row>
    <row r="118" ht="39.75" customHeight="1">
      <c r="A118" s="1">
        <v>117.0</v>
      </c>
      <c r="B118" s="2" t="s">
        <v>25</v>
      </c>
      <c r="C118" s="2" t="s">
        <v>44</v>
      </c>
      <c r="D118" s="13"/>
      <c r="E118" s="13"/>
      <c r="F118" s="45"/>
      <c r="G118" s="42"/>
      <c r="H118" s="42"/>
      <c r="I118" s="42"/>
      <c r="J118" s="22"/>
    </row>
    <row r="119" ht="39.75" customHeight="1">
      <c r="A119" s="1">
        <v>118.0</v>
      </c>
      <c r="B119" s="2" t="s">
        <v>26</v>
      </c>
      <c r="C119" s="2"/>
      <c r="D119" s="13"/>
      <c r="E119" s="13"/>
      <c r="F119" s="44" t="s">
        <v>880</v>
      </c>
      <c r="G119" s="43">
        <v>1.0</v>
      </c>
      <c r="H119" s="42"/>
      <c r="I119" s="43">
        <v>1.0</v>
      </c>
      <c r="J119" s="22"/>
    </row>
    <row r="120" ht="39.75" hidden="1" customHeight="1">
      <c r="A120" s="1">
        <v>119.0</v>
      </c>
      <c r="B120" s="2" t="s">
        <v>29</v>
      </c>
      <c r="C120" s="2" t="s">
        <v>58</v>
      </c>
      <c r="D120" s="13"/>
      <c r="E120" s="13"/>
      <c r="F120" s="45"/>
      <c r="G120" s="42"/>
      <c r="H120" s="42"/>
      <c r="I120" s="42"/>
      <c r="J120" s="22"/>
    </row>
    <row r="121" ht="39.75" customHeight="1">
      <c r="A121" s="1">
        <v>120.0</v>
      </c>
      <c r="B121" s="2" t="s">
        <v>30</v>
      </c>
      <c r="C121" s="2" t="s">
        <v>64</v>
      </c>
      <c r="D121" s="13"/>
      <c r="E121" s="13"/>
      <c r="F121" s="45"/>
      <c r="G121" s="42"/>
      <c r="H121" s="42"/>
      <c r="I121" s="42"/>
      <c r="J121" s="22"/>
    </row>
    <row r="122" ht="39.75" customHeight="1">
      <c r="A122" s="1">
        <v>121.0</v>
      </c>
      <c r="B122" s="2" t="s">
        <v>31</v>
      </c>
      <c r="C122" s="2" t="s">
        <v>54</v>
      </c>
      <c r="D122" s="13"/>
      <c r="E122" s="13"/>
      <c r="F122" s="44" t="s">
        <v>881</v>
      </c>
      <c r="G122" s="43">
        <v>1.0</v>
      </c>
      <c r="H122" s="42"/>
      <c r="I122" s="43">
        <v>1.0</v>
      </c>
      <c r="J122" s="22"/>
    </row>
    <row r="123" ht="39.75" customHeight="1">
      <c r="A123" s="1">
        <v>122.0</v>
      </c>
      <c r="B123" s="2" t="s">
        <v>32</v>
      </c>
      <c r="C123" s="2" t="s">
        <v>39</v>
      </c>
      <c r="D123" s="13"/>
      <c r="E123" s="13"/>
      <c r="F123" s="44" t="s">
        <v>882</v>
      </c>
      <c r="G123" s="43">
        <v>1.0</v>
      </c>
      <c r="H123" s="42"/>
      <c r="I123" s="43">
        <v>1.0</v>
      </c>
      <c r="J123" s="22"/>
    </row>
    <row r="124" ht="39.75" customHeight="1">
      <c r="A124" s="1">
        <v>123.0</v>
      </c>
      <c r="B124" s="2" t="s">
        <v>67</v>
      </c>
      <c r="C124" s="2"/>
      <c r="D124" s="13"/>
      <c r="E124" s="13"/>
      <c r="F124" s="45"/>
      <c r="G124" s="42"/>
      <c r="H124" s="42"/>
      <c r="I124" s="42"/>
      <c r="J124" s="22"/>
    </row>
    <row r="125" ht="39.75" customHeight="1">
      <c r="A125" s="1">
        <v>124.0</v>
      </c>
      <c r="B125" s="2" t="s">
        <v>34</v>
      </c>
      <c r="C125" s="2" t="s">
        <v>69</v>
      </c>
      <c r="D125" s="13"/>
      <c r="E125" s="13"/>
      <c r="F125" s="44" t="s">
        <v>883</v>
      </c>
      <c r="G125" s="43">
        <v>1.0</v>
      </c>
      <c r="H125" s="42"/>
      <c r="I125" s="43">
        <v>1.0</v>
      </c>
      <c r="J125" s="22"/>
    </row>
    <row r="126" ht="39.75" customHeight="1">
      <c r="A126" s="1">
        <v>125.0</v>
      </c>
      <c r="B126" s="2" t="s">
        <v>35</v>
      </c>
      <c r="C126" s="2" t="s">
        <v>39</v>
      </c>
      <c r="D126" s="13"/>
      <c r="E126" s="13"/>
      <c r="F126" s="44" t="s">
        <v>884</v>
      </c>
      <c r="G126" s="43">
        <v>3.0</v>
      </c>
      <c r="H126" s="42"/>
      <c r="I126" s="43">
        <v>1.0</v>
      </c>
      <c r="J126" s="22"/>
    </row>
    <row r="127" ht="39.75" customHeight="1">
      <c r="A127" s="1">
        <v>126.0</v>
      </c>
      <c r="B127" s="2" t="s">
        <v>36</v>
      </c>
      <c r="C127" s="2" t="s">
        <v>69</v>
      </c>
      <c r="D127" s="13"/>
      <c r="E127" s="13"/>
      <c r="F127" s="45"/>
      <c r="G127" s="42"/>
      <c r="H127" s="42"/>
      <c r="I127" s="42"/>
      <c r="J127" s="22"/>
    </row>
    <row r="128" ht="39.75" customHeight="1">
      <c r="A128" s="1">
        <v>127.0</v>
      </c>
      <c r="B128" s="2" t="s">
        <v>38</v>
      </c>
      <c r="C128" s="2"/>
      <c r="D128" s="13"/>
      <c r="E128" s="13"/>
      <c r="F128" s="44" t="s">
        <v>885</v>
      </c>
      <c r="G128" s="43">
        <v>1.0</v>
      </c>
      <c r="H128" s="42"/>
      <c r="I128" s="42"/>
      <c r="J128" s="22"/>
    </row>
    <row r="129" ht="39.75" customHeight="1">
      <c r="A129" s="1">
        <v>128.0</v>
      </c>
      <c r="B129" s="2" t="s">
        <v>41</v>
      </c>
      <c r="C129" s="2" t="s">
        <v>54</v>
      </c>
      <c r="D129" s="13"/>
      <c r="E129" s="13"/>
      <c r="F129" s="45"/>
      <c r="G129" s="42"/>
      <c r="H129" s="42"/>
      <c r="I129" s="42"/>
      <c r="J129" s="22"/>
    </row>
    <row r="130" ht="39.75" customHeight="1">
      <c r="A130" s="1">
        <v>129.0</v>
      </c>
      <c r="B130" s="2" t="s">
        <v>42</v>
      </c>
      <c r="C130" s="2" t="s">
        <v>54</v>
      </c>
      <c r="D130" s="13"/>
      <c r="E130" s="13"/>
      <c r="F130" s="44" t="s">
        <v>886</v>
      </c>
      <c r="G130" s="43">
        <v>1.0</v>
      </c>
      <c r="H130" s="42"/>
      <c r="I130" s="42"/>
      <c r="J130" s="22"/>
    </row>
    <row r="131" ht="39.75" customHeight="1">
      <c r="A131" s="1">
        <v>130.0</v>
      </c>
      <c r="B131" s="2" t="s">
        <v>43</v>
      </c>
      <c r="C131" s="2"/>
      <c r="D131" s="13"/>
      <c r="E131" s="13"/>
      <c r="F131" s="44" t="s">
        <v>887</v>
      </c>
      <c r="G131" s="43">
        <v>2.0</v>
      </c>
      <c r="H131" s="42"/>
      <c r="I131" s="42"/>
      <c r="J131" s="22"/>
    </row>
    <row r="132" ht="39.75" customHeight="1">
      <c r="A132" s="1">
        <v>131.0</v>
      </c>
      <c r="B132" s="2" t="s">
        <v>45</v>
      </c>
      <c r="C132" s="2"/>
      <c r="D132" s="13"/>
      <c r="E132" s="13"/>
      <c r="F132" s="44" t="s">
        <v>888</v>
      </c>
      <c r="G132" s="43">
        <v>1.0</v>
      </c>
      <c r="H132" s="42"/>
      <c r="I132" s="43">
        <v>1.0</v>
      </c>
      <c r="J132" s="22"/>
    </row>
    <row r="133" ht="39.75" customHeight="1">
      <c r="A133" s="1">
        <v>132.0</v>
      </c>
      <c r="B133" s="2" t="s">
        <v>46</v>
      </c>
      <c r="C133" s="2" t="s">
        <v>69</v>
      </c>
      <c r="D133" s="13"/>
      <c r="E133" s="13"/>
      <c r="F133" s="45"/>
      <c r="G133" s="42"/>
      <c r="H133" s="42"/>
      <c r="I133" s="42"/>
      <c r="J133" s="22"/>
    </row>
    <row r="134" ht="39.75" customHeight="1">
      <c r="A134" s="1">
        <v>133.0</v>
      </c>
      <c r="B134" s="2" t="s">
        <v>47</v>
      </c>
      <c r="C134" s="2" t="s">
        <v>27</v>
      </c>
      <c r="D134" s="13"/>
      <c r="E134" s="13"/>
      <c r="F134" s="45"/>
      <c r="G134" s="42"/>
      <c r="H134" s="42"/>
      <c r="I134" s="42"/>
      <c r="J134" s="22"/>
    </row>
    <row r="135" ht="39.75" customHeight="1">
      <c r="A135" s="1">
        <v>134.0</v>
      </c>
      <c r="B135" s="2" t="s">
        <v>48</v>
      </c>
      <c r="C135" s="13"/>
      <c r="D135" s="40">
        <v>0.3125</v>
      </c>
      <c r="E135" s="13"/>
      <c r="F135" s="44" t="s">
        <v>889</v>
      </c>
      <c r="G135" s="43">
        <v>1.0</v>
      </c>
      <c r="H135" s="43">
        <v>1.0</v>
      </c>
      <c r="I135" s="42"/>
      <c r="J135" s="22"/>
    </row>
    <row r="136" ht="39.75" customHeight="1">
      <c r="A136" s="1">
        <v>135.0</v>
      </c>
      <c r="B136" s="21"/>
      <c r="C136" s="21"/>
      <c r="D136" s="21"/>
      <c r="E136" s="21"/>
      <c r="F136" s="46"/>
      <c r="G136" s="47"/>
      <c r="H136" s="47"/>
      <c r="I136" s="47"/>
      <c r="J136" s="48"/>
      <c r="K136" s="49"/>
      <c r="L136" s="49"/>
      <c r="M136" s="49"/>
    </row>
    <row r="137" ht="39.75" hidden="1" customHeight="1">
      <c r="A137" s="1">
        <v>136.0</v>
      </c>
      <c r="B137" s="2" t="s">
        <v>12</v>
      </c>
      <c r="C137" s="2" t="s">
        <v>58</v>
      </c>
      <c r="D137" s="13"/>
      <c r="E137" s="13"/>
      <c r="F137" s="45"/>
      <c r="G137" s="42"/>
      <c r="H137" s="42"/>
      <c r="I137" s="42"/>
      <c r="J137" s="27" t="s">
        <v>840</v>
      </c>
      <c r="K137" s="15" t="s">
        <v>128</v>
      </c>
    </row>
    <row r="138" ht="39.75" customHeight="1">
      <c r="A138" s="1">
        <v>137.0</v>
      </c>
      <c r="B138" s="2" t="s">
        <v>16</v>
      </c>
      <c r="C138" s="2"/>
      <c r="D138" s="13"/>
      <c r="E138" s="13"/>
      <c r="F138" s="44" t="s">
        <v>890</v>
      </c>
      <c r="G138" s="43">
        <v>1.0</v>
      </c>
      <c r="H138" s="42"/>
      <c r="I138" s="42"/>
      <c r="J138" s="27" t="s">
        <v>128</v>
      </c>
    </row>
    <row r="139" ht="39.75" customHeight="1">
      <c r="A139" s="1">
        <v>138.0</v>
      </c>
      <c r="B139" s="2" t="s">
        <v>17</v>
      </c>
      <c r="C139" s="2" t="s">
        <v>54</v>
      </c>
      <c r="D139" s="13"/>
      <c r="E139" s="13"/>
      <c r="F139" s="45"/>
      <c r="G139" s="42"/>
      <c r="H139" s="42"/>
      <c r="I139" s="42"/>
      <c r="J139" s="27" t="s">
        <v>111</v>
      </c>
    </row>
    <row r="140" ht="39.75" customHeight="1">
      <c r="A140" s="1">
        <v>139.0</v>
      </c>
      <c r="B140" s="2" t="s">
        <v>331</v>
      </c>
      <c r="C140" s="2" t="s">
        <v>542</v>
      </c>
      <c r="D140" s="13"/>
      <c r="E140" s="13"/>
      <c r="F140" s="44"/>
      <c r="G140" s="42"/>
      <c r="H140" s="42"/>
      <c r="I140" s="42"/>
      <c r="J140" s="27"/>
    </row>
    <row r="141" ht="39.75" customHeight="1">
      <c r="A141" s="1">
        <v>140.0</v>
      </c>
      <c r="B141" s="2" t="s">
        <v>21</v>
      </c>
      <c r="C141" s="2" t="s">
        <v>277</v>
      </c>
      <c r="D141" s="13"/>
      <c r="E141" s="13"/>
      <c r="F141" s="45"/>
      <c r="G141" s="42"/>
      <c r="H141" s="42"/>
      <c r="I141" s="42"/>
      <c r="J141" s="27"/>
    </row>
    <row r="142" ht="39.75" hidden="1" customHeight="1">
      <c r="A142" s="1">
        <v>141.0</v>
      </c>
      <c r="B142" s="2" t="s">
        <v>22</v>
      </c>
      <c r="C142" s="2" t="s">
        <v>58</v>
      </c>
      <c r="D142" s="13"/>
      <c r="E142" s="13"/>
      <c r="F142" s="45"/>
      <c r="G142" s="42"/>
      <c r="H142" s="42"/>
      <c r="I142" s="42"/>
      <c r="J142" s="27"/>
    </row>
    <row r="143" ht="39.75" customHeight="1">
      <c r="A143" s="1">
        <v>142.0</v>
      </c>
      <c r="B143" s="2" t="s">
        <v>23</v>
      </c>
      <c r="C143" s="2" t="s">
        <v>39</v>
      </c>
      <c r="D143" s="40">
        <v>0.2916666666666667</v>
      </c>
      <c r="E143" s="13"/>
      <c r="F143" s="60" t="s">
        <v>891</v>
      </c>
      <c r="G143" s="43">
        <v>2.0</v>
      </c>
      <c r="H143" s="42"/>
      <c r="I143" s="43">
        <v>1.0</v>
      </c>
      <c r="J143" s="22"/>
    </row>
    <row r="144" ht="39.75" hidden="1" customHeight="1">
      <c r="A144" s="1">
        <v>143.0</v>
      </c>
      <c r="B144" s="2" t="s">
        <v>24</v>
      </c>
      <c r="C144" s="2" t="s">
        <v>58</v>
      </c>
      <c r="D144" s="13"/>
      <c r="E144" s="13"/>
      <c r="F144" s="45"/>
      <c r="G144" s="42"/>
      <c r="H144" s="42"/>
      <c r="I144" s="42"/>
      <c r="J144" s="22"/>
    </row>
    <row r="145" ht="39.75" customHeight="1">
      <c r="A145" s="1">
        <v>144.0</v>
      </c>
      <c r="B145" s="2" t="s">
        <v>25</v>
      </c>
      <c r="C145" s="2"/>
      <c r="D145" s="13"/>
      <c r="E145" s="13"/>
      <c r="F145" s="44" t="s">
        <v>892</v>
      </c>
      <c r="G145" s="43">
        <v>1.0</v>
      </c>
      <c r="H145" s="43">
        <v>1.0</v>
      </c>
      <c r="I145" s="43">
        <v>1.0</v>
      </c>
      <c r="J145" s="22"/>
    </row>
    <row r="146" ht="39.75" hidden="1" customHeight="1">
      <c r="A146" s="1">
        <v>145.0</v>
      </c>
      <c r="B146" s="2" t="s">
        <v>26</v>
      </c>
      <c r="C146" s="2" t="s">
        <v>58</v>
      </c>
      <c r="D146" s="13"/>
      <c r="E146" s="13"/>
      <c r="F146" s="45"/>
      <c r="G146" s="42"/>
      <c r="H146" s="42"/>
      <c r="I146" s="42"/>
      <c r="J146" s="22"/>
    </row>
    <row r="147" ht="39.75" customHeight="1">
      <c r="A147" s="1">
        <v>146.0</v>
      </c>
      <c r="B147" s="2" t="s">
        <v>29</v>
      </c>
      <c r="C147" s="2"/>
      <c r="D147" s="13"/>
      <c r="E147" s="13"/>
      <c r="F147" s="44" t="s">
        <v>893</v>
      </c>
      <c r="G147" s="43">
        <v>1.0</v>
      </c>
      <c r="H147" s="42"/>
      <c r="I147" s="42"/>
      <c r="J147" s="22"/>
    </row>
    <row r="148" ht="39.75" customHeight="1">
      <c r="A148" s="1">
        <v>147.0</v>
      </c>
      <c r="B148" s="2" t="s">
        <v>30</v>
      </c>
      <c r="C148" s="2" t="s">
        <v>64</v>
      </c>
      <c r="D148" s="13"/>
      <c r="E148" s="13"/>
      <c r="F148" s="45"/>
      <c r="G148" s="42"/>
      <c r="H148" s="42"/>
      <c r="I148" s="42"/>
      <c r="J148" s="22"/>
    </row>
    <row r="149" ht="39.75" customHeight="1">
      <c r="A149" s="1">
        <v>148.0</v>
      </c>
      <c r="B149" s="2" t="s">
        <v>31</v>
      </c>
      <c r="C149" s="2"/>
      <c r="D149" s="13"/>
      <c r="E149" s="13"/>
      <c r="F149" s="44" t="s">
        <v>894</v>
      </c>
      <c r="G149" s="43">
        <v>2.0</v>
      </c>
      <c r="H149" s="42"/>
      <c r="I149" s="43">
        <v>2.0</v>
      </c>
      <c r="J149" s="22"/>
    </row>
    <row r="150" ht="39.75" customHeight="1">
      <c r="A150" s="1">
        <v>149.0</v>
      </c>
      <c r="B150" s="2" t="s">
        <v>32</v>
      </c>
      <c r="C150" s="2"/>
      <c r="D150" s="13"/>
      <c r="E150" s="13"/>
      <c r="F150" s="44" t="s">
        <v>895</v>
      </c>
      <c r="G150" s="43">
        <v>1.0</v>
      </c>
      <c r="H150" s="42"/>
      <c r="I150" s="42"/>
      <c r="J150" s="22"/>
    </row>
    <row r="151" ht="39.75" customHeight="1">
      <c r="A151" s="1">
        <v>150.0</v>
      </c>
      <c r="B151" s="2" t="s">
        <v>67</v>
      </c>
      <c r="C151" s="2" t="s">
        <v>69</v>
      </c>
      <c r="D151" s="13"/>
      <c r="E151" s="13"/>
      <c r="F151" s="44" t="s">
        <v>896</v>
      </c>
      <c r="G151" s="43">
        <v>1.0</v>
      </c>
      <c r="H151" s="42"/>
      <c r="I151" s="43">
        <v>1.0</v>
      </c>
      <c r="J151" s="22"/>
    </row>
    <row r="152" ht="39.75" customHeight="1">
      <c r="A152" s="1">
        <v>151.0</v>
      </c>
      <c r="B152" s="2" t="s">
        <v>34</v>
      </c>
      <c r="C152" s="2" t="s">
        <v>39</v>
      </c>
      <c r="D152" s="40">
        <v>0.2916666666666667</v>
      </c>
      <c r="E152" s="13"/>
      <c r="F152" s="44" t="s">
        <v>897</v>
      </c>
      <c r="G152" s="43">
        <v>1.0</v>
      </c>
      <c r="H152" s="42"/>
      <c r="I152" s="43">
        <v>1.0</v>
      </c>
      <c r="J152" s="22"/>
    </row>
    <row r="153" ht="39.75" customHeight="1">
      <c r="A153" s="1">
        <v>152.0</v>
      </c>
      <c r="B153" s="2" t="s">
        <v>35</v>
      </c>
      <c r="C153" s="2"/>
      <c r="D153" s="13"/>
      <c r="E153" s="13"/>
      <c r="F153" s="44" t="s">
        <v>898</v>
      </c>
      <c r="G153" s="43">
        <v>1.0</v>
      </c>
      <c r="H153" s="42"/>
      <c r="I153" s="42"/>
      <c r="J153" s="22"/>
    </row>
    <row r="154" ht="39.75" customHeight="1">
      <c r="A154" s="1">
        <v>153.0</v>
      </c>
      <c r="B154" s="2" t="s">
        <v>36</v>
      </c>
      <c r="C154" s="2" t="s">
        <v>54</v>
      </c>
      <c r="D154" s="13"/>
      <c r="E154" s="13"/>
      <c r="F154" s="44" t="s">
        <v>899</v>
      </c>
      <c r="G154" s="43">
        <v>1.0</v>
      </c>
      <c r="H154" s="42"/>
      <c r="I154" s="42"/>
      <c r="J154" s="22"/>
    </row>
    <row r="155" ht="39.75" customHeight="1">
      <c r="A155" s="1">
        <v>154.0</v>
      </c>
      <c r="B155" s="2" t="s">
        <v>38</v>
      </c>
      <c r="C155" s="2" t="s">
        <v>27</v>
      </c>
      <c r="D155" s="13"/>
      <c r="E155" s="13"/>
      <c r="F155" s="44" t="s">
        <v>900</v>
      </c>
      <c r="G155" s="43">
        <v>1.0</v>
      </c>
      <c r="H155" s="42"/>
      <c r="I155" s="42"/>
      <c r="J155" s="22"/>
    </row>
    <row r="156" ht="39.75" hidden="1" customHeight="1">
      <c r="A156" s="1">
        <v>155.0</v>
      </c>
      <c r="B156" s="2" t="s">
        <v>41</v>
      </c>
      <c r="C156" s="2" t="s">
        <v>66</v>
      </c>
      <c r="D156" s="13"/>
      <c r="E156" s="13"/>
      <c r="F156" s="45"/>
      <c r="G156" s="42"/>
      <c r="H156" s="42"/>
      <c r="I156" s="42"/>
      <c r="J156" s="22"/>
    </row>
    <row r="157" ht="39.75" customHeight="1">
      <c r="A157" s="1">
        <v>156.0</v>
      </c>
      <c r="B157" s="2" t="s">
        <v>42</v>
      </c>
      <c r="C157" s="2" t="s">
        <v>54</v>
      </c>
      <c r="D157" s="13"/>
      <c r="E157" s="13"/>
      <c r="F157" s="44" t="s">
        <v>901</v>
      </c>
      <c r="G157" s="43">
        <v>1.0</v>
      </c>
      <c r="H157" s="42"/>
      <c r="I157" s="42"/>
      <c r="J157" s="22"/>
    </row>
    <row r="158" ht="39.75" customHeight="1">
      <c r="A158" s="1">
        <v>157.0</v>
      </c>
      <c r="B158" s="2" t="s">
        <v>43</v>
      </c>
      <c r="C158" s="2" t="s">
        <v>69</v>
      </c>
      <c r="D158" s="13"/>
      <c r="E158" s="13"/>
      <c r="F158" s="44" t="s">
        <v>902</v>
      </c>
      <c r="G158" s="43">
        <v>1.0</v>
      </c>
      <c r="H158" s="42"/>
      <c r="I158" s="43">
        <v>1.0</v>
      </c>
      <c r="J158" s="22"/>
    </row>
    <row r="159" ht="39.75" customHeight="1">
      <c r="A159" s="1">
        <v>158.0</v>
      </c>
      <c r="B159" s="2" t="s">
        <v>45</v>
      </c>
      <c r="C159" s="2" t="s">
        <v>54</v>
      </c>
      <c r="D159" s="13"/>
      <c r="E159" s="13"/>
      <c r="F159" s="44" t="s">
        <v>903</v>
      </c>
      <c r="G159" s="43">
        <v>1.0</v>
      </c>
      <c r="H159" s="42"/>
      <c r="I159" s="43">
        <v>1.0</v>
      </c>
      <c r="J159" s="22"/>
    </row>
    <row r="160" ht="39.75" customHeight="1">
      <c r="A160" s="1">
        <v>159.0</v>
      </c>
      <c r="B160" s="2" t="s">
        <v>46</v>
      </c>
      <c r="C160" s="2" t="s">
        <v>69</v>
      </c>
      <c r="D160" s="13"/>
      <c r="E160" s="13"/>
      <c r="F160" s="44" t="s">
        <v>904</v>
      </c>
      <c r="G160" s="43">
        <v>1.0</v>
      </c>
      <c r="H160" s="42"/>
      <c r="I160" s="42"/>
      <c r="J160" s="22"/>
    </row>
    <row r="161" ht="39.75" customHeight="1">
      <c r="A161" s="1">
        <v>160.0</v>
      </c>
      <c r="B161" s="2" t="s">
        <v>47</v>
      </c>
      <c r="C161" s="2" t="s">
        <v>44</v>
      </c>
      <c r="D161" s="13"/>
      <c r="E161" s="13"/>
      <c r="F161" s="52" t="s">
        <v>905</v>
      </c>
      <c r="G161" s="42"/>
      <c r="H161" s="42"/>
      <c r="I161" s="42"/>
      <c r="J161" s="22"/>
    </row>
    <row r="162" ht="39.75" customHeight="1">
      <c r="A162" s="1">
        <v>161.0</v>
      </c>
      <c r="B162" s="2" t="s">
        <v>48</v>
      </c>
      <c r="C162" s="13"/>
      <c r="D162" s="13"/>
      <c r="E162" s="13"/>
      <c r="F162" s="44" t="s">
        <v>889</v>
      </c>
      <c r="G162" s="43">
        <v>1.0</v>
      </c>
      <c r="H162" s="43">
        <v>1.0</v>
      </c>
      <c r="I162" s="42"/>
      <c r="J162" s="22"/>
    </row>
    <row r="163" ht="39.75" customHeight="1">
      <c r="A163" s="1">
        <v>162.0</v>
      </c>
      <c r="B163" s="21"/>
      <c r="C163" s="21"/>
      <c r="D163" s="21"/>
      <c r="E163" s="21"/>
      <c r="F163" s="46"/>
      <c r="G163" s="47"/>
      <c r="H163" s="47"/>
      <c r="I163" s="47"/>
      <c r="J163" s="48"/>
      <c r="K163" s="49"/>
      <c r="L163" s="49"/>
      <c r="M163" s="49"/>
    </row>
    <row r="164" ht="39.75" hidden="1" customHeight="1">
      <c r="A164" s="1">
        <v>163.0</v>
      </c>
      <c r="B164" s="2" t="s">
        <v>12</v>
      </c>
      <c r="C164" s="2" t="s">
        <v>58</v>
      </c>
      <c r="D164" s="13"/>
      <c r="E164" s="13"/>
      <c r="F164" s="45"/>
      <c r="G164" s="42"/>
      <c r="H164" s="42"/>
      <c r="I164" s="42"/>
      <c r="J164" s="27" t="s">
        <v>840</v>
      </c>
      <c r="K164" s="15" t="s">
        <v>147</v>
      </c>
    </row>
    <row r="165" ht="39.75" hidden="1" customHeight="1">
      <c r="A165" s="1">
        <v>164.0</v>
      </c>
      <c r="B165" s="2" t="s">
        <v>16</v>
      </c>
      <c r="C165" s="2" t="s">
        <v>58</v>
      </c>
      <c r="D165" s="13"/>
      <c r="E165" s="13"/>
      <c r="F165" s="45"/>
      <c r="G165" s="42"/>
      <c r="H165" s="42"/>
      <c r="I165" s="42"/>
      <c r="J165" s="27" t="s">
        <v>147</v>
      </c>
    </row>
    <row r="166" ht="39.75" customHeight="1">
      <c r="A166" s="1">
        <v>165.0</v>
      </c>
      <c r="B166" s="2" t="s">
        <v>17</v>
      </c>
      <c r="C166" s="2" t="s">
        <v>54</v>
      </c>
      <c r="D166" s="13"/>
      <c r="E166" s="13"/>
      <c r="F166" s="44" t="s">
        <v>906</v>
      </c>
      <c r="G166" s="43">
        <v>1.0</v>
      </c>
      <c r="H166" s="42"/>
      <c r="I166" s="42"/>
      <c r="J166" s="27" t="s">
        <v>131</v>
      </c>
    </row>
    <row r="167" ht="39.75" customHeight="1">
      <c r="A167" s="1">
        <v>166.0</v>
      </c>
      <c r="B167" s="2" t="s">
        <v>331</v>
      </c>
      <c r="C167" s="2" t="s">
        <v>542</v>
      </c>
      <c r="D167" s="13"/>
      <c r="E167" s="13"/>
      <c r="F167" s="44" t="s">
        <v>768</v>
      </c>
      <c r="G167" s="43">
        <v>1.0</v>
      </c>
      <c r="H167" s="42"/>
      <c r="I167" s="43">
        <v>1.0</v>
      </c>
      <c r="J167" s="27"/>
    </row>
    <row r="168" ht="39.75" customHeight="1">
      <c r="A168" s="1">
        <v>167.0</v>
      </c>
      <c r="B168" s="2" t="s">
        <v>21</v>
      </c>
      <c r="C168" s="2" t="s">
        <v>277</v>
      </c>
      <c r="D168" s="13"/>
      <c r="E168" s="13"/>
      <c r="F168" s="45"/>
      <c r="G168" s="42"/>
      <c r="H168" s="42"/>
      <c r="I168" s="42"/>
      <c r="J168" s="27"/>
    </row>
    <row r="169" ht="39.75" hidden="1" customHeight="1">
      <c r="A169" s="1">
        <v>168.0</v>
      </c>
      <c r="B169" s="2" t="s">
        <v>22</v>
      </c>
      <c r="C169" s="2" t="s">
        <v>58</v>
      </c>
      <c r="D169" s="13"/>
      <c r="E169" s="13"/>
      <c r="F169" s="45"/>
      <c r="G169" s="42"/>
      <c r="H169" s="42"/>
      <c r="I169" s="42"/>
      <c r="J169" s="27"/>
    </row>
    <row r="170" ht="39.75" customHeight="1">
      <c r="A170" s="1">
        <v>169.0</v>
      </c>
      <c r="B170" s="2" t="s">
        <v>23</v>
      </c>
      <c r="C170" s="2" t="s">
        <v>39</v>
      </c>
      <c r="D170" s="13"/>
      <c r="E170" s="13"/>
      <c r="F170" s="44" t="s">
        <v>907</v>
      </c>
      <c r="G170" s="43">
        <v>1.0</v>
      </c>
      <c r="H170" s="42"/>
      <c r="I170" s="42"/>
      <c r="J170" s="22"/>
    </row>
    <row r="171" ht="39.75" customHeight="1">
      <c r="A171" s="1">
        <v>170.0</v>
      </c>
      <c r="B171" s="2" t="s">
        <v>24</v>
      </c>
      <c r="C171" s="2"/>
      <c r="D171" s="13"/>
      <c r="E171" s="13"/>
      <c r="F171" s="44" t="s">
        <v>908</v>
      </c>
      <c r="G171" s="43">
        <v>1.0</v>
      </c>
      <c r="H171" s="42"/>
      <c r="I171" s="42"/>
      <c r="J171" s="22"/>
    </row>
    <row r="172" ht="39.75" customHeight="1">
      <c r="A172" s="1">
        <v>171.0</v>
      </c>
      <c r="B172" s="2" t="s">
        <v>25</v>
      </c>
      <c r="C172" s="2"/>
      <c r="D172" s="13"/>
      <c r="E172" s="13"/>
      <c r="F172" s="44" t="s">
        <v>892</v>
      </c>
      <c r="G172" s="43">
        <v>1.0</v>
      </c>
      <c r="H172" s="43">
        <v>1.0</v>
      </c>
      <c r="I172" s="43">
        <v>1.0</v>
      </c>
      <c r="J172" s="22"/>
    </row>
    <row r="173" ht="39.75" customHeight="1">
      <c r="A173" s="1">
        <v>172.0</v>
      </c>
      <c r="B173" s="2" t="s">
        <v>26</v>
      </c>
      <c r="C173" s="2" t="s">
        <v>27</v>
      </c>
      <c r="D173" s="13"/>
      <c r="E173" s="13"/>
      <c r="F173" s="45"/>
      <c r="G173" s="42"/>
      <c r="H173" s="42"/>
      <c r="I173" s="42"/>
      <c r="J173" s="22"/>
    </row>
    <row r="174" ht="39.75" customHeight="1">
      <c r="A174" s="1">
        <v>173.0</v>
      </c>
      <c r="B174" s="2" t="s">
        <v>29</v>
      </c>
      <c r="C174" s="2"/>
      <c r="D174" s="13"/>
      <c r="E174" s="13"/>
      <c r="F174" s="65" t="s">
        <v>909</v>
      </c>
      <c r="G174" s="42"/>
      <c r="H174" s="42"/>
      <c r="I174" s="42"/>
      <c r="J174" s="22"/>
    </row>
    <row r="175" ht="39.75" customHeight="1">
      <c r="A175" s="1">
        <v>174.0</v>
      </c>
      <c r="B175" s="2" t="s">
        <v>30</v>
      </c>
      <c r="C175" s="2" t="s">
        <v>64</v>
      </c>
      <c r="D175" s="13"/>
      <c r="E175" s="13"/>
      <c r="F175" s="45"/>
      <c r="G175" s="42"/>
      <c r="H175" s="42"/>
      <c r="I175" s="42"/>
      <c r="J175" s="22"/>
    </row>
    <row r="176" ht="39.75" customHeight="1">
      <c r="A176" s="1">
        <v>175.0</v>
      </c>
      <c r="B176" s="2" t="s">
        <v>31</v>
      </c>
      <c r="C176" s="2" t="s">
        <v>54</v>
      </c>
      <c r="D176" s="13"/>
      <c r="E176" s="13"/>
      <c r="F176" s="44" t="s">
        <v>910</v>
      </c>
      <c r="G176" s="43">
        <v>1.0</v>
      </c>
      <c r="H176" s="42"/>
      <c r="I176" s="43">
        <v>1.0</v>
      </c>
      <c r="J176" s="22"/>
    </row>
    <row r="177" ht="39.75" customHeight="1">
      <c r="A177" s="1">
        <v>176.0</v>
      </c>
      <c r="B177" s="2" t="s">
        <v>32</v>
      </c>
      <c r="C177" s="2"/>
      <c r="D177" s="13"/>
      <c r="E177" s="13"/>
      <c r="F177" s="44" t="s">
        <v>911</v>
      </c>
      <c r="G177" s="43">
        <v>1.0</v>
      </c>
      <c r="H177" s="42"/>
      <c r="I177" s="42"/>
      <c r="J177" s="22"/>
    </row>
    <row r="178" ht="39.75" hidden="1" customHeight="1">
      <c r="A178" s="1">
        <v>177.0</v>
      </c>
      <c r="B178" s="2" t="s">
        <v>67</v>
      </c>
      <c r="C178" s="2" t="s">
        <v>58</v>
      </c>
      <c r="D178" s="13"/>
      <c r="E178" s="13"/>
      <c r="F178" s="45"/>
      <c r="G178" s="42"/>
      <c r="H178" s="42"/>
      <c r="I178" s="42"/>
      <c r="J178" s="22"/>
    </row>
    <row r="179" ht="39.75" customHeight="1">
      <c r="A179" s="1">
        <v>178.0</v>
      </c>
      <c r="B179" s="2" t="s">
        <v>34</v>
      </c>
      <c r="C179" s="2" t="s">
        <v>39</v>
      </c>
      <c r="D179" s="13"/>
      <c r="E179" s="13"/>
      <c r="F179" s="44" t="s">
        <v>912</v>
      </c>
      <c r="G179" s="43">
        <v>2.0</v>
      </c>
      <c r="H179" s="42"/>
      <c r="I179" s="43">
        <v>1.0</v>
      </c>
      <c r="J179" s="22"/>
    </row>
    <row r="180" ht="39.75" customHeight="1">
      <c r="A180" s="1">
        <v>179.0</v>
      </c>
      <c r="B180" s="2" t="s">
        <v>35</v>
      </c>
      <c r="C180" s="2"/>
      <c r="D180" s="13"/>
      <c r="E180" s="13"/>
      <c r="F180" s="44" t="s">
        <v>913</v>
      </c>
      <c r="G180" s="43">
        <v>1.0</v>
      </c>
      <c r="H180" s="42"/>
      <c r="I180" s="42"/>
      <c r="J180" s="22"/>
    </row>
    <row r="181" ht="39.75" customHeight="1">
      <c r="A181" s="1">
        <v>180.0</v>
      </c>
      <c r="B181" s="2" t="s">
        <v>36</v>
      </c>
      <c r="C181" s="2" t="s">
        <v>69</v>
      </c>
      <c r="D181" s="13"/>
      <c r="E181" s="13"/>
      <c r="F181" s="44" t="s">
        <v>914</v>
      </c>
      <c r="G181" s="43">
        <v>1.0</v>
      </c>
      <c r="H181" s="42"/>
      <c r="I181" s="42"/>
      <c r="J181" s="22"/>
    </row>
    <row r="182" ht="39.75" customHeight="1">
      <c r="A182" s="1">
        <v>181.0</v>
      </c>
      <c r="B182" s="2" t="s">
        <v>38</v>
      </c>
      <c r="C182" s="2" t="s">
        <v>44</v>
      </c>
      <c r="D182" s="13"/>
      <c r="E182" s="55">
        <v>0.3333333333333333</v>
      </c>
      <c r="F182" s="52" t="s">
        <v>915</v>
      </c>
      <c r="G182" s="56">
        <v>1.0</v>
      </c>
      <c r="H182" s="42"/>
      <c r="I182" s="42"/>
      <c r="J182" s="22"/>
    </row>
    <row r="183" ht="39.75" customHeight="1">
      <c r="A183" s="1">
        <v>182.0</v>
      </c>
      <c r="B183" s="2" t="s">
        <v>41</v>
      </c>
      <c r="C183" s="2" t="s">
        <v>69</v>
      </c>
      <c r="D183" s="13"/>
      <c r="E183" s="13"/>
      <c r="F183" s="64" t="s">
        <v>916</v>
      </c>
      <c r="G183" s="43">
        <v>1.0</v>
      </c>
      <c r="H183" s="42"/>
      <c r="I183" s="42"/>
      <c r="J183" s="22"/>
    </row>
    <row r="184" ht="39.75" customHeight="1">
      <c r="A184" s="1">
        <v>183.0</v>
      </c>
      <c r="B184" s="2" t="s">
        <v>42</v>
      </c>
      <c r="C184" s="2" t="s">
        <v>54</v>
      </c>
      <c r="D184" s="13"/>
      <c r="E184" s="13"/>
      <c r="F184" s="44" t="s">
        <v>917</v>
      </c>
      <c r="G184" s="43">
        <v>1.0</v>
      </c>
      <c r="H184" s="42"/>
      <c r="I184" s="43">
        <v>1.0</v>
      </c>
      <c r="J184" s="22"/>
    </row>
    <row r="185" ht="39.75" customHeight="1">
      <c r="A185" s="1">
        <v>184.0</v>
      </c>
      <c r="B185" s="2" t="s">
        <v>43</v>
      </c>
      <c r="C185" s="2"/>
      <c r="D185" s="13"/>
      <c r="E185" s="13"/>
      <c r="F185" s="44" t="s">
        <v>918</v>
      </c>
      <c r="G185" s="43">
        <v>1.0</v>
      </c>
      <c r="H185" s="42"/>
      <c r="I185" s="42"/>
      <c r="J185" s="22"/>
    </row>
    <row r="186" ht="39.75" customHeight="1">
      <c r="A186" s="1">
        <v>185.0</v>
      </c>
      <c r="B186" s="2" t="s">
        <v>45</v>
      </c>
      <c r="C186" s="2" t="s">
        <v>54</v>
      </c>
      <c r="D186" s="13"/>
      <c r="E186" s="13"/>
      <c r="F186" s="45"/>
      <c r="G186" s="42"/>
      <c r="H186" s="42"/>
      <c r="I186" s="42"/>
      <c r="J186" s="22"/>
    </row>
    <row r="187" ht="39.75" hidden="1" customHeight="1">
      <c r="A187" s="1">
        <v>186.0</v>
      </c>
      <c r="B187" s="2" t="s">
        <v>46</v>
      </c>
      <c r="C187" s="2" t="s">
        <v>66</v>
      </c>
      <c r="D187" s="13"/>
      <c r="E187" s="13"/>
      <c r="F187" s="45"/>
      <c r="G187" s="42"/>
      <c r="H187" s="42"/>
      <c r="I187" s="42"/>
      <c r="J187" s="22"/>
    </row>
    <row r="188" ht="39.75" customHeight="1">
      <c r="A188" s="1">
        <v>187.0</v>
      </c>
      <c r="B188" s="2" t="s">
        <v>47</v>
      </c>
      <c r="C188" s="13"/>
      <c r="D188" s="13"/>
      <c r="E188" s="13"/>
      <c r="F188" s="44" t="s">
        <v>905</v>
      </c>
      <c r="G188" s="42"/>
      <c r="H188" s="42"/>
      <c r="I188" s="42"/>
      <c r="J188" s="22"/>
    </row>
    <row r="189" ht="39.75" customHeight="1">
      <c r="A189" s="1">
        <v>188.0</v>
      </c>
      <c r="B189" s="2" t="s">
        <v>48</v>
      </c>
      <c r="C189" s="13"/>
      <c r="D189" s="13"/>
      <c r="E189" s="13"/>
      <c r="F189" s="44" t="s">
        <v>889</v>
      </c>
      <c r="G189" s="43">
        <v>1.0</v>
      </c>
      <c r="H189" s="43">
        <v>1.0</v>
      </c>
      <c r="I189" s="42"/>
      <c r="J189" s="22"/>
    </row>
    <row r="190" ht="39.75" customHeight="1">
      <c r="A190" s="1">
        <v>189.0</v>
      </c>
      <c r="B190" s="21"/>
      <c r="C190" s="21"/>
      <c r="D190" s="21"/>
      <c r="E190" s="21"/>
      <c r="F190" s="46"/>
      <c r="G190" s="47"/>
      <c r="H190" s="47"/>
      <c r="I190" s="47"/>
      <c r="J190" s="48"/>
      <c r="K190" s="49"/>
      <c r="L190" s="49"/>
      <c r="M190" s="49"/>
    </row>
    <row r="191" ht="39.75" hidden="1" customHeight="1">
      <c r="A191" s="1">
        <v>190.0</v>
      </c>
      <c r="B191" s="2" t="s">
        <v>12</v>
      </c>
      <c r="C191" s="2" t="s">
        <v>13</v>
      </c>
      <c r="D191" s="13"/>
      <c r="E191" s="13"/>
      <c r="F191" s="45"/>
      <c r="G191" s="42"/>
      <c r="H191" s="42"/>
      <c r="I191" s="42"/>
      <c r="J191" s="27" t="s">
        <v>840</v>
      </c>
      <c r="K191" s="15" t="s">
        <v>163</v>
      </c>
    </row>
    <row r="192" ht="39.75" hidden="1" customHeight="1">
      <c r="A192" s="1">
        <v>191.0</v>
      </c>
      <c r="B192" s="2" t="s">
        <v>16</v>
      </c>
      <c r="C192" s="2" t="s">
        <v>13</v>
      </c>
      <c r="D192" s="13"/>
      <c r="E192" s="13"/>
      <c r="F192" s="45"/>
      <c r="G192" s="42"/>
      <c r="H192" s="42"/>
      <c r="I192" s="42"/>
      <c r="J192" s="27" t="s">
        <v>163</v>
      </c>
    </row>
    <row r="193" ht="39.75" hidden="1" customHeight="1">
      <c r="A193" s="1">
        <v>192.0</v>
      </c>
      <c r="B193" s="2" t="s">
        <v>17</v>
      </c>
      <c r="C193" s="2" t="s">
        <v>13</v>
      </c>
      <c r="D193" s="13"/>
      <c r="E193" s="13"/>
      <c r="F193" s="45"/>
      <c r="G193" s="42"/>
      <c r="H193" s="42"/>
      <c r="I193" s="42"/>
      <c r="J193" s="27" t="s">
        <v>149</v>
      </c>
    </row>
    <row r="194" ht="39.75" customHeight="1">
      <c r="A194" s="1">
        <v>193.0</v>
      </c>
      <c r="B194" s="2" t="s">
        <v>331</v>
      </c>
      <c r="C194" s="2" t="s">
        <v>27</v>
      </c>
      <c r="D194" s="13"/>
      <c r="E194" s="13"/>
      <c r="F194" s="44" t="s">
        <v>919</v>
      </c>
      <c r="G194" s="43">
        <v>1.0</v>
      </c>
      <c r="H194" s="42"/>
      <c r="I194" s="43">
        <v>1.0</v>
      </c>
      <c r="J194" s="22"/>
    </row>
    <row r="195" ht="39.75" hidden="1" customHeight="1">
      <c r="A195" s="1">
        <v>194.0</v>
      </c>
      <c r="B195" s="2" t="s">
        <v>21</v>
      </c>
      <c r="C195" s="2" t="s">
        <v>13</v>
      </c>
      <c r="D195" s="13"/>
      <c r="E195" s="13"/>
      <c r="F195" s="45"/>
      <c r="G195" s="42"/>
      <c r="H195" s="42"/>
      <c r="I195" s="42"/>
      <c r="J195" s="22"/>
    </row>
    <row r="196" ht="39.75" hidden="1" customHeight="1">
      <c r="A196" s="1">
        <v>195.0</v>
      </c>
      <c r="B196" s="2" t="s">
        <v>22</v>
      </c>
      <c r="C196" s="2" t="s">
        <v>13</v>
      </c>
      <c r="D196" s="13"/>
      <c r="E196" s="13"/>
      <c r="F196" s="45"/>
      <c r="G196" s="42"/>
      <c r="H196" s="42"/>
      <c r="I196" s="42"/>
      <c r="J196" s="22"/>
    </row>
    <row r="197" ht="39.75" hidden="1" customHeight="1">
      <c r="A197" s="1">
        <v>196.0</v>
      </c>
      <c r="B197" s="2" t="s">
        <v>23</v>
      </c>
      <c r="C197" s="2" t="s">
        <v>13</v>
      </c>
      <c r="D197" s="13"/>
      <c r="E197" s="13"/>
      <c r="F197" s="45"/>
      <c r="G197" s="42"/>
      <c r="H197" s="42"/>
      <c r="I197" s="42"/>
      <c r="J197" s="22"/>
    </row>
    <row r="198" ht="39.75" customHeight="1">
      <c r="A198" s="1">
        <v>197.0</v>
      </c>
      <c r="B198" s="2" t="s">
        <v>24</v>
      </c>
      <c r="C198" s="2" t="s">
        <v>277</v>
      </c>
      <c r="D198" s="13"/>
      <c r="E198" s="13"/>
      <c r="F198" s="45"/>
      <c r="G198" s="42"/>
      <c r="H198" s="42"/>
      <c r="I198" s="42"/>
      <c r="J198" s="22"/>
    </row>
    <row r="199" ht="39.75" customHeight="1">
      <c r="A199" s="1">
        <v>198.0</v>
      </c>
      <c r="B199" s="2" t="s">
        <v>25</v>
      </c>
      <c r="C199" s="2"/>
      <c r="D199" s="13"/>
      <c r="E199" s="13"/>
      <c r="F199" s="44" t="s">
        <v>892</v>
      </c>
      <c r="G199" s="43">
        <v>1.0</v>
      </c>
      <c r="H199" s="43">
        <v>1.0</v>
      </c>
      <c r="I199" s="43">
        <v>1.0</v>
      </c>
      <c r="J199" s="22"/>
    </row>
    <row r="200" ht="39.75" customHeight="1">
      <c r="A200" s="1">
        <v>199.0</v>
      </c>
      <c r="B200" s="2" t="s">
        <v>26</v>
      </c>
      <c r="C200" s="2" t="s">
        <v>44</v>
      </c>
      <c r="D200" s="13"/>
      <c r="E200" s="13"/>
      <c r="F200" s="45"/>
      <c r="G200" s="42"/>
      <c r="H200" s="42"/>
      <c r="I200" s="42"/>
      <c r="J200" s="22"/>
    </row>
    <row r="201" ht="39.75" hidden="1" customHeight="1">
      <c r="A201" s="1">
        <v>200.0</v>
      </c>
      <c r="B201" s="2" t="s">
        <v>29</v>
      </c>
      <c r="C201" s="2" t="s">
        <v>13</v>
      </c>
      <c r="D201" s="13"/>
      <c r="E201" s="13"/>
      <c r="F201" s="45"/>
      <c r="G201" s="42"/>
      <c r="H201" s="42"/>
      <c r="I201" s="42"/>
      <c r="J201" s="22"/>
    </row>
    <row r="202" ht="39.75" hidden="1" customHeight="1">
      <c r="A202" s="1">
        <v>201.0</v>
      </c>
      <c r="B202" s="2" t="s">
        <v>30</v>
      </c>
      <c r="C202" s="2" t="s">
        <v>13</v>
      </c>
      <c r="D202" s="13"/>
      <c r="E202" s="13"/>
      <c r="F202" s="45"/>
      <c r="G202" s="42"/>
      <c r="H202" s="42"/>
      <c r="I202" s="42"/>
      <c r="J202" s="22"/>
    </row>
    <row r="203" ht="39.75" hidden="1" customHeight="1">
      <c r="A203" s="1">
        <v>202.0</v>
      </c>
      <c r="B203" s="2" t="s">
        <v>31</v>
      </c>
      <c r="C203" s="2" t="s">
        <v>13</v>
      </c>
      <c r="D203" s="13"/>
      <c r="E203" s="13"/>
      <c r="F203" s="45"/>
      <c r="G203" s="42"/>
      <c r="H203" s="42"/>
      <c r="I203" s="42"/>
      <c r="J203" s="22"/>
    </row>
    <row r="204" ht="39.75" hidden="1" customHeight="1">
      <c r="A204" s="1">
        <v>203.0</v>
      </c>
      <c r="B204" s="2" t="s">
        <v>32</v>
      </c>
      <c r="C204" s="2" t="s">
        <v>13</v>
      </c>
      <c r="D204" s="13"/>
      <c r="E204" s="13"/>
      <c r="F204" s="45"/>
      <c r="G204" s="42"/>
      <c r="H204" s="42"/>
      <c r="I204" s="42"/>
      <c r="J204" s="22"/>
    </row>
    <row r="205" ht="39.75" hidden="1" customHeight="1">
      <c r="A205" s="1">
        <v>204.0</v>
      </c>
      <c r="B205" s="2" t="s">
        <v>67</v>
      </c>
      <c r="C205" s="2" t="s">
        <v>13</v>
      </c>
      <c r="D205" s="13"/>
      <c r="E205" s="13"/>
      <c r="F205" s="45"/>
      <c r="G205" s="42"/>
      <c r="H205" s="42"/>
      <c r="I205" s="42"/>
      <c r="J205" s="22"/>
    </row>
    <row r="206" ht="39.75" customHeight="1">
      <c r="A206" s="1">
        <v>205.0</v>
      </c>
      <c r="B206" s="2" t="s">
        <v>34</v>
      </c>
      <c r="C206" s="2"/>
      <c r="D206" s="40">
        <v>0.375</v>
      </c>
      <c r="E206" s="13"/>
      <c r="F206" s="44"/>
      <c r="G206" s="43"/>
      <c r="H206" s="42"/>
      <c r="I206" s="43"/>
      <c r="J206" s="22"/>
    </row>
    <row r="207" ht="39.75" hidden="1" customHeight="1">
      <c r="A207" s="1">
        <v>206.0</v>
      </c>
      <c r="B207" s="2" t="s">
        <v>35</v>
      </c>
      <c r="C207" s="2" t="s">
        <v>13</v>
      </c>
      <c r="D207" s="13"/>
      <c r="E207" s="13"/>
      <c r="F207" s="45"/>
      <c r="G207" s="42"/>
      <c r="H207" s="42"/>
      <c r="I207" s="42"/>
      <c r="J207" s="22"/>
    </row>
    <row r="208" ht="39.75" hidden="1" customHeight="1">
      <c r="A208" s="1">
        <v>207.0</v>
      </c>
      <c r="B208" s="2" t="s">
        <v>36</v>
      </c>
      <c r="C208" s="2" t="s">
        <v>13</v>
      </c>
      <c r="D208" s="13"/>
      <c r="E208" s="13"/>
      <c r="F208" s="45"/>
      <c r="G208" s="42"/>
      <c r="H208" s="42"/>
      <c r="I208" s="42"/>
      <c r="J208" s="22"/>
    </row>
    <row r="209" ht="39.75" customHeight="1">
      <c r="A209" s="1">
        <v>208.0</v>
      </c>
      <c r="B209" s="2" t="s">
        <v>38</v>
      </c>
      <c r="C209" s="2"/>
      <c r="D209" s="40">
        <v>0.375</v>
      </c>
      <c r="E209" s="13"/>
      <c r="F209" s="45"/>
      <c r="G209" s="42"/>
      <c r="H209" s="42"/>
      <c r="I209" s="42"/>
      <c r="J209" s="22"/>
    </row>
    <row r="210" ht="39.75" hidden="1" customHeight="1">
      <c r="A210" s="1">
        <v>209.0</v>
      </c>
      <c r="B210" s="2" t="s">
        <v>41</v>
      </c>
      <c r="C210" s="2" t="s">
        <v>13</v>
      </c>
      <c r="D210" s="13"/>
      <c r="E210" s="13"/>
      <c r="F210" s="45"/>
      <c r="G210" s="42"/>
      <c r="H210" s="42"/>
      <c r="I210" s="42"/>
      <c r="J210" s="22"/>
    </row>
    <row r="211" ht="39.75" hidden="1" customHeight="1">
      <c r="A211" s="1">
        <v>210.0</v>
      </c>
      <c r="B211" s="2" t="s">
        <v>42</v>
      </c>
      <c r="C211" s="2" t="s">
        <v>13</v>
      </c>
      <c r="D211" s="13"/>
      <c r="E211" s="13"/>
      <c r="F211" s="45"/>
      <c r="G211" s="42"/>
      <c r="H211" s="42"/>
      <c r="I211" s="42"/>
      <c r="J211" s="22"/>
    </row>
    <row r="212" ht="39.75" hidden="1" customHeight="1">
      <c r="A212" s="1">
        <v>211.0</v>
      </c>
      <c r="B212" s="2" t="s">
        <v>43</v>
      </c>
      <c r="C212" s="2" t="s">
        <v>13</v>
      </c>
      <c r="D212" s="13"/>
      <c r="E212" s="13"/>
      <c r="F212" s="45"/>
      <c r="G212" s="42"/>
      <c r="H212" s="42"/>
      <c r="I212" s="42"/>
      <c r="J212" s="22"/>
    </row>
    <row r="213" ht="39.75" customHeight="1">
      <c r="A213" s="1">
        <v>212.0</v>
      </c>
      <c r="B213" s="2" t="s">
        <v>45</v>
      </c>
      <c r="C213" s="2" t="s">
        <v>39</v>
      </c>
      <c r="D213" s="40">
        <v>0.375</v>
      </c>
      <c r="E213" s="13"/>
      <c r="F213" s="44" t="s">
        <v>920</v>
      </c>
      <c r="G213" s="43">
        <v>1.0</v>
      </c>
      <c r="H213" s="42"/>
      <c r="I213" s="43">
        <v>1.0</v>
      </c>
      <c r="J213" s="22"/>
    </row>
    <row r="214" ht="39.75" customHeight="1">
      <c r="A214" s="1">
        <v>213.0</v>
      </c>
      <c r="B214" s="2" t="s">
        <v>46</v>
      </c>
      <c r="C214" s="2" t="s">
        <v>49</v>
      </c>
      <c r="D214" s="40">
        <v>0.4583333333333333</v>
      </c>
      <c r="E214" s="13"/>
      <c r="F214" s="44" t="s">
        <v>921</v>
      </c>
      <c r="G214" s="43">
        <v>1.0</v>
      </c>
      <c r="H214" s="42"/>
      <c r="I214" s="42"/>
      <c r="J214" s="22"/>
    </row>
    <row r="215" ht="39.75" customHeight="1">
      <c r="A215" s="1">
        <v>214.0</v>
      </c>
      <c r="B215" s="2" t="s">
        <v>47</v>
      </c>
      <c r="C215" s="13"/>
      <c r="D215" s="13"/>
      <c r="E215" s="13"/>
      <c r="F215" s="44" t="s">
        <v>905</v>
      </c>
      <c r="G215" s="42"/>
      <c r="H215" s="42"/>
      <c r="I215" s="42"/>
      <c r="J215" s="22"/>
    </row>
    <row r="216" ht="39.75" customHeight="1">
      <c r="A216" s="1">
        <v>215.0</v>
      </c>
      <c r="B216" s="2" t="s">
        <v>48</v>
      </c>
      <c r="C216" s="13"/>
      <c r="D216" s="13"/>
      <c r="E216" s="13"/>
      <c r="F216" s="44" t="s">
        <v>889</v>
      </c>
      <c r="G216" s="43">
        <v>1.0</v>
      </c>
      <c r="H216" s="43">
        <v>1.0</v>
      </c>
      <c r="I216" s="42"/>
      <c r="J216" s="22"/>
    </row>
    <row r="217" ht="39.75" customHeight="1">
      <c r="A217" s="1">
        <v>216.0</v>
      </c>
      <c r="B217" s="21"/>
      <c r="C217" s="21"/>
      <c r="D217" s="21"/>
      <c r="E217" s="21"/>
      <c r="F217" s="46"/>
      <c r="G217" s="47"/>
      <c r="H217" s="47"/>
      <c r="I217" s="47"/>
      <c r="J217" s="48"/>
      <c r="K217" s="49"/>
      <c r="L217" s="49"/>
      <c r="M217" s="49"/>
    </row>
    <row r="218" ht="39.75" customHeight="1">
      <c r="A218" s="1">
        <v>217.0</v>
      </c>
      <c r="B218" s="2" t="s">
        <v>12</v>
      </c>
      <c r="C218" s="2" t="s">
        <v>49</v>
      </c>
      <c r="D218" s="13"/>
      <c r="E218" s="13"/>
      <c r="F218" s="44" t="s">
        <v>922</v>
      </c>
      <c r="G218" s="43">
        <v>1.0</v>
      </c>
      <c r="H218" s="42"/>
      <c r="I218" s="42"/>
      <c r="J218" s="27" t="s">
        <v>840</v>
      </c>
      <c r="K218" s="15" t="s">
        <v>175</v>
      </c>
    </row>
    <row r="219" ht="39.75" hidden="1" customHeight="1">
      <c r="A219" s="1">
        <v>218.0</v>
      </c>
      <c r="B219" s="2" t="s">
        <v>16</v>
      </c>
      <c r="C219" s="2" t="s">
        <v>13</v>
      </c>
      <c r="D219" s="13"/>
      <c r="E219" s="13"/>
      <c r="F219" s="45"/>
      <c r="G219" s="42"/>
      <c r="H219" s="42"/>
      <c r="I219" s="42"/>
      <c r="J219" s="27" t="s">
        <v>175</v>
      </c>
    </row>
    <row r="220" ht="39.75" customHeight="1">
      <c r="A220" s="1">
        <v>219.0</v>
      </c>
      <c r="B220" s="2" t="s">
        <v>17</v>
      </c>
      <c r="C220" s="2" t="s">
        <v>27</v>
      </c>
      <c r="D220" s="13"/>
      <c r="E220" s="13"/>
      <c r="F220" s="44" t="s">
        <v>923</v>
      </c>
      <c r="G220" s="42"/>
      <c r="H220" s="42"/>
      <c r="I220" s="42"/>
      <c r="J220" s="27" t="s">
        <v>19</v>
      </c>
    </row>
    <row r="221" ht="39.75" customHeight="1">
      <c r="A221" s="1">
        <v>220.0</v>
      </c>
      <c r="B221" s="2" t="s">
        <v>331</v>
      </c>
      <c r="C221" s="2" t="s">
        <v>44</v>
      </c>
      <c r="D221" s="13"/>
      <c r="E221" s="13"/>
      <c r="F221" s="44"/>
      <c r="G221" s="42"/>
      <c r="H221" s="42"/>
      <c r="I221" s="42"/>
      <c r="J221" s="22"/>
    </row>
    <row r="222" ht="39.75" customHeight="1">
      <c r="A222" s="1">
        <v>221.0</v>
      </c>
      <c r="B222" s="2" t="s">
        <v>268</v>
      </c>
      <c r="C222" s="2" t="s">
        <v>63</v>
      </c>
      <c r="D222" s="13"/>
      <c r="E222" s="13"/>
      <c r="F222" s="45"/>
      <c r="G222" s="42"/>
      <c r="H222" s="42"/>
      <c r="I222" s="42"/>
      <c r="J222" s="22"/>
    </row>
    <row r="223" ht="39.75" hidden="1" customHeight="1">
      <c r="A223" s="1">
        <v>222.0</v>
      </c>
      <c r="B223" s="2" t="s">
        <v>22</v>
      </c>
      <c r="C223" s="2" t="s">
        <v>13</v>
      </c>
      <c r="D223" s="13"/>
      <c r="E223" s="13"/>
      <c r="F223" s="45"/>
      <c r="G223" s="42"/>
      <c r="H223" s="42"/>
      <c r="I223" s="42"/>
      <c r="J223" s="22"/>
    </row>
    <row r="224" ht="39.75" hidden="1" customHeight="1">
      <c r="A224" s="1">
        <v>223.0</v>
      </c>
      <c r="B224" s="2" t="s">
        <v>23</v>
      </c>
      <c r="C224" s="2" t="s">
        <v>13</v>
      </c>
      <c r="D224" s="13"/>
      <c r="E224" s="13"/>
      <c r="F224" s="45"/>
      <c r="G224" s="42"/>
      <c r="H224" s="42"/>
      <c r="I224" s="42"/>
      <c r="J224" s="22"/>
    </row>
    <row r="225" ht="39.75" hidden="1" customHeight="1">
      <c r="A225" s="1">
        <v>224.0</v>
      </c>
      <c r="B225" s="2" t="s">
        <v>24</v>
      </c>
      <c r="C225" s="2" t="s">
        <v>13</v>
      </c>
      <c r="D225" s="13"/>
      <c r="E225" s="13"/>
      <c r="F225" s="45"/>
      <c r="G225" s="42"/>
      <c r="H225" s="42"/>
      <c r="I225" s="42"/>
      <c r="J225" s="22"/>
    </row>
    <row r="226" ht="39.75" customHeight="1">
      <c r="A226" s="1">
        <v>225.0</v>
      </c>
      <c r="B226" s="2" t="s">
        <v>25</v>
      </c>
      <c r="C226" s="2"/>
      <c r="D226" s="13"/>
      <c r="E226" s="13"/>
      <c r="F226" s="44" t="s">
        <v>892</v>
      </c>
      <c r="G226" s="43">
        <v>1.0</v>
      </c>
      <c r="H226" s="43">
        <v>1.0</v>
      </c>
      <c r="I226" s="43">
        <v>1.0</v>
      </c>
      <c r="J226" s="22"/>
    </row>
    <row r="227" ht="39.75" hidden="1" customHeight="1">
      <c r="A227" s="1">
        <v>226.0</v>
      </c>
      <c r="B227" s="2" t="s">
        <v>26</v>
      </c>
      <c r="C227" s="2" t="s">
        <v>13</v>
      </c>
      <c r="D227" s="13"/>
      <c r="E227" s="13"/>
      <c r="F227" s="45"/>
      <c r="G227" s="42"/>
      <c r="H227" s="42"/>
      <c r="I227" s="42"/>
      <c r="J227" s="22"/>
    </row>
    <row r="228" ht="39.75" hidden="1" customHeight="1">
      <c r="A228" s="1">
        <v>227.0</v>
      </c>
      <c r="B228" s="2" t="s">
        <v>29</v>
      </c>
      <c r="C228" s="2" t="s">
        <v>13</v>
      </c>
      <c r="D228" s="13"/>
      <c r="E228" s="13"/>
      <c r="F228" s="45"/>
      <c r="G228" s="42"/>
      <c r="H228" s="42"/>
      <c r="I228" s="42"/>
      <c r="J228" s="22"/>
    </row>
    <row r="229" ht="39.75" hidden="1" customHeight="1">
      <c r="A229" s="1">
        <v>228.0</v>
      </c>
      <c r="B229" s="2" t="s">
        <v>30</v>
      </c>
      <c r="C229" s="2" t="s">
        <v>13</v>
      </c>
      <c r="D229" s="13"/>
      <c r="E229" s="13"/>
      <c r="F229" s="45"/>
      <c r="G229" s="42"/>
      <c r="H229" s="42"/>
      <c r="I229" s="42"/>
      <c r="J229" s="22"/>
    </row>
    <row r="230" ht="39.75" hidden="1" customHeight="1">
      <c r="A230" s="1">
        <v>229.0</v>
      </c>
      <c r="B230" s="2" t="s">
        <v>31</v>
      </c>
      <c r="C230" s="2" t="s">
        <v>13</v>
      </c>
      <c r="D230" s="13"/>
      <c r="E230" s="13"/>
      <c r="F230" s="45"/>
      <c r="G230" s="42"/>
      <c r="H230" s="42"/>
      <c r="I230" s="42"/>
      <c r="J230" s="22"/>
    </row>
    <row r="231" ht="39.75" hidden="1" customHeight="1">
      <c r="A231" s="1">
        <v>230.0</v>
      </c>
      <c r="B231" s="2" t="s">
        <v>32</v>
      </c>
      <c r="C231" s="2" t="s">
        <v>13</v>
      </c>
      <c r="D231" s="13"/>
      <c r="E231" s="13"/>
      <c r="F231" s="45"/>
      <c r="G231" s="42"/>
      <c r="H231" s="42"/>
      <c r="I231" s="42"/>
      <c r="J231" s="22"/>
    </row>
    <row r="232" ht="39.75" hidden="1" customHeight="1">
      <c r="A232" s="1">
        <v>231.0</v>
      </c>
      <c r="B232" s="2" t="s">
        <v>67</v>
      </c>
      <c r="C232" s="2" t="s">
        <v>13</v>
      </c>
      <c r="D232" s="13"/>
      <c r="E232" s="13"/>
      <c r="F232" s="45"/>
      <c r="G232" s="42"/>
      <c r="H232" s="42"/>
      <c r="I232" s="42"/>
      <c r="J232" s="22"/>
    </row>
    <row r="233" ht="39.75" hidden="1" customHeight="1">
      <c r="A233" s="1">
        <v>232.0</v>
      </c>
      <c r="B233" s="2" t="s">
        <v>34</v>
      </c>
      <c r="C233" s="2" t="s">
        <v>13</v>
      </c>
      <c r="D233" s="13"/>
      <c r="E233" s="13"/>
      <c r="F233" s="45"/>
      <c r="G233" s="42"/>
      <c r="H233" s="42"/>
      <c r="I233" s="42"/>
      <c r="J233" s="22"/>
    </row>
    <row r="234" ht="39.75" hidden="1" customHeight="1">
      <c r="A234" s="1">
        <v>233.0</v>
      </c>
      <c r="B234" s="2" t="s">
        <v>35</v>
      </c>
      <c r="C234" s="2" t="s">
        <v>13</v>
      </c>
      <c r="D234" s="13"/>
      <c r="E234" s="13"/>
      <c r="F234" s="45"/>
      <c r="G234" s="42"/>
      <c r="H234" s="42"/>
      <c r="I234" s="42"/>
      <c r="J234" s="22"/>
    </row>
    <row r="235" ht="39.75" hidden="1" customHeight="1">
      <c r="A235" s="1">
        <v>234.0</v>
      </c>
      <c r="B235" s="2" t="s">
        <v>36</v>
      </c>
      <c r="C235" s="2" t="s">
        <v>13</v>
      </c>
      <c r="D235" s="13"/>
      <c r="E235" s="13"/>
      <c r="F235" s="45"/>
      <c r="G235" s="42"/>
      <c r="H235" s="42"/>
      <c r="I235" s="42"/>
      <c r="J235" s="22"/>
    </row>
    <row r="236" ht="39.75" hidden="1" customHeight="1">
      <c r="A236" s="1">
        <v>235.0</v>
      </c>
      <c r="B236" s="2" t="s">
        <v>38</v>
      </c>
      <c r="C236" s="2" t="s">
        <v>13</v>
      </c>
      <c r="D236" s="13"/>
      <c r="E236" s="13"/>
      <c r="F236" s="45"/>
      <c r="G236" s="42"/>
      <c r="H236" s="42"/>
      <c r="I236" s="42"/>
      <c r="J236" s="22"/>
    </row>
    <row r="237" ht="39.75" customHeight="1">
      <c r="A237" s="1">
        <v>236.0</v>
      </c>
      <c r="B237" s="2" t="s">
        <v>41</v>
      </c>
      <c r="C237" s="2"/>
      <c r="D237" s="40">
        <v>0.375</v>
      </c>
      <c r="E237" s="13"/>
      <c r="F237" s="44" t="s">
        <v>924</v>
      </c>
      <c r="G237" s="43">
        <v>1.0</v>
      </c>
      <c r="H237" s="42"/>
      <c r="I237" s="43">
        <v>1.0</v>
      </c>
      <c r="J237" s="22"/>
    </row>
    <row r="238" ht="39.75" customHeight="1">
      <c r="A238" s="1">
        <v>237.0</v>
      </c>
      <c r="B238" s="2" t="s">
        <v>42</v>
      </c>
      <c r="C238" s="2"/>
      <c r="D238" s="40">
        <v>0.375</v>
      </c>
      <c r="E238" s="13"/>
      <c r="F238" s="44" t="s">
        <v>925</v>
      </c>
      <c r="G238" s="43">
        <v>1.0</v>
      </c>
      <c r="H238" s="42"/>
      <c r="I238" s="42"/>
      <c r="J238" s="22"/>
    </row>
    <row r="239" ht="39.75" customHeight="1">
      <c r="A239" s="1">
        <v>238.0</v>
      </c>
      <c r="B239" s="2" t="s">
        <v>43</v>
      </c>
      <c r="C239" s="2" t="s">
        <v>39</v>
      </c>
      <c r="D239" s="13"/>
      <c r="E239" s="13"/>
      <c r="F239" s="44" t="s">
        <v>926</v>
      </c>
      <c r="G239" s="43">
        <v>1.0</v>
      </c>
      <c r="H239" s="42"/>
      <c r="I239" s="42"/>
      <c r="J239" s="22"/>
    </row>
    <row r="240" ht="39.75" hidden="1" customHeight="1">
      <c r="A240" s="1">
        <v>239.0</v>
      </c>
      <c r="B240" s="2" t="s">
        <v>45</v>
      </c>
      <c r="C240" s="2" t="s">
        <v>13</v>
      </c>
      <c r="D240" s="13"/>
      <c r="E240" s="13"/>
      <c r="F240" s="45"/>
      <c r="G240" s="42"/>
      <c r="H240" s="42"/>
      <c r="I240" s="42"/>
      <c r="J240" s="22"/>
    </row>
    <row r="241" ht="39.75" hidden="1" customHeight="1">
      <c r="A241" s="1">
        <v>240.0</v>
      </c>
      <c r="B241" s="2" t="s">
        <v>46</v>
      </c>
      <c r="C241" s="2" t="s">
        <v>13</v>
      </c>
      <c r="D241" s="13"/>
      <c r="E241" s="13"/>
      <c r="F241" s="45"/>
      <c r="G241" s="42"/>
      <c r="H241" s="42"/>
      <c r="I241" s="42"/>
      <c r="J241" s="22"/>
    </row>
    <row r="242" ht="39.75" hidden="1" customHeight="1">
      <c r="A242" s="1">
        <v>241.0</v>
      </c>
      <c r="B242" s="2" t="s">
        <v>47</v>
      </c>
      <c r="C242" s="2" t="s">
        <v>13</v>
      </c>
      <c r="D242" s="13"/>
      <c r="E242" s="13"/>
      <c r="F242" s="45"/>
      <c r="G242" s="42"/>
      <c r="H242" s="42"/>
      <c r="I242" s="42"/>
      <c r="J242" s="22"/>
    </row>
    <row r="243" ht="39.75" customHeight="1">
      <c r="A243" s="1">
        <v>242.0</v>
      </c>
      <c r="B243" s="2" t="s">
        <v>48</v>
      </c>
      <c r="C243" s="13"/>
      <c r="D243" s="13"/>
      <c r="E243" s="13"/>
      <c r="F243" s="44" t="s">
        <v>889</v>
      </c>
      <c r="G243" s="43">
        <v>1.0</v>
      </c>
      <c r="H243" s="43">
        <v>1.0</v>
      </c>
      <c r="I243" s="42"/>
      <c r="J243" s="22"/>
    </row>
    <row r="244" ht="39.75" customHeight="1">
      <c r="A244" s="1">
        <v>243.0</v>
      </c>
      <c r="B244" s="21"/>
      <c r="C244" s="21"/>
      <c r="D244" s="21"/>
      <c r="E244" s="21"/>
      <c r="F244" s="46"/>
      <c r="G244" s="47"/>
      <c r="H244" s="47"/>
      <c r="I244" s="47"/>
      <c r="J244" s="48"/>
      <c r="K244" s="49"/>
      <c r="L244" s="49"/>
      <c r="M244" s="49"/>
    </row>
    <row r="245" ht="39.75" customHeight="1">
      <c r="A245" s="1">
        <v>244.0</v>
      </c>
      <c r="B245" s="2" t="s">
        <v>12</v>
      </c>
      <c r="C245" s="2"/>
      <c r="D245" s="13"/>
      <c r="E245" s="13"/>
      <c r="F245" s="44"/>
      <c r="G245" s="43"/>
      <c r="H245" s="42"/>
      <c r="I245" s="42"/>
      <c r="J245" s="27" t="s">
        <v>840</v>
      </c>
      <c r="K245" s="15" t="s">
        <v>192</v>
      </c>
    </row>
    <row r="246" ht="39.75" hidden="1" customHeight="1">
      <c r="A246" s="1">
        <v>245.0</v>
      </c>
      <c r="B246" s="2" t="s">
        <v>16</v>
      </c>
      <c r="C246" s="2" t="s">
        <v>58</v>
      </c>
      <c r="D246" s="13"/>
      <c r="E246" s="13"/>
      <c r="F246" s="45"/>
      <c r="G246" s="42"/>
      <c r="H246" s="42"/>
      <c r="I246" s="42"/>
      <c r="J246" s="27" t="s">
        <v>192</v>
      </c>
    </row>
    <row r="247" ht="39.75" customHeight="1">
      <c r="A247" s="1">
        <v>246.0</v>
      </c>
      <c r="B247" s="2" t="s">
        <v>17</v>
      </c>
      <c r="C247" s="2" t="s">
        <v>44</v>
      </c>
      <c r="D247" s="13"/>
      <c r="E247" s="13"/>
      <c r="F247" s="45"/>
      <c r="G247" s="42"/>
      <c r="H247" s="42"/>
      <c r="I247" s="42"/>
      <c r="J247" s="27" t="s">
        <v>56</v>
      </c>
    </row>
    <row r="248" ht="39.75" hidden="1" customHeight="1">
      <c r="A248" s="1">
        <v>247.0</v>
      </c>
      <c r="B248" s="2" t="s">
        <v>331</v>
      </c>
      <c r="C248" s="2" t="s">
        <v>58</v>
      </c>
      <c r="D248" s="13"/>
      <c r="E248" s="13"/>
      <c r="F248" s="44"/>
      <c r="G248" s="42"/>
      <c r="H248" s="42"/>
      <c r="I248" s="42"/>
      <c r="J248" s="22"/>
    </row>
    <row r="249" ht="39.75" customHeight="1">
      <c r="A249" s="1">
        <v>248.0</v>
      </c>
      <c r="B249" s="2" t="s">
        <v>21</v>
      </c>
      <c r="C249" s="2"/>
      <c r="D249" s="13"/>
      <c r="E249" s="13"/>
      <c r="F249" s="44" t="s">
        <v>927</v>
      </c>
      <c r="G249" s="43">
        <v>1.0</v>
      </c>
      <c r="H249" s="42"/>
      <c r="I249" s="42"/>
      <c r="J249" s="22"/>
    </row>
    <row r="250" ht="39.75" customHeight="1">
      <c r="A250" s="1">
        <v>249.0</v>
      </c>
      <c r="B250" s="2" t="s">
        <v>22</v>
      </c>
      <c r="C250" s="2"/>
      <c r="D250" s="13"/>
      <c r="E250" s="13"/>
      <c r="F250" s="45"/>
      <c r="G250" s="42"/>
      <c r="H250" s="42"/>
      <c r="I250" s="42"/>
      <c r="J250" s="22"/>
    </row>
    <row r="251" ht="39.75" customHeight="1">
      <c r="A251" s="1">
        <v>250.0</v>
      </c>
      <c r="B251" s="2" t="s">
        <v>23</v>
      </c>
      <c r="C251" s="2" t="s">
        <v>54</v>
      </c>
      <c r="D251" s="13"/>
      <c r="E251" s="13"/>
      <c r="F251" s="45"/>
      <c r="G251" s="42"/>
      <c r="H251" s="42"/>
      <c r="I251" s="42"/>
      <c r="J251" s="22"/>
    </row>
    <row r="252" ht="39.75" customHeight="1">
      <c r="A252" s="1">
        <v>251.0</v>
      </c>
      <c r="B252" s="2" t="s">
        <v>24</v>
      </c>
      <c r="C252" s="2" t="s">
        <v>277</v>
      </c>
      <c r="D252" s="13"/>
      <c r="E252" s="13"/>
      <c r="F252" s="45"/>
      <c r="G252" s="42"/>
      <c r="H252" s="42"/>
      <c r="I252" s="42"/>
      <c r="J252" s="22"/>
    </row>
    <row r="253" ht="39.75" customHeight="1">
      <c r="A253" s="1">
        <v>252.0</v>
      </c>
      <c r="B253" s="2" t="s">
        <v>25</v>
      </c>
      <c r="C253" s="2"/>
      <c r="D253" s="13"/>
      <c r="E253" s="13"/>
      <c r="F253" s="44" t="s">
        <v>892</v>
      </c>
      <c r="G253" s="43">
        <v>1.0</v>
      </c>
      <c r="H253" s="43">
        <v>1.0</v>
      </c>
      <c r="I253" s="43">
        <v>1.0</v>
      </c>
      <c r="J253" s="22"/>
    </row>
    <row r="254" ht="39.75" customHeight="1">
      <c r="A254" s="1">
        <v>253.0</v>
      </c>
      <c r="B254" s="2" t="s">
        <v>26</v>
      </c>
      <c r="C254" s="2" t="s">
        <v>39</v>
      </c>
      <c r="D254" s="53">
        <v>0.2361111111111111</v>
      </c>
      <c r="E254" s="13"/>
      <c r="F254" s="44" t="s">
        <v>928</v>
      </c>
      <c r="G254" s="43">
        <v>1.0</v>
      </c>
      <c r="H254" s="42"/>
      <c r="I254" s="42"/>
      <c r="J254" s="22"/>
    </row>
    <row r="255" ht="39.75" customHeight="1">
      <c r="A255" s="1">
        <v>254.0</v>
      </c>
      <c r="B255" s="2" t="s">
        <v>29</v>
      </c>
      <c r="C255" s="2"/>
      <c r="D255" s="13"/>
      <c r="E255" s="13"/>
      <c r="F255" s="44" t="s">
        <v>929</v>
      </c>
      <c r="G255" s="42"/>
      <c r="H255" s="42"/>
      <c r="I255" s="42"/>
      <c r="J255" s="22"/>
    </row>
    <row r="256" ht="39.75" hidden="1" customHeight="1">
      <c r="A256" s="1">
        <v>255.0</v>
      </c>
      <c r="B256" s="2" t="s">
        <v>30</v>
      </c>
      <c r="C256" s="2" t="s">
        <v>58</v>
      </c>
      <c r="D256" s="13"/>
      <c r="E256" s="13"/>
      <c r="F256" s="45"/>
      <c r="G256" s="42"/>
      <c r="H256" s="42"/>
      <c r="I256" s="42"/>
      <c r="J256" s="22"/>
    </row>
    <row r="257" ht="39.75" customHeight="1">
      <c r="A257" s="1">
        <v>256.0</v>
      </c>
      <c r="B257" s="2" t="s">
        <v>31</v>
      </c>
      <c r="C257" s="2"/>
      <c r="D257" s="13"/>
      <c r="E257" s="13"/>
      <c r="F257" s="44"/>
      <c r="G257" s="42"/>
      <c r="H257" s="42"/>
      <c r="I257" s="42"/>
      <c r="J257" s="22"/>
    </row>
    <row r="258" ht="39.75" customHeight="1">
      <c r="A258" s="1">
        <v>257.0</v>
      </c>
      <c r="B258" s="2" t="s">
        <v>32</v>
      </c>
      <c r="C258" s="2" t="s">
        <v>69</v>
      </c>
      <c r="D258" s="13"/>
      <c r="E258" s="13"/>
      <c r="F258" s="45"/>
      <c r="G258" s="42"/>
      <c r="H258" s="42"/>
      <c r="I258" s="42"/>
      <c r="J258" s="22"/>
    </row>
    <row r="259" ht="39.75" customHeight="1">
      <c r="A259" s="1">
        <v>258.0</v>
      </c>
      <c r="B259" s="2" t="s">
        <v>67</v>
      </c>
      <c r="C259" s="2" t="s">
        <v>54</v>
      </c>
      <c r="D259" s="13"/>
      <c r="E259" s="13"/>
      <c r="F259" s="44" t="s">
        <v>930</v>
      </c>
      <c r="G259" s="43">
        <v>1.0</v>
      </c>
      <c r="H259" s="42"/>
      <c r="I259" s="42"/>
      <c r="J259" s="22"/>
    </row>
    <row r="260" ht="39.75" customHeight="1">
      <c r="A260" s="1">
        <v>259.0</v>
      </c>
      <c r="B260" s="2" t="s">
        <v>34</v>
      </c>
      <c r="C260" s="2" t="s">
        <v>54</v>
      </c>
      <c r="D260" s="13"/>
      <c r="E260" s="13"/>
      <c r="F260" s="57" t="s">
        <v>931</v>
      </c>
      <c r="G260" s="43">
        <v>1.0</v>
      </c>
      <c r="H260" s="42"/>
      <c r="I260" s="42"/>
      <c r="J260" s="22"/>
    </row>
    <row r="261" ht="39.75" customHeight="1">
      <c r="A261" s="1">
        <v>260.0</v>
      </c>
      <c r="B261" s="2" t="s">
        <v>35</v>
      </c>
      <c r="C261" s="2" t="s">
        <v>69</v>
      </c>
      <c r="D261" s="13"/>
      <c r="E261" s="13"/>
      <c r="F261" s="44" t="s">
        <v>932</v>
      </c>
      <c r="G261" s="43">
        <v>1.0</v>
      </c>
      <c r="H261" s="42"/>
      <c r="I261" s="42"/>
      <c r="J261" s="22"/>
    </row>
    <row r="262" ht="39.75" hidden="1" customHeight="1">
      <c r="A262" s="1">
        <v>261.0</v>
      </c>
      <c r="B262" s="2" t="s">
        <v>36</v>
      </c>
      <c r="C262" s="2" t="s">
        <v>66</v>
      </c>
      <c r="D262" s="13"/>
      <c r="E262" s="13"/>
      <c r="F262" s="45"/>
      <c r="G262" s="42"/>
      <c r="H262" s="42"/>
      <c r="I262" s="42"/>
      <c r="J262" s="22"/>
    </row>
    <row r="263" ht="39.75" customHeight="1">
      <c r="A263" s="1">
        <v>262.0</v>
      </c>
      <c r="B263" s="2" t="s">
        <v>38</v>
      </c>
      <c r="C263" s="2"/>
      <c r="D263" s="13"/>
      <c r="E263" s="13"/>
      <c r="F263" s="44" t="s">
        <v>933</v>
      </c>
      <c r="G263" s="43">
        <v>1.0</v>
      </c>
      <c r="H263" s="42"/>
      <c r="I263" s="42"/>
      <c r="J263" s="22"/>
    </row>
    <row r="264" ht="39.75" customHeight="1">
      <c r="A264" s="1">
        <v>263.0</v>
      </c>
      <c r="B264" s="2" t="s">
        <v>41</v>
      </c>
      <c r="C264" s="2" t="s">
        <v>39</v>
      </c>
      <c r="D264" s="13"/>
      <c r="E264" s="13"/>
      <c r="F264" s="44" t="s">
        <v>934</v>
      </c>
      <c r="G264" s="43">
        <v>1.0</v>
      </c>
      <c r="H264" s="42"/>
      <c r="I264" s="43">
        <v>1.0</v>
      </c>
      <c r="J264" s="22"/>
    </row>
    <row r="265" ht="39.75" customHeight="1">
      <c r="A265" s="1">
        <v>264.0</v>
      </c>
      <c r="B265" s="2" t="s">
        <v>42</v>
      </c>
      <c r="C265" s="2" t="s">
        <v>69</v>
      </c>
      <c r="D265" s="13"/>
      <c r="E265" s="13"/>
      <c r="F265" s="44" t="s">
        <v>935</v>
      </c>
      <c r="G265" s="43">
        <v>1.0</v>
      </c>
      <c r="H265" s="42"/>
      <c r="I265" s="42"/>
      <c r="J265" s="22"/>
    </row>
    <row r="266" ht="39.75" customHeight="1">
      <c r="A266" s="1">
        <v>265.0</v>
      </c>
      <c r="B266" s="2" t="s">
        <v>43</v>
      </c>
      <c r="C266" s="2" t="s">
        <v>27</v>
      </c>
      <c r="D266" s="13"/>
      <c r="E266" s="13"/>
      <c r="F266" s="44" t="s">
        <v>936</v>
      </c>
      <c r="G266" s="43">
        <v>1.0</v>
      </c>
      <c r="H266" s="42"/>
      <c r="I266" s="43">
        <v>1.0</v>
      </c>
      <c r="J266" s="22"/>
    </row>
    <row r="267" ht="39.75" customHeight="1">
      <c r="A267" s="1">
        <v>266.0</v>
      </c>
      <c r="B267" s="2" t="s">
        <v>45</v>
      </c>
      <c r="C267" s="2"/>
      <c r="D267" s="13"/>
      <c r="E267" s="13"/>
      <c r="F267" s="44" t="s">
        <v>937</v>
      </c>
      <c r="G267" s="43">
        <v>1.0</v>
      </c>
      <c r="H267" s="42"/>
      <c r="I267" s="42"/>
      <c r="J267" s="22"/>
    </row>
    <row r="268" ht="39.75" customHeight="1">
      <c r="A268" s="1">
        <v>267.0</v>
      </c>
      <c r="B268" s="2" t="s">
        <v>46</v>
      </c>
      <c r="C268" s="2" t="s">
        <v>54</v>
      </c>
      <c r="D268" s="13"/>
      <c r="E268" s="13"/>
      <c r="F268" s="45"/>
      <c r="G268" s="42"/>
      <c r="H268" s="42"/>
      <c r="I268" s="42"/>
      <c r="J268" s="22"/>
    </row>
    <row r="269" ht="39.75" customHeight="1">
      <c r="A269" s="1">
        <v>268.0</v>
      </c>
      <c r="B269" s="2" t="s">
        <v>47</v>
      </c>
      <c r="C269" s="2"/>
      <c r="D269" s="13"/>
      <c r="E269" s="13"/>
      <c r="F269" s="65" t="s">
        <v>938</v>
      </c>
      <c r="G269" s="42"/>
      <c r="H269" s="42"/>
      <c r="I269" s="42"/>
      <c r="J269" s="22"/>
    </row>
    <row r="270" ht="39.75" customHeight="1">
      <c r="A270" s="1">
        <v>269.0</v>
      </c>
      <c r="B270" s="2" t="s">
        <v>48</v>
      </c>
      <c r="C270" s="13"/>
      <c r="D270" s="13"/>
      <c r="E270" s="13"/>
      <c r="F270" s="44" t="s">
        <v>889</v>
      </c>
      <c r="G270" s="43">
        <v>1.0</v>
      </c>
      <c r="H270" s="43">
        <v>1.0</v>
      </c>
      <c r="I270" s="42"/>
      <c r="J270" s="22"/>
    </row>
    <row r="271" ht="39.75" customHeight="1">
      <c r="A271" s="1">
        <v>270.0</v>
      </c>
      <c r="B271" s="21"/>
      <c r="C271" s="21"/>
      <c r="D271" s="21"/>
      <c r="E271" s="21"/>
      <c r="F271" s="46"/>
      <c r="G271" s="47"/>
      <c r="H271" s="47"/>
      <c r="I271" s="47"/>
      <c r="J271" s="48"/>
      <c r="K271" s="49"/>
      <c r="L271" s="49"/>
      <c r="M271" s="49"/>
    </row>
    <row r="272" ht="39.75" customHeight="1">
      <c r="A272" s="1">
        <v>271.0</v>
      </c>
      <c r="B272" s="2" t="s">
        <v>12</v>
      </c>
      <c r="C272" s="2"/>
      <c r="D272" s="13"/>
      <c r="E272" s="13"/>
      <c r="F272" s="44" t="s">
        <v>939</v>
      </c>
      <c r="G272" s="43">
        <v>1.0</v>
      </c>
      <c r="H272" s="42"/>
      <c r="I272" s="42"/>
      <c r="J272" s="27" t="s">
        <v>840</v>
      </c>
      <c r="K272" s="15" t="s">
        <v>209</v>
      </c>
    </row>
    <row r="273" ht="39.75" customHeight="1">
      <c r="A273" s="1">
        <v>272.0</v>
      </c>
      <c r="B273" s="2" t="s">
        <v>16</v>
      </c>
      <c r="C273" s="2"/>
      <c r="D273" s="13"/>
      <c r="E273" s="13"/>
      <c r="F273" s="44" t="s">
        <v>940</v>
      </c>
      <c r="G273" s="43">
        <v>1.0</v>
      </c>
      <c r="H273" s="42"/>
      <c r="I273" s="43">
        <v>1.0</v>
      </c>
      <c r="J273" s="27" t="s">
        <v>209</v>
      </c>
    </row>
    <row r="274" ht="39.75" customHeight="1">
      <c r="A274" s="1">
        <v>273.0</v>
      </c>
      <c r="B274" s="2" t="s">
        <v>17</v>
      </c>
      <c r="C274" s="2" t="s">
        <v>69</v>
      </c>
      <c r="D274" s="13"/>
      <c r="E274" s="13"/>
      <c r="F274" s="44" t="s">
        <v>941</v>
      </c>
      <c r="G274" s="43">
        <v>1.0</v>
      </c>
      <c r="H274" s="42"/>
      <c r="I274" s="42"/>
      <c r="J274" s="27" t="s">
        <v>77</v>
      </c>
    </row>
    <row r="275" ht="39.75" hidden="1" customHeight="1">
      <c r="A275" s="1">
        <v>274.0</v>
      </c>
      <c r="B275" s="2" t="s">
        <v>331</v>
      </c>
      <c r="C275" s="2" t="s">
        <v>58</v>
      </c>
      <c r="D275" s="13"/>
      <c r="E275" s="13"/>
      <c r="F275" s="44"/>
      <c r="G275" s="42"/>
      <c r="H275" s="42"/>
      <c r="I275" s="42"/>
      <c r="J275" s="22"/>
    </row>
    <row r="276" ht="39.75" customHeight="1">
      <c r="A276" s="1">
        <v>275.0</v>
      </c>
      <c r="B276" s="2" t="s">
        <v>21</v>
      </c>
      <c r="C276" s="2"/>
      <c r="D276" s="13"/>
      <c r="E276" s="13"/>
      <c r="F276" s="44" t="s">
        <v>942</v>
      </c>
      <c r="G276" s="43">
        <v>1.0</v>
      </c>
      <c r="H276" s="42"/>
      <c r="I276" s="42"/>
      <c r="J276" s="22"/>
    </row>
    <row r="277" ht="39.75" customHeight="1">
      <c r="A277" s="1">
        <v>276.0</v>
      </c>
      <c r="B277" s="2" t="s">
        <v>22</v>
      </c>
      <c r="C277" s="2" t="s">
        <v>27</v>
      </c>
      <c r="D277" s="13"/>
      <c r="E277" s="13"/>
      <c r="F277" s="44" t="s">
        <v>943</v>
      </c>
      <c r="G277" s="43">
        <v>1.0</v>
      </c>
      <c r="H277" s="42"/>
      <c r="I277" s="42"/>
      <c r="J277" s="22"/>
    </row>
    <row r="278" ht="39.75" customHeight="1">
      <c r="A278" s="1">
        <v>277.0</v>
      </c>
      <c r="B278" s="2" t="s">
        <v>23</v>
      </c>
      <c r="C278" s="2" t="s">
        <v>54</v>
      </c>
      <c r="D278" s="53">
        <v>0.2916666666666667</v>
      </c>
      <c r="E278" s="51">
        <v>0.9166666666666666</v>
      </c>
      <c r="F278" s="44" t="s">
        <v>944</v>
      </c>
      <c r="G278" s="43">
        <v>1.0</v>
      </c>
      <c r="H278" s="43">
        <v>1.0</v>
      </c>
      <c r="I278" s="42"/>
      <c r="J278" s="22"/>
    </row>
    <row r="279" ht="39.75" customHeight="1">
      <c r="A279" s="1">
        <v>278.0</v>
      </c>
      <c r="B279" s="2" t="s">
        <v>24</v>
      </c>
      <c r="C279" s="2" t="s">
        <v>277</v>
      </c>
      <c r="D279" s="13"/>
      <c r="E279" s="13"/>
      <c r="F279" s="45"/>
      <c r="G279" s="42"/>
      <c r="H279" s="42"/>
      <c r="I279" s="42"/>
      <c r="J279" s="22"/>
    </row>
    <row r="280" ht="39.75" customHeight="1">
      <c r="A280" s="1">
        <v>279.0</v>
      </c>
      <c r="B280" s="2" t="s">
        <v>25</v>
      </c>
      <c r="C280" s="2"/>
      <c r="D280" s="13"/>
      <c r="E280" s="13"/>
      <c r="F280" s="44" t="s">
        <v>892</v>
      </c>
      <c r="G280" s="43">
        <v>1.0</v>
      </c>
      <c r="H280" s="43">
        <v>1.0</v>
      </c>
      <c r="I280" s="43">
        <v>1.0</v>
      </c>
      <c r="J280" s="22"/>
    </row>
    <row r="281" ht="39.75" customHeight="1">
      <c r="A281" s="1">
        <v>280.0</v>
      </c>
      <c r="B281" s="2" t="s">
        <v>26</v>
      </c>
      <c r="C281" s="2"/>
      <c r="D281" s="13"/>
      <c r="E281" s="13"/>
      <c r="F281" s="44" t="s">
        <v>945</v>
      </c>
      <c r="G281" s="43">
        <v>1.0</v>
      </c>
      <c r="H281" s="42"/>
      <c r="I281" s="42"/>
      <c r="J281" s="22"/>
    </row>
    <row r="282" ht="39.75" customHeight="1">
      <c r="A282" s="1">
        <v>281.0</v>
      </c>
      <c r="B282" s="2" t="s">
        <v>29</v>
      </c>
      <c r="C282" s="2" t="s">
        <v>39</v>
      </c>
      <c r="D282" s="13"/>
      <c r="E282" s="13"/>
      <c r="F282" s="44" t="s">
        <v>946</v>
      </c>
      <c r="G282" s="43">
        <v>1.0</v>
      </c>
      <c r="H282" s="42"/>
      <c r="I282" s="43">
        <v>1.0</v>
      </c>
      <c r="J282" s="22"/>
    </row>
    <row r="283" ht="39.75" customHeight="1">
      <c r="A283" s="1">
        <v>282.0</v>
      </c>
      <c r="B283" s="2" t="s">
        <v>30</v>
      </c>
      <c r="C283" s="2" t="s">
        <v>64</v>
      </c>
      <c r="D283" s="13"/>
      <c r="E283" s="13"/>
      <c r="F283" s="45"/>
      <c r="G283" s="42"/>
      <c r="H283" s="42"/>
      <c r="I283" s="42"/>
      <c r="J283" s="22"/>
    </row>
    <row r="284" ht="39.75" customHeight="1">
      <c r="A284" s="1">
        <v>283.0</v>
      </c>
      <c r="B284" s="2" t="s">
        <v>31</v>
      </c>
      <c r="C284" s="2" t="s">
        <v>69</v>
      </c>
      <c r="D284" s="13"/>
      <c r="E284" s="13"/>
      <c r="F284" s="44" t="s">
        <v>947</v>
      </c>
      <c r="G284" s="43">
        <v>1.0</v>
      </c>
      <c r="H284" s="42"/>
      <c r="I284" s="43">
        <v>1.0</v>
      </c>
      <c r="J284" s="22"/>
    </row>
    <row r="285" ht="39.75" customHeight="1">
      <c r="A285" s="1">
        <v>284.0</v>
      </c>
      <c r="B285" s="2" t="s">
        <v>32</v>
      </c>
      <c r="C285" s="2"/>
      <c r="D285" s="13"/>
      <c r="E285" s="13"/>
      <c r="F285" s="44" t="s">
        <v>948</v>
      </c>
      <c r="G285" s="43">
        <v>2.0</v>
      </c>
      <c r="H285" s="42"/>
      <c r="I285" s="43"/>
      <c r="J285" s="22"/>
    </row>
    <row r="286" ht="39.75" customHeight="1">
      <c r="A286" s="1">
        <v>285.0</v>
      </c>
      <c r="B286" s="2" t="s">
        <v>67</v>
      </c>
      <c r="C286" s="2"/>
      <c r="D286" s="13"/>
      <c r="E286" s="13"/>
      <c r="F286" s="44" t="s">
        <v>949</v>
      </c>
      <c r="G286" s="42"/>
      <c r="H286" s="42"/>
      <c r="I286" s="42"/>
      <c r="J286" s="22"/>
    </row>
    <row r="287" ht="39.75" customHeight="1">
      <c r="A287" s="1">
        <v>286.0</v>
      </c>
      <c r="B287" s="2" t="s">
        <v>34</v>
      </c>
      <c r="C287" s="2" t="s">
        <v>54</v>
      </c>
      <c r="D287" s="53">
        <v>0.2916666666666667</v>
      </c>
      <c r="E287" s="51">
        <v>0.7916666666666666</v>
      </c>
      <c r="F287" s="44" t="s">
        <v>950</v>
      </c>
      <c r="G287" s="43">
        <v>1.0</v>
      </c>
      <c r="H287" s="43">
        <v>1.0</v>
      </c>
      <c r="I287" s="42"/>
      <c r="J287" s="22"/>
    </row>
    <row r="288" ht="39.75" customHeight="1">
      <c r="A288" s="1">
        <v>287.0</v>
      </c>
      <c r="B288" s="2" t="s">
        <v>35</v>
      </c>
      <c r="C288" s="2" t="s">
        <v>69</v>
      </c>
      <c r="D288" s="13"/>
      <c r="E288" s="13"/>
      <c r="F288" s="44" t="s">
        <v>951</v>
      </c>
      <c r="G288" s="42"/>
      <c r="H288" s="42"/>
      <c r="I288" s="42"/>
      <c r="J288" s="22"/>
    </row>
    <row r="289" ht="39.75" hidden="1" customHeight="1">
      <c r="A289" s="1">
        <v>288.0</v>
      </c>
      <c r="B289" s="2" t="s">
        <v>36</v>
      </c>
      <c r="C289" s="2" t="s">
        <v>58</v>
      </c>
      <c r="D289" s="13"/>
      <c r="E289" s="13"/>
      <c r="F289" s="45"/>
      <c r="G289" s="42"/>
      <c r="H289" s="42"/>
      <c r="I289" s="42"/>
      <c r="J289" s="22"/>
    </row>
    <row r="290" ht="39.75" customHeight="1">
      <c r="A290" s="1">
        <v>289.0</v>
      </c>
      <c r="B290" s="2" t="s">
        <v>38</v>
      </c>
      <c r="C290" s="2" t="s">
        <v>54</v>
      </c>
      <c r="D290" s="13"/>
      <c r="E290" s="13"/>
      <c r="F290" s="44" t="s">
        <v>952</v>
      </c>
      <c r="G290" s="43">
        <v>1.0</v>
      </c>
      <c r="H290" s="42"/>
      <c r="I290" s="42"/>
      <c r="J290" s="22"/>
    </row>
    <row r="291" ht="39.75" customHeight="1">
      <c r="A291" s="1">
        <v>290.0</v>
      </c>
      <c r="B291" s="2" t="s">
        <v>41</v>
      </c>
      <c r="C291" s="2" t="s">
        <v>39</v>
      </c>
      <c r="D291" s="13"/>
      <c r="E291" s="13"/>
      <c r="F291" s="44" t="s">
        <v>953</v>
      </c>
      <c r="G291" s="43">
        <v>1.0</v>
      </c>
      <c r="H291" s="42"/>
      <c r="I291" s="43">
        <v>1.0</v>
      </c>
      <c r="J291" s="22"/>
    </row>
    <row r="292" ht="39.75" customHeight="1">
      <c r="A292" s="1">
        <v>291.0</v>
      </c>
      <c r="B292" s="2" t="s">
        <v>42</v>
      </c>
      <c r="C292" s="2"/>
      <c r="D292" s="13"/>
      <c r="E292" s="13"/>
      <c r="F292" s="44" t="s">
        <v>954</v>
      </c>
      <c r="G292" s="43">
        <v>1.0</v>
      </c>
      <c r="H292" s="42"/>
      <c r="I292" s="42"/>
      <c r="J292" s="22"/>
    </row>
    <row r="293" ht="39.75" customHeight="1">
      <c r="A293" s="1">
        <v>292.0</v>
      </c>
      <c r="B293" s="2" t="s">
        <v>43</v>
      </c>
      <c r="C293" s="2" t="s">
        <v>44</v>
      </c>
      <c r="D293" s="13"/>
      <c r="E293" s="13"/>
      <c r="F293" s="45"/>
      <c r="G293" s="42"/>
      <c r="H293" s="42"/>
      <c r="I293" s="42"/>
      <c r="J293" s="22"/>
    </row>
    <row r="294" ht="39.75" hidden="1" customHeight="1">
      <c r="A294" s="1">
        <v>293.0</v>
      </c>
      <c r="B294" s="2" t="s">
        <v>45</v>
      </c>
      <c r="C294" s="2" t="s">
        <v>66</v>
      </c>
      <c r="D294" s="13"/>
      <c r="E294" s="13"/>
      <c r="F294" s="45"/>
      <c r="G294" s="42"/>
      <c r="H294" s="42"/>
      <c r="I294" s="42"/>
      <c r="J294" s="22"/>
    </row>
    <row r="295" ht="39.75" customHeight="1">
      <c r="A295" s="1">
        <v>294.0</v>
      </c>
      <c r="B295" s="2" t="s">
        <v>46</v>
      </c>
      <c r="C295" s="2" t="s">
        <v>54</v>
      </c>
      <c r="D295" s="13"/>
      <c r="E295" s="13"/>
      <c r="F295" s="44" t="s">
        <v>955</v>
      </c>
      <c r="G295" s="43">
        <v>1.0</v>
      </c>
      <c r="H295" s="42"/>
      <c r="I295" s="43">
        <v>1.0</v>
      </c>
      <c r="J295" s="22"/>
    </row>
    <row r="296" ht="39.75" hidden="1" customHeight="1">
      <c r="A296" s="1">
        <v>295.0</v>
      </c>
      <c r="B296" s="2" t="s">
        <v>47</v>
      </c>
      <c r="C296" s="2" t="s">
        <v>58</v>
      </c>
      <c r="D296" s="13"/>
      <c r="E296" s="13"/>
      <c r="F296" s="45"/>
      <c r="G296" s="42"/>
      <c r="H296" s="42"/>
      <c r="I296" s="42"/>
      <c r="J296" s="22"/>
    </row>
    <row r="297" ht="39.75" customHeight="1">
      <c r="A297" s="1">
        <v>296.0</v>
      </c>
      <c r="B297" s="2" t="s">
        <v>48</v>
      </c>
      <c r="C297" s="13"/>
      <c r="D297" s="13"/>
      <c r="E297" s="13"/>
      <c r="F297" s="44" t="s">
        <v>889</v>
      </c>
      <c r="G297" s="43">
        <v>1.0</v>
      </c>
      <c r="H297" s="43">
        <v>1.0</v>
      </c>
      <c r="I297" s="42"/>
      <c r="J297" s="22"/>
    </row>
    <row r="298" ht="39.75" customHeight="1">
      <c r="A298" s="1">
        <v>297.0</v>
      </c>
      <c r="B298" s="21"/>
      <c r="C298" s="21"/>
      <c r="D298" s="21"/>
      <c r="E298" s="21"/>
      <c r="F298" s="46"/>
      <c r="G298" s="47"/>
      <c r="H298" s="47"/>
      <c r="I298" s="47"/>
      <c r="J298" s="48"/>
      <c r="K298" s="49"/>
      <c r="L298" s="49"/>
      <c r="M298" s="49"/>
    </row>
    <row r="299" ht="39.75" customHeight="1">
      <c r="A299" s="1">
        <v>298.0</v>
      </c>
      <c r="B299" s="2" t="s">
        <v>12</v>
      </c>
      <c r="C299" s="2" t="s">
        <v>69</v>
      </c>
      <c r="D299" s="13"/>
      <c r="E299" s="13"/>
      <c r="F299" s="44" t="s">
        <v>956</v>
      </c>
      <c r="G299" s="43">
        <v>1.0</v>
      </c>
      <c r="H299" s="42"/>
      <c r="I299" s="42"/>
      <c r="J299" s="27" t="s">
        <v>840</v>
      </c>
      <c r="K299" s="15" t="s">
        <v>228</v>
      </c>
    </row>
    <row r="300" ht="39.75" customHeight="1">
      <c r="A300" s="1">
        <v>299.0</v>
      </c>
      <c r="B300" s="2" t="s">
        <v>16</v>
      </c>
      <c r="C300" s="2"/>
      <c r="D300" s="13"/>
      <c r="E300" s="13"/>
      <c r="F300" s="44" t="s">
        <v>957</v>
      </c>
      <c r="G300" s="43">
        <v>1.0</v>
      </c>
      <c r="H300" s="42"/>
      <c r="I300" s="42"/>
      <c r="J300" s="27" t="s">
        <v>228</v>
      </c>
    </row>
    <row r="301" ht="39.75" customHeight="1">
      <c r="A301" s="1">
        <v>300.0</v>
      </c>
      <c r="B301" s="2" t="s">
        <v>17</v>
      </c>
      <c r="C301" s="2" t="s">
        <v>39</v>
      </c>
      <c r="D301" s="13"/>
      <c r="E301" s="13"/>
      <c r="F301" s="44" t="s">
        <v>958</v>
      </c>
      <c r="G301" s="43">
        <v>1.0</v>
      </c>
      <c r="H301" s="42"/>
      <c r="I301" s="43">
        <v>1.0</v>
      </c>
      <c r="J301" s="27" t="s">
        <v>95</v>
      </c>
    </row>
    <row r="302" ht="39.75" customHeight="1">
      <c r="A302" s="1">
        <v>301.0</v>
      </c>
      <c r="B302" s="2" t="s">
        <v>331</v>
      </c>
      <c r="C302" s="2" t="s">
        <v>542</v>
      </c>
      <c r="D302" s="13"/>
      <c r="E302" s="13"/>
      <c r="F302" s="44" t="s">
        <v>959</v>
      </c>
      <c r="G302" s="43">
        <v>1.0</v>
      </c>
      <c r="H302" s="42"/>
      <c r="I302" s="42"/>
      <c r="J302" s="22"/>
    </row>
    <row r="303" ht="39.75" hidden="1" customHeight="1">
      <c r="A303" s="1">
        <v>302.0</v>
      </c>
      <c r="B303" s="2" t="s">
        <v>21</v>
      </c>
      <c r="C303" s="2" t="s">
        <v>58</v>
      </c>
      <c r="D303" s="13"/>
      <c r="E303" s="13"/>
      <c r="F303" s="45"/>
      <c r="G303" s="42"/>
      <c r="H303" s="42"/>
      <c r="I303" s="42"/>
      <c r="J303" s="22"/>
    </row>
    <row r="304" ht="39.75" customHeight="1">
      <c r="A304" s="1">
        <v>303.0</v>
      </c>
      <c r="B304" s="2" t="s">
        <v>22</v>
      </c>
      <c r="C304" s="2" t="s">
        <v>44</v>
      </c>
      <c r="D304" s="13"/>
      <c r="E304" s="55">
        <v>0.3402777777777778</v>
      </c>
      <c r="F304" s="52" t="s">
        <v>960</v>
      </c>
      <c r="G304" s="56">
        <v>1.0</v>
      </c>
      <c r="H304" s="42"/>
      <c r="I304" s="42"/>
      <c r="J304" s="22"/>
    </row>
    <row r="305" ht="39.75" customHeight="1">
      <c r="A305" s="1">
        <v>304.0</v>
      </c>
      <c r="B305" s="2" t="s">
        <v>23</v>
      </c>
      <c r="C305" s="2" t="s">
        <v>54</v>
      </c>
      <c r="D305" s="13"/>
      <c r="E305" s="13"/>
      <c r="F305" s="44" t="s">
        <v>944</v>
      </c>
      <c r="G305" s="43">
        <v>1.0</v>
      </c>
      <c r="H305" s="43">
        <v>1.0</v>
      </c>
      <c r="I305" s="42"/>
      <c r="J305" s="22"/>
    </row>
    <row r="306" ht="39.75" customHeight="1">
      <c r="A306" s="1">
        <v>305.0</v>
      </c>
      <c r="B306" s="2" t="s">
        <v>24</v>
      </c>
      <c r="C306" s="2" t="s">
        <v>277</v>
      </c>
      <c r="D306" s="13"/>
      <c r="E306" s="13"/>
      <c r="F306" s="45"/>
      <c r="G306" s="42"/>
      <c r="H306" s="42"/>
      <c r="I306" s="42"/>
      <c r="J306" s="22"/>
    </row>
    <row r="307" ht="39.75" customHeight="1">
      <c r="A307" s="1">
        <v>306.0</v>
      </c>
      <c r="B307" s="2" t="s">
        <v>25</v>
      </c>
      <c r="C307" s="2"/>
      <c r="D307" s="13"/>
      <c r="E307" s="13"/>
      <c r="F307" s="44" t="s">
        <v>892</v>
      </c>
      <c r="G307" s="43">
        <v>1.0</v>
      </c>
      <c r="H307" s="43">
        <v>1.0</v>
      </c>
      <c r="I307" s="43">
        <v>1.0</v>
      </c>
      <c r="J307" s="22"/>
    </row>
    <row r="308" ht="39.75" customHeight="1">
      <c r="A308" s="1">
        <v>307.0</v>
      </c>
      <c r="B308" s="2" t="s">
        <v>26</v>
      </c>
      <c r="C308" s="2" t="s">
        <v>69</v>
      </c>
      <c r="D308" s="13"/>
      <c r="E308" s="13"/>
      <c r="F308" s="44" t="s">
        <v>961</v>
      </c>
      <c r="G308" s="43">
        <v>1.0</v>
      </c>
      <c r="H308" s="42"/>
      <c r="I308" s="42"/>
      <c r="J308" s="22"/>
    </row>
    <row r="309" ht="39.75" hidden="1" customHeight="1">
      <c r="A309" s="1">
        <v>308.0</v>
      </c>
      <c r="B309" s="2" t="s">
        <v>29</v>
      </c>
      <c r="C309" s="2" t="s">
        <v>58</v>
      </c>
      <c r="D309" s="13"/>
      <c r="E309" s="13"/>
      <c r="F309" s="45"/>
      <c r="G309" s="42"/>
      <c r="H309" s="42"/>
      <c r="I309" s="42"/>
      <c r="J309" s="22"/>
    </row>
    <row r="310" ht="39.75" hidden="1" customHeight="1">
      <c r="A310" s="1">
        <v>309.0</v>
      </c>
      <c r="B310" s="2" t="s">
        <v>30</v>
      </c>
      <c r="C310" s="2" t="s">
        <v>66</v>
      </c>
      <c r="D310" s="13"/>
      <c r="E310" s="13"/>
      <c r="F310" s="45"/>
      <c r="G310" s="42"/>
      <c r="H310" s="42"/>
      <c r="I310" s="42"/>
      <c r="J310" s="22"/>
    </row>
    <row r="311" ht="39.75" customHeight="1">
      <c r="A311" s="1">
        <v>310.0</v>
      </c>
      <c r="B311" s="2" t="s">
        <v>31</v>
      </c>
      <c r="C311" s="2"/>
      <c r="D311" s="13"/>
      <c r="E311" s="13"/>
      <c r="F311" s="44" t="s">
        <v>962</v>
      </c>
      <c r="G311" s="43">
        <v>2.0</v>
      </c>
      <c r="H311" s="42"/>
      <c r="I311" s="43">
        <v>1.0</v>
      </c>
      <c r="J311" s="22"/>
    </row>
    <row r="312" ht="39.75" customHeight="1">
      <c r="A312" s="1">
        <v>311.0</v>
      </c>
      <c r="B312" s="2" t="s">
        <v>32</v>
      </c>
      <c r="C312" s="2"/>
      <c r="D312" s="13"/>
      <c r="E312" s="13"/>
      <c r="F312" s="44" t="s">
        <v>963</v>
      </c>
      <c r="G312" s="43">
        <v>1.0</v>
      </c>
      <c r="H312" s="42"/>
      <c r="I312" s="42"/>
      <c r="J312" s="22"/>
    </row>
    <row r="313" ht="39.75" hidden="1" customHeight="1">
      <c r="A313" s="1">
        <v>312.0</v>
      </c>
      <c r="B313" s="2" t="s">
        <v>67</v>
      </c>
      <c r="C313" s="2" t="s">
        <v>58</v>
      </c>
      <c r="D313" s="13"/>
      <c r="E313" s="13"/>
      <c r="F313" s="45"/>
      <c r="G313" s="42"/>
      <c r="H313" s="42"/>
      <c r="I313" s="42"/>
      <c r="J313" s="22"/>
    </row>
    <row r="314" ht="39.75" customHeight="1">
      <c r="A314" s="1">
        <v>313.0</v>
      </c>
      <c r="B314" s="2" t="s">
        <v>34</v>
      </c>
      <c r="C314" s="2" t="s">
        <v>54</v>
      </c>
      <c r="D314" s="13"/>
      <c r="E314" s="40">
        <v>0.7916666666666666</v>
      </c>
      <c r="F314" s="44" t="s">
        <v>950</v>
      </c>
      <c r="G314" s="43">
        <v>1.0</v>
      </c>
      <c r="H314" s="43">
        <v>1.0</v>
      </c>
      <c r="I314" s="42"/>
      <c r="J314" s="22"/>
    </row>
    <row r="315" ht="39.75" customHeight="1">
      <c r="A315" s="1">
        <v>314.0</v>
      </c>
      <c r="B315" s="2" t="s">
        <v>35</v>
      </c>
      <c r="C315" s="2"/>
      <c r="D315" s="13"/>
      <c r="E315" s="13"/>
      <c r="F315" s="44" t="s">
        <v>929</v>
      </c>
      <c r="G315" s="42"/>
      <c r="H315" s="42"/>
      <c r="I315" s="42"/>
      <c r="J315" s="22"/>
    </row>
    <row r="316" ht="39.75" customHeight="1">
      <c r="A316" s="1">
        <v>315.0</v>
      </c>
      <c r="B316" s="2" t="s">
        <v>36</v>
      </c>
      <c r="C316" s="2" t="s">
        <v>39</v>
      </c>
      <c r="D316" s="13"/>
      <c r="E316" s="13"/>
      <c r="F316" s="44" t="s">
        <v>768</v>
      </c>
      <c r="G316" s="43">
        <v>1.0</v>
      </c>
      <c r="H316" s="42"/>
      <c r="I316" s="43">
        <v>1.0</v>
      </c>
      <c r="J316" s="22"/>
    </row>
    <row r="317" ht="39.75" customHeight="1">
      <c r="A317" s="1">
        <v>316.0</v>
      </c>
      <c r="B317" s="2" t="s">
        <v>38</v>
      </c>
      <c r="C317" s="2" t="s">
        <v>54</v>
      </c>
      <c r="D317" s="53">
        <v>0.3333333333333333</v>
      </c>
      <c r="E317" s="51">
        <v>0.8958333333333334</v>
      </c>
      <c r="F317" s="44" t="s">
        <v>964</v>
      </c>
      <c r="G317" s="43">
        <v>1.0</v>
      </c>
      <c r="H317" s="42"/>
      <c r="I317" s="42"/>
      <c r="J317" s="22"/>
    </row>
    <row r="318" ht="39.75" customHeight="1">
      <c r="A318" s="1">
        <v>317.0</v>
      </c>
      <c r="B318" s="2" t="s">
        <v>41</v>
      </c>
      <c r="C318" s="2" t="s">
        <v>27</v>
      </c>
      <c r="D318" s="13"/>
      <c r="E318" s="13"/>
      <c r="F318" s="44" t="s">
        <v>965</v>
      </c>
      <c r="G318" s="43">
        <v>1.0</v>
      </c>
      <c r="H318" s="42"/>
      <c r="I318" s="43">
        <v>1.0</v>
      </c>
      <c r="J318" s="22"/>
    </row>
    <row r="319" ht="39.75" customHeight="1">
      <c r="A319" s="1">
        <v>318.0</v>
      </c>
      <c r="B319" s="2" t="s">
        <v>42</v>
      </c>
      <c r="C319" s="2"/>
      <c r="D319" s="13"/>
      <c r="E319" s="13"/>
      <c r="F319" s="44" t="s">
        <v>966</v>
      </c>
      <c r="G319" s="43">
        <v>1.0</v>
      </c>
      <c r="H319" s="42"/>
      <c r="I319" s="42"/>
      <c r="J319" s="22"/>
    </row>
    <row r="320" ht="39.75" customHeight="1">
      <c r="A320" s="1">
        <v>319.0</v>
      </c>
      <c r="B320" s="2" t="s">
        <v>43</v>
      </c>
      <c r="C320" s="2"/>
      <c r="D320" s="13"/>
      <c r="E320" s="13"/>
      <c r="F320" s="44" t="s">
        <v>967</v>
      </c>
      <c r="G320" s="43">
        <v>1.0</v>
      </c>
      <c r="H320" s="42"/>
      <c r="I320" s="43">
        <v>1.0</v>
      </c>
      <c r="J320" s="22"/>
    </row>
    <row r="321" ht="39.75" customHeight="1">
      <c r="A321" s="1">
        <v>320.0</v>
      </c>
      <c r="B321" s="2" t="s">
        <v>45</v>
      </c>
      <c r="C321" s="2" t="s">
        <v>69</v>
      </c>
      <c r="D321" s="13"/>
      <c r="E321" s="13"/>
      <c r="F321" s="44" t="s">
        <v>968</v>
      </c>
      <c r="G321" s="43">
        <v>1.0</v>
      </c>
      <c r="H321" s="42"/>
      <c r="I321" s="42"/>
      <c r="J321" s="22"/>
    </row>
    <row r="322" ht="39.75" customHeight="1">
      <c r="A322" s="1">
        <v>321.0</v>
      </c>
      <c r="B322" s="2" t="s">
        <v>46</v>
      </c>
      <c r="C322" s="2" t="s">
        <v>54</v>
      </c>
      <c r="D322" s="13"/>
      <c r="E322" s="13"/>
      <c r="F322" s="44" t="s">
        <v>969</v>
      </c>
      <c r="G322" s="43">
        <v>1.0</v>
      </c>
      <c r="H322" s="42"/>
      <c r="I322" s="42"/>
      <c r="J322" s="22"/>
    </row>
    <row r="323" ht="39.75" hidden="1" customHeight="1">
      <c r="A323" s="1">
        <v>322.0</v>
      </c>
      <c r="B323" s="2" t="s">
        <v>47</v>
      </c>
      <c r="C323" s="2" t="s">
        <v>58</v>
      </c>
      <c r="D323" s="13"/>
      <c r="E323" s="13"/>
      <c r="F323" s="45"/>
      <c r="G323" s="42"/>
      <c r="H323" s="42"/>
      <c r="I323" s="42"/>
      <c r="J323" s="22"/>
    </row>
    <row r="324" ht="39.75" customHeight="1">
      <c r="A324" s="1">
        <v>323.0</v>
      </c>
      <c r="B324" s="2" t="s">
        <v>48</v>
      </c>
      <c r="C324" s="13"/>
      <c r="D324" s="13"/>
      <c r="E324" s="13"/>
      <c r="F324" s="44" t="s">
        <v>889</v>
      </c>
      <c r="G324" s="43">
        <v>1.0</v>
      </c>
      <c r="H324" s="43">
        <v>1.0</v>
      </c>
      <c r="I324" s="42"/>
      <c r="J324" s="22"/>
    </row>
    <row r="325" ht="39.75" customHeight="1">
      <c r="A325" s="1">
        <v>324.0</v>
      </c>
      <c r="B325" s="21"/>
      <c r="C325" s="21"/>
      <c r="D325" s="21"/>
      <c r="E325" s="21"/>
      <c r="F325" s="46"/>
      <c r="G325" s="47"/>
      <c r="H325" s="47"/>
      <c r="I325" s="47"/>
      <c r="J325" s="48"/>
      <c r="K325" s="49"/>
      <c r="L325" s="49"/>
      <c r="M325" s="49"/>
    </row>
    <row r="326" ht="39.75" customHeight="1">
      <c r="A326" s="1">
        <v>325.0</v>
      </c>
      <c r="B326" s="2" t="s">
        <v>12</v>
      </c>
      <c r="C326" s="2"/>
      <c r="D326" s="13"/>
      <c r="E326" s="13"/>
      <c r="F326" s="44" t="s">
        <v>970</v>
      </c>
      <c r="G326" s="43">
        <v>1.0</v>
      </c>
      <c r="H326" s="42"/>
      <c r="I326" s="43">
        <v>1.0</v>
      </c>
      <c r="J326" s="27" t="s">
        <v>840</v>
      </c>
      <c r="K326" s="15" t="s">
        <v>244</v>
      </c>
    </row>
    <row r="327" ht="39.75" customHeight="1">
      <c r="A327" s="1">
        <v>326.0</v>
      </c>
      <c r="B327" s="2" t="s">
        <v>16</v>
      </c>
      <c r="C327" s="2" t="s">
        <v>39</v>
      </c>
      <c r="D327" s="53">
        <v>0.2638888888888889</v>
      </c>
      <c r="E327" s="13"/>
      <c r="F327" s="44" t="s">
        <v>971</v>
      </c>
      <c r="G327" s="43">
        <v>1.0</v>
      </c>
      <c r="H327" s="42"/>
      <c r="I327" s="43">
        <v>1.0</v>
      </c>
      <c r="J327" s="27" t="s">
        <v>244</v>
      </c>
    </row>
    <row r="328" ht="39.75" customHeight="1">
      <c r="A328" s="1">
        <v>327.0</v>
      </c>
      <c r="B328" s="2" t="s">
        <v>17</v>
      </c>
      <c r="C328" s="2" t="s">
        <v>69</v>
      </c>
      <c r="D328" s="13"/>
      <c r="E328" s="13"/>
      <c r="F328" s="44" t="s">
        <v>972</v>
      </c>
      <c r="G328" s="43">
        <v>2.0</v>
      </c>
      <c r="H328" s="42"/>
      <c r="I328" s="43">
        <v>2.0</v>
      </c>
      <c r="J328" s="27" t="s">
        <v>111</v>
      </c>
    </row>
    <row r="329" ht="39.75" customHeight="1">
      <c r="A329" s="1">
        <v>328.0</v>
      </c>
      <c r="B329" s="2" t="s">
        <v>331</v>
      </c>
      <c r="C329" s="2" t="s">
        <v>542</v>
      </c>
      <c r="D329" s="13"/>
      <c r="E329" s="13"/>
      <c r="F329" s="44"/>
      <c r="G329" s="42"/>
      <c r="H329" s="42"/>
      <c r="I329" s="42"/>
      <c r="J329" s="22"/>
    </row>
    <row r="330" ht="39.75" customHeight="1">
      <c r="A330" s="1">
        <v>329.0</v>
      </c>
      <c r="B330" s="2" t="s">
        <v>21</v>
      </c>
      <c r="C330" s="2"/>
      <c r="D330" s="13"/>
      <c r="E330" s="13"/>
      <c r="F330" s="44" t="s">
        <v>973</v>
      </c>
      <c r="G330" s="43">
        <v>2.0</v>
      </c>
      <c r="H330" s="42"/>
      <c r="I330" s="42"/>
      <c r="J330" s="22"/>
    </row>
    <row r="331" ht="39.75" customHeight="1">
      <c r="A331" s="1">
        <v>330.0</v>
      </c>
      <c r="B331" s="2" t="s">
        <v>22</v>
      </c>
      <c r="C331" s="2" t="s">
        <v>69</v>
      </c>
      <c r="D331" s="13"/>
      <c r="E331" s="40">
        <v>0.8611111111111112</v>
      </c>
      <c r="F331" s="44" t="s">
        <v>966</v>
      </c>
      <c r="G331" s="43">
        <v>1.0</v>
      </c>
      <c r="H331" s="42"/>
      <c r="I331" s="42"/>
      <c r="J331" s="22"/>
    </row>
    <row r="332" ht="39.75" customHeight="1">
      <c r="A332" s="1">
        <v>331.0</v>
      </c>
      <c r="B332" s="2" t="s">
        <v>23</v>
      </c>
      <c r="C332" s="2"/>
      <c r="D332" s="13"/>
      <c r="E332" s="13"/>
      <c r="F332" s="44" t="s">
        <v>974</v>
      </c>
      <c r="G332" s="43">
        <v>1.0</v>
      </c>
      <c r="H332" s="42"/>
      <c r="I332" s="42"/>
      <c r="J332" s="22"/>
    </row>
    <row r="333" ht="39.75" customHeight="1">
      <c r="A333" s="1">
        <v>332.0</v>
      </c>
      <c r="B333" s="2" t="s">
        <v>24</v>
      </c>
      <c r="C333" s="2" t="s">
        <v>277</v>
      </c>
      <c r="D333" s="13"/>
      <c r="E333" s="13"/>
      <c r="F333" s="45"/>
      <c r="G333" s="42"/>
      <c r="H333" s="42"/>
      <c r="I333" s="42"/>
      <c r="J333" s="22"/>
    </row>
    <row r="334" ht="39.75" customHeight="1">
      <c r="A334" s="1">
        <v>333.0</v>
      </c>
      <c r="B334" s="2" t="s">
        <v>25</v>
      </c>
      <c r="C334" s="2"/>
      <c r="D334" s="13"/>
      <c r="E334" s="13"/>
      <c r="F334" s="44" t="s">
        <v>892</v>
      </c>
      <c r="G334" s="43">
        <v>1.0</v>
      </c>
      <c r="H334" s="43">
        <v>1.0</v>
      </c>
      <c r="I334" s="43">
        <v>1.0</v>
      </c>
      <c r="J334" s="22"/>
    </row>
    <row r="335" ht="39.75" customHeight="1">
      <c r="A335" s="1">
        <v>334.0</v>
      </c>
      <c r="B335" s="2" t="s">
        <v>26</v>
      </c>
      <c r="C335" s="2" t="s">
        <v>69</v>
      </c>
      <c r="D335" s="13"/>
      <c r="E335" s="40">
        <v>0.8680555555555556</v>
      </c>
      <c r="F335" s="44" t="s">
        <v>975</v>
      </c>
      <c r="G335" s="43">
        <v>1.0</v>
      </c>
      <c r="H335" s="42"/>
      <c r="I335" s="43">
        <v>1.0</v>
      </c>
      <c r="J335" s="22"/>
    </row>
    <row r="336" ht="39.75" hidden="1" customHeight="1">
      <c r="A336" s="1">
        <v>335.0</v>
      </c>
      <c r="B336" s="2" t="s">
        <v>29</v>
      </c>
      <c r="C336" s="2" t="s">
        <v>58</v>
      </c>
      <c r="D336" s="13"/>
      <c r="E336" s="13"/>
      <c r="F336" s="45"/>
      <c r="G336" s="42"/>
      <c r="H336" s="42"/>
      <c r="I336" s="42"/>
      <c r="J336" s="22"/>
    </row>
    <row r="337" ht="39.75" customHeight="1">
      <c r="A337" s="1">
        <v>336.0</v>
      </c>
      <c r="B337" s="2" t="s">
        <v>30</v>
      </c>
      <c r="C337" s="2" t="s">
        <v>64</v>
      </c>
      <c r="D337" s="13"/>
      <c r="E337" s="13"/>
      <c r="F337" s="45"/>
      <c r="G337" s="42"/>
      <c r="H337" s="42"/>
      <c r="I337" s="42"/>
      <c r="J337" s="22"/>
    </row>
    <row r="338" ht="39.75" customHeight="1">
      <c r="A338" s="1">
        <v>337.0</v>
      </c>
      <c r="B338" s="2" t="s">
        <v>31</v>
      </c>
      <c r="C338" s="2" t="s">
        <v>54</v>
      </c>
      <c r="D338" s="53">
        <v>0.2777777777777778</v>
      </c>
      <c r="E338" s="13"/>
      <c r="F338" s="44" t="s">
        <v>976</v>
      </c>
      <c r="G338" s="43">
        <v>1.0</v>
      </c>
      <c r="H338" s="42"/>
      <c r="I338" s="42"/>
      <c r="J338" s="22"/>
    </row>
    <row r="339" ht="39.75" customHeight="1">
      <c r="A339" s="1">
        <v>338.0</v>
      </c>
      <c r="B339" s="2" t="s">
        <v>32</v>
      </c>
      <c r="C339" s="2" t="s">
        <v>54</v>
      </c>
      <c r="D339" s="53">
        <v>0.2916666666666667</v>
      </c>
      <c r="E339" s="13"/>
      <c r="F339" s="44" t="s">
        <v>977</v>
      </c>
      <c r="G339" s="43">
        <v>1.0</v>
      </c>
      <c r="H339" s="42"/>
      <c r="I339" s="43">
        <v>1.0</v>
      </c>
      <c r="J339" s="22"/>
    </row>
    <row r="340" ht="39.75" customHeight="1">
      <c r="A340" s="1">
        <v>339.0</v>
      </c>
      <c r="B340" s="2" t="s">
        <v>67</v>
      </c>
      <c r="C340" s="2"/>
      <c r="D340" s="13"/>
      <c r="E340" s="13"/>
      <c r="F340" s="44" t="s">
        <v>978</v>
      </c>
      <c r="G340" s="43">
        <v>1.0</v>
      </c>
      <c r="H340" s="42"/>
      <c r="I340" s="42"/>
      <c r="J340" s="22"/>
    </row>
    <row r="341" ht="39.75" customHeight="1">
      <c r="A341" s="1">
        <v>340.0</v>
      </c>
      <c r="B341" s="2" t="s">
        <v>34</v>
      </c>
      <c r="C341" s="2" t="s">
        <v>54</v>
      </c>
      <c r="D341" s="13"/>
      <c r="E341" s="13"/>
      <c r="F341" s="44" t="s">
        <v>950</v>
      </c>
      <c r="G341" s="43">
        <v>1.0</v>
      </c>
      <c r="H341" s="43">
        <v>1.0</v>
      </c>
      <c r="I341" s="43"/>
      <c r="J341" s="22"/>
    </row>
    <row r="342" ht="39.75" customHeight="1">
      <c r="A342" s="1">
        <v>341.0</v>
      </c>
      <c r="B342" s="2" t="s">
        <v>35</v>
      </c>
      <c r="C342" s="2" t="s">
        <v>27</v>
      </c>
      <c r="D342" s="13"/>
      <c r="E342" s="13"/>
      <c r="F342" s="44" t="s">
        <v>979</v>
      </c>
      <c r="G342" s="43">
        <v>1.0</v>
      </c>
      <c r="H342" s="42"/>
      <c r="I342" s="42"/>
      <c r="J342" s="22"/>
    </row>
    <row r="343" ht="39.75" hidden="1" customHeight="1">
      <c r="A343" s="1">
        <v>342.0</v>
      </c>
      <c r="B343" s="2" t="s">
        <v>36</v>
      </c>
      <c r="C343" s="2" t="s">
        <v>58</v>
      </c>
      <c r="D343" s="13"/>
      <c r="E343" s="13"/>
      <c r="F343" s="45"/>
      <c r="G343" s="42"/>
      <c r="H343" s="42"/>
      <c r="I343" s="42"/>
      <c r="J343" s="22"/>
    </row>
    <row r="344" ht="39.75" hidden="1" customHeight="1">
      <c r="A344" s="1">
        <v>343.0</v>
      </c>
      <c r="B344" s="2" t="s">
        <v>38</v>
      </c>
      <c r="C344" s="2" t="s">
        <v>58</v>
      </c>
      <c r="D344" s="13"/>
      <c r="E344" s="13"/>
      <c r="F344" s="45"/>
      <c r="G344" s="42"/>
      <c r="H344" s="42"/>
      <c r="I344" s="42"/>
      <c r="J344" s="22"/>
    </row>
    <row r="345" ht="39.75" customHeight="1">
      <c r="A345" s="1">
        <v>344.0</v>
      </c>
      <c r="B345" s="2" t="s">
        <v>41</v>
      </c>
      <c r="C345" s="2" t="s">
        <v>44</v>
      </c>
      <c r="D345" s="13"/>
      <c r="E345" s="13"/>
      <c r="F345" s="45"/>
      <c r="G345" s="42"/>
      <c r="H345" s="42"/>
      <c r="I345" s="42"/>
      <c r="J345" s="22"/>
    </row>
    <row r="346" ht="39.75" hidden="1" customHeight="1">
      <c r="A346" s="1">
        <v>345.0</v>
      </c>
      <c r="B346" s="2" t="s">
        <v>42</v>
      </c>
      <c r="C346" s="2" t="s">
        <v>66</v>
      </c>
      <c r="D346" s="13"/>
      <c r="E346" s="13"/>
      <c r="F346" s="45"/>
      <c r="G346" s="42"/>
      <c r="H346" s="42"/>
      <c r="I346" s="42"/>
      <c r="J346" s="22"/>
    </row>
    <row r="347" ht="39.75" customHeight="1">
      <c r="A347" s="1">
        <v>346.0</v>
      </c>
      <c r="B347" s="2" t="s">
        <v>43</v>
      </c>
      <c r="C347" s="2" t="s">
        <v>39</v>
      </c>
      <c r="D347" s="40">
        <v>0.2916666666666667</v>
      </c>
      <c r="E347" s="13"/>
      <c r="F347" s="44" t="s">
        <v>980</v>
      </c>
      <c r="G347" s="43">
        <v>1.0</v>
      </c>
      <c r="H347" s="42"/>
      <c r="I347" s="43">
        <v>1.0</v>
      </c>
      <c r="J347" s="22"/>
    </row>
    <row r="348" ht="39.75" customHeight="1">
      <c r="A348" s="1">
        <v>347.0</v>
      </c>
      <c r="B348" s="2" t="s">
        <v>45</v>
      </c>
      <c r="C348" s="2"/>
      <c r="D348" s="53">
        <v>0.3055555555555556</v>
      </c>
      <c r="E348" s="13"/>
      <c r="F348" s="44" t="s">
        <v>981</v>
      </c>
      <c r="G348" s="43">
        <v>1.0</v>
      </c>
      <c r="H348" s="42"/>
      <c r="I348" s="43">
        <v>1.0</v>
      </c>
      <c r="J348" s="22"/>
    </row>
    <row r="349" ht="39.75" customHeight="1">
      <c r="A349" s="1">
        <v>348.0</v>
      </c>
      <c r="B349" s="2" t="s">
        <v>46</v>
      </c>
      <c r="C349" s="2" t="s">
        <v>54</v>
      </c>
      <c r="D349" s="40">
        <v>0.4861111111111111</v>
      </c>
      <c r="E349" s="51">
        <v>0.8958333333333334</v>
      </c>
      <c r="F349" s="44" t="s">
        <v>982</v>
      </c>
      <c r="G349" s="43">
        <v>1.0</v>
      </c>
      <c r="H349" s="42"/>
      <c r="I349" s="42"/>
      <c r="J349" s="22"/>
    </row>
    <row r="350" ht="39.75" customHeight="1">
      <c r="A350" s="1">
        <v>349.0</v>
      </c>
      <c r="B350" s="2" t="s">
        <v>47</v>
      </c>
      <c r="C350" s="13"/>
      <c r="D350" s="53">
        <v>0.3055555555555556</v>
      </c>
      <c r="E350" s="13"/>
      <c r="F350" s="66" t="s">
        <v>983</v>
      </c>
      <c r="G350" s="43">
        <v>2.0</v>
      </c>
      <c r="H350" s="42"/>
      <c r="I350" s="43">
        <v>2.0</v>
      </c>
      <c r="J350" s="22"/>
    </row>
    <row r="351" ht="39.75" customHeight="1">
      <c r="A351" s="1">
        <v>350.0</v>
      </c>
      <c r="B351" s="2" t="s">
        <v>48</v>
      </c>
      <c r="C351" s="13"/>
      <c r="D351" s="13"/>
      <c r="E351" s="13"/>
      <c r="F351" s="44" t="s">
        <v>889</v>
      </c>
      <c r="G351" s="43">
        <v>1.0</v>
      </c>
      <c r="H351" s="43">
        <v>1.0</v>
      </c>
      <c r="I351" s="42"/>
      <c r="J351" s="22"/>
    </row>
    <row r="352" ht="39.75" customHeight="1">
      <c r="A352" s="1">
        <v>351.0</v>
      </c>
      <c r="B352" s="21"/>
      <c r="C352" s="21"/>
      <c r="D352" s="21"/>
      <c r="E352" s="21"/>
      <c r="F352" s="46"/>
      <c r="G352" s="47"/>
      <c r="H352" s="47"/>
      <c r="I352" s="47"/>
      <c r="J352" s="48"/>
      <c r="K352" s="49"/>
      <c r="L352" s="49"/>
      <c r="M352" s="49"/>
    </row>
    <row r="353" ht="39.75" customHeight="1">
      <c r="A353" s="1">
        <v>352.0</v>
      </c>
      <c r="B353" s="2" t="s">
        <v>12</v>
      </c>
      <c r="C353" s="2"/>
      <c r="D353" s="53">
        <v>0.3541666666666667</v>
      </c>
      <c r="E353" s="13"/>
      <c r="F353" s="44" t="s">
        <v>984</v>
      </c>
      <c r="G353" s="43">
        <v>1.0</v>
      </c>
      <c r="H353" s="42"/>
      <c r="I353" s="42"/>
      <c r="J353" s="27" t="s">
        <v>840</v>
      </c>
      <c r="K353" s="15" t="s">
        <v>260</v>
      </c>
    </row>
    <row r="354" ht="39.75" customHeight="1">
      <c r="A354" s="1">
        <v>353.0</v>
      </c>
      <c r="B354" s="2" t="s">
        <v>16</v>
      </c>
      <c r="C354" s="2" t="s">
        <v>69</v>
      </c>
      <c r="D354" s="13"/>
      <c r="E354" s="13"/>
      <c r="F354" s="44" t="s">
        <v>985</v>
      </c>
      <c r="G354" s="43">
        <v>1.0</v>
      </c>
      <c r="H354" s="42"/>
      <c r="I354" s="43">
        <v>1.0</v>
      </c>
      <c r="J354" s="27" t="s">
        <v>260</v>
      </c>
    </row>
    <row r="355" ht="39.75" customHeight="1">
      <c r="A355" s="1">
        <v>354.0</v>
      </c>
      <c r="B355" s="2" t="s">
        <v>17</v>
      </c>
      <c r="C355" s="2" t="s">
        <v>39</v>
      </c>
      <c r="D355" s="53">
        <v>0.2708333333333333</v>
      </c>
      <c r="E355" s="13"/>
      <c r="F355" s="44" t="s">
        <v>986</v>
      </c>
      <c r="G355" s="43">
        <v>1.0</v>
      </c>
      <c r="H355" s="42"/>
      <c r="I355" s="43">
        <v>1.0</v>
      </c>
      <c r="J355" s="27" t="s">
        <v>131</v>
      </c>
    </row>
    <row r="356" ht="39.75" hidden="1" customHeight="1">
      <c r="A356" s="1">
        <v>355.0</v>
      </c>
      <c r="B356" s="2" t="s">
        <v>331</v>
      </c>
      <c r="C356" s="2" t="s">
        <v>58</v>
      </c>
      <c r="D356" s="13"/>
      <c r="E356" s="13"/>
      <c r="F356" s="44"/>
      <c r="G356" s="42"/>
      <c r="H356" s="42"/>
      <c r="I356" s="42"/>
      <c r="J356" s="22"/>
    </row>
    <row r="357" ht="39.75" hidden="1" customHeight="1">
      <c r="A357" s="1">
        <v>356.0</v>
      </c>
      <c r="B357" s="2" t="s">
        <v>21</v>
      </c>
      <c r="C357" s="2" t="s">
        <v>66</v>
      </c>
      <c r="D357" s="13"/>
      <c r="E357" s="13"/>
      <c r="F357" s="45"/>
      <c r="G357" s="42"/>
      <c r="H357" s="42"/>
      <c r="I357" s="42"/>
      <c r="J357" s="22"/>
    </row>
    <row r="358" ht="39.75" customHeight="1">
      <c r="A358" s="1">
        <v>357.0</v>
      </c>
      <c r="B358" s="2" t="s">
        <v>22</v>
      </c>
      <c r="C358" s="2" t="s">
        <v>54</v>
      </c>
      <c r="D358" s="13"/>
      <c r="E358" s="13"/>
      <c r="F358" s="45"/>
      <c r="G358" s="42"/>
      <c r="H358" s="42"/>
      <c r="I358" s="42"/>
      <c r="J358" s="22"/>
    </row>
    <row r="359" ht="39.75" customHeight="1">
      <c r="A359" s="1">
        <v>358.0</v>
      </c>
      <c r="B359" s="2" t="s">
        <v>23</v>
      </c>
      <c r="C359" s="2" t="s">
        <v>27</v>
      </c>
      <c r="D359" s="13"/>
      <c r="E359" s="13"/>
      <c r="F359" s="44" t="s">
        <v>987</v>
      </c>
      <c r="G359" s="43">
        <v>1.0</v>
      </c>
      <c r="H359" s="42"/>
      <c r="I359" s="42"/>
      <c r="J359" s="22"/>
    </row>
    <row r="360" ht="39.75" customHeight="1">
      <c r="A360" s="1">
        <v>359.0</v>
      </c>
      <c r="B360" s="2" t="s">
        <v>24</v>
      </c>
      <c r="C360" s="2" t="s">
        <v>277</v>
      </c>
      <c r="D360" s="13"/>
      <c r="E360" s="13"/>
      <c r="F360" s="45"/>
      <c r="G360" s="42"/>
      <c r="H360" s="42"/>
      <c r="I360" s="42"/>
      <c r="J360" s="22"/>
    </row>
    <row r="361" ht="39.75" customHeight="1">
      <c r="A361" s="1">
        <v>360.0</v>
      </c>
      <c r="B361" s="2" t="s">
        <v>25</v>
      </c>
      <c r="C361" s="2"/>
      <c r="D361" s="13"/>
      <c r="E361" s="13"/>
      <c r="F361" s="44" t="s">
        <v>892</v>
      </c>
      <c r="G361" s="43">
        <v>1.0</v>
      </c>
      <c r="H361" s="43">
        <v>1.0</v>
      </c>
      <c r="I361" s="43">
        <v>1.0</v>
      </c>
      <c r="J361" s="22"/>
    </row>
    <row r="362" ht="39.75" customHeight="1">
      <c r="A362" s="1">
        <v>361.0</v>
      </c>
      <c r="B362" s="2" t="s">
        <v>26</v>
      </c>
      <c r="C362" s="2" t="s">
        <v>69</v>
      </c>
      <c r="D362" s="13"/>
      <c r="E362" s="13"/>
      <c r="F362" s="45"/>
      <c r="G362" s="42"/>
      <c r="H362" s="42"/>
      <c r="I362" s="42"/>
      <c r="J362" s="22"/>
    </row>
    <row r="363" ht="39.75" hidden="1" customHeight="1">
      <c r="A363" s="1">
        <v>362.0</v>
      </c>
      <c r="B363" s="2" t="s">
        <v>29</v>
      </c>
      <c r="C363" s="2" t="s">
        <v>66</v>
      </c>
      <c r="D363" s="13"/>
      <c r="E363" s="13"/>
      <c r="F363" s="45"/>
      <c r="G363" s="42"/>
      <c r="H363" s="42"/>
      <c r="I363" s="42"/>
      <c r="J363" s="22"/>
    </row>
    <row r="364" ht="39.75" customHeight="1">
      <c r="A364" s="1">
        <v>363.0</v>
      </c>
      <c r="B364" s="2" t="s">
        <v>30</v>
      </c>
      <c r="C364" s="2" t="s">
        <v>64</v>
      </c>
      <c r="D364" s="13"/>
      <c r="E364" s="13"/>
      <c r="F364" s="45"/>
      <c r="G364" s="42"/>
      <c r="H364" s="42"/>
      <c r="I364" s="42"/>
      <c r="J364" s="22"/>
    </row>
    <row r="365" ht="39.75" customHeight="1">
      <c r="A365" s="1">
        <v>364.0</v>
      </c>
      <c r="B365" s="2" t="s">
        <v>31</v>
      </c>
      <c r="C365" s="2"/>
      <c r="D365" s="13"/>
      <c r="E365" s="13"/>
      <c r="F365" s="45"/>
      <c r="G365" s="42"/>
      <c r="H365" s="42"/>
      <c r="I365" s="42"/>
      <c r="J365" s="22"/>
    </row>
    <row r="366" ht="39.75" customHeight="1">
      <c r="A366" s="1">
        <v>365.0</v>
      </c>
      <c r="B366" s="2" t="s">
        <v>32</v>
      </c>
      <c r="C366" s="2"/>
      <c r="D366" s="13"/>
      <c r="E366" s="13"/>
      <c r="F366" s="44" t="s">
        <v>988</v>
      </c>
      <c r="G366" s="43">
        <v>1.0</v>
      </c>
      <c r="H366" s="42"/>
      <c r="I366" s="42"/>
      <c r="J366" s="22"/>
    </row>
    <row r="367" ht="39.75" customHeight="1">
      <c r="A367" s="1">
        <v>366.0</v>
      </c>
      <c r="B367" s="2" t="s">
        <v>67</v>
      </c>
      <c r="C367" s="2" t="s">
        <v>54</v>
      </c>
      <c r="D367" s="13"/>
      <c r="E367" s="13"/>
      <c r="F367" s="44" t="s">
        <v>989</v>
      </c>
      <c r="G367" s="43">
        <v>1.0</v>
      </c>
      <c r="H367" s="42"/>
      <c r="I367" s="42"/>
      <c r="J367" s="22"/>
    </row>
    <row r="368" ht="39.75" customHeight="1">
      <c r="A368" s="1">
        <v>367.0</v>
      </c>
      <c r="B368" s="2" t="s">
        <v>34</v>
      </c>
      <c r="C368" s="2" t="s">
        <v>54</v>
      </c>
      <c r="D368" s="13"/>
      <c r="E368" s="13"/>
      <c r="F368" s="45"/>
      <c r="G368" s="42"/>
      <c r="H368" s="42"/>
      <c r="I368" s="42"/>
      <c r="J368" s="22"/>
    </row>
    <row r="369" ht="39.75" customHeight="1">
      <c r="A369" s="1">
        <v>368.0</v>
      </c>
      <c r="B369" s="2" t="s">
        <v>35</v>
      </c>
      <c r="C369" s="2" t="s">
        <v>44</v>
      </c>
      <c r="D369" s="13"/>
      <c r="E369" s="13"/>
      <c r="F369" s="45"/>
      <c r="G369" s="42"/>
      <c r="H369" s="42"/>
      <c r="I369" s="42"/>
      <c r="J369" s="22"/>
    </row>
    <row r="370" ht="39.75" customHeight="1">
      <c r="A370" s="1">
        <v>369.0</v>
      </c>
      <c r="B370" s="2" t="s">
        <v>36</v>
      </c>
      <c r="C370" s="2" t="s">
        <v>69</v>
      </c>
      <c r="D370" s="13"/>
      <c r="E370" s="13"/>
      <c r="F370" s="44"/>
      <c r="G370" s="43"/>
      <c r="H370" s="42"/>
      <c r="I370" s="42"/>
      <c r="J370" s="22"/>
    </row>
    <row r="371" ht="39.75" customHeight="1">
      <c r="A371" s="1">
        <v>370.0</v>
      </c>
      <c r="B371" s="2" t="s">
        <v>38</v>
      </c>
      <c r="C371" s="2"/>
      <c r="D371" s="13"/>
      <c r="E371" s="13"/>
      <c r="F371" s="44" t="s">
        <v>990</v>
      </c>
      <c r="G371" s="43">
        <v>1.0</v>
      </c>
      <c r="H371" s="42"/>
      <c r="I371" s="42"/>
      <c r="J371" s="22"/>
    </row>
    <row r="372" ht="39.75" hidden="1" customHeight="1">
      <c r="A372" s="1">
        <v>371.0</v>
      </c>
      <c r="B372" s="2" t="s">
        <v>41</v>
      </c>
      <c r="C372" s="2" t="s">
        <v>58</v>
      </c>
      <c r="D372" s="13"/>
      <c r="E372" s="13"/>
      <c r="F372" s="45"/>
      <c r="G372" s="42"/>
      <c r="H372" s="42"/>
      <c r="I372" s="42"/>
      <c r="J372" s="22"/>
    </row>
    <row r="373" ht="39.75" hidden="1" customHeight="1">
      <c r="A373" s="1">
        <v>372.0</v>
      </c>
      <c r="B373" s="2" t="s">
        <v>42</v>
      </c>
      <c r="C373" s="2" t="s">
        <v>58</v>
      </c>
      <c r="D373" s="13"/>
      <c r="E373" s="13"/>
      <c r="F373" s="45"/>
      <c r="G373" s="42"/>
      <c r="H373" s="42"/>
      <c r="I373" s="42"/>
      <c r="J373" s="22"/>
    </row>
    <row r="374" ht="39.75" customHeight="1">
      <c r="A374" s="1">
        <v>373.0</v>
      </c>
      <c r="B374" s="2" t="s">
        <v>43</v>
      </c>
      <c r="C374" s="2"/>
      <c r="D374" s="13"/>
      <c r="E374" s="13"/>
      <c r="F374" s="45"/>
      <c r="G374" s="42"/>
      <c r="H374" s="42"/>
      <c r="I374" s="42"/>
      <c r="J374" s="22"/>
    </row>
    <row r="375" ht="39.75" hidden="1" customHeight="1">
      <c r="A375" s="1">
        <v>374.0</v>
      </c>
      <c r="B375" s="2" t="s">
        <v>45</v>
      </c>
      <c r="C375" s="2" t="s">
        <v>58</v>
      </c>
      <c r="D375" s="13"/>
      <c r="E375" s="13"/>
      <c r="F375" s="45"/>
      <c r="G375" s="42"/>
      <c r="H375" s="42"/>
      <c r="I375" s="42"/>
      <c r="J375" s="22"/>
    </row>
    <row r="376" ht="39.75" customHeight="1">
      <c r="A376" s="1">
        <v>375.0</v>
      </c>
      <c r="B376" s="2" t="s">
        <v>46</v>
      </c>
      <c r="C376" s="2" t="s">
        <v>54</v>
      </c>
      <c r="D376" s="13"/>
      <c r="E376" s="13"/>
      <c r="F376" s="45"/>
      <c r="G376" s="42"/>
      <c r="H376" s="42"/>
      <c r="I376" s="42"/>
      <c r="J376" s="22"/>
    </row>
    <row r="377" ht="39.75" customHeight="1">
      <c r="A377" s="1">
        <v>376.0</v>
      </c>
      <c r="B377" s="2" t="s">
        <v>47</v>
      </c>
      <c r="C377" s="2" t="s">
        <v>39</v>
      </c>
      <c r="D377" s="53">
        <v>0.25</v>
      </c>
      <c r="E377" s="13"/>
      <c r="F377" s="44" t="s">
        <v>991</v>
      </c>
      <c r="G377" s="43">
        <v>1.0</v>
      </c>
      <c r="H377" s="42"/>
      <c r="I377" s="42"/>
      <c r="J377" s="22"/>
    </row>
    <row r="378" ht="39.75" customHeight="1">
      <c r="A378" s="1">
        <v>377.0</v>
      </c>
      <c r="B378" s="2" t="s">
        <v>48</v>
      </c>
      <c r="C378" s="13"/>
      <c r="D378" s="13"/>
      <c r="E378" s="13"/>
      <c r="F378" s="44" t="s">
        <v>889</v>
      </c>
      <c r="G378" s="43">
        <v>1.0</v>
      </c>
      <c r="H378" s="43">
        <v>1.0</v>
      </c>
      <c r="I378" s="42"/>
      <c r="J378" s="22"/>
    </row>
    <row r="379" ht="39.75" customHeight="1">
      <c r="A379" s="1">
        <v>378.0</v>
      </c>
      <c r="B379" s="21"/>
      <c r="C379" s="21"/>
      <c r="D379" s="21"/>
      <c r="E379" s="21"/>
      <c r="F379" s="46"/>
      <c r="G379" s="47"/>
      <c r="H379" s="47"/>
      <c r="I379" s="47"/>
      <c r="J379" s="48"/>
      <c r="K379" s="49"/>
      <c r="L379" s="49"/>
      <c r="M379" s="49"/>
    </row>
    <row r="380" ht="39.75" customHeight="1">
      <c r="A380" s="1">
        <v>379.0</v>
      </c>
      <c r="B380" s="2" t="s">
        <v>20</v>
      </c>
      <c r="C380" s="2" t="s">
        <v>992</v>
      </c>
      <c r="D380" s="13"/>
      <c r="E380" s="13"/>
      <c r="F380" s="44" t="s">
        <v>993</v>
      </c>
      <c r="G380" s="43">
        <v>1.0</v>
      </c>
      <c r="H380" s="42"/>
      <c r="I380" s="43">
        <v>1.0</v>
      </c>
      <c r="J380" s="27" t="s">
        <v>840</v>
      </c>
      <c r="K380" s="15" t="s">
        <v>269</v>
      </c>
    </row>
    <row r="381" ht="39.75" customHeight="1">
      <c r="A381" s="1">
        <v>380.0</v>
      </c>
      <c r="B381" s="2" t="s">
        <v>994</v>
      </c>
      <c r="C381" s="2" t="s">
        <v>995</v>
      </c>
      <c r="D381" s="13"/>
      <c r="E381" s="13"/>
      <c r="F381" s="44" t="s">
        <v>996</v>
      </c>
      <c r="G381" s="43">
        <v>2.0</v>
      </c>
      <c r="H381" s="42"/>
      <c r="I381" s="42"/>
      <c r="J381" s="27" t="s">
        <v>269</v>
      </c>
    </row>
    <row r="382" ht="39.75" customHeight="1">
      <c r="A382" s="1">
        <v>381.0</v>
      </c>
      <c r="B382" s="2" t="s">
        <v>17</v>
      </c>
      <c r="C382" s="2"/>
      <c r="D382" s="40">
        <v>0.375</v>
      </c>
      <c r="E382" s="13"/>
      <c r="F382" s="44" t="s">
        <v>997</v>
      </c>
      <c r="G382" s="43">
        <v>1.0</v>
      </c>
      <c r="H382" s="42"/>
      <c r="I382" s="42"/>
      <c r="J382" s="27" t="s">
        <v>149</v>
      </c>
    </row>
    <row r="383" ht="39.75" hidden="1" customHeight="1">
      <c r="A383" s="1">
        <v>382.0</v>
      </c>
      <c r="B383" s="2" t="s">
        <v>331</v>
      </c>
      <c r="C383" s="2" t="s">
        <v>13</v>
      </c>
      <c r="D383" s="13"/>
      <c r="E383" s="13"/>
      <c r="F383" s="44"/>
      <c r="G383" s="42"/>
      <c r="H383" s="42"/>
      <c r="I383" s="42"/>
      <c r="J383" s="27" t="s">
        <v>262</v>
      </c>
    </row>
    <row r="384" ht="39.75" customHeight="1">
      <c r="A384" s="1">
        <v>383.0</v>
      </c>
      <c r="B384" s="2" t="s">
        <v>21</v>
      </c>
      <c r="C384" s="2" t="s">
        <v>63</v>
      </c>
      <c r="D384" s="40">
        <v>0.375</v>
      </c>
      <c r="E384" s="13"/>
      <c r="F384" s="44" t="s">
        <v>998</v>
      </c>
      <c r="G384" s="43">
        <v>1.0</v>
      </c>
      <c r="H384" s="42"/>
      <c r="I384" s="43">
        <v>1.0</v>
      </c>
      <c r="J384" s="27" t="s">
        <v>264</v>
      </c>
    </row>
    <row r="385" ht="39.75" hidden="1" customHeight="1">
      <c r="A385" s="1">
        <v>384.0</v>
      </c>
      <c r="B385" s="2" t="s">
        <v>22</v>
      </c>
      <c r="C385" s="2" t="s">
        <v>13</v>
      </c>
      <c r="D385" s="13"/>
      <c r="E385" s="13"/>
      <c r="F385" s="45"/>
      <c r="G385" s="42"/>
      <c r="H385" s="42"/>
      <c r="I385" s="42"/>
      <c r="J385" s="27" t="s">
        <v>265</v>
      </c>
    </row>
    <row r="386" ht="39.75" customHeight="1">
      <c r="A386" s="1">
        <v>385.0</v>
      </c>
      <c r="B386" s="2" t="s">
        <v>23</v>
      </c>
      <c r="C386" s="2" t="s">
        <v>44</v>
      </c>
      <c r="D386" s="13"/>
      <c r="E386" s="13"/>
      <c r="F386" s="45"/>
      <c r="G386" s="42"/>
      <c r="H386" s="42"/>
      <c r="I386" s="42"/>
      <c r="J386" s="22"/>
    </row>
    <row r="387" ht="39.75" hidden="1" customHeight="1">
      <c r="A387" s="1">
        <v>386.0</v>
      </c>
      <c r="B387" s="2" t="s">
        <v>24</v>
      </c>
      <c r="C387" s="2" t="s">
        <v>13</v>
      </c>
      <c r="D387" s="13"/>
      <c r="E387" s="13"/>
      <c r="F387" s="45"/>
      <c r="G387" s="42"/>
      <c r="H387" s="42"/>
      <c r="I387" s="42"/>
      <c r="J387" s="22"/>
    </row>
    <row r="388" ht="39.75" customHeight="1">
      <c r="A388" s="1">
        <v>387.0</v>
      </c>
      <c r="B388" s="2" t="s">
        <v>25</v>
      </c>
      <c r="C388" s="2"/>
      <c r="D388" s="13"/>
      <c r="E388" s="13"/>
      <c r="F388" s="44" t="s">
        <v>892</v>
      </c>
      <c r="G388" s="43">
        <v>1.0</v>
      </c>
      <c r="H388" s="43">
        <v>1.0</v>
      </c>
      <c r="I388" s="43">
        <v>1.0</v>
      </c>
      <c r="J388" s="22"/>
    </row>
    <row r="389" ht="39.75" customHeight="1">
      <c r="A389" s="1">
        <v>388.0</v>
      </c>
      <c r="B389" s="2" t="s">
        <v>26</v>
      </c>
      <c r="C389" s="2" t="s">
        <v>39</v>
      </c>
      <c r="D389" s="40">
        <v>0.375</v>
      </c>
      <c r="E389" s="13"/>
      <c r="F389" s="44" t="s">
        <v>999</v>
      </c>
      <c r="G389" s="43">
        <v>2.0</v>
      </c>
      <c r="H389" s="42"/>
      <c r="I389" s="43">
        <v>1.0</v>
      </c>
      <c r="J389" s="22"/>
    </row>
    <row r="390" ht="39.75" hidden="1" customHeight="1">
      <c r="A390" s="1">
        <v>389.0</v>
      </c>
      <c r="B390" s="2" t="s">
        <v>29</v>
      </c>
      <c r="C390" s="2" t="s">
        <v>13</v>
      </c>
      <c r="D390" s="13"/>
      <c r="E390" s="13"/>
      <c r="F390" s="45"/>
      <c r="G390" s="42"/>
      <c r="H390" s="42"/>
      <c r="I390" s="42"/>
      <c r="J390" s="22"/>
    </row>
    <row r="391" ht="39.75" hidden="1" customHeight="1">
      <c r="A391" s="1">
        <v>390.0</v>
      </c>
      <c r="B391" s="2" t="s">
        <v>30</v>
      </c>
      <c r="C391" s="2" t="s">
        <v>13</v>
      </c>
      <c r="D391" s="13"/>
      <c r="E391" s="13"/>
      <c r="F391" s="45"/>
      <c r="G391" s="42"/>
      <c r="H391" s="42"/>
      <c r="I391" s="42"/>
      <c r="J391" s="22"/>
    </row>
    <row r="392" ht="39.75" hidden="1" customHeight="1">
      <c r="A392" s="1">
        <v>391.0</v>
      </c>
      <c r="B392" s="2" t="s">
        <v>31</v>
      </c>
      <c r="C392" s="2" t="s">
        <v>13</v>
      </c>
      <c r="D392" s="13"/>
      <c r="E392" s="13"/>
      <c r="F392" s="45"/>
      <c r="G392" s="42"/>
      <c r="H392" s="42"/>
      <c r="I392" s="42"/>
      <c r="J392" s="22"/>
    </row>
    <row r="393" ht="39.75" hidden="1" customHeight="1">
      <c r="A393" s="1">
        <v>392.0</v>
      </c>
      <c r="B393" s="2" t="s">
        <v>32</v>
      </c>
      <c r="C393" s="2" t="s">
        <v>13</v>
      </c>
      <c r="D393" s="13"/>
      <c r="E393" s="13"/>
      <c r="F393" s="45"/>
      <c r="G393" s="42"/>
      <c r="H393" s="42"/>
      <c r="I393" s="42"/>
      <c r="J393" s="22"/>
    </row>
    <row r="394" ht="39.75" hidden="1" customHeight="1">
      <c r="A394" s="1">
        <v>393.0</v>
      </c>
      <c r="B394" s="2" t="s">
        <v>67</v>
      </c>
      <c r="C394" s="2" t="s">
        <v>13</v>
      </c>
      <c r="D394" s="13"/>
      <c r="E394" s="13"/>
      <c r="F394" s="45"/>
      <c r="G394" s="42"/>
      <c r="H394" s="42"/>
      <c r="I394" s="42"/>
      <c r="J394" s="22"/>
    </row>
    <row r="395" ht="39.75" hidden="1" customHeight="1">
      <c r="A395" s="1">
        <v>394.0</v>
      </c>
      <c r="B395" s="2" t="s">
        <v>34</v>
      </c>
      <c r="C395" s="2" t="s">
        <v>13</v>
      </c>
      <c r="D395" s="13"/>
      <c r="E395" s="13"/>
      <c r="F395" s="45"/>
      <c r="G395" s="42"/>
      <c r="H395" s="42"/>
      <c r="I395" s="42"/>
      <c r="J395" s="22"/>
    </row>
    <row r="396" ht="39.75" hidden="1" customHeight="1">
      <c r="A396" s="1">
        <v>395.0</v>
      </c>
      <c r="B396" s="2" t="s">
        <v>35</v>
      </c>
      <c r="C396" s="2" t="s">
        <v>13</v>
      </c>
      <c r="D396" s="13"/>
      <c r="E396" s="13"/>
      <c r="F396" s="45"/>
      <c r="G396" s="42"/>
      <c r="H396" s="42"/>
      <c r="I396" s="42"/>
      <c r="J396" s="22"/>
    </row>
    <row r="397" ht="39.75" hidden="1" customHeight="1">
      <c r="A397" s="1">
        <v>396.0</v>
      </c>
      <c r="B397" s="2" t="s">
        <v>36</v>
      </c>
      <c r="C397" s="2" t="s">
        <v>13</v>
      </c>
      <c r="D397" s="13"/>
      <c r="E397" s="13"/>
      <c r="F397" s="45"/>
      <c r="G397" s="42"/>
      <c r="H397" s="42"/>
      <c r="I397" s="42"/>
      <c r="J397" s="22"/>
    </row>
    <row r="398" ht="39.75" customHeight="1">
      <c r="A398" s="1">
        <v>397.0</v>
      </c>
      <c r="B398" s="2" t="s">
        <v>38</v>
      </c>
      <c r="C398" s="2" t="s">
        <v>27</v>
      </c>
      <c r="D398" s="13"/>
      <c r="E398" s="13"/>
      <c r="F398" s="44" t="s">
        <v>1000</v>
      </c>
      <c r="G398" s="43">
        <v>1.0</v>
      </c>
      <c r="H398" s="42"/>
      <c r="I398" s="42"/>
      <c r="J398" s="22"/>
    </row>
    <row r="399" ht="39.75" customHeight="1">
      <c r="A399" s="1">
        <v>398.0</v>
      </c>
      <c r="B399" s="2" t="s">
        <v>41</v>
      </c>
      <c r="C399" s="2"/>
      <c r="D399" s="40">
        <v>0.375</v>
      </c>
      <c r="E399" s="51">
        <v>0.8055555555555556</v>
      </c>
      <c r="F399" s="44" t="s">
        <v>1001</v>
      </c>
      <c r="G399" s="43">
        <v>2.0</v>
      </c>
      <c r="H399" s="42"/>
      <c r="I399" s="43">
        <v>1.0</v>
      </c>
      <c r="J399" s="22"/>
    </row>
    <row r="400" ht="39.75" hidden="1" customHeight="1">
      <c r="A400" s="1">
        <v>399.0</v>
      </c>
      <c r="B400" s="2" t="s">
        <v>42</v>
      </c>
      <c r="C400" s="2" t="s">
        <v>13</v>
      </c>
      <c r="D400" s="13"/>
      <c r="E400" s="13"/>
      <c r="F400" s="45"/>
      <c r="G400" s="42"/>
      <c r="H400" s="42"/>
      <c r="I400" s="42"/>
      <c r="J400" s="22"/>
    </row>
    <row r="401" ht="39.75" hidden="1" customHeight="1">
      <c r="A401" s="1">
        <v>400.0</v>
      </c>
      <c r="B401" s="2" t="s">
        <v>43</v>
      </c>
      <c r="C401" s="2" t="s">
        <v>13</v>
      </c>
      <c r="D401" s="13"/>
      <c r="E401" s="13"/>
      <c r="F401" s="45"/>
      <c r="G401" s="42"/>
      <c r="H401" s="42"/>
      <c r="I401" s="42"/>
      <c r="J401" s="22"/>
    </row>
    <row r="402" ht="39.75" hidden="1" customHeight="1">
      <c r="A402" s="1">
        <v>401.0</v>
      </c>
      <c r="B402" s="2" t="s">
        <v>45</v>
      </c>
      <c r="C402" s="2" t="s">
        <v>13</v>
      </c>
      <c r="D402" s="13"/>
      <c r="E402" s="13"/>
      <c r="F402" s="45"/>
      <c r="G402" s="42"/>
      <c r="H402" s="42"/>
      <c r="I402" s="42"/>
      <c r="J402" s="22"/>
    </row>
    <row r="403" ht="39.75" customHeight="1">
      <c r="A403" s="1">
        <v>402.0</v>
      </c>
      <c r="B403" s="2" t="s">
        <v>46</v>
      </c>
      <c r="C403" s="2" t="s">
        <v>49</v>
      </c>
      <c r="D403" s="13"/>
      <c r="E403" s="13"/>
      <c r="F403" s="44" t="s">
        <v>1002</v>
      </c>
      <c r="G403" s="43">
        <v>2.0</v>
      </c>
      <c r="H403" s="42"/>
      <c r="I403" s="42"/>
      <c r="J403" s="22"/>
    </row>
    <row r="404" ht="39.75" hidden="1" customHeight="1">
      <c r="A404" s="1">
        <v>403.0</v>
      </c>
      <c r="B404" s="2" t="s">
        <v>47</v>
      </c>
      <c r="C404" s="2" t="s">
        <v>13</v>
      </c>
      <c r="D404" s="13"/>
      <c r="E404" s="13"/>
      <c r="F404" s="45"/>
      <c r="G404" s="42"/>
      <c r="H404" s="42"/>
      <c r="I404" s="42"/>
      <c r="J404" s="22"/>
    </row>
    <row r="405" ht="39.75" customHeight="1">
      <c r="A405" s="1">
        <v>404.0</v>
      </c>
      <c r="B405" s="2" t="s">
        <v>48</v>
      </c>
      <c r="C405" s="13"/>
      <c r="D405" s="13"/>
      <c r="E405" s="51">
        <v>0.8958333333333334</v>
      </c>
      <c r="F405" s="44" t="s">
        <v>889</v>
      </c>
      <c r="G405" s="43">
        <v>1.0</v>
      </c>
      <c r="H405" s="43">
        <v>1.0</v>
      </c>
      <c r="I405" s="42"/>
      <c r="J405" s="22"/>
    </row>
    <row r="406" ht="39.75" customHeight="1">
      <c r="A406" s="1">
        <v>405.0</v>
      </c>
      <c r="B406" s="21"/>
      <c r="C406" s="21"/>
      <c r="D406" s="21"/>
      <c r="E406" s="21"/>
      <c r="F406" s="46"/>
      <c r="G406" s="47"/>
      <c r="H406" s="47"/>
      <c r="I406" s="47"/>
      <c r="J406" s="48"/>
      <c r="K406" s="49"/>
      <c r="L406" s="49"/>
      <c r="M406" s="49"/>
    </row>
    <row r="407" ht="39.75" customHeight="1">
      <c r="A407" s="1">
        <v>406.0</v>
      </c>
      <c r="B407" s="2" t="s">
        <v>1003</v>
      </c>
      <c r="C407" s="2" t="s">
        <v>1004</v>
      </c>
      <c r="D407" s="40"/>
      <c r="E407" s="40"/>
      <c r="F407" s="44" t="s">
        <v>1005</v>
      </c>
      <c r="G407" s="43">
        <v>1.0</v>
      </c>
      <c r="H407" s="42"/>
      <c r="I407" s="42"/>
      <c r="J407" s="27" t="s">
        <v>840</v>
      </c>
      <c r="K407" s="15" t="s">
        <v>274</v>
      </c>
    </row>
    <row r="408" ht="39.75" customHeight="1">
      <c r="A408" s="1">
        <v>407.0</v>
      </c>
      <c r="B408" s="2" t="s">
        <v>16</v>
      </c>
      <c r="C408" s="2" t="s">
        <v>49</v>
      </c>
      <c r="D408" s="53">
        <v>0.3541666666666667</v>
      </c>
      <c r="E408" s="51">
        <v>0.9166666666666666</v>
      </c>
      <c r="F408" s="44" t="s">
        <v>1006</v>
      </c>
      <c r="G408" s="43">
        <v>1.0</v>
      </c>
      <c r="H408" s="42"/>
      <c r="I408" s="42"/>
      <c r="J408" s="27" t="s">
        <v>274</v>
      </c>
    </row>
    <row r="409" ht="39.75" hidden="1" customHeight="1">
      <c r="A409" s="1">
        <v>408.0</v>
      </c>
      <c r="B409" s="2" t="s">
        <v>17</v>
      </c>
      <c r="C409" s="2" t="s">
        <v>13</v>
      </c>
      <c r="D409" s="13"/>
      <c r="E409" s="13"/>
      <c r="F409" s="44"/>
      <c r="G409" s="42"/>
      <c r="H409" s="42"/>
      <c r="I409" s="42"/>
      <c r="J409" s="27" t="s">
        <v>19</v>
      </c>
    </row>
    <row r="410" ht="39.75" hidden="1" customHeight="1">
      <c r="A410" s="1">
        <v>409.0</v>
      </c>
      <c r="B410" s="2" t="s">
        <v>331</v>
      </c>
      <c r="C410" s="2" t="s">
        <v>13</v>
      </c>
      <c r="D410" s="13"/>
      <c r="E410" s="13"/>
      <c r="F410" s="44"/>
      <c r="G410" s="42"/>
      <c r="H410" s="42"/>
      <c r="I410" s="42"/>
      <c r="J410" s="27" t="s">
        <v>410</v>
      </c>
    </row>
    <row r="411" ht="39.75" hidden="1" customHeight="1">
      <c r="A411" s="1">
        <v>410.0</v>
      </c>
      <c r="B411" s="2" t="s">
        <v>21</v>
      </c>
      <c r="C411" s="2" t="s">
        <v>13</v>
      </c>
      <c r="D411" s="13"/>
      <c r="E411" s="13"/>
      <c r="F411" s="45"/>
      <c r="G411" s="42"/>
      <c r="H411" s="42"/>
      <c r="I411" s="42"/>
      <c r="J411" s="27" t="s">
        <v>412</v>
      </c>
    </row>
    <row r="412" ht="39.75" hidden="1" customHeight="1">
      <c r="A412" s="1">
        <v>411.0</v>
      </c>
      <c r="B412" s="2" t="s">
        <v>22</v>
      </c>
      <c r="C412" s="2" t="s">
        <v>13</v>
      </c>
      <c r="D412" s="13"/>
      <c r="E412" s="13"/>
      <c r="F412" s="45"/>
      <c r="G412" s="42"/>
      <c r="H412" s="42"/>
      <c r="I412" s="42"/>
      <c r="J412" s="27" t="s">
        <v>413</v>
      </c>
    </row>
    <row r="413" ht="39.75" customHeight="1">
      <c r="A413" s="1">
        <v>412.0</v>
      </c>
      <c r="B413" s="2" t="s">
        <v>23</v>
      </c>
      <c r="C413" s="2" t="s">
        <v>39</v>
      </c>
      <c r="D413" s="40">
        <v>0.375</v>
      </c>
      <c r="E413" s="13"/>
      <c r="F413" s="44" t="s">
        <v>1007</v>
      </c>
      <c r="G413" s="43">
        <v>1.0</v>
      </c>
      <c r="H413" s="42"/>
      <c r="I413" s="42"/>
      <c r="J413" s="22"/>
    </row>
    <row r="414" ht="39.75" customHeight="1">
      <c r="A414" s="1">
        <v>413.0</v>
      </c>
      <c r="B414" s="2" t="s">
        <v>24</v>
      </c>
      <c r="C414" s="2" t="s">
        <v>63</v>
      </c>
      <c r="D414" s="13"/>
      <c r="E414" s="13"/>
      <c r="F414" s="44" t="s">
        <v>1008</v>
      </c>
      <c r="G414" s="42"/>
      <c r="H414" s="42"/>
      <c r="I414" s="42"/>
      <c r="J414" s="22"/>
    </row>
    <row r="415" ht="39.75" customHeight="1">
      <c r="A415" s="1">
        <v>414.0</v>
      </c>
      <c r="B415" s="2" t="s">
        <v>25</v>
      </c>
      <c r="C415" s="2"/>
      <c r="D415" s="13"/>
      <c r="E415" s="13"/>
      <c r="F415" s="44" t="s">
        <v>892</v>
      </c>
      <c r="G415" s="43">
        <v>1.0</v>
      </c>
      <c r="H415" s="43">
        <v>1.0</v>
      </c>
      <c r="I415" s="43">
        <v>1.0</v>
      </c>
      <c r="J415" s="22"/>
    </row>
    <row r="416" ht="39.75" hidden="1" customHeight="1">
      <c r="A416" s="1">
        <v>415.0</v>
      </c>
      <c r="B416" s="2" t="s">
        <v>26</v>
      </c>
      <c r="C416" s="2" t="s">
        <v>13</v>
      </c>
      <c r="D416" s="13"/>
      <c r="E416" s="13"/>
      <c r="F416" s="45"/>
      <c r="G416" s="42"/>
      <c r="H416" s="42"/>
      <c r="I416" s="42"/>
      <c r="J416" s="22"/>
    </row>
    <row r="417" ht="39.75" hidden="1" customHeight="1">
      <c r="A417" s="1">
        <v>416.0</v>
      </c>
      <c r="B417" s="2" t="s">
        <v>29</v>
      </c>
      <c r="C417" s="2" t="s">
        <v>13</v>
      </c>
      <c r="D417" s="13"/>
      <c r="E417" s="13"/>
      <c r="F417" s="44"/>
      <c r="G417" s="42"/>
      <c r="H417" s="42"/>
      <c r="I417" s="42"/>
      <c r="J417" s="22"/>
    </row>
    <row r="418" ht="39.75" hidden="1" customHeight="1">
      <c r="A418" s="1">
        <v>417.0</v>
      </c>
      <c r="B418" s="2" t="s">
        <v>30</v>
      </c>
      <c r="C418" s="2" t="s">
        <v>13</v>
      </c>
      <c r="D418" s="13"/>
      <c r="E418" s="13"/>
      <c r="F418" s="44"/>
      <c r="G418" s="42"/>
      <c r="H418" s="42"/>
      <c r="I418" s="42"/>
      <c r="J418" s="22"/>
    </row>
    <row r="419" ht="39.75" customHeight="1">
      <c r="A419" s="1">
        <v>418.0</v>
      </c>
      <c r="B419" s="2" t="s">
        <v>31</v>
      </c>
      <c r="C419" s="13"/>
      <c r="D419" s="40">
        <v>0.375</v>
      </c>
      <c r="E419" s="13"/>
      <c r="F419" s="44" t="s">
        <v>1009</v>
      </c>
      <c r="G419" s="43">
        <v>1.0</v>
      </c>
      <c r="H419" s="42"/>
      <c r="I419" s="43">
        <v>1.0</v>
      </c>
      <c r="J419" s="22"/>
    </row>
    <row r="420" ht="39.75" hidden="1" customHeight="1">
      <c r="A420" s="1">
        <v>419.0</v>
      </c>
      <c r="B420" s="2" t="s">
        <v>32</v>
      </c>
      <c r="C420" s="2" t="s">
        <v>13</v>
      </c>
      <c r="D420" s="13"/>
      <c r="E420" s="13"/>
      <c r="F420" s="45"/>
      <c r="G420" s="42"/>
      <c r="H420" s="42"/>
      <c r="I420" s="42"/>
      <c r="J420" s="22"/>
    </row>
    <row r="421" ht="39.75" customHeight="1">
      <c r="A421" s="1">
        <v>420.0</v>
      </c>
      <c r="B421" s="2" t="s">
        <v>67</v>
      </c>
      <c r="C421" s="2"/>
      <c r="D421" s="40">
        <v>0.375</v>
      </c>
      <c r="E421" s="13"/>
      <c r="F421" s="45"/>
      <c r="G421" s="42"/>
      <c r="H421" s="42"/>
      <c r="I421" s="42"/>
      <c r="J421" s="22"/>
    </row>
    <row r="422" ht="39.75" hidden="1" customHeight="1">
      <c r="A422" s="1">
        <v>421.0</v>
      </c>
      <c r="B422" s="2" t="s">
        <v>34</v>
      </c>
      <c r="C422" s="2" t="s">
        <v>13</v>
      </c>
      <c r="D422" s="13"/>
      <c r="E422" s="13"/>
      <c r="F422" s="44"/>
      <c r="G422" s="42"/>
      <c r="H422" s="43"/>
      <c r="I422" s="43"/>
      <c r="J422" s="22"/>
    </row>
    <row r="423" ht="39.75" hidden="1" customHeight="1">
      <c r="A423" s="1">
        <v>422.0</v>
      </c>
      <c r="B423" s="2" t="s">
        <v>35</v>
      </c>
      <c r="C423" s="2" t="s">
        <v>13</v>
      </c>
      <c r="D423" s="13"/>
      <c r="E423" s="13"/>
      <c r="F423" s="45"/>
      <c r="G423" s="42"/>
      <c r="H423" s="42"/>
      <c r="I423" s="42"/>
      <c r="J423" s="22"/>
    </row>
    <row r="424" ht="39.75" hidden="1" customHeight="1">
      <c r="A424" s="1">
        <v>423.0</v>
      </c>
      <c r="B424" s="2" t="s">
        <v>36</v>
      </c>
      <c r="C424" s="2" t="s">
        <v>13</v>
      </c>
      <c r="D424" s="13"/>
      <c r="E424" s="13"/>
      <c r="F424" s="44"/>
      <c r="G424" s="42"/>
      <c r="H424" s="42"/>
      <c r="I424" s="42"/>
      <c r="J424" s="22"/>
    </row>
    <row r="425" ht="39.75" customHeight="1">
      <c r="A425" s="1">
        <v>424.0</v>
      </c>
      <c r="B425" s="2" t="s">
        <v>38</v>
      </c>
      <c r="C425" s="2" t="s">
        <v>44</v>
      </c>
      <c r="D425" s="13"/>
      <c r="E425" s="13"/>
      <c r="F425" s="44"/>
      <c r="G425" s="42"/>
      <c r="H425" s="42"/>
      <c r="I425" s="42"/>
      <c r="J425" s="22"/>
    </row>
    <row r="426" ht="39.75" hidden="1" customHeight="1">
      <c r="A426" s="1">
        <v>425.0</v>
      </c>
      <c r="B426" s="2" t="s">
        <v>41</v>
      </c>
      <c r="C426" s="2" t="s">
        <v>13</v>
      </c>
      <c r="D426" s="13"/>
      <c r="E426" s="13"/>
      <c r="F426" s="44"/>
      <c r="G426" s="42"/>
      <c r="H426" s="42"/>
      <c r="I426" s="42"/>
      <c r="J426" s="22"/>
    </row>
    <row r="427" ht="39.75" hidden="1" customHeight="1">
      <c r="A427" s="1">
        <v>426.0</v>
      </c>
      <c r="B427" s="2" t="s">
        <v>42</v>
      </c>
      <c r="C427" s="2" t="s">
        <v>13</v>
      </c>
      <c r="D427" s="13"/>
      <c r="E427" s="13"/>
      <c r="F427" s="45"/>
      <c r="G427" s="42"/>
      <c r="H427" s="42"/>
      <c r="I427" s="42"/>
      <c r="J427" s="22"/>
    </row>
    <row r="428" ht="39.75" hidden="1" customHeight="1">
      <c r="A428" s="1">
        <v>427.0</v>
      </c>
      <c r="B428" s="2" t="s">
        <v>43</v>
      </c>
      <c r="C428" s="2" t="s">
        <v>13</v>
      </c>
      <c r="D428" s="13"/>
      <c r="E428" s="13"/>
      <c r="F428" s="45"/>
      <c r="G428" s="42"/>
      <c r="H428" s="42"/>
      <c r="I428" s="42"/>
      <c r="J428" s="22"/>
    </row>
    <row r="429" ht="39.75" customHeight="1">
      <c r="A429" s="1">
        <v>428.0</v>
      </c>
      <c r="B429" s="2" t="s">
        <v>45</v>
      </c>
      <c r="C429" s="2" t="s">
        <v>27</v>
      </c>
      <c r="D429" s="13"/>
      <c r="E429" s="13"/>
      <c r="F429" s="45"/>
      <c r="G429" s="42"/>
      <c r="H429" s="42"/>
      <c r="I429" s="42"/>
      <c r="J429" s="22"/>
    </row>
    <row r="430" ht="39.75" hidden="1" customHeight="1">
      <c r="A430" s="1">
        <v>429.0</v>
      </c>
      <c r="B430" s="2" t="s">
        <v>46</v>
      </c>
      <c r="C430" s="2" t="s">
        <v>13</v>
      </c>
      <c r="D430" s="40"/>
      <c r="E430" s="13"/>
      <c r="F430" s="44"/>
      <c r="G430" s="42"/>
      <c r="H430" s="42"/>
      <c r="I430" s="42"/>
      <c r="J430" s="22"/>
    </row>
    <row r="431" ht="39.75" hidden="1" customHeight="1">
      <c r="A431" s="1">
        <v>430.0</v>
      </c>
      <c r="B431" s="2" t="s">
        <v>47</v>
      </c>
      <c r="C431" s="2" t="s">
        <v>13</v>
      </c>
      <c r="D431" s="13"/>
      <c r="E431" s="13"/>
      <c r="F431" s="45"/>
      <c r="G431" s="42"/>
      <c r="H431" s="42"/>
      <c r="I431" s="42"/>
      <c r="J431" s="22"/>
    </row>
    <row r="432" ht="39.75" hidden="1" customHeight="1">
      <c r="A432" s="1">
        <v>431.0</v>
      </c>
      <c r="B432" s="2" t="s">
        <v>48</v>
      </c>
      <c r="C432" s="2" t="s">
        <v>13</v>
      </c>
      <c r="D432" s="13"/>
      <c r="E432" s="13"/>
      <c r="F432" s="45"/>
      <c r="G432" s="42"/>
      <c r="H432" s="42"/>
      <c r="I432" s="42"/>
      <c r="J432" s="22"/>
    </row>
    <row r="433" ht="39.75" customHeight="1">
      <c r="A433" s="1">
        <v>432.0</v>
      </c>
      <c r="B433" s="21"/>
      <c r="C433" s="21"/>
      <c r="D433" s="21"/>
      <c r="E433" s="21"/>
      <c r="F433" s="46"/>
      <c r="G433" s="47"/>
      <c r="H433" s="47"/>
      <c r="I433" s="47"/>
      <c r="J433" s="48"/>
      <c r="K433" s="49"/>
      <c r="L433" s="49"/>
      <c r="M433" s="49"/>
    </row>
    <row r="434" ht="39.75" customHeight="1">
      <c r="A434" s="1">
        <v>433.0</v>
      </c>
      <c r="B434" s="2" t="s">
        <v>12</v>
      </c>
      <c r="C434" s="2"/>
      <c r="D434" s="13"/>
      <c r="E434" s="13"/>
      <c r="F434" s="44" t="s">
        <v>1010</v>
      </c>
      <c r="G434" s="43">
        <v>1.0</v>
      </c>
      <c r="H434" s="42"/>
      <c r="I434" s="42"/>
      <c r="J434" s="27" t="s">
        <v>840</v>
      </c>
      <c r="K434" s="15" t="s">
        <v>294</v>
      </c>
    </row>
    <row r="435" ht="39.75" hidden="1" customHeight="1">
      <c r="A435" s="1">
        <v>434.0</v>
      </c>
      <c r="B435" s="2" t="s">
        <v>16</v>
      </c>
      <c r="C435" s="2" t="s">
        <v>58</v>
      </c>
      <c r="D435" s="13"/>
      <c r="E435" s="13"/>
      <c r="F435" s="45"/>
      <c r="G435" s="42"/>
      <c r="H435" s="42"/>
      <c r="I435" s="42"/>
      <c r="J435" s="27" t="s">
        <v>294</v>
      </c>
    </row>
    <row r="436" ht="39.75" customHeight="1">
      <c r="A436" s="1">
        <v>435.0</v>
      </c>
      <c r="B436" s="2" t="s">
        <v>17</v>
      </c>
      <c r="C436" s="13"/>
      <c r="D436" s="13"/>
      <c r="E436" s="13"/>
      <c r="F436" s="44" t="s">
        <v>1011</v>
      </c>
      <c r="G436" s="43">
        <v>1.0</v>
      </c>
      <c r="H436" s="42"/>
      <c r="I436" s="42"/>
      <c r="J436" s="27" t="s">
        <v>56</v>
      </c>
    </row>
    <row r="437" ht="39.75" hidden="1" customHeight="1">
      <c r="A437" s="1">
        <v>436.0</v>
      </c>
      <c r="B437" s="2" t="s">
        <v>331</v>
      </c>
      <c r="C437" s="2" t="s">
        <v>58</v>
      </c>
      <c r="D437" s="13"/>
      <c r="E437" s="13"/>
      <c r="F437" s="45"/>
      <c r="G437" s="42"/>
      <c r="H437" s="42"/>
      <c r="I437" s="42"/>
      <c r="J437" s="22"/>
    </row>
    <row r="438" ht="39.75" customHeight="1">
      <c r="A438" s="1">
        <v>437.0</v>
      </c>
      <c r="B438" s="2" t="s">
        <v>21</v>
      </c>
      <c r="C438" s="2" t="s">
        <v>277</v>
      </c>
      <c r="D438" s="13"/>
      <c r="E438" s="13"/>
      <c r="F438" s="45"/>
      <c r="G438" s="42"/>
      <c r="H438" s="42"/>
      <c r="I438" s="42"/>
      <c r="J438" s="22"/>
    </row>
    <row r="439" ht="39.75" customHeight="1">
      <c r="A439" s="1">
        <v>438.0</v>
      </c>
      <c r="B439" s="2" t="s">
        <v>22</v>
      </c>
      <c r="C439" s="2" t="s">
        <v>54</v>
      </c>
      <c r="D439" s="53">
        <v>0.3125</v>
      </c>
      <c r="E439" s="13"/>
      <c r="F439" s="44" t="s">
        <v>1012</v>
      </c>
      <c r="G439" s="43">
        <v>1.0</v>
      </c>
      <c r="H439" s="42"/>
      <c r="I439" s="42"/>
      <c r="J439" s="22"/>
    </row>
    <row r="440" ht="39.75" hidden="1" customHeight="1">
      <c r="A440" s="1">
        <v>439.0</v>
      </c>
      <c r="B440" s="2" t="s">
        <v>23</v>
      </c>
      <c r="C440" s="2" t="s">
        <v>58</v>
      </c>
      <c r="D440" s="13"/>
      <c r="E440" s="13"/>
      <c r="F440" s="45"/>
      <c r="G440" s="42"/>
      <c r="H440" s="42"/>
      <c r="I440" s="42"/>
      <c r="J440" s="22"/>
    </row>
    <row r="441" ht="39.75" hidden="1" customHeight="1">
      <c r="A441" s="1">
        <v>440.0</v>
      </c>
      <c r="B441" s="2" t="s">
        <v>24</v>
      </c>
      <c r="C441" s="2" t="s">
        <v>66</v>
      </c>
      <c r="D441" s="13"/>
      <c r="E441" s="13"/>
      <c r="F441" s="45"/>
      <c r="G441" s="42"/>
      <c r="H441" s="42"/>
      <c r="I441" s="42"/>
      <c r="J441" s="22"/>
    </row>
    <row r="442" ht="39.75" customHeight="1">
      <c r="A442" s="1">
        <v>441.0</v>
      </c>
      <c r="B442" s="2" t="s">
        <v>25</v>
      </c>
      <c r="C442" s="13"/>
      <c r="D442" s="13"/>
      <c r="E442" s="13"/>
      <c r="F442" s="44" t="s">
        <v>892</v>
      </c>
      <c r="G442" s="43">
        <v>1.0</v>
      </c>
      <c r="H442" s="43">
        <v>1.0</v>
      </c>
      <c r="I442" s="43">
        <v>1.0</v>
      </c>
      <c r="J442" s="22"/>
    </row>
    <row r="443" ht="39.75" customHeight="1">
      <c r="A443" s="1">
        <v>442.0</v>
      </c>
      <c r="B443" s="2" t="s">
        <v>26</v>
      </c>
      <c r="C443" s="2" t="s">
        <v>54</v>
      </c>
      <c r="D443" s="13"/>
      <c r="E443" s="13"/>
      <c r="F443" s="44" t="s">
        <v>1013</v>
      </c>
      <c r="G443" s="43">
        <v>1.0</v>
      </c>
      <c r="H443" s="42"/>
      <c r="I443" s="43">
        <v>1.0</v>
      </c>
      <c r="J443" s="22"/>
    </row>
    <row r="444" ht="39.75" customHeight="1">
      <c r="A444" s="1">
        <v>443.0</v>
      </c>
      <c r="B444" s="2" t="s">
        <v>29</v>
      </c>
      <c r="C444" s="2"/>
      <c r="D444" s="13"/>
      <c r="E444" s="13"/>
      <c r="F444" s="44" t="s">
        <v>1014</v>
      </c>
      <c r="G444" s="43">
        <v>1.0</v>
      </c>
      <c r="H444" s="42"/>
      <c r="I444" s="43">
        <v>1.0</v>
      </c>
      <c r="J444" s="22"/>
    </row>
    <row r="445" ht="39.75" customHeight="1">
      <c r="A445" s="1">
        <v>444.0</v>
      </c>
      <c r="B445" s="2" t="s">
        <v>30</v>
      </c>
      <c r="C445" s="2" t="s">
        <v>64</v>
      </c>
      <c r="D445" s="13"/>
      <c r="E445" s="13"/>
      <c r="F445" s="45"/>
      <c r="G445" s="42"/>
      <c r="H445" s="42"/>
      <c r="I445" s="42"/>
      <c r="J445" s="22"/>
    </row>
    <row r="446" ht="39.75" customHeight="1">
      <c r="A446" s="1">
        <v>445.0</v>
      </c>
      <c r="B446" s="2" t="s">
        <v>31</v>
      </c>
      <c r="C446" s="2" t="s">
        <v>54</v>
      </c>
      <c r="D446" s="13"/>
      <c r="E446" s="13"/>
      <c r="F446" s="44" t="s">
        <v>1015</v>
      </c>
      <c r="G446" s="43">
        <v>1.0</v>
      </c>
      <c r="H446" s="42"/>
      <c r="I446" s="43">
        <v>1.0</v>
      </c>
      <c r="J446" s="22"/>
    </row>
    <row r="447" ht="39.75" customHeight="1">
      <c r="A447" s="1">
        <v>446.0</v>
      </c>
      <c r="B447" s="2" t="s">
        <v>32</v>
      </c>
      <c r="C447" s="2" t="s">
        <v>27</v>
      </c>
      <c r="D447" s="13"/>
      <c r="E447" s="13"/>
      <c r="F447" s="45"/>
      <c r="G447" s="42"/>
      <c r="H447" s="42"/>
      <c r="I447" s="42"/>
      <c r="J447" s="22"/>
    </row>
    <row r="448" ht="39.75" customHeight="1">
      <c r="A448" s="1">
        <v>447.0</v>
      </c>
      <c r="B448" s="2" t="s">
        <v>67</v>
      </c>
      <c r="C448" s="2" t="s">
        <v>54</v>
      </c>
      <c r="D448" s="13"/>
      <c r="E448" s="13"/>
      <c r="F448" s="44" t="s">
        <v>1016</v>
      </c>
      <c r="G448" s="43">
        <v>1.0</v>
      </c>
      <c r="H448" s="42"/>
      <c r="I448" s="43">
        <v>1.0</v>
      </c>
      <c r="J448" s="22"/>
    </row>
    <row r="449" ht="39.75" customHeight="1">
      <c r="A449" s="1">
        <v>448.0</v>
      </c>
      <c r="B449" s="2" t="s">
        <v>34</v>
      </c>
      <c r="C449" s="2" t="s">
        <v>69</v>
      </c>
      <c r="D449" s="13"/>
      <c r="E449" s="13"/>
      <c r="F449" s="45"/>
      <c r="G449" s="42"/>
      <c r="H449" s="42"/>
      <c r="I449" s="42"/>
      <c r="J449" s="22"/>
    </row>
    <row r="450" ht="39.75" customHeight="1">
      <c r="A450" s="1">
        <v>449.0</v>
      </c>
      <c r="B450" s="2" t="s">
        <v>35</v>
      </c>
      <c r="C450" s="2"/>
      <c r="D450" s="13"/>
      <c r="E450" s="13"/>
      <c r="F450" s="44" t="s">
        <v>1017</v>
      </c>
      <c r="G450" s="43">
        <v>1.0</v>
      </c>
      <c r="H450" s="42"/>
      <c r="I450" s="43">
        <v>1.0</v>
      </c>
      <c r="J450" s="22"/>
    </row>
    <row r="451" ht="39.75" customHeight="1">
      <c r="A451" s="1">
        <v>450.0</v>
      </c>
      <c r="B451" s="2" t="s">
        <v>36</v>
      </c>
      <c r="C451" s="2"/>
      <c r="D451" s="13"/>
      <c r="E451" s="13"/>
      <c r="F451" s="44" t="s">
        <v>1018</v>
      </c>
      <c r="G451" s="43">
        <v>1.0</v>
      </c>
      <c r="H451" s="42"/>
      <c r="I451" s="43">
        <v>1.0</v>
      </c>
      <c r="J451" s="22"/>
    </row>
    <row r="452" ht="39.75" customHeight="1">
      <c r="A452" s="1">
        <v>451.0</v>
      </c>
      <c r="B452" s="2" t="s">
        <v>38</v>
      </c>
      <c r="C452" s="2" t="s">
        <v>69</v>
      </c>
      <c r="D452" s="13"/>
      <c r="E452" s="13"/>
      <c r="F452" s="44"/>
      <c r="G452" s="43"/>
      <c r="H452" s="42"/>
      <c r="I452" s="42"/>
      <c r="J452" s="22"/>
    </row>
    <row r="453" ht="39.75" customHeight="1">
      <c r="A453" s="1">
        <v>452.0</v>
      </c>
      <c r="B453" s="2" t="s">
        <v>41</v>
      </c>
      <c r="C453" s="2"/>
      <c r="D453" s="13"/>
      <c r="E453" s="13"/>
      <c r="F453" s="44" t="s">
        <v>1019</v>
      </c>
      <c r="G453" s="43">
        <v>1.0</v>
      </c>
      <c r="H453" s="42"/>
      <c r="I453" s="42"/>
      <c r="J453" s="22"/>
    </row>
    <row r="454" ht="39.75" customHeight="1">
      <c r="A454" s="1">
        <v>453.0</v>
      </c>
      <c r="B454" s="2" t="s">
        <v>42</v>
      </c>
      <c r="C454" s="2" t="s">
        <v>69</v>
      </c>
      <c r="D454" s="13"/>
      <c r="E454" s="13"/>
      <c r="F454" s="44" t="s">
        <v>1020</v>
      </c>
      <c r="G454" s="43">
        <v>1.0</v>
      </c>
      <c r="H454" s="42"/>
      <c r="I454" s="42"/>
      <c r="J454" s="22"/>
    </row>
    <row r="455" ht="39.75" hidden="1" customHeight="1">
      <c r="A455" s="1">
        <v>454.0</v>
      </c>
      <c r="B455" s="2" t="s">
        <v>43</v>
      </c>
      <c r="C455" s="2" t="s">
        <v>58</v>
      </c>
      <c r="D455" s="13"/>
      <c r="E455" s="13"/>
      <c r="F455" s="45"/>
      <c r="G455" s="42"/>
      <c r="H455" s="42"/>
      <c r="I455" s="42"/>
      <c r="J455" s="22"/>
    </row>
    <row r="456" ht="39.75" customHeight="1">
      <c r="A456" s="1">
        <v>455.0</v>
      </c>
      <c r="B456" s="2" t="s">
        <v>45</v>
      </c>
      <c r="C456" s="2" t="s">
        <v>44</v>
      </c>
      <c r="D456" s="13"/>
      <c r="E456" s="13"/>
      <c r="F456" s="45"/>
      <c r="G456" s="42"/>
      <c r="H456" s="42"/>
      <c r="I456" s="42"/>
      <c r="J456" s="22"/>
    </row>
    <row r="457" ht="39.75" customHeight="1">
      <c r="A457" s="1">
        <v>456.0</v>
      </c>
      <c r="B457" s="2" t="s">
        <v>46</v>
      </c>
      <c r="C457" s="2" t="s">
        <v>39</v>
      </c>
      <c r="D457" s="53">
        <v>0.2708333333333333</v>
      </c>
      <c r="E457" s="13"/>
      <c r="F457" s="44" t="s">
        <v>1021</v>
      </c>
      <c r="G457" s="43">
        <v>1.0</v>
      </c>
      <c r="H457" s="42"/>
      <c r="I457" s="42"/>
      <c r="J457" s="22"/>
    </row>
    <row r="458" ht="39.75" customHeight="1">
      <c r="A458" s="1">
        <v>457.0</v>
      </c>
      <c r="B458" s="2" t="s">
        <v>47</v>
      </c>
      <c r="C458" s="2" t="s">
        <v>39</v>
      </c>
      <c r="D458" s="13"/>
      <c r="E458" s="13"/>
      <c r="F458" s="44" t="s">
        <v>1022</v>
      </c>
      <c r="G458" s="43">
        <v>1.0</v>
      </c>
      <c r="H458" s="42"/>
      <c r="I458" s="43">
        <v>1.0</v>
      </c>
      <c r="J458" s="22"/>
    </row>
    <row r="459" ht="39.75" customHeight="1">
      <c r="A459" s="1">
        <v>458.0</v>
      </c>
      <c r="B459" s="2" t="s">
        <v>48</v>
      </c>
      <c r="C459" s="2"/>
      <c r="D459" s="13"/>
      <c r="E459" s="13"/>
      <c r="F459" s="44" t="s">
        <v>1023</v>
      </c>
      <c r="G459" s="43">
        <v>1.0</v>
      </c>
      <c r="H459" s="42"/>
      <c r="I459" s="42"/>
      <c r="J459" s="22"/>
    </row>
    <row r="460" ht="39.75" customHeight="1">
      <c r="A460" s="1">
        <v>459.0</v>
      </c>
      <c r="B460" s="21"/>
      <c r="C460" s="21"/>
      <c r="D460" s="21"/>
      <c r="E460" s="21"/>
      <c r="F460" s="46"/>
      <c r="G460" s="47"/>
      <c r="H460" s="47"/>
      <c r="I460" s="47"/>
      <c r="J460" s="48"/>
      <c r="K460" s="49"/>
      <c r="L460" s="49"/>
      <c r="M460" s="49"/>
    </row>
    <row r="461" ht="39.75" customHeight="1">
      <c r="A461" s="1">
        <v>460.0</v>
      </c>
      <c r="B461" s="2" t="s">
        <v>12</v>
      </c>
      <c r="C461" s="2" t="s">
        <v>54</v>
      </c>
      <c r="D461" s="40"/>
      <c r="E461" s="13"/>
      <c r="F461" s="44" t="s">
        <v>1024</v>
      </c>
      <c r="G461" s="43">
        <v>1.0</v>
      </c>
      <c r="H461" s="42"/>
      <c r="I461" s="42"/>
      <c r="J461" s="27" t="s">
        <v>840</v>
      </c>
      <c r="K461" s="15" t="s">
        <v>309</v>
      </c>
    </row>
    <row r="462" ht="39.75" customHeight="1">
      <c r="A462" s="1">
        <v>461.0</v>
      </c>
      <c r="B462" s="2" t="s">
        <v>16</v>
      </c>
      <c r="C462" s="2"/>
      <c r="D462" s="40">
        <v>0.375</v>
      </c>
      <c r="E462" s="13"/>
      <c r="F462" s="45"/>
      <c r="G462" s="42"/>
      <c r="H462" s="42"/>
      <c r="I462" s="42"/>
      <c r="J462" s="27" t="s">
        <v>309</v>
      </c>
    </row>
    <row r="463" ht="39.75" customHeight="1">
      <c r="A463" s="1">
        <v>462.0</v>
      </c>
      <c r="B463" s="2" t="s">
        <v>17</v>
      </c>
      <c r="C463" s="2"/>
      <c r="D463" s="40">
        <v>0.375</v>
      </c>
      <c r="E463" s="13"/>
      <c r="F463" s="45"/>
      <c r="G463" s="42"/>
      <c r="H463" s="42"/>
      <c r="I463" s="42"/>
      <c r="J463" s="27" t="s">
        <v>77</v>
      </c>
    </row>
    <row r="464" ht="39.75" hidden="1" customHeight="1">
      <c r="A464" s="1">
        <v>463.0</v>
      </c>
      <c r="B464" s="2" t="s">
        <v>331</v>
      </c>
      <c r="C464" s="2" t="s">
        <v>58</v>
      </c>
      <c r="D464" s="13"/>
      <c r="E464" s="13"/>
      <c r="F464" s="45"/>
      <c r="G464" s="42"/>
      <c r="H464" s="42"/>
      <c r="I464" s="42"/>
      <c r="J464" s="22"/>
    </row>
    <row r="465" ht="39.75" customHeight="1">
      <c r="A465" s="1">
        <v>464.0</v>
      </c>
      <c r="B465" s="2" t="s">
        <v>21</v>
      </c>
      <c r="C465" s="2" t="s">
        <v>277</v>
      </c>
      <c r="D465" s="13"/>
      <c r="E465" s="13"/>
      <c r="F465" s="45"/>
      <c r="G465" s="42"/>
      <c r="H465" s="42"/>
      <c r="I465" s="42"/>
      <c r="J465" s="22"/>
    </row>
    <row r="466" ht="39.75" customHeight="1">
      <c r="A466" s="1">
        <v>465.0</v>
      </c>
      <c r="B466" s="2" t="s">
        <v>22</v>
      </c>
      <c r="C466" s="2" t="s">
        <v>69</v>
      </c>
      <c r="D466" s="13"/>
      <c r="E466" s="13"/>
      <c r="F466" s="44" t="s">
        <v>1025</v>
      </c>
      <c r="G466" s="43">
        <v>1.0</v>
      </c>
      <c r="H466" s="42"/>
      <c r="I466" s="42"/>
      <c r="J466" s="22"/>
    </row>
    <row r="467" ht="39.75" hidden="1" customHeight="1">
      <c r="A467" s="1">
        <v>466.0</v>
      </c>
      <c r="B467" s="2" t="s">
        <v>23</v>
      </c>
      <c r="C467" s="2" t="s">
        <v>58</v>
      </c>
      <c r="D467" s="13"/>
      <c r="E467" s="13"/>
      <c r="F467" s="45"/>
      <c r="G467" s="42"/>
      <c r="H467" s="42"/>
      <c r="I467" s="42"/>
      <c r="J467" s="22"/>
    </row>
    <row r="468" ht="39.75" customHeight="1">
      <c r="A468" s="1">
        <v>467.0</v>
      </c>
      <c r="B468" s="2" t="s">
        <v>24</v>
      </c>
      <c r="C468" s="2"/>
      <c r="D468" s="40">
        <v>0.375</v>
      </c>
      <c r="E468" s="13"/>
      <c r="F468" s="44" t="s">
        <v>1026</v>
      </c>
      <c r="G468" s="43">
        <v>1.0</v>
      </c>
      <c r="H468" s="42"/>
      <c r="I468" s="43">
        <v>1.0</v>
      </c>
      <c r="J468" s="22"/>
    </row>
    <row r="469" ht="39.75" customHeight="1">
      <c r="A469" s="1">
        <v>468.0</v>
      </c>
      <c r="B469" s="2" t="s">
        <v>25</v>
      </c>
      <c r="C469" s="2"/>
      <c r="D469" s="13"/>
      <c r="E469" s="51">
        <v>0.875</v>
      </c>
      <c r="F469" s="44" t="s">
        <v>892</v>
      </c>
      <c r="G469" s="43">
        <v>1.0</v>
      </c>
      <c r="H469" s="43">
        <v>1.0</v>
      </c>
      <c r="I469" s="43">
        <v>1.0</v>
      </c>
      <c r="J469" s="22"/>
    </row>
    <row r="470" ht="39.75" customHeight="1">
      <c r="A470" s="1">
        <v>469.0</v>
      </c>
      <c r="B470" s="2" t="s">
        <v>26</v>
      </c>
      <c r="C470" s="2" t="s">
        <v>54</v>
      </c>
      <c r="D470" s="13"/>
      <c r="E470" s="13"/>
      <c r="F470" s="44" t="s">
        <v>1027</v>
      </c>
      <c r="G470" s="43">
        <v>1.0</v>
      </c>
      <c r="H470" s="42"/>
      <c r="I470" s="43">
        <v>1.0</v>
      </c>
      <c r="J470" s="22"/>
    </row>
    <row r="471" ht="39.75" customHeight="1">
      <c r="A471" s="1">
        <v>470.0</v>
      </c>
      <c r="B471" s="2" t="s">
        <v>29</v>
      </c>
      <c r="C471" s="2"/>
      <c r="D471" s="40">
        <v>0.375</v>
      </c>
      <c r="E471" s="13"/>
      <c r="F471" s="44" t="s">
        <v>1028</v>
      </c>
      <c r="G471" s="43">
        <v>1.0</v>
      </c>
      <c r="H471" s="42"/>
      <c r="I471" s="42"/>
      <c r="J471" s="22"/>
    </row>
    <row r="472" ht="39.75" customHeight="1">
      <c r="A472" s="1">
        <v>471.0</v>
      </c>
      <c r="B472" s="2" t="s">
        <v>30</v>
      </c>
      <c r="C472" s="2" t="s">
        <v>64</v>
      </c>
      <c r="D472" s="13"/>
      <c r="E472" s="13"/>
      <c r="F472" s="45"/>
      <c r="G472" s="42"/>
      <c r="H472" s="42"/>
      <c r="I472" s="42"/>
      <c r="J472" s="22"/>
    </row>
    <row r="473" ht="39.75" customHeight="1">
      <c r="A473" s="1">
        <v>472.0</v>
      </c>
      <c r="B473" s="2" t="s">
        <v>31</v>
      </c>
      <c r="C473" s="2" t="s">
        <v>39</v>
      </c>
      <c r="D473" s="53">
        <v>0.2847222222222222</v>
      </c>
      <c r="E473" s="13"/>
      <c r="F473" s="44" t="s">
        <v>1029</v>
      </c>
      <c r="G473" s="43">
        <v>1.0</v>
      </c>
      <c r="H473" s="42"/>
      <c r="I473" s="42"/>
      <c r="J473" s="22"/>
    </row>
    <row r="474" ht="39.75" customHeight="1">
      <c r="A474" s="1">
        <v>473.0</v>
      </c>
      <c r="B474" s="2" t="s">
        <v>32</v>
      </c>
      <c r="C474" s="2" t="s">
        <v>44</v>
      </c>
      <c r="D474" s="13"/>
      <c r="E474" s="13"/>
      <c r="F474" s="45"/>
      <c r="G474" s="42"/>
      <c r="H474" s="42"/>
      <c r="I474" s="42"/>
      <c r="J474" s="22"/>
    </row>
    <row r="475" ht="39.75" customHeight="1">
      <c r="A475" s="1">
        <v>474.0</v>
      </c>
      <c r="B475" s="2" t="s">
        <v>67</v>
      </c>
      <c r="C475" s="2" t="s">
        <v>69</v>
      </c>
      <c r="D475" s="13"/>
      <c r="E475" s="13"/>
      <c r="F475" s="44" t="s">
        <v>1030</v>
      </c>
      <c r="G475" s="43">
        <v>2.0</v>
      </c>
      <c r="H475" s="42"/>
      <c r="I475" s="43">
        <v>2.0</v>
      </c>
      <c r="J475" s="22"/>
    </row>
    <row r="476" ht="39.75" customHeight="1">
      <c r="A476" s="1">
        <v>475.0</v>
      </c>
      <c r="B476" s="2" t="s">
        <v>34</v>
      </c>
      <c r="C476" s="2"/>
      <c r="D476" s="40">
        <v>0.375</v>
      </c>
      <c r="E476" s="13"/>
      <c r="F476" s="64" t="s">
        <v>1031</v>
      </c>
      <c r="G476" s="43">
        <v>1.0</v>
      </c>
      <c r="H476" s="42"/>
      <c r="I476" s="42"/>
      <c r="J476" s="22"/>
    </row>
    <row r="477" ht="39.75" customHeight="1">
      <c r="A477" s="1">
        <v>476.0</v>
      </c>
      <c r="B477" s="2" t="s">
        <v>35</v>
      </c>
      <c r="C477" s="2" t="s">
        <v>39</v>
      </c>
      <c r="D477" s="40">
        <v>0.2847222222222222</v>
      </c>
      <c r="E477" s="13"/>
      <c r="F477" s="64" t="s">
        <v>1032</v>
      </c>
      <c r="G477" s="43">
        <v>1.0</v>
      </c>
      <c r="H477" s="42"/>
      <c r="I477" s="43"/>
      <c r="J477" s="22"/>
    </row>
    <row r="478" ht="39.75" customHeight="1">
      <c r="A478" s="1">
        <v>477.0</v>
      </c>
      <c r="B478" s="2" t="s">
        <v>36</v>
      </c>
      <c r="C478" s="2" t="s">
        <v>54</v>
      </c>
      <c r="D478" s="40">
        <v>0.4166666666666667</v>
      </c>
      <c r="E478" s="13"/>
      <c r="F478" s="44" t="s">
        <v>1033</v>
      </c>
      <c r="G478" s="43">
        <v>1.0</v>
      </c>
      <c r="H478" s="42"/>
      <c r="I478" s="42"/>
      <c r="J478" s="22"/>
    </row>
    <row r="479" ht="39.75" customHeight="1">
      <c r="A479" s="1">
        <v>478.0</v>
      </c>
      <c r="B479" s="2" t="s">
        <v>38</v>
      </c>
      <c r="C479" s="2"/>
      <c r="D479" s="40">
        <v>0.375</v>
      </c>
      <c r="E479" s="13"/>
      <c r="F479" s="44" t="s">
        <v>1034</v>
      </c>
      <c r="G479" s="43">
        <v>1.0</v>
      </c>
      <c r="H479" s="42"/>
      <c r="I479" s="42"/>
      <c r="J479" s="22"/>
    </row>
    <row r="480" ht="39.75" customHeight="1">
      <c r="A480" s="1">
        <v>479.0</v>
      </c>
      <c r="B480" s="2" t="s">
        <v>41</v>
      </c>
      <c r="C480" s="2" t="s">
        <v>69</v>
      </c>
      <c r="D480" s="13"/>
      <c r="E480" s="13"/>
      <c r="F480" s="44" t="s">
        <v>1035</v>
      </c>
      <c r="G480" s="43">
        <v>1.0</v>
      </c>
      <c r="H480" s="42"/>
      <c r="I480" s="42"/>
      <c r="J480" s="22"/>
    </row>
    <row r="481" ht="39.75" customHeight="1">
      <c r="A481" s="1">
        <v>480.0</v>
      </c>
      <c r="B481" s="2" t="s">
        <v>42</v>
      </c>
      <c r="C481" s="2"/>
      <c r="D481" s="40">
        <v>0.375</v>
      </c>
      <c r="E481" s="13"/>
      <c r="F481" s="45"/>
      <c r="G481" s="42"/>
      <c r="H481" s="42"/>
      <c r="I481" s="42"/>
      <c r="J481" s="22"/>
    </row>
    <row r="482" ht="39.75" hidden="1" customHeight="1">
      <c r="A482" s="1">
        <v>481.0</v>
      </c>
      <c r="B482" s="2" t="s">
        <v>43</v>
      </c>
      <c r="C482" s="2" t="s">
        <v>58</v>
      </c>
      <c r="D482" s="13"/>
      <c r="E482" s="13"/>
      <c r="F482" s="45"/>
      <c r="G482" s="42"/>
      <c r="H482" s="42"/>
      <c r="I482" s="42"/>
      <c r="J482" s="22"/>
    </row>
    <row r="483" ht="39.75" customHeight="1">
      <c r="A483" s="1">
        <v>482.0</v>
      </c>
      <c r="B483" s="2" t="s">
        <v>45</v>
      </c>
      <c r="C483" s="2" t="s">
        <v>54</v>
      </c>
      <c r="D483" s="13"/>
      <c r="E483" s="13"/>
      <c r="F483" s="57" t="s">
        <v>1036</v>
      </c>
      <c r="G483" s="43">
        <v>1.0</v>
      </c>
      <c r="H483" s="42"/>
      <c r="I483" s="42"/>
      <c r="J483" s="22"/>
    </row>
    <row r="484" ht="39.75" hidden="1" customHeight="1">
      <c r="A484" s="1">
        <v>483.0</v>
      </c>
      <c r="B484" s="2" t="s">
        <v>46</v>
      </c>
      <c r="C484" s="2" t="s">
        <v>58</v>
      </c>
      <c r="D484" s="13"/>
      <c r="E484" s="13"/>
      <c r="F484" s="45"/>
      <c r="G484" s="42"/>
      <c r="H484" s="42"/>
      <c r="I484" s="42"/>
      <c r="J484" s="22"/>
    </row>
    <row r="485" ht="39.75" hidden="1" customHeight="1">
      <c r="A485" s="1">
        <v>484.0</v>
      </c>
      <c r="B485" s="2" t="s">
        <v>47</v>
      </c>
      <c r="C485" s="2" t="s">
        <v>66</v>
      </c>
      <c r="D485" s="13"/>
      <c r="E485" s="13"/>
      <c r="F485" s="45"/>
      <c r="G485" s="42"/>
      <c r="H485" s="42"/>
      <c r="I485" s="42"/>
      <c r="J485" s="22"/>
    </row>
    <row r="486" ht="39.75" customHeight="1">
      <c r="A486" s="1">
        <v>485.0</v>
      </c>
      <c r="B486" s="2" t="s">
        <v>48</v>
      </c>
      <c r="C486" s="2" t="s">
        <v>27</v>
      </c>
      <c r="D486" s="13"/>
      <c r="E486" s="13"/>
      <c r="F486" s="44" t="s">
        <v>1037</v>
      </c>
      <c r="G486" s="43">
        <v>1.0</v>
      </c>
      <c r="H486" s="42"/>
      <c r="I486" s="43">
        <v>1.0</v>
      </c>
      <c r="J486" s="22"/>
    </row>
    <row r="487" ht="39.75" customHeight="1">
      <c r="A487" s="1">
        <v>486.0</v>
      </c>
      <c r="B487" s="21"/>
      <c r="C487" s="21"/>
      <c r="D487" s="21"/>
      <c r="E487" s="21"/>
      <c r="F487" s="46"/>
      <c r="G487" s="47"/>
      <c r="H487" s="47"/>
      <c r="I487" s="47"/>
      <c r="J487" s="48"/>
      <c r="K487" s="49"/>
      <c r="L487" s="49"/>
      <c r="M487" s="49"/>
    </row>
    <row r="488" ht="39.75" customHeight="1">
      <c r="A488" s="1">
        <v>487.0</v>
      </c>
      <c r="B488" s="2" t="s">
        <v>12</v>
      </c>
      <c r="C488" s="2" t="s">
        <v>62</v>
      </c>
      <c r="D488" s="13"/>
      <c r="E488" s="13"/>
      <c r="F488" s="45"/>
      <c r="G488" s="42"/>
      <c r="H488" s="42"/>
      <c r="I488" s="42"/>
      <c r="J488" s="27" t="s">
        <v>840</v>
      </c>
      <c r="K488" s="15" t="s">
        <v>328</v>
      </c>
    </row>
    <row r="489" ht="39.75" hidden="1" customHeight="1">
      <c r="A489" s="1">
        <v>488.0</v>
      </c>
      <c r="B489" s="2" t="s">
        <v>16</v>
      </c>
      <c r="C489" s="2" t="s">
        <v>66</v>
      </c>
      <c r="D489" s="13"/>
      <c r="E489" s="13"/>
      <c r="F489" s="45"/>
      <c r="G489" s="42"/>
      <c r="H489" s="42"/>
      <c r="I489" s="42"/>
      <c r="J489" s="27" t="s">
        <v>328</v>
      </c>
    </row>
    <row r="490" ht="39.75" customHeight="1">
      <c r="A490" s="1">
        <v>489.0</v>
      </c>
      <c r="B490" s="2" t="s">
        <v>17</v>
      </c>
      <c r="C490" s="2"/>
      <c r="D490" s="13"/>
      <c r="E490" s="13"/>
      <c r="F490" s="44" t="s">
        <v>1038</v>
      </c>
      <c r="G490" s="43">
        <v>1.0</v>
      </c>
      <c r="H490" s="42"/>
      <c r="I490" s="42"/>
      <c r="J490" s="27" t="s">
        <v>95</v>
      </c>
    </row>
    <row r="491" ht="39.75" customHeight="1">
      <c r="A491" s="1">
        <v>490.0</v>
      </c>
      <c r="B491" s="2" t="s">
        <v>331</v>
      </c>
      <c r="C491" s="2" t="s">
        <v>542</v>
      </c>
      <c r="D491" s="13"/>
      <c r="E491" s="13"/>
      <c r="F491" s="44" t="s">
        <v>1039</v>
      </c>
      <c r="G491" s="43">
        <v>1.0</v>
      </c>
      <c r="H491" s="42"/>
      <c r="I491" s="42"/>
      <c r="J491" s="22"/>
    </row>
    <row r="492" ht="39.75" customHeight="1">
      <c r="A492" s="1">
        <v>491.0</v>
      </c>
      <c r="B492" s="2" t="s">
        <v>21</v>
      </c>
      <c r="C492" s="2" t="s">
        <v>277</v>
      </c>
      <c r="D492" s="13"/>
      <c r="E492" s="13"/>
      <c r="F492" s="45"/>
      <c r="G492" s="42"/>
      <c r="H492" s="42"/>
      <c r="I492" s="42"/>
      <c r="J492" s="22"/>
    </row>
    <row r="493" ht="39.75" customHeight="1">
      <c r="A493" s="1">
        <v>492.0</v>
      </c>
      <c r="B493" s="2" t="s">
        <v>22</v>
      </c>
      <c r="C493" s="2" t="s">
        <v>39</v>
      </c>
      <c r="D493" s="13"/>
      <c r="E493" s="13"/>
      <c r="F493" s="44" t="s">
        <v>1040</v>
      </c>
      <c r="G493" s="43">
        <v>1.0</v>
      </c>
      <c r="H493" s="42"/>
      <c r="I493" s="43"/>
      <c r="J493" s="22"/>
    </row>
    <row r="494" ht="39.75" hidden="1" customHeight="1">
      <c r="A494" s="1">
        <v>493.0</v>
      </c>
      <c r="B494" s="2" t="s">
        <v>23</v>
      </c>
      <c r="C494" s="2" t="s">
        <v>58</v>
      </c>
      <c r="D494" s="13"/>
      <c r="E494" s="13"/>
      <c r="F494" s="45"/>
      <c r="G494" s="42"/>
      <c r="H494" s="42"/>
      <c r="I494" s="42"/>
      <c r="J494" s="22"/>
    </row>
    <row r="495" ht="39.75" customHeight="1">
      <c r="A495" s="1">
        <v>494.0</v>
      </c>
      <c r="B495" s="2" t="s">
        <v>24</v>
      </c>
      <c r="C495" s="2"/>
      <c r="D495" s="13"/>
      <c r="E495" s="13"/>
      <c r="F495" s="44" t="s">
        <v>1041</v>
      </c>
      <c r="G495" s="43">
        <v>1.0</v>
      </c>
      <c r="H495" s="42"/>
      <c r="I495" s="42"/>
      <c r="J495" s="22"/>
    </row>
    <row r="496" ht="39.75" customHeight="1">
      <c r="A496" s="1">
        <v>495.0</v>
      </c>
      <c r="B496" s="2" t="s">
        <v>25</v>
      </c>
      <c r="C496" s="2" t="s">
        <v>54</v>
      </c>
      <c r="D496" s="13"/>
      <c r="E496" s="13"/>
      <c r="F496" s="45"/>
      <c r="G496" s="42"/>
      <c r="H496" s="42"/>
      <c r="I496" s="42"/>
      <c r="J496" s="22"/>
    </row>
    <row r="497" ht="39.75" customHeight="1">
      <c r="A497" s="1">
        <v>496.0</v>
      </c>
      <c r="B497" s="2" t="s">
        <v>26</v>
      </c>
      <c r="C497" s="2" t="s">
        <v>54</v>
      </c>
      <c r="D497" s="13"/>
      <c r="E497" s="13"/>
      <c r="F497" s="44" t="s">
        <v>1042</v>
      </c>
      <c r="G497" s="43">
        <v>1.0</v>
      </c>
      <c r="H497" s="42"/>
      <c r="I497" s="42"/>
      <c r="J497" s="22"/>
    </row>
    <row r="498" ht="39.75" customHeight="1">
      <c r="A498" s="1">
        <v>497.0</v>
      </c>
      <c r="B498" s="2" t="s">
        <v>29</v>
      </c>
      <c r="C498" s="2" t="s">
        <v>69</v>
      </c>
      <c r="D498" s="13"/>
      <c r="E498" s="13"/>
      <c r="F498" s="45"/>
      <c r="G498" s="42"/>
      <c r="H498" s="42"/>
      <c r="I498" s="42"/>
      <c r="J498" s="22"/>
    </row>
    <row r="499" ht="39.75" customHeight="1">
      <c r="A499" s="1">
        <v>498.0</v>
      </c>
      <c r="B499" s="2" t="s">
        <v>30</v>
      </c>
      <c r="C499" s="2" t="s">
        <v>64</v>
      </c>
      <c r="D499" s="13"/>
      <c r="E499" s="13"/>
      <c r="F499" s="45"/>
      <c r="G499" s="42"/>
      <c r="H499" s="42"/>
      <c r="I499" s="42"/>
      <c r="J499" s="22"/>
    </row>
    <row r="500" ht="39.75" customHeight="1">
      <c r="A500" s="1">
        <v>499.0</v>
      </c>
      <c r="B500" s="2" t="s">
        <v>31</v>
      </c>
      <c r="C500" s="2" t="s">
        <v>27</v>
      </c>
      <c r="D500" s="13"/>
      <c r="E500" s="13"/>
      <c r="F500" s="44" t="s">
        <v>1043</v>
      </c>
      <c r="G500" s="43">
        <v>1.0</v>
      </c>
      <c r="H500" s="42"/>
      <c r="I500" s="42"/>
      <c r="J500" s="22"/>
    </row>
    <row r="501" ht="39.75" hidden="1" customHeight="1">
      <c r="A501" s="1">
        <v>500.0</v>
      </c>
      <c r="B501" s="2" t="s">
        <v>32</v>
      </c>
      <c r="C501" s="2" t="s">
        <v>58</v>
      </c>
      <c r="D501" s="13"/>
      <c r="E501" s="13"/>
      <c r="F501" s="45"/>
      <c r="G501" s="42"/>
      <c r="H501" s="42"/>
      <c r="I501" s="42"/>
      <c r="J501" s="22"/>
    </row>
    <row r="502" ht="39.75" customHeight="1">
      <c r="A502" s="1">
        <v>501.0</v>
      </c>
      <c r="B502" s="2" t="s">
        <v>67</v>
      </c>
      <c r="C502" s="2" t="s">
        <v>39</v>
      </c>
      <c r="D502" s="53">
        <v>0.2708333333333333</v>
      </c>
      <c r="E502" s="13"/>
      <c r="F502" s="44" t="s">
        <v>1044</v>
      </c>
      <c r="G502" s="43">
        <v>1.0</v>
      </c>
      <c r="H502" s="42"/>
      <c r="I502" s="43">
        <v>1.0</v>
      </c>
      <c r="J502" s="22"/>
    </row>
    <row r="503" ht="39.75" customHeight="1">
      <c r="A503" s="1">
        <v>502.0</v>
      </c>
      <c r="B503" s="2" t="s">
        <v>34</v>
      </c>
      <c r="C503" s="2"/>
      <c r="D503" s="13"/>
      <c r="E503" s="13"/>
      <c r="F503" s="45"/>
      <c r="G503" s="42"/>
      <c r="H503" s="42"/>
      <c r="I503" s="42"/>
      <c r="J503" s="22"/>
    </row>
    <row r="504" ht="39.75" customHeight="1">
      <c r="A504" s="1">
        <v>503.0</v>
      </c>
      <c r="B504" s="2" t="s">
        <v>35</v>
      </c>
      <c r="C504" s="2"/>
      <c r="D504" s="13"/>
      <c r="E504" s="13"/>
      <c r="F504" s="44" t="s">
        <v>1045</v>
      </c>
      <c r="G504" s="43">
        <v>1.0</v>
      </c>
      <c r="H504" s="42"/>
      <c r="I504" s="42"/>
      <c r="J504" s="22"/>
    </row>
    <row r="505" ht="39.75" customHeight="1">
      <c r="A505" s="1">
        <v>504.0</v>
      </c>
      <c r="B505" s="2" t="s">
        <v>36</v>
      </c>
      <c r="C505" s="2" t="s">
        <v>54</v>
      </c>
      <c r="D505" s="13"/>
      <c r="E505" s="13"/>
      <c r="F505" s="44" t="s">
        <v>1046</v>
      </c>
      <c r="G505" s="43">
        <v>1.0</v>
      </c>
      <c r="H505" s="42"/>
      <c r="I505" s="42"/>
      <c r="J505" s="22"/>
    </row>
    <row r="506" ht="39.75" customHeight="1">
      <c r="A506" s="1">
        <v>505.0</v>
      </c>
      <c r="B506" s="2" t="s">
        <v>38</v>
      </c>
      <c r="C506" s="2" t="s">
        <v>69</v>
      </c>
      <c r="D506" s="13"/>
      <c r="E506" s="13"/>
      <c r="F506" s="45"/>
      <c r="G506" s="42"/>
      <c r="H506" s="42"/>
      <c r="I506" s="42"/>
      <c r="J506" s="22"/>
    </row>
    <row r="507" ht="39.75" customHeight="1">
      <c r="A507" s="1">
        <v>506.0</v>
      </c>
      <c r="B507" s="2" t="s">
        <v>41</v>
      </c>
      <c r="C507" s="2"/>
      <c r="D507" s="13"/>
      <c r="E507" s="13"/>
      <c r="F507" s="45"/>
      <c r="G507" s="42"/>
      <c r="H507" s="42"/>
      <c r="I507" s="42"/>
      <c r="J507" s="22"/>
    </row>
    <row r="508" ht="39.75" customHeight="1">
      <c r="A508" s="1">
        <v>507.0</v>
      </c>
      <c r="B508" s="2" t="s">
        <v>42</v>
      </c>
      <c r="C508" s="2"/>
      <c r="D508" s="53">
        <v>0.3611111111111111</v>
      </c>
      <c r="E508" s="13"/>
      <c r="F508" s="44" t="s">
        <v>1047</v>
      </c>
      <c r="G508" s="43">
        <v>1.0</v>
      </c>
      <c r="H508" s="42"/>
      <c r="I508" s="43">
        <v>1.0</v>
      </c>
      <c r="J508" s="22"/>
    </row>
    <row r="509" ht="39.75" hidden="1" customHeight="1">
      <c r="A509" s="1">
        <v>508.0</v>
      </c>
      <c r="B509" s="2" t="s">
        <v>43</v>
      </c>
      <c r="C509" s="2" t="s">
        <v>58</v>
      </c>
      <c r="D509" s="13"/>
      <c r="E509" s="13"/>
      <c r="F509" s="45"/>
      <c r="G509" s="42"/>
      <c r="H509" s="42"/>
      <c r="I509" s="42"/>
      <c r="J509" s="22"/>
    </row>
    <row r="510" ht="39.75" customHeight="1">
      <c r="A510" s="1">
        <v>509.0</v>
      </c>
      <c r="B510" s="2" t="s">
        <v>45</v>
      </c>
      <c r="C510" s="2" t="s">
        <v>54</v>
      </c>
      <c r="D510" s="40">
        <v>0.375</v>
      </c>
      <c r="E510" s="13"/>
      <c r="F510" s="44" t="s">
        <v>1048</v>
      </c>
      <c r="G510" s="43">
        <v>1.0</v>
      </c>
      <c r="H510" s="43"/>
      <c r="I510" s="43">
        <v>1.0</v>
      </c>
      <c r="J510" s="22"/>
    </row>
    <row r="511" ht="39.75" hidden="1" customHeight="1">
      <c r="A511" s="1">
        <v>510.0</v>
      </c>
      <c r="B511" s="2" t="s">
        <v>46</v>
      </c>
      <c r="C511" s="2" t="s">
        <v>58</v>
      </c>
      <c r="D511" s="13"/>
      <c r="E511" s="13"/>
      <c r="F511" s="45"/>
      <c r="G511" s="42"/>
      <c r="H511" s="42"/>
      <c r="I511" s="42"/>
      <c r="J511" s="22"/>
    </row>
    <row r="512" ht="39.75" customHeight="1">
      <c r="A512" s="1">
        <v>511.0</v>
      </c>
      <c r="B512" s="2" t="s">
        <v>47</v>
      </c>
      <c r="C512" s="2" t="s">
        <v>69</v>
      </c>
      <c r="D512" s="13"/>
      <c r="E512" s="13"/>
      <c r="F512" s="44" t="s">
        <v>1049</v>
      </c>
      <c r="G512" s="43">
        <v>1.0</v>
      </c>
      <c r="H512" s="42"/>
      <c r="I512" s="42"/>
      <c r="J512" s="22"/>
    </row>
    <row r="513" ht="39.75" customHeight="1">
      <c r="A513" s="1">
        <v>512.0</v>
      </c>
      <c r="B513" s="2" t="s">
        <v>48</v>
      </c>
      <c r="C513" s="2" t="s">
        <v>44</v>
      </c>
      <c r="D513" s="13"/>
      <c r="E513" s="13"/>
      <c r="F513" s="52" t="s">
        <v>1050</v>
      </c>
      <c r="G513" s="56">
        <v>1.0</v>
      </c>
      <c r="H513" s="42"/>
      <c r="I513" s="42"/>
      <c r="J513" s="22"/>
    </row>
    <row r="514" ht="39.75" customHeight="1">
      <c r="A514" s="1">
        <v>513.0</v>
      </c>
      <c r="B514" s="21"/>
      <c r="C514" s="21"/>
      <c r="D514" s="21"/>
      <c r="E514" s="21"/>
      <c r="F514" s="46"/>
      <c r="G514" s="47"/>
      <c r="H514" s="47"/>
      <c r="I514" s="47"/>
      <c r="J514" s="48"/>
      <c r="K514" s="49"/>
      <c r="L514" s="49"/>
      <c r="M514" s="49"/>
    </row>
    <row r="515" ht="39.75" customHeight="1">
      <c r="A515" s="1">
        <v>514.0</v>
      </c>
      <c r="B515" s="2" t="s">
        <v>116</v>
      </c>
      <c r="C515" s="2"/>
      <c r="D515" s="13"/>
      <c r="E515" s="13"/>
      <c r="F515" s="44" t="s">
        <v>1051</v>
      </c>
      <c r="G515" s="43">
        <v>1.0</v>
      </c>
      <c r="H515" s="42"/>
      <c r="I515" s="42"/>
      <c r="J515" s="27" t="s">
        <v>840</v>
      </c>
      <c r="K515" s="15" t="s">
        <v>347</v>
      </c>
    </row>
    <row r="516" ht="39.75" customHeight="1">
      <c r="A516" s="1">
        <v>515.0</v>
      </c>
      <c r="B516" s="2" t="s">
        <v>16</v>
      </c>
      <c r="C516" s="2" t="s">
        <v>27</v>
      </c>
      <c r="D516" s="13"/>
      <c r="E516" s="13"/>
      <c r="F516" s="44" t="s">
        <v>1052</v>
      </c>
      <c r="G516" s="43">
        <v>2.0</v>
      </c>
      <c r="H516" s="42"/>
      <c r="I516" s="42"/>
      <c r="J516" s="27" t="s">
        <v>347</v>
      </c>
    </row>
    <row r="517" ht="39.75" customHeight="1">
      <c r="A517" s="1">
        <v>516.0</v>
      </c>
      <c r="B517" s="2" t="s">
        <v>17</v>
      </c>
      <c r="C517" s="2"/>
      <c r="D517" s="53">
        <v>0.2916666666666667</v>
      </c>
      <c r="E517" s="13"/>
      <c r="F517" s="44" t="s">
        <v>1053</v>
      </c>
      <c r="G517" s="43">
        <v>2.0</v>
      </c>
      <c r="H517" s="42"/>
      <c r="I517" s="43">
        <v>2.0</v>
      </c>
      <c r="J517" s="27" t="s">
        <v>111</v>
      </c>
    </row>
    <row r="518" ht="39.75" customHeight="1">
      <c r="A518" s="1">
        <v>517.0</v>
      </c>
      <c r="B518" s="2" t="s">
        <v>331</v>
      </c>
      <c r="C518" s="2" t="s">
        <v>542</v>
      </c>
      <c r="D518" s="13"/>
      <c r="E518" s="13"/>
      <c r="F518" s="44" t="s">
        <v>1054</v>
      </c>
      <c r="G518" s="43">
        <v>3.0</v>
      </c>
      <c r="H518" s="42"/>
      <c r="I518" s="42"/>
      <c r="J518" s="22"/>
    </row>
    <row r="519" ht="39.75" customHeight="1">
      <c r="A519" s="1">
        <v>518.0</v>
      </c>
      <c r="B519" s="2" t="s">
        <v>21</v>
      </c>
      <c r="C519" s="2" t="s">
        <v>277</v>
      </c>
      <c r="D519" s="13"/>
      <c r="E519" s="13"/>
      <c r="F519" s="45"/>
      <c r="G519" s="42"/>
      <c r="H519" s="42"/>
      <c r="I519" s="42"/>
      <c r="J519" s="22"/>
    </row>
    <row r="520" ht="39.75" customHeight="1">
      <c r="A520" s="1">
        <v>519.0</v>
      </c>
      <c r="B520" s="2" t="s">
        <v>22</v>
      </c>
      <c r="C520" s="2" t="s">
        <v>69</v>
      </c>
      <c r="D520" s="13"/>
      <c r="E520" s="13"/>
      <c r="F520" s="44" t="s">
        <v>1055</v>
      </c>
      <c r="G520" s="43">
        <v>1.0</v>
      </c>
      <c r="H520" s="42"/>
      <c r="I520" s="43">
        <v>1.0</v>
      </c>
      <c r="J520" s="22"/>
    </row>
    <row r="521" ht="39.75" hidden="1" customHeight="1">
      <c r="A521" s="1">
        <v>520.0</v>
      </c>
      <c r="B521" s="2" t="s">
        <v>23</v>
      </c>
      <c r="C521" s="2" t="s">
        <v>58</v>
      </c>
      <c r="D521" s="13"/>
      <c r="E521" s="13"/>
      <c r="F521" s="45"/>
      <c r="G521" s="42"/>
      <c r="H521" s="42"/>
      <c r="I521" s="42"/>
      <c r="J521" s="22"/>
    </row>
    <row r="522" ht="39.75" customHeight="1">
      <c r="A522" s="1">
        <v>521.0</v>
      </c>
      <c r="B522" s="2" t="s">
        <v>24</v>
      </c>
      <c r="C522" s="2"/>
      <c r="D522" s="13"/>
      <c r="E522" s="13"/>
      <c r="F522" s="44" t="s">
        <v>1056</v>
      </c>
      <c r="G522" s="43">
        <v>1.0</v>
      </c>
      <c r="H522" s="42"/>
      <c r="I522" s="43">
        <v>1.0</v>
      </c>
      <c r="J522" s="22"/>
    </row>
    <row r="523" ht="39.75" customHeight="1">
      <c r="A523" s="1">
        <v>522.0</v>
      </c>
      <c r="B523" s="2" t="s">
        <v>25</v>
      </c>
      <c r="C523" s="2" t="s">
        <v>54</v>
      </c>
      <c r="D523" s="53">
        <v>0.2916666666666667</v>
      </c>
      <c r="E523" s="13"/>
      <c r="F523" s="44" t="s">
        <v>1057</v>
      </c>
      <c r="G523" s="43">
        <v>2.0</v>
      </c>
      <c r="H523" s="42"/>
      <c r="I523" s="42"/>
      <c r="J523" s="22"/>
    </row>
    <row r="524" ht="39.75" customHeight="1">
      <c r="A524" s="1">
        <v>523.0</v>
      </c>
      <c r="B524" s="2" t="s">
        <v>26</v>
      </c>
      <c r="C524" s="2" t="s">
        <v>54</v>
      </c>
      <c r="D524" s="13"/>
      <c r="E524" s="13"/>
      <c r="F524" s="44" t="s">
        <v>1058</v>
      </c>
      <c r="G524" s="43">
        <v>2.0</v>
      </c>
      <c r="H524" s="42"/>
      <c r="I524" s="43">
        <v>2.0</v>
      </c>
      <c r="J524" s="22"/>
    </row>
    <row r="525" ht="39.75" customHeight="1">
      <c r="A525" s="1">
        <v>524.0</v>
      </c>
      <c r="B525" s="2" t="s">
        <v>29</v>
      </c>
      <c r="C525" s="2"/>
      <c r="D525" s="53">
        <v>0.2916666666666667</v>
      </c>
      <c r="E525" s="13"/>
      <c r="F525" s="44" t="s">
        <v>1059</v>
      </c>
      <c r="G525" s="43">
        <v>1.0</v>
      </c>
      <c r="H525" s="42"/>
      <c r="I525" s="43">
        <v>1.0</v>
      </c>
      <c r="J525" s="22"/>
    </row>
    <row r="526" ht="39.75" customHeight="1">
      <c r="A526" s="1">
        <v>525.0</v>
      </c>
      <c r="B526" s="2" t="s">
        <v>30</v>
      </c>
      <c r="C526" s="2" t="s">
        <v>64</v>
      </c>
      <c r="D526" s="13"/>
      <c r="E526" s="13"/>
      <c r="F526" s="45"/>
      <c r="G526" s="42"/>
      <c r="H526" s="42"/>
      <c r="I526" s="42"/>
      <c r="J526" s="22"/>
    </row>
    <row r="527" ht="39.75" customHeight="1">
      <c r="A527" s="1">
        <v>526.0</v>
      </c>
      <c r="B527" s="2" t="s">
        <v>31</v>
      </c>
      <c r="C527" s="2" t="s">
        <v>44</v>
      </c>
      <c r="D527" s="13"/>
      <c r="E527" s="13"/>
      <c r="F527" s="52" t="s">
        <v>1060</v>
      </c>
      <c r="G527" s="56">
        <v>1.0</v>
      </c>
      <c r="H527" s="42"/>
      <c r="I527" s="56">
        <v>1.0</v>
      </c>
      <c r="J527" s="22"/>
    </row>
    <row r="528" ht="39.75" customHeight="1">
      <c r="A528" s="1">
        <v>527.0</v>
      </c>
      <c r="B528" s="2" t="s">
        <v>1061</v>
      </c>
      <c r="C528" s="2"/>
      <c r="D528" s="13"/>
      <c r="E528" s="13"/>
      <c r="F528" s="44" t="s">
        <v>1062</v>
      </c>
      <c r="G528" s="43">
        <v>1.0</v>
      </c>
      <c r="H528" s="42"/>
      <c r="I528" s="42"/>
      <c r="J528" s="22"/>
    </row>
    <row r="529" ht="39.75" customHeight="1">
      <c r="A529" s="1">
        <v>528.0</v>
      </c>
      <c r="B529" s="2" t="s">
        <v>67</v>
      </c>
      <c r="C529" s="2" t="s">
        <v>54</v>
      </c>
      <c r="D529" s="53">
        <v>0.2916666666666667</v>
      </c>
      <c r="E529" s="13"/>
      <c r="F529" s="44" t="s">
        <v>1063</v>
      </c>
      <c r="G529" s="43">
        <v>1.0</v>
      </c>
      <c r="H529" s="42"/>
      <c r="I529" s="42"/>
      <c r="J529" s="22"/>
    </row>
    <row r="530" ht="39.75" customHeight="1">
      <c r="A530" s="1">
        <v>529.0</v>
      </c>
      <c r="B530" s="2" t="s">
        <v>34</v>
      </c>
      <c r="C530" s="2" t="s">
        <v>69</v>
      </c>
      <c r="D530" s="13"/>
      <c r="E530" s="13"/>
      <c r="F530" s="44" t="s">
        <v>1064</v>
      </c>
      <c r="G530" s="43">
        <v>1.0</v>
      </c>
      <c r="H530" s="42"/>
      <c r="I530" s="43">
        <v>1.0</v>
      </c>
      <c r="J530" s="22"/>
    </row>
    <row r="531" ht="39.75" customHeight="1">
      <c r="A531" s="1">
        <v>530.0</v>
      </c>
      <c r="B531" s="2" t="s">
        <v>35</v>
      </c>
      <c r="C531" s="2"/>
      <c r="D531" s="13"/>
      <c r="E531" s="13"/>
      <c r="F531" s="44" t="s">
        <v>1065</v>
      </c>
      <c r="G531" s="43">
        <v>1.0</v>
      </c>
      <c r="H531" s="42"/>
      <c r="I531" s="43">
        <v>1.0</v>
      </c>
      <c r="J531" s="22"/>
    </row>
    <row r="532" ht="39.75" customHeight="1">
      <c r="A532" s="1">
        <v>531.0</v>
      </c>
      <c r="B532" s="2" t="s">
        <v>36</v>
      </c>
      <c r="C532" s="13"/>
      <c r="D532" s="13"/>
      <c r="E532" s="13"/>
      <c r="F532" s="44" t="s">
        <v>1066</v>
      </c>
      <c r="G532" s="43">
        <v>1.0</v>
      </c>
      <c r="H532" s="42"/>
      <c r="I532" s="43"/>
      <c r="J532" s="22"/>
    </row>
    <row r="533" ht="39.75" customHeight="1">
      <c r="A533" s="1">
        <v>532.0</v>
      </c>
      <c r="B533" s="2" t="s">
        <v>38</v>
      </c>
      <c r="C533" s="2" t="s">
        <v>39</v>
      </c>
      <c r="D533" s="40">
        <v>0.2916666666666667</v>
      </c>
      <c r="E533" s="13"/>
      <c r="F533" s="44" t="s">
        <v>1067</v>
      </c>
      <c r="G533" s="43">
        <v>1.0</v>
      </c>
      <c r="H533" s="42"/>
      <c r="I533" s="43">
        <v>1.0</v>
      </c>
      <c r="J533" s="22"/>
    </row>
    <row r="534" ht="39.75" customHeight="1">
      <c r="A534" s="1">
        <v>533.0</v>
      </c>
      <c r="B534" s="2" t="s">
        <v>41</v>
      </c>
      <c r="C534" s="2" t="s">
        <v>54</v>
      </c>
      <c r="D534" s="13"/>
      <c r="E534" s="13"/>
      <c r="F534" s="44" t="s">
        <v>1068</v>
      </c>
      <c r="G534" s="43">
        <v>1.0</v>
      </c>
      <c r="H534" s="42"/>
      <c r="I534" s="42"/>
      <c r="J534" s="22"/>
    </row>
    <row r="535" ht="39.75" customHeight="1">
      <c r="A535" s="1">
        <v>534.0</v>
      </c>
      <c r="B535" s="2" t="s">
        <v>42</v>
      </c>
      <c r="C535" s="2" t="s">
        <v>39</v>
      </c>
      <c r="D535" s="40">
        <v>0.2916666666666667</v>
      </c>
      <c r="E535" s="13"/>
      <c r="F535" s="44" t="s">
        <v>1069</v>
      </c>
      <c r="G535" s="43">
        <v>1.0</v>
      </c>
      <c r="H535" s="42"/>
      <c r="I535" s="43">
        <v>1.0</v>
      </c>
      <c r="J535" s="22"/>
    </row>
    <row r="536" ht="39.75" hidden="1" customHeight="1">
      <c r="A536" s="1">
        <v>535.0</v>
      </c>
      <c r="B536" s="2" t="s">
        <v>43</v>
      </c>
      <c r="C536" s="2" t="s">
        <v>58</v>
      </c>
      <c r="D536" s="13"/>
      <c r="E536" s="13"/>
      <c r="F536" s="45"/>
      <c r="G536" s="42"/>
      <c r="H536" s="42"/>
      <c r="I536" s="42"/>
      <c r="J536" s="22"/>
    </row>
    <row r="537" ht="39.75" customHeight="1">
      <c r="A537" s="1">
        <v>536.0</v>
      </c>
      <c r="B537" s="2" t="s">
        <v>45</v>
      </c>
      <c r="C537" s="2" t="s">
        <v>69</v>
      </c>
      <c r="D537" s="13"/>
      <c r="E537" s="13"/>
      <c r="F537" s="44" t="s">
        <v>1070</v>
      </c>
      <c r="G537" s="43">
        <v>1.0</v>
      </c>
      <c r="H537" s="42"/>
      <c r="I537" s="43">
        <v>1.0</v>
      </c>
      <c r="J537" s="22"/>
    </row>
    <row r="538" ht="39.75" hidden="1" customHeight="1">
      <c r="A538" s="1">
        <v>537.0</v>
      </c>
      <c r="B538" s="2" t="s">
        <v>46</v>
      </c>
      <c r="C538" s="2" t="s">
        <v>58</v>
      </c>
      <c r="D538" s="13"/>
      <c r="E538" s="13"/>
      <c r="F538" s="45"/>
      <c r="G538" s="42"/>
      <c r="H538" s="42"/>
      <c r="I538" s="42"/>
      <c r="J538" s="22"/>
    </row>
    <row r="539" ht="39.75" customHeight="1">
      <c r="A539" s="1">
        <v>538.0</v>
      </c>
      <c r="B539" s="2" t="s">
        <v>47</v>
      </c>
      <c r="C539" s="13"/>
      <c r="D539" s="40">
        <v>0.75</v>
      </c>
      <c r="E539" s="51">
        <v>0.9375</v>
      </c>
      <c r="F539" s="44" t="s">
        <v>1071</v>
      </c>
      <c r="G539" s="43">
        <v>1.0</v>
      </c>
      <c r="H539" s="42"/>
      <c r="I539" s="42"/>
      <c r="J539" s="22"/>
    </row>
    <row r="540" ht="39.75" hidden="1" customHeight="1">
      <c r="A540" s="1">
        <v>539.0</v>
      </c>
      <c r="B540" s="2" t="s">
        <v>48</v>
      </c>
      <c r="C540" s="2" t="s">
        <v>58</v>
      </c>
      <c r="D540" s="13"/>
      <c r="E540" s="13"/>
      <c r="F540" s="45"/>
      <c r="G540" s="42"/>
      <c r="H540" s="42"/>
      <c r="I540" s="42"/>
      <c r="J540" s="22"/>
    </row>
    <row r="541" ht="39.75" customHeight="1">
      <c r="A541" s="1">
        <v>540.0</v>
      </c>
      <c r="B541" s="21"/>
      <c r="C541" s="21"/>
      <c r="D541" s="21"/>
      <c r="E541" s="21"/>
      <c r="F541" s="46"/>
      <c r="G541" s="47"/>
      <c r="H541" s="47"/>
      <c r="I541" s="47"/>
      <c r="J541" s="48"/>
      <c r="K541" s="49"/>
      <c r="L541" s="49"/>
      <c r="M541" s="49"/>
    </row>
    <row r="542" ht="39.75" hidden="1" customHeight="1">
      <c r="A542" s="1">
        <v>541.0</v>
      </c>
      <c r="B542" s="2" t="s">
        <v>12</v>
      </c>
      <c r="C542" s="2" t="s">
        <v>58</v>
      </c>
      <c r="D542" s="13"/>
      <c r="E542" s="13"/>
      <c r="F542" s="45"/>
      <c r="G542" s="42"/>
      <c r="H542" s="42"/>
      <c r="I542" s="42"/>
      <c r="J542" s="27" t="s">
        <v>840</v>
      </c>
      <c r="K542" s="15" t="s">
        <v>362</v>
      </c>
    </row>
    <row r="543" ht="39.75" customHeight="1">
      <c r="A543" s="1">
        <v>542.0</v>
      </c>
      <c r="B543" s="2" t="s">
        <v>16</v>
      </c>
      <c r="C543" s="2" t="s">
        <v>44</v>
      </c>
      <c r="D543" s="13"/>
      <c r="E543" s="13"/>
      <c r="F543" s="45"/>
      <c r="G543" s="42"/>
      <c r="H543" s="42"/>
      <c r="I543" s="42"/>
      <c r="J543" s="27" t="s">
        <v>362</v>
      </c>
    </row>
    <row r="544" ht="39.75" customHeight="1">
      <c r="A544" s="1">
        <v>543.0</v>
      </c>
      <c r="B544" s="2" t="s">
        <v>17</v>
      </c>
      <c r="C544" s="2" t="s">
        <v>27</v>
      </c>
      <c r="D544" s="13"/>
      <c r="E544" s="13"/>
      <c r="F544" s="45"/>
      <c r="G544" s="42"/>
      <c r="H544" s="42"/>
      <c r="I544" s="42"/>
      <c r="J544" s="27" t="s">
        <v>131</v>
      </c>
    </row>
    <row r="545" ht="39.75" customHeight="1">
      <c r="A545" s="1">
        <v>544.0</v>
      </c>
      <c r="B545" s="2" t="s">
        <v>331</v>
      </c>
      <c r="C545" s="2" t="s">
        <v>542</v>
      </c>
      <c r="D545" s="13"/>
      <c r="E545" s="13"/>
      <c r="F545" s="44" t="s">
        <v>1072</v>
      </c>
      <c r="G545" s="43">
        <v>1.0</v>
      </c>
      <c r="H545" s="42"/>
      <c r="I545" s="42"/>
      <c r="J545" s="22"/>
    </row>
    <row r="546" ht="39.75" customHeight="1">
      <c r="A546" s="1">
        <v>545.0</v>
      </c>
      <c r="B546" s="2" t="s">
        <v>21</v>
      </c>
      <c r="C546" s="2" t="s">
        <v>277</v>
      </c>
      <c r="D546" s="13"/>
      <c r="E546" s="13"/>
      <c r="F546" s="45"/>
      <c r="G546" s="42"/>
      <c r="H546" s="42"/>
      <c r="I546" s="42"/>
      <c r="J546" s="22"/>
    </row>
    <row r="547" ht="39.75" customHeight="1">
      <c r="A547" s="1">
        <v>546.0</v>
      </c>
      <c r="B547" s="2" t="s">
        <v>22</v>
      </c>
      <c r="C547" s="2"/>
      <c r="D547" s="13"/>
      <c r="E547" s="13"/>
      <c r="F547" s="45"/>
      <c r="G547" s="42"/>
      <c r="H547" s="42"/>
      <c r="I547" s="42"/>
      <c r="J547" s="22"/>
    </row>
    <row r="548" ht="39.75" hidden="1" customHeight="1">
      <c r="A548" s="1">
        <v>547.0</v>
      </c>
      <c r="B548" s="2" t="s">
        <v>23</v>
      </c>
      <c r="C548" s="2" t="s">
        <v>58</v>
      </c>
      <c r="D548" s="13"/>
      <c r="E548" s="13"/>
      <c r="F548" s="45"/>
      <c r="G548" s="42"/>
      <c r="H548" s="42"/>
      <c r="I548" s="42"/>
      <c r="J548" s="22"/>
    </row>
    <row r="549" ht="39.75" customHeight="1">
      <c r="A549" s="1">
        <v>548.0</v>
      </c>
      <c r="B549" s="2" t="s">
        <v>24</v>
      </c>
      <c r="C549" s="2"/>
      <c r="D549" s="13"/>
      <c r="E549" s="13"/>
      <c r="F549" s="44" t="s">
        <v>1073</v>
      </c>
      <c r="G549" s="43">
        <v>1.0</v>
      </c>
      <c r="H549" s="42"/>
      <c r="I549" s="42"/>
      <c r="J549" s="22"/>
    </row>
    <row r="550" ht="39.75" customHeight="1">
      <c r="A550" s="1">
        <v>549.0</v>
      </c>
      <c r="B550" s="2" t="s">
        <v>25</v>
      </c>
      <c r="C550" s="2" t="s">
        <v>54</v>
      </c>
      <c r="D550" s="13"/>
      <c r="E550" s="13"/>
      <c r="F550" s="45"/>
      <c r="G550" s="42"/>
      <c r="H550" s="42"/>
      <c r="I550" s="42"/>
      <c r="J550" s="22"/>
    </row>
    <row r="551" ht="39.75" customHeight="1">
      <c r="A551" s="1">
        <v>550.0</v>
      </c>
      <c r="B551" s="2" t="s">
        <v>26</v>
      </c>
      <c r="C551" s="2" t="s">
        <v>54</v>
      </c>
      <c r="D551" s="13"/>
      <c r="E551" s="13"/>
      <c r="F551" s="45"/>
      <c r="G551" s="42"/>
      <c r="H551" s="42"/>
      <c r="I551" s="42"/>
      <c r="J551" s="22"/>
    </row>
    <row r="552" ht="39.75" customHeight="1">
      <c r="A552" s="1">
        <v>551.0</v>
      </c>
      <c r="B552" s="2" t="s">
        <v>29</v>
      </c>
      <c r="C552" s="2" t="s">
        <v>39</v>
      </c>
      <c r="D552" s="13"/>
      <c r="E552" s="13"/>
      <c r="F552" s="44" t="s">
        <v>1074</v>
      </c>
      <c r="G552" s="43">
        <v>1.0</v>
      </c>
      <c r="H552" s="42"/>
      <c r="I552" s="42"/>
      <c r="J552" s="22"/>
    </row>
    <row r="553" ht="39.75" customHeight="1">
      <c r="A553" s="1">
        <v>552.0</v>
      </c>
      <c r="B553" s="2" t="s">
        <v>30</v>
      </c>
      <c r="C553" s="2" t="s">
        <v>64</v>
      </c>
      <c r="D553" s="13"/>
      <c r="E553" s="13"/>
      <c r="F553" s="45"/>
      <c r="G553" s="42"/>
      <c r="H553" s="42"/>
      <c r="I553" s="42"/>
      <c r="J553" s="22"/>
    </row>
    <row r="554" ht="39.75" customHeight="1">
      <c r="A554" s="1">
        <v>553.0</v>
      </c>
      <c r="B554" s="2" t="s">
        <v>31</v>
      </c>
      <c r="C554" s="2" t="s">
        <v>54</v>
      </c>
      <c r="D554" s="13"/>
      <c r="E554" s="13"/>
      <c r="F554" s="44" t="s">
        <v>1075</v>
      </c>
      <c r="G554" s="43">
        <v>2.0</v>
      </c>
      <c r="H554" s="42"/>
      <c r="I554" s="42"/>
      <c r="J554" s="22"/>
    </row>
    <row r="555" ht="39.75" customHeight="1">
      <c r="A555" s="1">
        <v>554.0</v>
      </c>
      <c r="B555" s="2" t="s">
        <v>32</v>
      </c>
      <c r="C555" s="2" t="s">
        <v>69</v>
      </c>
      <c r="D555" s="13"/>
      <c r="E555" s="13"/>
      <c r="F555" s="45"/>
      <c r="G555" s="42"/>
      <c r="H555" s="42"/>
      <c r="I555" s="42"/>
      <c r="J555" s="22"/>
    </row>
    <row r="556" ht="39.75" hidden="1" customHeight="1">
      <c r="A556" s="1">
        <v>555.0</v>
      </c>
      <c r="B556" s="2" t="s">
        <v>67</v>
      </c>
      <c r="C556" s="2" t="s">
        <v>66</v>
      </c>
      <c r="D556" s="13"/>
      <c r="E556" s="13"/>
      <c r="F556" s="45"/>
      <c r="G556" s="42"/>
      <c r="H556" s="42"/>
      <c r="I556" s="42"/>
      <c r="J556" s="22"/>
    </row>
    <row r="557" ht="39.75" customHeight="1">
      <c r="A557" s="1">
        <v>556.0</v>
      </c>
      <c r="B557" s="2" t="s">
        <v>34</v>
      </c>
      <c r="C557" s="2"/>
      <c r="D557" s="13"/>
      <c r="E557" s="13"/>
      <c r="F557" s="45"/>
      <c r="G557" s="42"/>
      <c r="H557" s="42"/>
      <c r="I557" s="42"/>
      <c r="J557" s="22"/>
    </row>
    <row r="558" ht="39.75" customHeight="1">
      <c r="A558" s="1">
        <v>557.0</v>
      </c>
      <c r="B558" s="2" t="s">
        <v>35</v>
      </c>
      <c r="C558" s="2" t="s">
        <v>39</v>
      </c>
      <c r="D558" s="13"/>
      <c r="E558" s="13"/>
      <c r="F558" s="45"/>
      <c r="G558" s="42"/>
      <c r="H558" s="42"/>
      <c r="I558" s="42"/>
      <c r="J558" s="22"/>
    </row>
    <row r="559" ht="39.75" customHeight="1">
      <c r="A559" s="1">
        <v>558.0</v>
      </c>
      <c r="B559" s="2" t="s">
        <v>36</v>
      </c>
      <c r="C559" s="13"/>
      <c r="D559" s="13"/>
      <c r="E559" s="13"/>
      <c r="F559" s="45"/>
      <c r="G559" s="42"/>
      <c r="H559" s="42"/>
      <c r="I559" s="42"/>
      <c r="J559" s="22"/>
    </row>
    <row r="560" ht="39.75" customHeight="1">
      <c r="A560" s="1">
        <v>559.0</v>
      </c>
      <c r="B560" s="2" t="s">
        <v>38</v>
      </c>
      <c r="C560" s="2" t="s">
        <v>54</v>
      </c>
      <c r="D560" s="13"/>
      <c r="E560" s="13"/>
      <c r="F560" s="45"/>
      <c r="G560" s="42"/>
      <c r="H560" s="42"/>
      <c r="I560" s="42"/>
      <c r="J560" s="22"/>
    </row>
    <row r="561" ht="39.75" hidden="1" customHeight="1">
      <c r="A561" s="1">
        <v>560.0</v>
      </c>
      <c r="B561" s="2" t="s">
        <v>41</v>
      </c>
      <c r="C561" s="2" t="s">
        <v>58</v>
      </c>
      <c r="D561" s="13"/>
      <c r="E561" s="13"/>
      <c r="F561" s="45"/>
      <c r="G561" s="42"/>
      <c r="H561" s="42"/>
      <c r="I561" s="42"/>
      <c r="J561" s="22"/>
    </row>
    <row r="562" ht="39.75" customHeight="1">
      <c r="A562" s="1">
        <v>561.0</v>
      </c>
      <c r="B562" s="2" t="s">
        <v>42</v>
      </c>
      <c r="C562" s="2"/>
      <c r="D562" s="13"/>
      <c r="E562" s="13"/>
      <c r="F562" s="44" t="s">
        <v>1076</v>
      </c>
      <c r="G562" s="43">
        <v>1.0</v>
      </c>
      <c r="H562" s="42"/>
      <c r="I562" s="43">
        <v>1.0</v>
      </c>
      <c r="J562" s="22"/>
    </row>
    <row r="563" ht="39.75" hidden="1" customHeight="1">
      <c r="A563" s="1">
        <v>562.0</v>
      </c>
      <c r="B563" s="2" t="s">
        <v>43</v>
      </c>
      <c r="C563" s="2" t="s">
        <v>58</v>
      </c>
      <c r="D563" s="13"/>
      <c r="E563" s="13"/>
      <c r="F563" s="45"/>
      <c r="G563" s="42"/>
      <c r="H563" s="42"/>
      <c r="I563" s="42"/>
      <c r="J563" s="22"/>
    </row>
    <row r="564" ht="39.75" customHeight="1">
      <c r="A564" s="1">
        <v>563.0</v>
      </c>
      <c r="B564" s="2" t="s">
        <v>45</v>
      </c>
      <c r="C564" s="2" t="s">
        <v>69</v>
      </c>
      <c r="D564" s="13"/>
      <c r="E564" s="13"/>
      <c r="F564" s="45"/>
      <c r="G564" s="42"/>
      <c r="H564" s="42"/>
      <c r="I564" s="42"/>
      <c r="J564" s="22"/>
    </row>
    <row r="565" ht="39.75" hidden="1" customHeight="1">
      <c r="A565" s="1">
        <v>564.0</v>
      </c>
      <c r="B565" s="2" t="s">
        <v>46</v>
      </c>
      <c r="C565" s="2" t="s">
        <v>58</v>
      </c>
      <c r="D565" s="13"/>
      <c r="E565" s="13"/>
      <c r="F565" s="45"/>
      <c r="G565" s="42"/>
      <c r="H565" s="42"/>
      <c r="I565" s="42"/>
      <c r="J565" s="22"/>
    </row>
    <row r="566" ht="39.75" customHeight="1">
      <c r="A566" s="1">
        <v>565.0</v>
      </c>
      <c r="B566" s="2" t="s">
        <v>47</v>
      </c>
      <c r="C566" s="13"/>
      <c r="D566" s="40">
        <v>0.75</v>
      </c>
      <c r="E566" s="13"/>
      <c r="F566" s="44" t="s">
        <v>1077</v>
      </c>
      <c r="G566" s="43">
        <v>1.0</v>
      </c>
      <c r="H566" s="42"/>
      <c r="I566" s="42"/>
      <c r="J566" s="22"/>
    </row>
    <row r="567" ht="39.75" customHeight="1">
      <c r="A567" s="1">
        <v>566.0</v>
      </c>
      <c r="B567" s="2" t="s">
        <v>48</v>
      </c>
      <c r="C567" s="2" t="s">
        <v>69</v>
      </c>
      <c r="D567" s="13"/>
      <c r="E567" s="13"/>
      <c r="F567" s="44" t="s">
        <v>1078</v>
      </c>
      <c r="G567" s="43">
        <v>1.0</v>
      </c>
      <c r="H567" s="42"/>
      <c r="I567" s="43">
        <v>1.0</v>
      </c>
      <c r="J567" s="22"/>
    </row>
    <row r="568" ht="39.75" customHeight="1">
      <c r="A568" s="1">
        <v>567.0</v>
      </c>
      <c r="B568" s="21"/>
      <c r="C568" s="21"/>
      <c r="D568" s="21"/>
      <c r="E568" s="21"/>
      <c r="F568" s="46"/>
      <c r="G568" s="47"/>
      <c r="H568" s="47"/>
      <c r="I568" s="47"/>
      <c r="J568" s="48"/>
      <c r="K568" s="49"/>
      <c r="L568" s="49"/>
      <c r="M568" s="49"/>
    </row>
    <row r="569" ht="39.75" hidden="1" customHeight="1">
      <c r="A569" s="1">
        <v>568.0</v>
      </c>
      <c r="B569" s="2" t="s">
        <v>12</v>
      </c>
      <c r="C569" s="2" t="s">
        <v>13</v>
      </c>
      <c r="D569" s="13"/>
      <c r="E569" s="13"/>
      <c r="F569" s="45"/>
      <c r="G569" s="42"/>
      <c r="H569" s="42"/>
      <c r="I569" s="42"/>
      <c r="J569" s="27" t="s">
        <v>840</v>
      </c>
      <c r="K569" s="15" t="s">
        <v>369</v>
      </c>
    </row>
    <row r="570" ht="39.75" hidden="1" customHeight="1">
      <c r="A570" s="1">
        <v>569.0</v>
      </c>
      <c r="B570" s="2" t="s">
        <v>16</v>
      </c>
      <c r="C570" s="2" t="s">
        <v>13</v>
      </c>
      <c r="D570" s="13"/>
      <c r="E570" s="13"/>
      <c r="F570" s="45"/>
      <c r="G570" s="42"/>
      <c r="H570" s="42"/>
      <c r="I570" s="42"/>
      <c r="J570" s="27" t="s">
        <v>369</v>
      </c>
    </row>
    <row r="571" ht="39.75" customHeight="1">
      <c r="A571" s="1">
        <v>570.0</v>
      </c>
      <c r="B571" s="2" t="s">
        <v>17</v>
      </c>
      <c r="C571" s="2" t="s">
        <v>44</v>
      </c>
      <c r="D571" s="13"/>
      <c r="E571" s="13"/>
      <c r="F571" s="45"/>
      <c r="G571" s="42"/>
      <c r="H571" s="42"/>
      <c r="I571" s="42"/>
      <c r="J571" s="27" t="s">
        <v>149</v>
      </c>
    </row>
    <row r="572" ht="39.75" hidden="1" customHeight="1">
      <c r="A572" s="1">
        <v>571.0</v>
      </c>
      <c r="B572" s="2" t="s">
        <v>331</v>
      </c>
      <c r="C572" s="2" t="s">
        <v>13</v>
      </c>
      <c r="D572" s="13"/>
      <c r="E572" s="13"/>
      <c r="F572" s="44"/>
      <c r="G572" s="42"/>
      <c r="H572" s="42"/>
      <c r="I572" s="42"/>
      <c r="J572" s="27" t="s">
        <v>165</v>
      </c>
    </row>
    <row r="573" ht="39.75" hidden="1" customHeight="1">
      <c r="A573" s="1">
        <v>572.0</v>
      </c>
      <c r="B573" s="2" t="s">
        <v>21</v>
      </c>
      <c r="C573" s="2" t="s">
        <v>13</v>
      </c>
      <c r="D573" s="13"/>
      <c r="E573" s="13"/>
      <c r="F573" s="45"/>
      <c r="G573" s="42"/>
      <c r="H573" s="42"/>
      <c r="I573" s="42"/>
      <c r="J573" s="27" t="s">
        <v>166</v>
      </c>
    </row>
    <row r="574" ht="39.75" customHeight="1">
      <c r="A574" s="1">
        <v>573.0</v>
      </c>
      <c r="B574" s="2" t="s">
        <v>22</v>
      </c>
      <c r="C574" s="2" t="s">
        <v>27</v>
      </c>
      <c r="D574" s="13"/>
      <c r="E574" s="13"/>
      <c r="F574" s="44" t="s">
        <v>1079</v>
      </c>
      <c r="G574" s="43">
        <v>1.0</v>
      </c>
      <c r="H574" s="42"/>
      <c r="I574" s="42"/>
      <c r="J574" s="27" t="s">
        <v>167</v>
      </c>
    </row>
    <row r="575" ht="39.75" hidden="1" customHeight="1">
      <c r="A575" s="1">
        <v>574.0</v>
      </c>
      <c r="B575" s="2" t="s">
        <v>23</v>
      </c>
      <c r="C575" s="2" t="s">
        <v>13</v>
      </c>
      <c r="D575" s="13"/>
      <c r="E575" s="13"/>
      <c r="F575" s="45"/>
      <c r="G575" s="42"/>
      <c r="H575" s="42"/>
      <c r="I575" s="42"/>
      <c r="J575" s="22"/>
    </row>
    <row r="576" ht="39.75" customHeight="1">
      <c r="A576" s="1">
        <v>575.0</v>
      </c>
      <c r="B576" s="2" t="s">
        <v>24</v>
      </c>
      <c r="C576" s="2" t="s">
        <v>277</v>
      </c>
      <c r="D576" s="13"/>
      <c r="E576" s="13"/>
      <c r="F576" s="45"/>
      <c r="G576" s="42"/>
      <c r="H576" s="42"/>
      <c r="I576" s="42"/>
      <c r="J576" s="22"/>
    </row>
    <row r="577" ht="39.75" hidden="1" customHeight="1">
      <c r="A577" s="1">
        <v>576.0</v>
      </c>
      <c r="B577" s="2" t="s">
        <v>25</v>
      </c>
      <c r="C577" s="2" t="s">
        <v>13</v>
      </c>
      <c r="D577" s="13"/>
      <c r="E577" s="13"/>
      <c r="F577" s="45"/>
      <c r="G577" s="42"/>
      <c r="H577" s="42"/>
      <c r="I577" s="42"/>
      <c r="J577" s="22"/>
    </row>
    <row r="578" ht="39.75" customHeight="1">
      <c r="A578" s="1">
        <v>577.0</v>
      </c>
      <c r="B578" s="2" t="s">
        <v>26</v>
      </c>
      <c r="C578" s="2"/>
      <c r="D578" s="40">
        <v>0.375</v>
      </c>
      <c r="E578" s="13"/>
      <c r="F578" s="44" t="s">
        <v>1080</v>
      </c>
      <c r="G578" s="43">
        <v>2.0</v>
      </c>
      <c r="H578" s="42"/>
      <c r="I578" s="42"/>
      <c r="J578" s="22"/>
    </row>
    <row r="579" ht="39.75" hidden="1" customHeight="1">
      <c r="A579" s="1">
        <v>578.0</v>
      </c>
      <c r="B579" s="2" t="s">
        <v>29</v>
      </c>
      <c r="C579" s="2" t="s">
        <v>13</v>
      </c>
      <c r="D579" s="13"/>
      <c r="E579" s="13"/>
      <c r="F579" s="45"/>
      <c r="G579" s="42"/>
      <c r="H579" s="42"/>
      <c r="I579" s="42"/>
      <c r="J579" s="22"/>
    </row>
    <row r="580" ht="39.75" customHeight="1">
      <c r="A580" s="1">
        <v>579.0</v>
      </c>
      <c r="B580" s="2" t="s">
        <v>30</v>
      </c>
      <c r="C580" s="2" t="s">
        <v>39</v>
      </c>
      <c r="D580" s="13"/>
      <c r="E580" s="13"/>
      <c r="F580" s="44" t="s">
        <v>1081</v>
      </c>
      <c r="G580" s="43">
        <v>1.0</v>
      </c>
      <c r="H580" s="42"/>
      <c r="I580" s="42"/>
      <c r="J580" s="22"/>
    </row>
    <row r="581" ht="39.75" hidden="1" customHeight="1">
      <c r="A581" s="1">
        <v>580.0</v>
      </c>
      <c r="B581" s="2" t="s">
        <v>31</v>
      </c>
      <c r="C581" s="2" t="s">
        <v>13</v>
      </c>
      <c r="D581" s="13"/>
      <c r="E581" s="13"/>
      <c r="F581" s="45"/>
      <c r="G581" s="42"/>
      <c r="H581" s="42"/>
      <c r="I581" s="42"/>
      <c r="J581" s="22"/>
    </row>
    <row r="582" ht="39.75" hidden="1" customHeight="1">
      <c r="A582" s="1">
        <v>581.0</v>
      </c>
      <c r="B582" s="2" t="s">
        <v>32</v>
      </c>
      <c r="C582" s="2" t="s">
        <v>13</v>
      </c>
      <c r="D582" s="13"/>
      <c r="E582" s="13"/>
      <c r="F582" s="45"/>
      <c r="G582" s="42"/>
      <c r="H582" s="42"/>
      <c r="I582" s="42"/>
      <c r="J582" s="22"/>
    </row>
    <row r="583" ht="39.75" hidden="1" customHeight="1">
      <c r="A583" s="1">
        <v>582.0</v>
      </c>
      <c r="B583" s="2" t="s">
        <v>67</v>
      </c>
      <c r="C583" s="2" t="s">
        <v>13</v>
      </c>
      <c r="D583" s="13"/>
      <c r="E583" s="13"/>
      <c r="F583" s="45"/>
      <c r="G583" s="42"/>
      <c r="H583" s="42"/>
      <c r="I583" s="42"/>
      <c r="J583" s="22"/>
    </row>
    <row r="584" ht="39.75" hidden="1" customHeight="1">
      <c r="A584" s="1">
        <v>583.0</v>
      </c>
      <c r="B584" s="2" t="s">
        <v>34</v>
      </c>
      <c r="C584" s="2" t="s">
        <v>13</v>
      </c>
      <c r="D584" s="13"/>
      <c r="E584" s="13"/>
      <c r="F584" s="45"/>
      <c r="G584" s="42"/>
      <c r="H584" s="42"/>
      <c r="I584" s="42"/>
      <c r="J584" s="22"/>
    </row>
    <row r="585" ht="39.75" hidden="1" customHeight="1">
      <c r="A585" s="1">
        <v>584.0</v>
      </c>
      <c r="B585" s="2" t="s">
        <v>35</v>
      </c>
      <c r="C585" s="2" t="s">
        <v>13</v>
      </c>
      <c r="D585" s="13"/>
      <c r="E585" s="13"/>
      <c r="F585" s="45"/>
      <c r="G585" s="42"/>
      <c r="H585" s="42"/>
      <c r="I585" s="42"/>
      <c r="J585" s="22"/>
    </row>
    <row r="586" ht="39.75" hidden="1" customHeight="1">
      <c r="A586" s="1">
        <v>585.0</v>
      </c>
      <c r="B586" s="2" t="s">
        <v>36</v>
      </c>
      <c r="C586" s="2" t="s">
        <v>13</v>
      </c>
      <c r="D586" s="13"/>
      <c r="E586" s="13"/>
      <c r="F586" s="45"/>
      <c r="G586" s="42"/>
      <c r="H586" s="42"/>
      <c r="I586" s="42"/>
      <c r="J586" s="22"/>
    </row>
    <row r="587" ht="39.75" hidden="1" customHeight="1">
      <c r="A587" s="1">
        <v>586.0</v>
      </c>
      <c r="B587" s="2" t="s">
        <v>38</v>
      </c>
      <c r="C587" s="2" t="s">
        <v>13</v>
      </c>
      <c r="D587" s="13"/>
      <c r="E587" s="13"/>
      <c r="F587" s="45"/>
      <c r="G587" s="42"/>
      <c r="H587" s="42"/>
      <c r="I587" s="42"/>
      <c r="J587" s="22"/>
    </row>
    <row r="588" ht="39.75" hidden="1" customHeight="1">
      <c r="A588" s="1">
        <v>587.0</v>
      </c>
      <c r="B588" s="2" t="s">
        <v>41</v>
      </c>
      <c r="C588" s="2" t="s">
        <v>13</v>
      </c>
      <c r="D588" s="13"/>
      <c r="E588" s="13"/>
      <c r="F588" s="45"/>
      <c r="G588" s="42"/>
      <c r="H588" s="42"/>
      <c r="I588" s="42"/>
      <c r="J588" s="22"/>
    </row>
    <row r="589" ht="39.75" hidden="1" customHeight="1">
      <c r="A589" s="1">
        <v>588.0</v>
      </c>
      <c r="B589" s="2" t="s">
        <v>42</v>
      </c>
      <c r="C589" s="2" t="s">
        <v>13</v>
      </c>
      <c r="D589" s="13"/>
      <c r="E589" s="13"/>
      <c r="F589" s="45"/>
      <c r="G589" s="42"/>
      <c r="H589" s="42"/>
      <c r="I589" s="42"/>
      <c r="J589" s="22"/>
    </row>
    <row r="590" ht="39.75" hidden="1" customHeight="1">
      <c r="A590" s="1">
        <v>589.0</v>
      </c>
      <c r="B590" s="2" t="s">
        <v>43</v>
      </c>
      <c r="C590" s="2" t="s">
        <v>13</v>
      </c>
      <c r="D590" s="13"/>
      <c r="E590" s="13"/>
      <c r="F590" s="45"/>
      <c r="G590" s="42"/>
      <c r="H590" s="42"/>
      <c r="I590" s="42"/>
      <c r="J590" s="22"/>
    </row>
    <row r="591" ht="39.75" hidden="1" customHeight="1">
      <c r="A591" s="1">
        <v>590.0</v>
      </c>
      <c r="B591" s="2" t="s">
        <v>45</v>
      </c>
      <c r="C591" s="2" t="s">
        <v>13</v>
      </c>
      <c r="D591" s="13"/>
      <c r="E591" s="13"/>
      <c r="F591" s="45"/>
      <c r="G591" s="42"/>
      <c r="H591" s="42"/>
      <c r="I591" s="42"/>
      <c r="J591" s="22"/>
    </row>
    <row r="592" ht="39.75" hidden="1" customHeight="1">
      <c r="A592" s="1">
        <v>591.0</v>
      </c>
      <c r="B592" s="2" t="s">
        <v>46</v>
      </c>
      <c r="C592" s="2" t="s">
        <v>13</v>
      </c>
      <c r="D592" s="13"/>
      <c r="E592" s="13"/>
      <c r="F592" s="45"/>
      <c r="G592" s="42"/>
      <c r="H592" s="42"/>
      <c r="I592" s="42"/>
      <c r="J592" s="22"/>
    </row>
    <row r="593" ht="39.75" customHeight="1">
      <c r="A593" s="1">
        <v>592.0</v>
      </c>
      <c r="B593" s="2" t="s">
        <v>47</v>
      </c>
      <c r="C593" s="2" t="s">
        <v>49</v>
      </c>
      <c r="D593" s="13"/>
      <c r="E593" s="40">
        <v>0.7916666666666666</v>
      </c>
      <c r="F593" s="44" t="s">
        <v>1082</v>
      </c>
      <c r="G593" s="43">
        <v>1.0</v>
      </c>
      <c r="H593" s="42"/>
      <c r="I593" s="42"/>
      <c r="J593" s="22"/>
    </row>
    <row r="594" ht="39.75" customHeight="1">
      <c r="A594" s="1">
        <v>593.0</v>
      </c>
      <c r="B594" s="2" t="s">
        <v>48</v>
      </c>
      <c r="C594" s="13"/>
      <c r="D594" s="40">
        <v>0.375</v>
      </c>
      <c r="E594" s="13"/>
      <c r="F594" s="44" t="s">
        <v>1083</v>
      </c>
      <c r="G594" s="43">
        <v>2.0</v>
      </c>
      <c r="H594" s="42"/>
      <c r="I594" s="42"/>
      <c r="J594" s="22"/>
    </row>
    <row r="595" ht="39.75" customHeight="1">
      <c r="A595" s="1">
        <v>594.0</v>
      </c>
      <c r="B595" s="21"/>
      <c r="C595" s="21"/>
      <c r="D595" s="21"/>
      <c r="E595" s="21"/>
      <c r="F595" s="46"/>
      <c r="G595" s="47"/>
      <c r="H595" s="47"/>
      <c r="I595" s="47"/>
      <c r="J595" s="48"/>
      <c r="K595" s="49"/>
      <c r="L595" s="49"/>
      <c r="M595" s="49"/>
    </row>
    <row r="596" ht="39.75" hidden="1" customHeight="1">
      <c r="A596" s="1">
        <v>595.0</v>
      </c>
      <c r="B596" s="2" t="s">
        <v>12</v>
      </c>
      <c r="C596" s="2" t="s">
        <v>13</v>
      </c>
      <c r="D596" s="13"/>
      <c r="E596" s="13"/>
      <c r="F596" s="45"/>
      <c r="G596" s="42"/>
      <c r="H596" s="42"/>
      <c r="I596" s="42"/>
      <c r="J596" s="27" t="s">
        <v>840</v>
      </c>
      <c r="K596" s="15" t="s">
        <v>376</v>
      </c>
    </row>
    <row r="597" ht="39.75" hidden="1" customHeight="1">
      <c r="A597" s="1">
        <v>596.0</v>
      </c>
      <c r="B597" s="2" t="s">
        <v>16</v>
      </c>
      <c r="C597" s="2" t="s">
        <v>13</v>
      </c>
      <c r="D597" s="13"/>
      <c r="E597" s="13"/>
      <c r="F597" s="45"/>
      <c r="G597" s="42"/>
      <c r="H597" s="42"/>
      <c r="I597" s="42"/>
      <c r="J597" s="27" t="s">
        <v>376</v>
      </c>
    </row>
    <row r="598" ht="39.75" hidden="1" customHeight="1">
      <c r="A598" s="1">
        <v>597.0</v>
      </c>
      <c r="B598" s="2" t="s">
        <v>17</v>
      </c>
      <c r="C598" s="2" t="s">
        <v>13</v>
      </c>
      <c r="D598" s="13"/>
      <c r="E598" s="13"/>
      <c r="F598" s="45"/>
      <c r="G598" s="42"/>
      <c r="H598" s="42"/>
      <c r="I598" s="42"/>
      <c r="J598" s="27" t="s">
        <v>19</v>
      </c>
    </row>
    <row r="599" ht="39.75" customHeight="1">
      <c r="A599" s="1">
        <v>598.0</v>
      </c>
      <c r="B599" s="2" t="s">
        <v>331</v>
      </c>
      <c r="C599" s="2" t="s">
        <v>49</v>
      </c>
      <c r="D599" s="40">
        <v>0.375</v>
      </c>
      <c r="E599" s="13"/>
      <c r="F599" s="44" t="s">
        <v>1084</v>
      </c>
      <c r="G599" s="42"/>
      <c r="H599" s="42"/>
      <c r="I599" s="42"/>
      <c r="J599" s="27" t="s">
        <v>262</v>
      </c>
    </row>
    <row r="600" ht="39.75" hidden="1" customHeight="1">
      <c r="A600" s="1">
        <v>599.0</v>
      </c>
      <c r="B600" s="2" t="s">
        <v>21</v>
      </c>
      <c r="C600" s="2" t="s">
        <v>13</v>
      </c>
      <c r="D600" s="13"/>
      <c r="E600" s="13"/>
      <c r="F600" s="45"/>
      <c r="G600" s="42"/>
      <c r="H600" s="42"/>
      <c r="I600" s="42"/>
      <c r="J600" s="27" t="s">
        <v>264</v>
      </c>
    </row>
    <row r="601" ht="39.75" customHeight="1">
      <c r="A601" s="1">
        <v>600.0</v>
      </c>
      <c r="B601" s="2" t="s">
        <v>22</v>
      </c>
      <c r="C601" s="2" t="s">
        <v>44</v>
      </c>
      <c r="D601" s="13"/>
      <c r="E601" s="13"/>
      <c r="F601" s="45"/>
      <c r="G601" s="42"/>
      <c r="H601" s="42"/>
      <c r="I601" s="42"/>
      <c r="J601" s="27" t="s">
        <v>265</v>
      </c>
    </row>
    <row r="602" ht="39.75" hidden="1" customHeight="1">
      <c r="A602" s="1">
        <v>601.0</v>
      </c>
      <c r="B602" s="2" t="s">
        <v>23</v>
      </c>
      <c r="C602" s="2" t="s">
        <v>13</v>
      </c>
      <c r="D602" s="13"/>
      <c r="E602" s="13"/>
      <c r="F602" s="45"/>
      <c r="G602" s="42"/>
      <c r="H602" s="42"/>
      <c r="I602" s="42"/>
      <c r="J602" s="22"/>
    </row>
    <row r="603" ht="39.75" customHeight="1">
      <c r="A603" s="1">
        <v>602.0</v>
      </c>
      <c r="B603" s="2" t="s">
        <v>24</v>
      </c>
      <c r="C603" s="2" t="s">
        <v>63</v>
      </c>
      <c r="D603" s="13"/>
      <c r="E603" s="13"/>
      <c r="F603" s="45"/>
      <c r="G603" s="42"/>
      <c r="H603" s="42"/>
      <c r="I603" s="42"/>
      <c r="J603" s="22"/>
    </row>
    <row r="604" ht="39.75" hidden="1" customHeight="1">
      <c r="A604" s="1">
        <v>603.0</v>
      </c>
      <c r="B604" s="2" t="s">
        <v>25</v>
      </c>
      <c r="C604" s="2" t="s">
        <v>13</v>
      </c>
      <c r="D604" s="13"/>
      <c r="E604" s="13"/>
      <c r="F604" s="45"/>
      <c r="G604" s="42"/>
      <c r="H604" s="42"/>
      <c r="I604" s="42"/>
      <c r="J604" s="22"/>
    </row>
    <row r="605" ht="39.75" hidden="1" customHeight="1">
      <c r="A605" s="1">
        <v>604.0</v>
      </c>
      <c r="B605" s="2" t="s">
        <v>26</v>
      </c>
      <c r="C605" s="2" t="s">
        <v>13</v>
      </c>
      <c r="D605" s="13"/>
      <c r="E605" s="13"/>
      <c r="F605" s="45"/>
      <c r="G605" s="42"/>
      <c r="H605" s="42"/>
      <c r="I605" s="42"/>
      <c r="J605" s="22"/>
    </row>
    <row r="606" ht="39.75" customHeight="1">
      <c r="A606" s="1">
        <v>605.0</v>
      </c>
      <c r="B606" s="2" t="s">
        <v>29</v>
      </c>
      <c r="C606" s="2" t="s">
        <v>39</v>
      </c>
      <c r="D606" s="13"/>
      <c r="E606" s="13"/>
      <c r="F606" s="45"/>
      <c r="G606" s="42"/>
      <c r="H606" s="42"/>
      <c r="I606" s="42"/>
      <c r="J606" s="22"/>
    </row>
    <row r="607" ht="39.75" hidden="1" customHeight="1">
      <c r="A607" s="1">
        <v>606.0</v>
      </c>
      <c r="B607" s="2" t="s">
        <v>30</v>
      </c>
      <c r="C607" s="2" t="s">
        <v>13</v>
      </c>
      <c r="D607" s="13"/>
      <c r="E607" s="13"/>
      <c r="F607" s="45"/>
      <c r="G607" s="42"/>
      <c r="H607" s="42"/>
      <c r="I607" s="42"/>
      <c r="J607" s="22"/>
    </row>
    <row r="608" ht="39.75" hidden="1" customHeight="1">
      <c r="A608" s="1">
        <v>607.0</v>
      </c>
      <c r="B608" s="2" t="s">
        <v>31</v>
      </c>
      <c r="C608" s="2" t="s">
        <v>13</v>
      </c>
      <c r="D608" s="13"/>
      <c r="E608" s="13"/>
      <c r="F608" s="45"/>
      <c r="G608" s="42"/>
      <c r="H608" s="42"/>
      <c r="I608" s="42"/>
      <c r="J608" s="22"/>
    </row>
    <row r="609" ht="39.75" customHeight="1">
      <c r="A609" s="1">
        <v>608.0</v>
      </c>
      <c r="B609" s="2" t="s">
        <v>32</v>
      </c>
      <c r="C609" s="2"/>
      <c r="D609" s="40">
        <v>0.375</v>
      </c>
      <c r="E609" s="13"/>
      <c r="F609" s="45"/>
      <c r="G609" s="42"/>
      <c r="H609" s="42"/>
      <c r="I609" s="42"/>
      <c r="J609" s="22"/>
    </row>
    <row r="610" ht="39.75" hidden="1" customHeight="1">
      <c r="A610" s="1">
        <v>609.0</v>
      </c>
      <c r="B610" s="2" t="s">
        <v>67</v>
      </c>
      <c r="C610" s="2" t="s">
        <v>13</v>
      </c>
      <c r="D610" s="13"/>
      <c r="E610" s="13"/>
      <c r="F610" s="45"/>
      <c r="G610" s="42"/>
      <c r="H610" s="42"/>
      <c r="I610" s="42"/>
      <c r="J610" s="22"/>
    </row>
    <row r="611" ht="39.75" hidden="1" customHeight="1">
      <c r="A611" s="1">
        <v>610.0</v>
      </c>
      <c r="B611" s="2" t="s">
        <v>34</v>
      </c>
      <c r="C611" s="2" t="s">
        <v>13</v>
      </c>
      <c r="D611" s="13"/>
      <c r="E611" s="13"/>
      <c r="F611" s="45"/>
      <c r="G611" s="42"/>
      <c r="H611" s="42"/>
      <c r="I611" s="42"/>
      <c r="J611" s="22"/>
    </row>
    <row r="612" ht="39.75" hidden="1" customHeight="1">
      <c r="A612" s="1">
        <v>611.0</v>
      </c>
      <c r="B612" s="2" t="s">
        <v>35</v>
      </c>
      <c r="C612" s="2" t="s">
        <v>13</v>
      </c>
      <c r="D612" s="13"/>
      <c r="E612" s="13"/>
      <c r="F612" s="45"/>
      <c r="G612" s="42"/>
      <c r="H612" s="42"/>
      <c r="I612" s="42"/>
      <c r="J612" s="22"/>
    </row>
    <row r="613" ht="39.75" hidden="1" customHeight="1">
      <c r="A613" s="1">
        <v>612.0</v>
      </c>
      <c r="B613" s="2" t="s">
        <v>36</v>
      </c>
      <c r="C613" s="2" t="s">
        <v>13</v>
      </c>
      <c r="D613" s="13"/>
      <c r="E613" s="13"/>
      <c r="F613" s="45"/>
      <c r="G613" s="42"/>
      <c r="H613" s="42"/>
      <c r="I613" s="42"/>
      <c r="J613" s="22"/>
    </row>
    <row r="614" ht="39.75" customHeight="1">
      <c r="A614" s="1">
        <v>613.0</v>
      </c>
      <c r="B614" s="2" t="s">
        <v>38</v>
      </c>
      <c r="C614" s="2"/>
      <c r="D614" s="40">
        <v>0.375</v>
      </c>
      <c r="E614" s="13"/>
      <c r="F614" s="44" t="s">
        <v>1085</v>
      </c>
      <c r="G614" s="42"/>
      <c r="H614" s="42"/>
      <c r="I614" s="42"/>
      <c r="J614" s="22"/>
    </row>
    <row r="615" ht="39.75" hidden="1" customHeight="1">
      <c r="A615" s="1">
        <v>614.0</v>
      </c>
      <c r="B615" s="2" t="s">
        <v>41</v>
      </c>
      <c r="C615" s="2" t="s">
        <v>13</v>
      </c>
      <c r="D615" s="13"/>
      <c r="E615" s="13"/>
      <c r="F615" s="45"/>
      <c r="G615" s="42"/>
      <c r="H615" s="42"/>
      <c r="I615" s="42"/>
      <c r="J615" s="22"/>
    </row>
    <row r="616" ht="39.75" hidden="1" customHeight="1">
      <c r="A616" s="1">
        <v>615.0</v>
      </c>
      <c r="B616" s="2" t="s">
        <v>42</v>
      </c>
      <c r="C616" s="2" t="s">
        <v>13</v>
      </c>
      <c r="D616" s="13"/>
      <c r="E616" s="13"/>
      <c r="F616" s="45"/>
      <c r="G616" s="42"/>
      <c r="H616" s="42"/>
      <c r="I616" s="42"/>
      <c r="J616" s="22"/>
    </row>
    <row r="617" ht="39.75" customHeight="1">
      <c r="A617" s="1">
        <v>616.0</v>
      </c>
      <c r="B617" s="2" t="s">
        <v>43</v>
      </c>
      <c r="C617" s="2" t="s">
        <v>27</v>
      </c>
      <c r="D617" s="13"/>
      <c r="E617" s="13"/>
      <c r="F617" s="44" t="s">
        <v>1086</v>
      </c>
      <c r="G617" s="42"/>
      <c r="H617" s="42"/>
      <c r="I617" s="42"/>
      <c r="J617" s="22"/>
    </row>
    <row r="618" ht="39.75" hidden="1" customHeight="1">
      <c r="A618" s="1">
        <v>617.0</v>
      </c>
      <c r="B618" s="2" t="s">
        <v>45</v>
      </c>
      <c r="C618" s="2" t="s">
        <v>13</v>
      </c>
      <c r="D618" s="13"/>
      <c r="E618" s="13"/>
      <c r="F618" s="45"/>
      <c r="G618" s="42"/>
      <c r="H618" s="42"/>
      <c r="I618" s="42"/>
      <c r="J618" s="22"/>
    </row>
    <row r="619" ht="39.75" hidden="1" customHeight="1">
      <c r="A619" s="1">
        <v>618.0</v>
      </c>
      <c r="B619" s="2" t="s">
        <v>46</v>
      </c>
      <c r="C619" s="2" t="s">
        <v>13</v>
      </c>
      <c r="D619" s="13"/>
      <c r="E619" s="13"/>
      <c r="F619" s="45"/>
      <c r="G619" s="42"/>
      <c r="H619" s="42"/>
      <c r="I619" s="42"/>
      <c r="J619" s="22"/>
    </row>
    <row r="620" ht="39.75" customHeight="1">
      <c r="A620" s="1">
        <v>619.0</v>
      </c>
      <c r="B620" s="2" t="s">
        <v>47</v>
      </c>
      <c r="C620" s="13"/>
      <c r="D620" s="13"/>
      <c r="E620" s="13"/>
      <c r="F620" s="44" t="s">
        <v>1087</v>
      </c>
      <c r="G620" s="43">
        <v>1.0</v>
      </c>
      <c r="H620" s="42"/>
      <c r="I620" s="42"/>
      <c r="J620" s="22"/>
    </row>
    <row r="621" ht="39.75" hidden="1" customHeight="1">
      <c r="A621" s="1">
        <v>620.0</v>
      </c>
      <c r="B621" s="2" t="s">
        <v>48</v>
      </c>
      <c r="C621" s="2" t="s">
        <v>13</v>
      </c>
      <c r="D621" s="13"/>
      <c r="E621" s="13"/>
      <c r="F621" s="45"/>
      <c r="G621" s="42"/>
      <c r="H621" s="42"/>
      <c r="I621" s="42"/>
      <c r="J621" s="22"/>
    </row>
    <row r="622" ht="39.75" customHeight="1">
      <c r="A622" s="1">
        <v>621.0</v>
      </c>
      <c r="B622" s="21"/>
      <c r="C622" s="21"/>
      <c r="D622" s="21"/>
      <c r="E622" s="21"/>
      <c r="F622" s="46"/>
      <c r="G622" s="47"/>
      <c r="H622" s="47"/>
      <c r="I622" s="47"/>
      <c r="J622" s="48"/>
      <c r="K622" s="49"/>
      <c r="L622" s="49"/>
      <c r="M622" s="49"/>
    </row>
    <row r="623" ht="39.75" hidden="1" customHeight="1">
      <c r="A623" s="1">
        <v>622.0</v>
      </c>
      <c r="B623" s="2" t="s">
        <v>12</v>
      </c>
      <c r="C623" s="2" t="s">
        <v>58</v>
      </c>
      <c r="D623" s="13"/>
      <c r="E623" s="13"/>
      <c r="F623" s="45"/>
      <c r="G623" s="42"/>
      <c r="H623" s="42"/>
      <c r="I623" s="42"/>
      <c r="J623" s="27" t="s">
        <v>840</v>
      </c>
      <c r="K623" s="15" t="s">
        <v>389</v>
      </c>
    </row>
    <row r="624" ht="39.75" customHeight="1">
      <c r="A624" s="1">
        <v>623.0</v>
      </c>
      <c r="B624" s="2" t="s">
        <v>16</v>
      </c>
      <c r="C624" s="2" t="s">
        <v>39</v>
      </c>
      <c r="D624" s="40">
        <v>0.2916666666666667</v>
      </c>
      <c r="E624" s="13"/>
      <c r="F624" s="44" t="s">
        <v>1088</v>
      </c>
      <c r="G624" s="43">
        <v>1.0</v>
      </c>
      <c r="H624" s="42"/>
      <c r="I624" s="42"/>
      <c r="J624" s="27" t="s">
        <v>389</v>
      </c>
    </row>
    <row r="625" ht="39.75" customHeight="1">
      <c r="A625" s="1">
        <v>624.0</v>
      </c>
      <c r="B625" s="2" t="s">
        <v>17</v>
      </c>
      <c r="C625" s="2"/>
      <c r="D625" s="13"/>
      <c r="E625" s="13"/>
      <c r="F625" s="44"/>
      <c r="G625" s="42"/>
      <c r="H625" s="42"/>
      <c r="I625" s="42"/>
      <c r="J625" s="27" t="s">
        <v>56</v>
      </c>
    </row>
    <row r="626" ht="39.75" customHeight="1">
      <c r="A626" s="1">
        <v>625.0</v>
      </c>
      <c r="B626" s="2" t="s">
        <v>331</v>
      </c>
      <c r="C626" s="2" t="s">
        <v>542</v>
      </c>
      <c r="D626" s="13"/>
      <c r="E626" s="13"/>
      <c r="F626" s="44"/>
      <c r="G626" s="42"/>
      <c r="H626" s="42"/>
      <c r="I626" s="42"/>
      <c r="J626" s="22"/>
    </row>
    <row r="627" ht="39.75" customHeight="1">
      <c r="A627" s="1">
        <v>626.0</v>
      </c>
      <c r="B627" s="2" t="s">
        <v>21</v>
      </c>
      <c r="C627" s="2"/>
      <c r="D627" s="13"/>
      <c r="E627" s="13"/>
      <c r="F627" s="44" t="s">
        <v>1089</v>
      </c>
      <c r="G627" s="43">
        <v>1.0</v>
      </c>
      <c r="H627" s="42"/>
      <c r="I627" s="42"/>
      <c r="J627" s="22"/>
    </row>
    <row r="628" ht="39.75" customHeight="1">
      <c r="A628" s="1">
        <v>627.0</v>
      </c>
      <c r="B628" s="2" t="s">
        <v>22</v>
      </c>
      <c r="C628" s="2" t="s">
        <v>54</v>
      </c>
      <c r="D628" s="13"/>
      <c r="E628" s="13"/>
      <c r="F628" s="44"/>
      <c r="G628" s="43"/>
      <c r="H628" s="42"/>
      <c r="I628" s="42"/>
      <c r="J628" s="22"/>
    </row>
    <row r="629" ht="39.75" hidden="1" customHeight="1">
      <c r="A629" s="1">
        <v>628.0</v>
      </c>
      <c r="B629" s="2" t="s">
        <v>23</v>
      </c>
      <c r="C629" s="2" t="s">
        <v>58</v>
      </c>
      <c r="D629" s="13"/>
      <c r="E629" s="13"/>
      <c r="F629" s="45"/>
      <c r="G629" s="42"/>
      <c r="H629" s="42"/>
      <c r="I629" s="42"/>
      <c r="J629" s="22"/>
    </row>
    <row r="630" ht="39.75" customHeight="1">
      <c r="A630" s="1">
        <v>629.0</v>
      </c>
      <c r="B630" s="2" t="s">
        <v>24</v>
      </c>
      <c r="C630" s="2" t="s">
        <v>277</v>
      </c>
      <c r="D630" s="13"/>
      <c r="E630" s="13"/>
      <c r="F630" s="44" t="s">
        <v>1090</v>
      </c>
      <c r="G630" s="43">
        <v>2.0</v>
      </c>
      <c r="H630" s="42"/>
      <c r="I630" s="43">
        <v>2.0</v>
      </c>
      <c r="J630" s="22"/>
    </row>
    <row r="631" ht="39.75" customHeight="1">
      <c r="A631" s="1">
        <v>630.0</v>
      </c>
      <c r="B631" s="2" t="s">
        <v>25</v>
      </c>
      <c r="C631" s="2" t="s">
        <v>54</v>
      </c>
      <c r="D631" s="40">
        <v>0.4166666666666667</v>
      </c>
      <c r="E631" s="13"/>
      <c r="F631" s="44" t="s">
        <v>1091</v>
      </c>
      <c r="G631" s="43">
        <v>1.0</v>
      </c>
      <c r="H631" s="42"/>
      <c r="I631" s="42"/>
      <c r="J631" s="22"/>
    </row>
    <row r="632" ht="39.75" customHeight="1">
      <c r="A632" s="1">
        <v>631.0</v>
      </c>
      <c r="B632" s="2" t="s">
        <v>26</v>
      </c>
      <c r="C632" s="2" t="s">
        <v>39</v>
      </c>
      <c r="D632" s="13"/>
      <c r="E632" s="13"/>
      <c r="F632" s="44" t="s">
        <v>1092</v>
      </c>
      <c r="G632" s="43">
        <v>1.0</v>
      </c>
      <c r="H632" s="42"/>
      <c r="I632" s="42"/>
      <c r="J632" s="22"/>
    </row>
    <row r="633" ht="39.75" customHeight="1">
      <c r="A633" s="1">
        <v>632.0</v>
      </c>
      <c r="B633" s="2" t="s">
        <v>29</v>
      </c>
      <c r="C633" s="2"/>
      <c r="D633" s="40">
        <v>0.375</v>
      </c>
      <c r="E633" s="13"/>
      <c r="F633" s="44" t="s">
        <v>1093</v>
      </c>
      <c r="G633" s="43">
        <v>1.0</v>
      </c>
      <c r="H633" s="42"/>
      <c r="I633" s="42"/>
      <c r="J633" s="22"/>
    </row>
    <row r="634" ht="39.75" customHeight="1">
      <c r="A634" s="1">
        <v>633.0</v>
      </c>
      <c r="B634" s="2" t="s">
        <v>30</v>
      </c>
      <c r="C634" s="2" t="s">
        <v>64</v>
      </c>
      <c r="D634" s="13"/>
      <c r="E634" s="13"/>
      <c r="F634" s="45"/>
      <c r="G634" s="42"/>
      <c r="H634" s="42"/>
      <c r="I634" s="42"/>
      <c r="J634" s="22"/>
    </row>
    <row r="635" ht="39.75" customHeight="1">
      <c r="A635" s="1">
        <v>634.0</v>
      </c>
      <c r="B635" s="2" t="s">
        <v>31</v>
      </c>
      <c r="C635" s="2" t="s">
        <v>54</v>
      </c>
      <c r="D635" s="40">
        <v>0.375</v>
      </c>
      <c r="E635" s="13"/>
      <c r="F635" s="44" t="s">
        <v>1094</v>
      </c>
      <c r="G635" s="43">
        <v>1.0</v>
      </c>
      <c r="H635" s="42"/>
      <c r="I635" s="42"/>
      <c r="J635" s="22"/>
    </row>
    <row r="636" ht="39.75" customHeight="1">
      <c r="A636" s="1">
        <v>635.0</v>
      </c>
      <c r="B636" s="2" t="s">
        <v>32</v>
      </c>
      <c r="C636" s="2"/>
      <c r="D636" s="13"/>
      <c r="E636" s="13"/>
      <c r="F636" s="44"/>
      <c r="G636" s="43"/>
      <c r="H636" s="42"/>
      <c r="I636" s="42"/>
      <c r="J636" s="22"/>
    </row>
    <row r="637" ht="39.75" hidden="1" customHeight="1">
      <c r="A637" s="1">
        <v>636.0</v>
      </c>
      <c r="B637" s="2" t="s">
        <v>67</v>
      </c>
      <c r="C637" s="2" t="s">
        <v>58</v>
      </c>
      <c r="D637" s="13"/>
      <c r="E637" s="13"/>
      <c r="F637" s="45"/>
      <c r="G637" s="42"/>
      <c r="H637" s="42"/>
      <c r="I637" s="42"/>
      <c r="J637" s="22"/>
    </row>
    <row r="638" ht="39.75" hidden="1" customHeight="1">
      <c r="A638" s="1">
        <v>637.0</v>
      </c>
      <c r="B638" s="2" t="s">
        <v>34</v>
      </c>
      <c r="C638" s="2" t="s">
        <v>58</v>
      </c>
      <c r="D638" s="13"/>
      <c r="E638" s="13"/>
      <c r="F638" s="45"/>
      <c r="G638" s="42"/>
      <c r="H638" s="42"/>
      <c r="I638" s="42"/>
      <c r="J638" s="22"/>
    </row>
    <row r="639" ht="39.75" customHeight="1">
      <c r="A639" s="1">
        <v>638.0</v>
      </c>
      <c r="B639" s="2" t="s">
        <v>35</v>
      </c>
      <c r="C639" s="2"/>
      <c r="D639" s="13"/>
      <c r="E639" s="13"/>
      <c r="F639" s="44" t="s">
        <v>1095</v>
      </c>
      <c r="G639" s="43">
        <v>1.0</v>
      </c>
      <c r="H639" s="42"/>
      <c r="I639" s="42"/>
      <c r="J639" s="22"/>
    </row>
    <row r="640" ht="39.75" customHeight="1">
      <c r="A640" s="1">
        <v>639.0</v>
      </c>
      <c r="B640" s="2" t="s">
        <v>36</v>
      </c>
      <c r="C640" s="2" t="s">
        <v>27</v>
      </c>
      <c r="D640" s="13"/>
      <c r="E640" s="13"/>
      <c r="F640" s="44" t="s">
        <v>1096</v>
      </c>
      <c r="G640" s="43">
        <v>1.0</v>
      </c>
      <c r="H640" s="42"/>
      <c r="I640" s="42"/>
      <c r="J640" s="22"/>
    </row>
    <row r="641" ht="39.75" hidden="1" customHeight="1">
      <c r="A641" s="1">
        <v>640.0</v>
      </c>
      <c r="B641" s="2" t="s">
        <v>38</v>
      </c>
      <c r="C641" s="2" t="s">
        <v>66</v>
      </c>
      <c r="D641" s="13"/>
      <c r="E641" s="13"/>
      <c r="F641" s="45"/>
      <c r="G641" s="42"/>
      <c r="H641" s="42"/>
      <c r="I641" s="42"/>
      <c r="J641" s="22"/>
    </row>
    <row r="642" ht="39.75" customHeight="1">
      <c r="A642" s="1">
        <v>641.0</v>
      </c>
      <c r="B642" s="2" t="s">
        <v>41</v>
      </c>
      <c r="C642" s="2" t="s">
        <v>69</v>
      </c>
      <c r="D642" s="13"/>
      <c r="E642" s="13"/>
      <c r="F642" s="44" t="s">
        <v>1097</v>
      </c>
      <c r="G642" s="43">
        <v>1.0</v>
      </c>
      <c r="H642" s="42"/>
      <c r="I642" s="42"/>
      <c r="J642" s="22"/>
    </row>
    <row r="643" ht="39.75" customHeight="1">
      <c r="A643" s="1">
        <v>642.0</v>
      </c>
      <c r="B643" s="2" t="s">
        <v>42</v>
      </c>
      <c r="C643" s="2" t="s">
        <v>69</v>
      </c>
      <c r="D643" s="13"/>
      <c r="E643" s="13"/>
      <c r="F643" s="44" t="s">
        <v>1098</v>
      </c>
      <c r="G643" s="43">
        <v>1.0</v>
      </c>
      <c r="H643" s="42"/>
      <c r="I643" s="42"/>
      <c r="J643" s="22"/>
    </row>
    <row r="644" ht="39.75" customHeight="1">
      <c r="A644" s="1">
        <v>643.0</v>
      </c>
      <c r="B644" s="2" t="s">
        <v>43</v>
      </c>
      <c r="C644" s="2" t="s">
        <v>44</v>
      </c>
      <c r="D644" s="13"/>
      <c r="E644" s="13"/>
      <c r="F644" s="45"/>
      <c r="G644" s="42"/>
      <c r="H644" s="42"/>
      <c r="I644" s="42"/>
      <c r="J644" s="22"/>
    </row>
    <row r="645" ht="39.75" customHeight="1">
      <c r="A645" s="1">
        <v>644.0</v>
      </c>
      <c r="B645" s="2" t="s">
        <v>45</v>
      </c>
      <c r="C645" s="2"/>
      <c r="D645" s="13"/>
      <c r="E645" s="13"/>
      <c r="F645" s="44" t="s">
        <v>1099</v>
      </c>
      <c r="G645" s="42"/>
      <c r="H645" s="42"/>
      <c r="I645" s="42"/>
      <c r="J645" s="22"/>
    </row>
    <row r="646" ht="39.75" hidden="1" customHeight="1">
      <c r="A646" s="1">
        <v>645.0</v>
      </c>
      <c r="B646" s="2" t="s">
        <v>46</v>
      </c>
      <c r="C646" s="2" t="s">
        <v>58</v>
      </c>
      <c r="D646" s="13"/>
      <c r="E646" s="13"/>
      <c r="F646" s="45"/>
      <c r="G646" s="42"/>
      <c r="H646" s="42"/>
      <c r="I646" s="42"/>
      <c r="J646" s="22"/>
    </row>
    <row r="647" ht="39.75" hidden="1" customHeight="1">
      <c r="A647" s="1">
        <v>646.0</v>
      </c>
      <c r="B647" s="2" t="s">
        <v>47</v>
      </c>
      <c r="C647" s="2" t="s">
        <v>58</v>
      </c>
      <c r="D647" s="13"/>
      <c r="E647" s="13"/>
      <c r="F647" s="44" t="s">
        <v>1100</v>
      </c>
      <c r="G647" s="42"/>
      <c r="H647" s="42"/>
      <c r="I647" s="42"/>
      <c r="J647" s="22"/>
    </row>
    <row r="648" ht="39.75" customHeight="1">
      <c r="A648" s="1">
        <v>647.0</v>
      </c>
      <c r="B648" s="2" t="s">
        <v>48</v>
      </c>
      <c r="C648" s="2" t="s">
        <v>69</v>
      </c>
      <c r="D648" s="13"/>
      <c r="E648" s="13"/>
      <c r="F648" s="44" t="s">
        <v>1101</v>
      </c>
      <c r="G648" s="43">
        <v>1.0</v>
      </c>
      <c r="H648" s="42"/>
      <c r="I648" s="43">
        <v>1.0</v>
      </c>
      <c r="J648" s="22"/>
    </row>
    <row r="649" ht="39.75" customHeight="1">
      <c r="A649" s="1">
        <v>648.0</v>
      </c>
      <c r="B649" s="21"/>
      <c r="C649" s="21"/>
      <c r="D649" s="21"/>
      <c r="E649" s="21"/>
      <c r="F649" s="46"/>
      <c r="G649" s="47"/>
      <c r="H649" s="47"/>
      <c r="I649" s="47"/>
      <c r="J649" s="48"/>
      <c r="K649" s="49"/>
      <c r="L649" s="49"/>
      <c r="M649" s="49"/>
    </row>
    <row r="650" ht="39.75" customHeight="1">
      <c r="A650" s="1">
        <v>649.0</v>
      </c>
      <c r="B650" s="2" t="s">
        <v>12</v>
      </c>
      <c r="C650" s="2" t="s">
        <v>62</v>
      </c>
      <c r="D650" s="40">
        <v>0.375</v>
      </c>
      <c r="E650" s="13"/>
      <c r="F650" s="44" t="s">
        <v>1102</v>
      </c>
      <c r="G650" s="43">
        <v>1.0</v>
      </c>
      <c r="H650" s="42"/>
      <c r="I650" s="42"/>
      <c r="J650" s="27" t="s">
        <v>840</v>
      </c>
      <c r="K650" s="15" t="s">
        <v>406</v>
      </c>
    </row>
    <row r="651" ht="39.75" customHeight="1">
      <c r="A651" s="1">
        <v>650.0</v>
      </c>
      <c r="B651" s="2" t="s">
        <v>16</v>
      </c>
      <c r="C651" s="2" t="s">
        <v>69</v>
      </c>
      <c r="D651" s="13"/>
      <c r="E651" s="13"/>
      <c r="F651" s="44" t="s">
        <v>1103</v>
      </c>
      <c r="G651" s="43">
        <v>1.0</v>
      </c>
      <c r="H651" s="42"/>
      <c r="I651" s="42"/>
      <c r="J651" s="27" t="s">
        <v>406</v>
      </c>
    </row>
    <row r="652" ht="39.75" hidden="1" customHeight="1">
      <c r="A652" s="1">
        <v>651.0</v>
      </c>
      <c r="B652" s="2" t="s">
        <v>17</v>
      </c>
      <c r="C652" s="2" t="s">
        <v>66</v>
      </c>
      <c r="D652" s="13"/>
      <c r="E652" s="13"/>
      <c r="F652" s="45"/>
      <c r="G652" s="42"/>
      <c r="H652" s="42"/>
      <c r="I652" s="42"/>
      <c r="J652" s="27" t="s">
        <v>77</v>
      </c>
    </row>
    <row r="653" ht="39.75" customHeight="1">
      <c r="A653" s="1">
        <v>652.0</v>
      </c>
      <c r="B653" s="2" t="s">
        <v>331</v>
      </c>
      <c r="C653" s="2" t="s">
        <v>542</v>
      </c>
      <c r="D653" s="13"/>
      <c r="E653" s="13"/>
      <c r="F653" s="44" t="s">
        <v>1104</v>
      </c>
      <c r="G653" s="43">
        <v>1.0</v>
      </c>
      <c r="H653" s="42"/>
      <c r="I653" s="42"/>
      <c r="J653" s="22"/>
    </row>
    <row r="654" ht="39.75" customHeight="1">
      <c r="A654" s="1">
        <v>653.0</v>
      </c>
      <c r="B654" s="2" t="s">
        <v>21</v>
      </c>
      <c r="C654" s="2"/>
      <c r="D654" s="40">
        <v>0.375</v>
      </c>
      <c r="E654" s="13"/>
      <c r="F654" s="44" t="s">
        <v>1105</v>
      </c>
      <c r="G654" s="43">
        <v>1.0</v>
      </c>
      <c r="H654" s="42"/>
      <c r="I654" s="42"/>
      <c r="J654" s="22"/>
    </row>
    <row r="655" ht="39.75" customHeight="1">
      <c r="A655" s="1">
        <v>654.0</v>
      </c>
      <c r="B655" s="2" t="s">
        <v>22</v>
      </c>
      <c r="C655" s="2" t="s">
        <v>39</v>
      </c>
      <c r="D655" s="40">
        <v>0.2916666666666667</v>
      </c>
      <c r="E655" s="13"/>
      <c r="F655" s="44" t="s">
        <v>1106</v>
      </c>
      <c r="G655" s="43">
        <v>1.0</v>
      </c>
      <c r="H655" s="42"/>
      <c r="I655" s="42"/>
      <c r="J655" s="22"/>
    </row>
    <row r="656" ht="39.75" hidden="1" customHeight="1">
      <c r="A656" s="1">
        <v>655.0</v>
      </c>
      <c r="B656" s="2" t="s">
        <v>23</v>
      </c>
      <c r="C656" s="2" t="s">
        <v>58</v>
      </c>
      <c r="D656" s="13"/>
      <c r="E656" s="13"/>
      <c r="F656" s="45"/>
      <c r="G656" s="42"/>
      <c r="H656" s="42"/>
      <c r="I656" s="42"/>
      <c r="J656" s="22"/>
    </row>
    <row r="657" ht="39.75" customHeight="1">
      <c r="A657" s="1">
        <v>656.0</v>
      </c>
      <c r="B657" s="2" t="s">
        <v>24</v>
      </c>
      <c r="C657" s="2" t="s">
        <v>277</v>
      </c>
      <c r="D657" s="40">
        <v>0.3333333333333333</v>
      </c>
      <c r="E657" s="13"/>
      <c r="F657" s="61" t="s">
        <v>1107</v>
      </c>
      <c r="G657" s="43">
        <v>1.0</v>
      </c>
      <c r="H657" s="42"/>
      <c r="I657" s="42"/>
      <c r="J657" s="22"/>
    </row>
    <row r="658" ht="39.75" customHeight="1">
      <c r="A658" s="1">
        <v>657.0</v>
      </c>
      <c r="B658" s="2" t="s">
        <v>25</v>
      </c>
      <c r="C658" s="2"/>
      <c r="D658" s="13"/>
      <c r="E658" s="13"/>
      <c r="F658" s="45"/>
      <c r="G658" s="42"/>
      <c r="H658" s="42"/>
      <c r="I658" s="42"/>
      <c r="J658" s="22"/>
    </row>
    <row r="659" ht="39.75" customHeight="1">
      <c r="A659" s="1">
        <v>658.0</v>
      </c>
      <c r="B659" s="2" t="s">
        <v>26</v>
      </c>
      <c r="C659" s="2"/>
      <c r="D659" s="13"/>
      <c r="E659" s="13"/>
      <c r="F659" s="44"/>
      <c r="G659" s="43"/>
      <c r="H659" s="42"/>
      <c r="I659" s="42"/>
      <c r="J659" s="22"/>
    </row>
    <row r="660" ht="39.75" customHeight="1">
      <c r="A660" s="1">
        <v>659.0</v>
      </c>
      <c r="B660" s="2" t="s">
        <v>29</v>
      </c>
      <c r="C660" s="2" t="s">
        <v>27</v>
      </c>
      <c r="D660" s="13"/>
      <c r="E660" s="13"/>
      <c r="F660" s="45"/>
      <c r="G660" s="42"/>
      <c r="H660" s="42"/>
      <c r="I660" s="42"/>
      <c r="J660" s="22"/>
    </row>
    <row r="661" ht="39.75" customHeight="1">
      <c r="A661" s="1">
        <v>660.0</v>
      </c>
      <c r="B661" s="2" t="s">
        <v>30</v>
      </c>
      <c r="C661" s="2" t="s">
        <v>64</v>
      </c>
      <c r="D661" s="13"/>
      <c r="E661" s="13"/>
      <c r="F661" s="44" t="s">
        <v>1108</v>
      </c>
      <c r="G661" s="43">
        <v>1.0</v>
      </c>
      <c r="H661" s="42"/>
      <c r="I661" s="42"/>
      <c r="J661" s="22"/>
    </row>
    <row r="662" ht="39.75" customHeight="1">
      <c r="A662" s="1">
        <v>661.0</v>
      </c>
      <c r="B662" s="2" t="s">
        <v>31</v>
      </c>
      <c r="C662" s="2" t="s">
        <v>54</v>
      </c>
      <c r="D662" s="13"/>
      <c r="E662" s="13"/>
      <c r="F662" s="44" t="s">
        <v>1109</v>
      </c>
      <c r="G662" s="43">
        <v>2.0</v>
      </c>
      <c r="H662" s="42"/>
      <c r="I662" s="43">
        <v>2.0</v>
      </c>
      <c r="J662" s="22"/>
    </row>
    <row r="663" ht="39.75" customHeight="1">
      <c r="A663" s="1">
        <v>662.0</v>
      </c>
      <c r="B663" s="2" t="s">
        <v>32</v>
      </c>
      <c r="C663" s="2" t="s">
        <v>54</v>
      </c>
      <c r="D663" s="13"/>
      <c r="E663" s="13"/>
      <c r="F663" s="44" t="s">
        <v>1110</v>
      </c>
      <c r="G663" s="43">
        <v>1.0</v>
      </c>
      <c r="H663" s="42"/>
      <c r="I663" s="42"/>
      <c r="J663" s="22"/>
    </row>
    <row r="664" ht="39.75" hidden="1" customHeight="1">
      <c r="A664" s="1">
        <v>663.0</v>
      </c>
      <c r="B664" s="2" t="s">
        <v>67</v>
      </c>
      <c r="C664" s="2" t="s">
        <v>58</v>
      </c>
      <c r="D664" s="13"/>
      <c r="E664" s="13"/>
      <c r="F664" s="45"/>
      <c r="G664" s="42"/>
      <c r="H664" s="42"/>
      <c r="I664" s="42"/>
      <c r="J664" s="22"/>
    </row>
    <row r="665" ht="39.75" hidden="1" customHeight="1">
      <c r="A665" s="1">
        <v>664.0</v>
      </c>
      <c r="B665" s="2" t="s">
        <v>34</v>
      </c>
      <c r="C665" s="2" t="s">
        <v>58</v>
      </c>
      <c r="D665" s="13"/>
      <c r="E665" s="13"/>
      <c r="F665" s="45"/>
      <c r="G665" s="42"/>
      <c r="H665" s="42"/>
      <c r="I665" s="42"/>
      <c r="J665" s="22"/>
    </row>
    <row r="666" ht="39.75" customHeight="1">
      <c r="A666" s="1">
        <v>665.0</v>
      </c>
      <c r="B666" s="2" t="s">
        <v>35</v>
      </c>
      <c r="C666" s="2"/>
      <c r="D666" s="13"/>
      <c r="E666" s="13"/>
      <c r="F666" s="45"/>
      <c r="G666" s="42"/>
      <c r="H666" s="42"/>
      <c r="I666" s="42"/>
      <c r="J666" s="22"/>
    </row>
    <row r="667" ht="39.75" customHeight="1">
      <c r="A667" s="1">
        <v>666.0</v>
      </c>
      <c r="B667" s="2" t="s">
        <v>36</v>
      </c>
      <c r="C667" s="2" t="s">
        <v>44</v>
      </c>
      <c r="D667" s="13"/>
      <c r="E667" s="13"/>
      <c r="F667" s="45"/>
      <c r="G667" s="42"/>
      <c r="H667" s="42"/>
      <c r="I667" s="42"/>
      <c r="J667" s="22"/>
    </row>
    <row r="668" ht="39.75" customHeight="1">
      <c r="A668" s="1">
        <v>667.0</v>
      </c>
      <c r="B668" s="2" t="s">
        <v>38</v>
      </c>
      <c r="C668" s="2" t="s">
        <v>54</v>
      </c>
      <c r="D668" s="53">
        <v>0.3333333333333333</v>
      </c>
      <c r="E668" s="13"/>
      <c r="F668" s="44" t="s">
        <v>1111</v>
      </c>
      <c r="G668" s="43">
        <v>1.0</v>
      </c>
      <c r="H668" s="42"/>
      <c r="I668" s="42"/>
      <c r="J668" s="22"/>
    </row>
    <row r="669" ht="39.75" customHeight="1">
      <c r="A669" s="1">
        <v>668.0</v>
      </c>
      <c r="B669" s="2" t="s">
        <v>41</v>
      </c>
      <c r="C669" s="2"/>
      <c r="D669" s="13"/>
      <c r="E669" s="13"/>
      <c r="F669" s="45"/>
      <c r="G669" s="42"/>
      <c r="H669" s="42"/>
      <c r="I669" s="42"/>
      <c r="J669" s="22"/>
    </row>
    <row r="670" ht="39.75" customHeight="1">
      <c r="A670" s="1">
        <v>669.0</v>
      </c>
      <c r="B670" s="2" t="s">
        <v>42</v>
      </c>
      <c r="C670" s="2"/>
      <c r="D670" s="13"/>
      <c r="E670" s="13"/>
      <c r="F670" s="45"/>
      <c r="G670" s="42"/>
      <c r="H670" s="42"/>
      <c r="I670" s="42"/>
      <c r="J670" s="22"/>
    </row>
    <row r="671" ht="39.75" customHeight="1">
      <c r="A671" s="1">
        <v>670.0</v>
      </c>
      <c r="B671" s="2" t="s">
        <v>43</v>
      </c>
      <c r="C671" s="2" t="s">
        <v>39</v>
      </c>
      <c r="D671" s="40">
        <v>0.2916666666666667</v>
      </c>
      <c r="E671" s="51">
        <v>0.7083333333333334</v>
      </c>
      <c r="F671" s="44" t="s">
        <v>1112</v>
      </c>
      <c r="G671" s="43">
        <v>1.0</v>
      </c>
      <c r="H671" s="42"/>
      <c r="I671" s="42"/>
      <c r="J671" s="22"/>
    </row>
    <row r="672" ht="39.75" customHeight="1">
      <c r="A672" s="1">
        <v>671.0</v>
      </c>
      <c r="B672" s="2" t="s">
        <v>45</v>
      </c>
      <c r="C672" s="2" t="s">
        <v>69</v>
      </c>
      <c r="D672" s="13"/>
      <c r="E672" s="13"/>
      <c r="F672" s="44" t="s">
        <v>1113</v>
      </c>
      <c r="G672" s="43">
        <v>1.0</v>
      </c>
      <c r="H672" s="42"/>
      <c r="I672" s="42"/>
      <c r="J672" s="22"/>
    </row>
    <row r="673" ht="39.75" hidden="1" customHeight="1">
      <c r="A673" s="1">
        <v>672.0</v>
      </c>
      <c r="B673" s="2" t="s">
        <v>46</v>
      </c>
      <c r="C673" s="2" t="s">
        <v>58</v>
      </c>
      <c r="D673" s="13"/>
      <c r="E673" s="13"/>
      <c r="F673" s="45"/>
      <c r="G673" s="42"/>
      <c r="H673" s="42"/>
      <c r="I673" s="42"/>
      <c r="J673" s="22"/>
    </row>
    <row r="674" ht="39.75" customHeight="1">
      <c r="A674" s="1">
        <v>673.0</v>
      </c>
      <c r="B674" s="2" t="s">
        <v>47</v>
      </c>
      <c r="C674" s="2" t="s">
        <v>54</v>
      </c>
      <c r="D674" s="13"/>
      <c r="E674" s="13"/>
      <c r="F674" s="44" t="s">
        <v>1112</v>
      </c>
      <c r="G674" s="43">
        <v>1.0</v>
      </c>
      <c r="H674" s="42"/>
      <c r="I674" s="42"/>
      <c r="J674" s="22"/>
    </row>
    <row r="675" ht="39.75" customHeight="1">
      <c r="A675" s="1">
        <v>674.0</v>
      </c>
      <c r="B675" s="2" t="s">
        <v>48</v>
      </c>
      <c r="C675" s="2" t="s">
        <v>69</v>
      </c>
      <c r="D675" s="13"/>
      <c r="E675" s="13"/>
      <c r="F675" s="44" t="s">
        <v>1114</v>
      </c>
      <c r="G675" s="43">
        <v>1.0</v>
      </c>
      <c r="H675" s="42"/>
      <c r="I675" s="42"/>
      <c r="J675" s="22"/>
    </row>
    <row r="676" ht="39.75" customHeight="1">
      <c r="A676" s="1">
        <v>675.0</v>
      </c>
      <c r="B676" s="21"/>
      <c r="C676" s="21"/>
      <c r="D676" s="21"/>
      <c r="E676" s="21"/>
      <c r="F676" s="46"/>
      <c r="G676" s="47"/>
      <c r="H676" s="47"/>
      <c r="I676" s="47"/>
      <c r="J676" s="48"/>
      <c r="K676" s="49"/>
      <c r="L676" s="49"/>
      <c r="M676" s="49"/>
    </row>
    <row r="677" ht="39.75" customHeight="1">
      <c r="A677" s="1">
        <v>676.0</v>
      </c>
      <c r="B677" s="2" t="s">
        <v>12</v>
      </c>
      <c r="C677" s="2" t="s">
        <v>62</v>
      </c>
      <c r="D677" s="13"/>
      <c r="E677" s="13"/>
      <c r="F677" s="45"/>
      <c r="G677" s="42"/>
      <c r="H677" s="42"/>
      <c r="I677" s="42"/>
      <c r="J677" s="27" t="s">
        <v>840</v>
      </c>
      <c r="K677" s="15" t="s">
        <v>423</v>
      </c>
    </row>
    <row r="678" ht="39.75" customHeight="1">
      <c r="A678" s="1">
        <v>677.0</v>
      </c>
      <c r="B678" s="2" t="s">
        <v>16</v>
      </c>
      <c r="C678" s="2"/>
      <c r="D678" s="13"/>
      <c r="E678" s="13"/>
      <c r="F678" s="44" t="s">
        <v>1115</v>
      </c>
      <c r="G678" s="43">
        <v>1.0</v>
      </c>
      <c r="H678" s="42"/>
      <c r="I678" s="43">
        <v>1.0</v>
      </c>
      <c r="J678" s="27" t="s">
        <v>423</v>
      </c>
    </row>
    <row r="679" ht="39.75" customHeight="1">
      <c r="A679" s="1">
        <v>678.0</v>
      </c>
      <c r="B679" s="2" t="s">
        <v>17</v>
      </c>
      <c r="C679" s="2" t="s">
        <v>54</v>
      </c>
      <c r="D679" s="13"/>
      <c r="E679" s="13"/>
      <c r="F679" s="44" t="s">
        <v>1116</v>
      </c>
      <c r="G679" s="43">
        <v>1.0</v>
      </c>
      <c r="H679" s="42"/>
      <c r="I679" s="43"/>
      <c r="J679" s="27" t="s">
        <v>95</v>
      </c>
    </row>
    <row r="680" ht="39.75" hidden="1" customHeight="1">
      <c r="A680" s="1">
        <v>679.0</v>
      </c>
      <c r="B680" s="2" t="s">
        <v>331</v>
      </c>
      <c r="C680" s="2" t="s">
        <v>66</v>
      </c>
      <c r="D680" s="13"/>
      <c r="E680" s="13"/>
      <c r="F680" s="44"/>
      <c r="G680" s="42"/>
      <c r="H680" s="42"/>
      <c r="I680" s="42"/>
      <c r="J680" s="22"/>
    </row>
    <row r="681" ht="39.75" customHeight="1">
      <c r="A681" s="1">
        <v>680.0</v>
      </c>
      <c r="B681" s="2" t="s">
        <v>21</v>
      </c>
      <c r="C681" s="2"/>
      <c r="D681" s="40">
        <v>0.375</v>
      </c>
      <c r="E681" s="13"/>
      <c r="F681" s="44"/>
      <c r="G681" s="42"/>
      <c r="H681" s="42"/>
      <c r="I681" s="42"/>
      <c r="J681" s="22"/>
    </row>
    <row r="682" ht="39.75" hidden="1" customHeight="1">
      <c r="A682" s="1">
        <v>681.0</v>
      </c>
      <c r="B682" s="2" t="s">
        <v>22</v>
      </c>
      <c r="C682" s="2" t="s">
        <v>66</v>
      </c>
      <c r="D682" s="13"/>
      <c r="E682" s="13"/>
      <c r="F682" s="45"/>
      <c r="G682" s="42"/>
      <c r="H682" s="42"/>
      <c r="I682" s="42"/>
      <c r="J682" s="22"/>
    </row>
    <row r="683" ht="39.75" hidden="1" customHeight="1">
      <c r="A683" s="1">
        <v>682.0</v>
      </c>
      <c r="B683" s="2" t="s">
        <v>23</v>
      </c>
      <c r="C683" s="2" t="s">
        <v>58</v>
      </c>
      <c r="D683" s="13"/>
      <c r="E683" s="13"/>
      <c r="F683" s="45"/>
      <c r="G683" s="42"/>
      <c r="H683" s="42"/>
      <c r="I683" s="42"/>
      <c r="J683" s="22"/>
    </row>
    <row r="684" ht="39.75" customHeight="1">
      <c r="A684" s="1">
        <v>683.0</v>
      </c>
      <c r="B684" s="2" t="s">
        <v>24</v>
      </c>
      <c r="C684" s="2" t="s">
        <v>277</v>
      </c>
      <c r="D684" s="13"/>
      <c r="E684" s="13"/>
      <c r="F684" s="45"/>
      <c r="G684" s="42"/>
      <c r="H684" s="42"/>
      <c r="I684" s="42"/>
      <c r="J684" s="22"/>
    </row>
    <row r="685" ht="39.75" customHeight="1">
      <c r="A685" s="1">
        <v>684.0</v>
      </c>
      <c r="B685" s="2" t="s">
        <v>25</v>
      </c>
      <c r="C685" s="2"/>
      <c r="D685" s="13"/>
      <c r="E685" s="13"/>
      <c r="F685" s="61" t="s">
        <v>1117</v>
      </c>
      <c r="G685" s="43">
        <v>1.0</v>
      </c>
      <c r="H685" s="42"/>
      <c r="I685" s="42"/>
      <c r="J685" s="22"/>
    </row>
    <row r="686" ht="39.75" customHeight="1">
      <c r="A686" s="1">
        <v>685.0</v>
      </c>
      <c r="B686" s="2" t="s">
        <v>26</v>
      </c>
      <c r="C686" s="2" t="s">
        <v>27</v>
      </c>
      <c r="D686" s="13"/>
      <c r="E686" s="13"/>
      <c r="F686" s="45"/>
      <c r="G686" s="42"/>
      <c r="H686" s="42"/>
      <c r="I686" s="42"/>
      <c r="J686" s="22"/>
    </row>
    <row r="687" ht="39.75" customHeight="1">
      <c r="A687" s="1">
        <v>686.0</v>
      </c>
      <c r="B687" s="2" t="s">
        <v>29</v>
      </c>
      <c r="C687" s="2" t="s">
        <v>44</v>
      </c>
      <c r="D687" s="13"/>
      <c r="E687" s="13"/>
      <c r="F687" s="45"/>
      <c r="G687" s="42"/>
      <c r="H687" s="42"/>
      <c r="I687" s="42"/>
      <c r="J687" s="22"/>
    </row>
    <row r="688" ht="39.75" customHeight="1">
      <c r="A688" s="1">
        <v>687.0</v>
      </c>
      <c r="B688" s="2" t="s">
        <v>30</v>
      </c>
      <c r="C688" s="2" t="s">
        <v>64</v>
      </c>
      <c r="D688" s="13"/>
      <c r="E688" s="13"/>
      <c r="F688" s="67"/>
      <c r="G688" s="68"/>
      <c r="H688" s="68"/>
      <c r="I688" s="68"/>
      <c r="J688" s="22"/>
    </row>
    <row r="689" ht="39.75" customHeight="1">
      <c r="A689" s="1">
        <v>688.0</v>
      </c>
      <c r="B689" s="2" t="s">
        <v>31</v>
      </c>
      <c r="C689" s="2" t="s">
        <v>69</v>
      </c>
      <c r="D689" s="13"/>
      <c r="E689" s="13"/>
      <c r="F689" s="61" t="s">
        <v>1118</v>
      </c>
      <c r="G689" s="69">
        <v>1.0</v>
      </c>
      <c r="H689" s="68"/>
      <c r="I689" s="69">
        <v>1.0</v>
      </c>
      <c r="J689" s="22"/>
    </row>
    <row r="690" ht="39.75" customHeight="1">
      <c r="A690" s="1">
        <v>689.0</v>
      </c>
      <c r="B690" s="2" t="s">
        <v>32</v>
      </c>
      <c r="C690" s="2" t="s">
        <v>54</v>
      </c>
      <c r="D690" s="13"/>
      <c r="E690" s="13"/>
      <c r="F690" s="61" t="s">
        <v>1119</v>
      </c>
      <c r="G690" s="69">
        <v>1.0</v>
      </c>
      <c r="H690" s="68"/>
      <c r="I690" s="68"/>
      <c r="J690" s="22"/>
    </row>
    <row r="691" ht="39.75" hidden="1" customHeight="1">
      <c r="A691" s="1">
        <v>690.0</v>
      </c>
      <c r="B691" s="2" t="s">
        <v>67</v>
      </c>
      <c r="C691" s="2" t="s">
        <v>58</v>
      </c>
      <c r="D691" s="13"/>
      <c r="E691" s="13"/>
      <c r="F691" s="45"/>
      <c r="G691" s="42"/>
      <c r="H691" s="42"/>
      <c r="I691" s="42"/>
      <c r="J691" s="22"/>
    </row>
    <row r="692" ht="39.75" hidden="1" customHeight="1">
      <c r="A692" s="1">
        <v>691.0</v>
      </c>
      <c r="B692" s="2" t="s">
        <v>34</v>
      </c>
      <c r="C692" s="2" t="s">
        <v>58</v>
      </c>
      <c r="D692" s="13"/>
      <c r="E692" s="13"/>
      <c r="F692" s="45"/>
      <c r="G692" s="42"/>
      <c r="H692" s="42"/>
      <c r="I692" s="42"/>
      <c r="J692" s="22"/>
    </row>
    <row r="693" ht="39.75" customHeight="1">
      <c r="A693" s="1">
        <v>692.0</v>
      </c>
      <c r="B693" s="2" t="s">
        <v>35</v>
      </c>
      <c r="C693" s="2"/>
      <c r="D693" s="13"/>
      <c r="E693" s="13"/>
      <c r="F693" s="61" t="s">
        <v>1120</v>
      </c>
      <c r="G693" s="69">
        <v>1.0</v>
      </c>
      <c r="H693" s="68"/>
      <c r="I693" s="68"/>
      <c r="J693" s="22"/>
    </row>
    <row r="694" ht="39.75" customHeight="1">
      <c r="A694" s="1">
        <v>693.0</v>
      </c>
      <c r="B694" s="2" t="s">
        <v>36</v>
      </c>
      <c r="C694" s="2" t="s">
        <v>39</v>
      </c>
      <c r="D694" s="40">
        <v>0.2916666666666667</v>
      </c>
      <c r="E694" s="13"/>
      <c r="F694" s="61" t="s">
        <v>1121</v>
      </c>
      <c r="G694" s="69">
        <v>1.0</v>
      </c>
      <c r="H694" s="68"/>
      <c r="I694" s="69">
        <v>1.0</v>
      </c>
      <c r="J694" s="22"/>
    </row>
    <row r="695" ht="39.75" customHeight="1">
      <c r="A695" s="1">
        <v>694.0</v>
      </c>
      <c r="B695" s="2" t="s">
        <v>38</v>
      </c>
      <c r="C695" s="2" t="s">
        <v>54</v>
      </c>
      <c r="D695" s="13"/>
      <c r="E695" s="13"/>
      <c r="F695" s="61"/>
      <c r="G695" s="69"/>
      <c r="H695" s="68"/>
      <c r="I695" s="68"/>
      <c r="J695" s="22"/>
    </row>
    <row r="696" ht="39.75" customHeight="1">
      <c r="A696" s="1">
        <v>695.0</v>
      </c>
      <c r="B696" s="2" t="s">
        <v>41</v>
      </c>
      <c r="C696" s="2"/>
      <c r="D696" s="13"/>
      <c r="E696" s="13"/>
      <c r="F696" s="61" t="s">
        <v>1122</v>
      </c>
      <c r="G696" s="69">
        <v>1.0</v>
      </c>
      <c r="H696" s="68"/>
      <c r="I696" s="68"/>
      <c r="J696" s="22"/>
    </row>
    <row r="697" ht="39.75" customHeight="1">
      <c r="A697" s="1">
        <v>696.0</v>
      </c>
      <c r="B697" s="2" t="s">
        <v>42</v>
      </c>
      <c r="C697" s="2" t="s">
        <v>39</v>
      </c>
      <c r="D697" s="40">
        <v>0.2916666666666667</v>
      </c>
      <c r="E697" s="13"/>
      <c r="F697" s="64" t="s">
        <v>1123</v>
      </c>
      <c r="G697" s="43">
        <v>1.0</v>
      </c>
      <c r="H697" s="42"/>
      <c r="I697" s="42"/>
      <c r="J697" s="22"/>
    </row>
    <row r="698" ht="39.75" customHeight="1">
      <c r="A698" s="1">
        <v>697.0</v>
      </c>
      <c r="B698" s="2" t="s">
        <v>43</v>
      </c>
      <c r="C698" s="2" t="s">
        <v>69</v>
      </c>
      <c r="D698" s="13"/>
      <c r="E698" s="13"/>
      <c r="F698" s="44" t="s">
        <v>1124</v>
      </c>
      <c r="G698" s="43">
        <v>1.0</v>
      </c>
      <c r="H698" s="42"/>
      <c r="I698" s="42"/>
      <c r="J698" s="22"/>
    </row>
    <row r="699" ht="39.75" customHeight="1">
      <c r="A699" s="1">
        <v>698.0</v>
      </c>
      <c r="B699" s="2" t="s">
        <v>45</v>
      </c>
      <c r="C699" s="2"/>
      <c r="D699" s="13"/>
      <c r="E699" s="13"/>
      <c r="F699" s="44" t="s">
        <v>1125</v>
      </c>
      <c r="G699" s="43">
        <v>1.0</v>
      </c>
      <c r="H699" s="42"/>
      <c r="I699" s="42"/>
      <c r="J699" s="22"/>
    </row>
    <row r="700" ht="39.75" hidden="1" customHeight="1">
      <c r="A700" s="1">
        <v>699.0</v>
      </c>
      <c r="B700" s="2" t="s">
        <v>46</v>
      </c>
      <c r="C700" s="2" t="s">
        <v>58</v>
      </c>
      <c r="D700" s="13"/>
      <c r="E700" s="13"/>
      <c r="F700" s="45"/>
      <c r="G700" s="42"/>
      <c r="H700" s="42"/>
      <c r="I700" s="42"/>
      <c r="J700" s="22"/>
    </row>
    <row r="701" ht="39.75" customHeight="1">
      <c r="A701" s="1">
        <v>700.0</v>
      </c>
      <c r="B701" s="2" t="s">
        <v>47</v>
      </c>
      <c r="C701" s="2" t="s">
        <v>54</v>
      </c>
      <c r="D701" s="13"/>
      <c r="E701" s="13"/>
      <c r="F701" s="44" t="s">
        <v>1126</v>
      </c>
      <c r="G701" s="43">
        <v>1.0</v>
      </c>
      <c r="H701" s="42"/>
      <c r="I701" s="43">
        <v>1.0</v>
      </c>
      <c r="J701" s="22"/>
    </row>
    <row r="702" ht="39.75" customHeight="1">
      <c r="A702" s="1">
        <v>701.0</v>
      </c>
      <c r="B702" s="2" t="s">
        <v>48</v>
      </c>
      <c r="C702" s="2" t="s">
        <v>69</v>
      </c>
      <c r="D702" s="13"/>
      <c r="E702" s="40">
        <v>0.8125</v>
      </c>
      <c r="F702" s="44" t="s">
        <v>1127</v>
      </c>
      <c r="G702" s="43">
        <v>1.0</v>
      </c>
      <c r="H702" s="42"/>
      <c r="I702" s="42"/>
      <c r="J702" s="22"/>
    </row>
    <row r="703" ht="39.75" customHeight="1">
      <c r="A703" s="1">
        <v>702.0</v>
      </c>
      <c r="B703" s="21"/>
      <c r="C703" s="21"/>
      <c r="D703" s="21"/>
      <c r="E703" s="21"/>
      <c r="F703" s="46"/>
      <c r="G703" s="47"/>
      <c r="H703" s="47"/>
      <c r="I703" s="47"/>
      <c r="J703" s="48"/>
      <c r="K703" s="49"/>
      <c r="L703" s="49"/>
      <c r="M703" s="49"/>
    </row>
    <row r="704" ht="39.75" customHeight="1">
      <c r="A704" s="1">
        <v>703.0</v>
      </c>
      <c r="B704" s="2" t="s">
        <v>12</v>
      </c>
      <c r="C704" s="2" t="s">
        <v>62</v>
      </c>
      <c r="D704" s="13"/>
      <c r="E704" s="13"/>
      <c r="F704" s="44" t="s">
        <v>1128</v>
      </c>
      <c r="G704" s="43">
        <v>1.0</v>
      </c>
      <c r="H704" s="42"/>
      <c r="I704" s="42"/>
      <c r="J704" s="27" t="s">
        <v>840</v>
      </c>
      <c r="K704" s="15" t="s">
        <v>438</v>
      </c>
    </row>
    <row r="705" ht="39.75" customHeight="1">
      <c r="A705" s="1">
        <v>704.0</v>
      </c>
      <c r="B705" s="2" t="s">
        <v>16</v>
      </c>
      <c r="C705" s="2"/>
      <c r="D705" s="13"/>
      <c r="E705" s="13"/>
      <c r="F705" s="44" t="s">
        <v>1129</v>
      </c>
      <c r="G705" s="43">
        <v>1.0</v>
      </c>
      <c r="H705" s="42"/>
      <c r="I705" s="42"/>
      <c r="J705" s="27" t="s">
        <v>438</v>
      </c>
    </row>
    <row r="706" ht="39.75" customHeight="1">
      <c r="A706" s="1">
        <v>705.0</v>
      </c>
      <c r="B706" s="2" t="s">
        <v>17</v>
      </c>
      <c r="C706" s="2"/>
      <c r="D706" s="13"/>
      <c r="E706" s="13"/>
      <c r="F706" s="44" t="s">
        <v>1130</v>
      </c>
      <c r="G706" s="43">
        <v>1.0</v>
      </c>
      <c r="H706" s="42"/>
      <c r="I706" s="42"/>
      <c r="J706" s="27" t="s">
        <v>111</v>
      </c>
    </row>
    <row r="707" ht="39.75" customHeight="1">
      <c r="A707" s="1">
        <v>706.0</v>
      </c>
      <c r="B707" s="2" t="s">
        <v>331</v>
      </c>
      <c r="C707" s="2" t="s">
        <v>542</v>
      </c>
      <c r="D707" s="13"/>
      <c r="E707" s="13"/>
      <c r="F707" s="44"/>
      <c r="G707" s="42"/>
      <c r="H707" s="42"/>
      <c r="I707" s="42"/>
      <c r="J707" s="22"/>
    </row>
    <row r="708" ht="39.75" customHeight="1">
      <c r="A708" s="1">
        <v>707.0</v>
      </c>
      <c r="B708" s="2" t="s">
        <v>21</v>
      </c>
      <c r="C708" s="2"/>
      <c r="D708" s="13"/>
      <c r="E708" s="13"/>
      <c r="F708" s="44" t="s">
        <v>1131</v>
      </c>
      <c r="G708" s="43">
        <v>2.0</v>
      </c>
      <c r="H708" s="42"/>
      <c r="I708" s="43">
        <v>1.0</v>
      </c>
      <c r="J708" s="22"/>
    </row>
    <row r="709" ht="39.75" hidden="1" customHeight="1">
      <c r="A709" s="1">
        <v>708.0</v>
      </c>
      <c r="B709" s="2" t="s">
        <v>22</v>
      </c>
      <c r="C709" s="2" t="s">
        <v>58</v>
      </c>
      <c r="D709" s="13"/>
      <c r="E709" s="13"/>
      <c r="F709" s="45"/>
      <c r="G709" s="42"/>
      <c r="H709" s="42"/>
      <c r="I709" s="42"/>
      <c r="J709" s="22"/>
    </row>
    <row r="710" ht="39.75" customHeight="1">
      <c r="A710" s="1">
        <v>709.0</v>
      </c>
      <c r="B710" s="2" t="s">
        <v>23</v>
      </c>
      <c r="C710" s="2"/>
      <c r="D710" s="13"/>
      <c r="E710" s="13"/>
      <c r="F710" s="44" t="s">
        <v>1132</v>
      </c>
      <c r="G710" s="43">
        <v>1.0</v>
      </c>
      <c r="H710" s="42"/>
      <c r="I710" s="42"/>
      <c r="J710" s="22"/>
    </row>
    <row r="711" ht="39.75" customHeight="1">
      <c r="A711" s="1">
        <v>710.0</v>
      </c>
      <c r="B711" s="2" t="s">
        <v>24</v>
      </c>
      <c r="C711" s="2" t="s">
        <v>277</v>
      </c>
      <c r="D711" s="13"/>
      <c r="E711" s="13"/>
      <c r="F711" s="45"/>
      <c r="G711" s="42"/>
      <c r="H711" s="42"/>
      <c r="I711" s="42"/>
      <c r="J711" s="22"/>
    </row>
    <row r="712" ht="39.75" customHeight="1">
      <c r="A712" s="1">
        <v>711.0</v>
      </c>
      <c r="B712" s="2" t="s">
        <v>25</v>
      </c>
      <c r="C712" s="2" t="s">
        <v>39</v>
      </c>
      <c r="D712" s="13"/>
      <c r="E712" s="13"/>
      <c r="F712" s="44" t="s">
        <v>1133</v>
      </c>
      <c r="G712" s="43">
        <v>1.0</v>
      </c>
      <c r="H712" s="42"/>
      <c r="I712" s="42"/>
      <c r="J712" s="22"/>
    </row>
    <row r="713" ht="39.75" customHeight="1">
      <c r="A713" s="1">
        <v>712.0</v>
      </c>
      <c r="B713" s="2" t="s">
        <v>26</v>
      </c>
      <c r="C713" s="2" t="s">
        <v>44</v>
      </c>
      <c r="D713" s="13"/>
      <c r="E713" s="13"/>
      <c r="F713" s="45"/>
      <c r="G713" s="42"/>
      <c r="H713" s="42"/>
      <c r="I713" s="42"/>
      <c r="J713" s="22"/>
    </row>
    <row r="714" ht="39.75" customHeight="1">
      <c r="A714" s="1">
        <v>713.0</v>
      </c>
      <c r="B714" s="2" t="s">
        <v>29</v>
      </c>
      <c r="C714" s="2" t="s">
        <v>69</v>
      </c>
      <c r="D714" s="13"/>
      <c r="E714" s="40">
        <v>0.8125</v>
      </c>
      <c r="F714" s="44" t="s">
        <v>1134</v>
      </c>
      <c r="G714" s="43">
        <v>1.0</v>
      </c>
      <c r="H714" s="42"/>
      <c r="I714" s="42"/>
      <c r="J714" s="22"/>
    </row>
    <row r="715" ht="39.75" customHeight="1">
      <c r="A715" s="1">
        <v>714.0</v>
      </c>
      <c r="B715" s="2" t="s">
        <v>30</v>
      </c>
      <c r="C715" s="2" t="s">
        <v>64</v>
      </c>
      <c r="D715" s="13"/>
      <c r="E715" s="13"/>
      <c r="F715" s="44" t="s">
        <v>1135</v>
      </c>
      <c r="G715" s="43">
        <v>1.0</v>
      </c>
      <c r="H715" s="42"/>
      <c r="I715" s="42"/>
      <c r="J715" s="22"/>
    </row>
    <row r="716" ht="39.75" hidden="1" customHeight="1">
      <c r="A716" s="1">
        <v>715.0</v>
      </c>
      <c r="B716" s="2" t="s">
        <v>31</v>
      </c>
      <c r="C716" s="2" t="s">
        <v>66</v>
      </c>
      <c r="D716" s="13"/>
      <c r="E716" s="13"/>
      <c r="F716" s="45"/>
      <c r="G716" s="42"/>
      <c r="H716" s="42"/>
      <c r="I716" s="42"/>
      <c r="J716" s="22"/>
    </row>
    <row r="717" ht="39.75" customHeight="1">
      <c r="A717" s="1">
        <v>716.0</v>
      </c>
      <c r="B717" s="2" t="s">
        <v>32</v>
      </c>
      <c r="C717" s="2" t="s">
        <v>54</v>
      </c>
      <c r="D717" s="13"/>
      <c r="E717" s="13"/>
      <c r="F717" s="44" t="s">
        <v>1136</v>
      </c>
      <c r="G717" s="43">
        <v>1.0</v>
      </c>
      <c r="H717" s="42"/>
      <c r="I717" s="42"/>
      <c r="J717" s="22"/>
    </row>
    <row r="718" ht="39.75" hidden="1" customHeight="1">
      <c r="A718" s="1">
        <v>717.0</v>
      </c>
      <c r="B718" s="2" t="s">
        <v>67</v>
      </c>
      <c r="C718" s="2" t="s">
        <v>58</v>
      </c>
      <c r="D718" s="13"/>
      <c r="E718" s="13"/>
      <c r="F718" s="45"/>
      <c r="G718" s="42"/>
      <c r="H718" s="42"/>
      <c r="I718" s="42"/>
      <c r="J718" s="22"/>
    </row>
    <row r="719" ht="39.75" hidden="1" customHeight="1">
      <c r="A719" s="1">
        <v>718.0</v>
      </c>
      <c r="B719" s="2" t="s">
        <v>34</v>
      </c>
      <c r="C719" s="2" t="s">
        <v>58</v>
      </c>
      <c r="D719" s="13"/>
      <c r="E719" s="13"/>
      <c r="F719" s="45"/>
      <c r="G719" s="42"/>
      <c r="H719" s="42"/>
      <c r="I719" s="42"/>
      <c r="J719" s="22"/>
    </row>
    <row r="720" ht="39.75" hidden="1" customHeight="1">
      <c r="A720" s="1">
        <v>719.0</v>
      </c>
      <c r="B720" s="2" t="s">
        <v>35</v>
      </c>
      <c r="C720" s="2" t="s">
        <v>58</v>
      </c>
      <c r="D720" s="13"/>
      <c r="E720" s="13"/>
      <c r="F720" s="45"/>
      <c r="G720" s="42"/>
      <c r="H720" s="42"/>
      <c r="I720" s="42"/>
      <c r="J720" s="22"/>
    </row>
    <row r="721" ht="39.75" customHeight="1">
      <c r="A721" s="1">
        <v>720.0</v>
      </c>
      <c r="B721" s="2" t="s">
        <v>36</v>
      </c>
      <c r="C721" s="2" t="s">
        <v>54</v>
      </c>
      <c r="D721" s="13"/>
      <c r="E721" s="13"/>
      <c r="F721" s="44" t="s">
        <v>1137</v>
      </c>
      <c r="G721" s="43">
        <v>1.0</v>
      </c>
      <c r="H721" s="42"/>
      <c r="I721" s="42"/>
      <c r="J721" s="22"/>
    </row>
    <row r="722" ht="39.75" customHeight="1">
      <c r="A722" s="1">
        <v>721.0</v>
      </c>
      <c r="B722" s="2" t="s">
        <v>38</v>
      </c>
      <c r="C722" s="2" t="s">
        <v>69</v>
      </c>
      <c r="D722" s="13"/>
      <c r="E722" s="40">
        <v>0.8125</v>
      </c>
      <c r="F722" s="44" t="s">
        <v>1138</v>
      </c>
      <c r="G722" s="43">
        <v>1.0</v>
      </c>
      <c r="H722" s="42"/>
      <c r="I722" s="42"/>
      <c r="J722" s="22"/>
    </row>
    <row r="723" ht="39.75" customHeight="1">
      <c r="A723" s="1">
        <v>722.0</v>
      </c>
      <c r="B723" s="2" t="s">
        <v>41</v>
      </c>
      <c r="C723" s="2" t="s">
        <v>69</v>
      </c>
      <c r="D723" s="13"/>
      <c r="E723" s="13"/>
      <c r="F723" s="44" t="s">
        <v>1139</v>
      </c>
      <c r="G723" s="43">
        <v>3.0</v>
      </c>
      <c r="H723" s="42"/>
      <c r="I723" s="43">
        <v>3.0</v>
      </c>
      <c r="J723" s="22"/>
    </row>
    <row r="724" ht="39.75" customHeight="1">
      <c r="A724" s="1">
        <v>723.0</v>
      </c>
      <c r="B724" s="2" t="s">
        <v>42</v>
      </c>
      <c r="C724" s="2" t="s">
        <v>27</v>
      </c>
      <c r="D724" s="13"/>
      <c r="E724" s="13"/>
      <c r="F724" s="44" t="s">
        <v>1140</v>
      </c>
      <c r="G724" s="43">
        <v>1.0</v>
      </c>
      <c r="H724" s="42"/>
      <c r="I724" s="42"/>
      <c r="J724" s="22"/>
    </row>
    <row r="725" ht="39.75" customHeight="1">
      <c r="A725" s="1">
        <v>724.0</v>
      </c>
      <c r="B725" s="2" t="s">
        <v>43</v>
      </c>
      <c r="C725" s="2"/>
      <c r="D725" s="13"/>
      <c r="E725" s="13"/>
      <c r="F725" s="70" t="s">
        <v>1141</v>
      </c>
      <c r="G725" s="43">
        <v>1.0</v>
      </c>
      <c r="H725" s="42"/>
      <c r="I725" s="42"/>
      <c r="J725" s="22"/>
    </row>
    <row r="726" ht="39.75" customHeight="1">
      <c r="A726" s="1">
        <v>725.0</v>
      </c>
      <c r="B726" s="2" t="s">
        <v>45</v>
      </c>
      <c r="C726" s="2" t="s">
        <v>39</v>
      </c>
      <c r="D726" s="13"/>
      <c r="E726" s="13"/>
      <c r="F726" s="44" t="s">
        <v>1142</v>
      </c>
      <c r="G726" s="43">
        <v>1.0</v>
      </c>
      <c r="H726" s="42"/>
      <c r="I726" s="42"/>
      <c r="J726" s="22"/>
    </row>
    <row r="727" ht="39.75" hidden="1" customHeight="1">
      <c r="A727" s="1">
        <v>726.0</v>
      </c>
      <c r="B727" s="2" t="s">
        <v>46</v>
      </c>
      <c r="C727" s="2" t="s">
        <v>58</v>
      </c>
      <c r="D727" s="13"/>
      <c r="E727" s="13"/>
      <c r="F727" s="45"/>
      <c r="G727" s="42"/>
      <c r="H727" s="42"/>
      <c r="I727" s="42"/>
      <c r="J727" s="22"/>
    </row>
    <row r="728" ht="39.75" customHeight="1">
      <c r="A728" s="1">
        <v>727.0</v>
      </c>
      <c r="B728" s="2" t="s">
        <v>47</v>
      </c>
      <c r="C728" s="2" t="s">
        <v>54</v>
      </c>
      <c r="D728" s="53">
        <v>0.22916666666666666</v>
      </c>
      <c r="E728" s="51">
        <v>0.7986111111111112</v>
      </c>
      <c r="F728" s="44" t="s">
        <v>1143</v>
      </c>
      <c r="G728" s="43">
        <v>1.0</v>
      </c>
      <c r="H728" s="43">
        <v>1.0</v>
      </c>
      <c r="I728" s="42"/>
      <c r="J728" s="22"/>
    </row>
    <row r="729" ht="39.75" customHeight="1">
      <c r="A729" s="1">
        <v>728.0</v>
      </c>
      <c r="B729" s="2" t="s">
        <v>48</v>
      </c>
      <c r="C729" s="2" t="s">
        <v>54</v>
      </c>
      <c r="D729" s="13"/>
      <c r="E729" s="13"/>
      <c r="F729" s="44" t="s">
        <v>1144</v>
      </c>
      <c r="G729" s="43">
        <v>1.0</v>
      </c>
      <c r="H729" s="42"/>
      <c r="I729" s="42"/>
      <c r="J729" s="22"/>
    </row>
    <row r="730" ht="39.75" customHeight="1">
      <c r="A730" s="1">
        <v>729.0</v>
      </c>
      <c r="B730" s="21"/>
      <c r="C730" s="21"/>
      <c r="D730" s="21"/>
      <c r="E730" s="21"/>
      <c r="F730" s="46"/>
      <c r="G730" s="47"/>
      <c r="H730" s="47"/>
      <c r="I730" s="47"/>
      <c r="J730" s="48"/>
      <c r="K730" s="49"/>
      <c r="L730" s="49"/>
      <c r="M730" s="49"/>
    </row>
    <row r="731" ht="39.75" hidden="1" customHeight="1">
      <c r="A731" s="1">
        <v>730.0</v>
      </c>
      <c r="B731" s="2" t="s">
        <v>12</v>
      </c>
      <c r="C731" s="2" t="s">
        <v>58</v>
      </c>
      <c r="D731" s="13"/>
      <c r="E731" s="13"/>
      <c r="F731" s="45"/>
      <c r="G731" s="42"/>
      <c r="H731" s="42"/>
      <c r="I731" s="42"/>
      <c r="J731" s="27" t="s">
        <v>840</v>
      </c>
      <c r="K731" s="15" t="s">
        <v>452</v>
      </c>
    </row>
    <row r="732" ht="39.75" customHeight="1">
      <c r="A732" s="1">
        <v>731.0</v>
      </c>
      <c r="B732" s="2" t="s">
        <v>16</v>
      </c>
      <c r="C732" s="2"/>
      <c r="D732" s="13"/>
      <c r="E732" s="13"/>
      <c r="F732" s="44" t="s">
        <v>1145</v>
      </c>
      <c r="G732" s="43">
        <v>1.0</v>
      </c>
      <c r="H732" s="42"/>
      <c r="I732" s="43">
        <v>1.0</v>
      </c>
      <c r="J732" s="27" t="s">
        <v>452</v>
      </c>
    </row>
    <row r="733" ht="39.75" customHeight="1">
      <c r="A733" s="1">
        <v>732.0</v>
      </c>
      <c r="B733" s="2" t="s">
        <v>17</v>
      </c>
      <c r="C733" s="2"/>
      <c r="D733" s="13"/>
      <c r="E733" s="13"/>
      <c r="F733" s="44" t="s">
        <v>1146</v>
      </c>
      <c r="G733" s="43">
        <v>1.0</v>
      </c>
      <c r="H733" s="42"/>
      <c r="I733" s="42"/>
      <c r="J733" s="27" t="s">
        <v>131</v>
      </c>
    </row>
    <row r="734" ht="39.75" customHeight="1">
      <c r="A734" s="1">
        <v>733.0</v>
      </c>
      <c r="B734" s="2" t="s">
        <v>331</v>
      </c>
      <c r="C734" s="2" t="s">
        <v>542</v>
      </c>
      <c r="D734" s="13"/>
      <c r="E734" s="13"/>
      <c r="F734" s="44" t="s">
        <v>1147</v>
      </c>
      <c r="G734" s="43">
        <v>1.0</v>
      </c>
      <c r="H734" s="42"/>
      <c r="I734" s="42"/>
      <c r="J734" s="22"/>
    </row>
    <row r="735" ht="39.75" customHeight="1">
      <c r="A735" s="1">
        <v>734.0</v>
      </c>
      <c r="B735" s="2" t="s">
        <v>21</v>
      </c>
      <c r="C735" s="2"/>
      <c r="D735" s="13"/>
      <c r="E735" s="13"/>
      <c r="F735" s="44" t="s">
        <v>1148</v>
      </c>
      <c r="G735" s="43">
        <v>1.0</v>
      </c>
      <c r="H735" s="42"/>
      <c r="I735" s="42"/>
      <c r="J735" s="22"/>
    </row>
    <row r="736" ht="39.75" customHeight="1">
      <c r="A736" s="1">
        <v>735.0</v>
      </c>
      <c r="B736" s="2" t="s">
        <v>22</v>
      </c>
      <c r="C736" s="2" t="s">
        <v>54</v>
      </c>
      <c r="D736" s="13"/>
      <c r="E736" s="13"/>
      <c r="F736" s="44" t="s">
        <v>1149</v>
      </c>
      <c r="G736" s="43">
        <v>2.0</v>
      </c>
      <c r="H736" s="42"/>
      <c r="I736" s="43">
        <v>1.0</v>
      </c>
      <c r="J736" s="22"/>
    </row>
    <row r="737" ht="39.75" customHeight="1">
      <c r="A737" s="1">
        <v>736.0</v>
      </c>
      <c r="B737" s="2" t="s">
        <v>23</v>
      </c>
      <c r="C737" s="2" t="s">
        <v>54</v>
      </c>
      <c r="D737" s="13"/>
      <c r="E737" s="13"/>
      <c r="F737" s="44" t="s">
        <v>1150</v>
      </c>
      <c r="G737" s="43">
        <v>1.0</v>
      </c>
      <c r="H737" s="42"/>
      <c r="I737" s="43">
        <v>1.0</v>
      </c>
      <c r="J737" s="22"/>
    </row>
    <row r="738" ht="39.75" customHeight="1">
      <c r="A738" s="1">
        <v>737.0</v>
      </c>
      <c r="B738" s="2" t="s">
        <v>24</v>
      </c>
      <c r="C738" s="2" t="s">
        <v>277</v>
      </c>
      <c r="D738" s="13"/>
      <c r="E738" s="13"/>
      <c r="F738" s="45"/>
      <c r="G738" s="42"/>
      <c r="H738" s="42"/>
      <c r="I738" s="42"/>
      <c r="J738" s="22"/>
    </row>
    <row r="739" ht="39.75" hidden="1" customHeight="1">
      <c r="A739" s="1">
        <v>738.0</v>
      </c>
      <c r="B739" s="2" t="s">
        <v>25</v>
      </c>
      <c r="C739" s="2" t="s">
        <v>66</v>
      </c>
      <c r="D739" s="13"/>
      <c r="E739" s="13"/>
      <c r="F739" s="45"/>
      <c r="G739" s="42"/>
      <c r="H739" s="42"/>
      <c r="I739" s="42"/>
      <c r="J739" s="22"/>
    </row>
    <row r="740" ht="39.75" hidden="1" customHeight="1">
      <c r="A740" s="1">
        <v>739.0</v>
      </c>
      <c r="B740" s="2" t="s">
        <v>26</v>
      </c>
      <c r="C740" s="2" t="s">
        <v>66</v>
      </c>
      <c r="D740" s="13"/>
      <c r="E740" s="13"/>
      <c r="F740" s="45"/>
      <c r="G740" s="42"/>
      <c r="H740" s="42"/>
      <c r="I740" s="42"/>
      <c r="J740" s="22"/>
    </row>
    <row r="741" ht="39.75" customHeight="1">
      <c r="A741" s="1">
        <v>740.0</v>
      </c>
      <c r="B741" s="2" t="s">
        <v>29</v>
      </c>
      <c r="C741" s="2" t="s">
        <v>39</v>
      </c>
      <c r="D741" s="13"/>
      <c r="E741" s="13"/>
      <c r="F741" s="44" t="s">
        <v>1151</v>
      </c>
      <c r="G741" s="43">
        <v>1.0</v>
      </c>
      <c r="H741" s="42"/>
      <c r="I741" s="43">
        <v>1.0</v>
      </c>
      <c r="J741" s="22"/>
    </row>
    <row r="742" ht="39.75" customHeight="1">
      <c r="A742" s="1">
        <v>741.0</v>
      </c>
      <c r="B742" s="2" t="s">
        <v>30</v>
      </c>
      <c r="C742" s="2" t="s">
        <v>64</v>
      </c>
      <c r="D742" s="13"/>
      <c r="E742" s="13"/>
      <c r="F742" s="45"/>
      <c r="G742" s="42"/>
      <c r="H742" s="42"/>
      <c r="I742" s="42"/>
      <c r="J742" s="22"/>
    </row>
    <row r="743" ht="39.75" hidden="1" customHeight="1">
      <c r="A743" s="1">
        <v>742.0</v>
      </c>
      <c r="B743" s="2" t="s">
        <v>31</v>
      </c>
      <c r="C743" s="2" t="s">
        <v>58</v>
      </c>
      <c r="D743" s="13"/>
      <c r="E743" s="13"/>
      <c r="F743" s="45"/>
      <c r="G743" s="42"/>
      <c r="H743" s="42"/>
      <c r="I743" s="42"/>
      <c r="J743" s="22"/>
    </row>
    <row r="744" ht="39.75" customHeight="1">
      <c r="A744" s="1">
        <v>743.0</v>
      </c>
      <c r="B744" s="2" t="s">
        <v>32</v>
      </c>
      <c r="C744" s="2" t="s">
        <v>54</v>
      </c>
      <c r="D744" s="13"/>
      <c r="E744" s="13"/>
      <c r="F744" s="44" t="s">
        <v>1152</v>
      </c>
      <c r="G744" s="43">
        <v>2.0</v>
      </c>
      <c r="H744" s="42"/>
      <c r="I744" s="43">
        <v>1.0</v>
      </c>
      <c r="J744" s="22"/>
    </row>
    <row r="745" ht="39.75" hidden="1" customHeight="1">
      <c r="A745" s="1">
        <v>744.0</v>
      </c>
      <c r="B745" s="2" t="s">
        <v>67</v>
      </c>
      <c r="C745" s="2" t="s">
        <v>58</v>
      </c>
      <c r="D745" s="13"/>
      <c r="E745" s="13"/>
      <c r="F745" s="45"/>
      <c r="G745" s="42"/>
      <c r="H745" s="42"/>
      <c r="I745" s="42"/>
      <c r="J745" s="22"/>
    </row>
    <row r="746" ht="39.75" hidden="1" customHeight="1">
      <c r="A746" s="1">
        <v>745.0</v>
      </c>
      <c r="B746" s="2" t="s">
        <v>34</v>
      </c>
      <c r="C746" s="2" t="s">
        <v>58</v>
      </c>
      <c r="D746" s="13"/>
      <c r="E746" s="13"/>
      <c r="F746" s="45"/>
      <c r="G746" s="42"/>
      <c r="H746" s="42"/>
      <c r="I746" s="42"/>
      <c r="J746" s="22"/>
    </row>
    <row r="747" ht="39.75" customHeight="1">
      <c r="A747" s="1">
        <v>746.0</v>
      </c>
      <c r="B747" s="2" t="s">
        <v>35</v>
      </c>
      <c r="C747" s="2"/>
      <c r="D747" s="13"/>
      <c r="E747" s="13"/>
      <c r="F747" s="44" t="s">
        <v>1153</v>
      </c>
      <c r="G747" s="43">
        <v>1.0</v>
      </c>
      <c r="H747" s="42"/>
      <c r="I747" s="42"/>
      <c r="J747" s="22"/>
    </row>
    <row r="748" ht="39.75" customHeight="1">
      <c r="A748" s="1">
        <v>747.0</v>
      </c>
      <c r="B748" s="2" t="s">
        <v>36</v>
      </c>
      <c r="C748" s="2" t="s">
        <v>69</v>
      </c>
      <c r="D748" s="13"/>
      <c r="E748" s="13"/>
      <c r="F748" s="44" t="s">
        <v>1154</v>
      </c>
      <c r="G748" s="43">
        <v>1.0</v>
      </c>
      <c r="H748" s="42"/>
      <c r="I748" s="43">
        <v>1.0</v>
      </c>
      <c r="J748" s="22"/>
    </row>
    <row r="749" ht="39.75" customHeight="1">
      <c r="A749" s="1">
        <v>748.0</v>
      </c>
      <c r="B749" s="2" t="s">
        <v>38</v>
      </c>
      <c r="C749" s="2" t="s">
        <v>39</v>
      </c>
      <c r="D749" s="13"/>
      <c r="E749" s="13"/>
      <c r="F749" s="44" t="s">
        <v>1155</v>
      </c>
      <c r="G749" s="43">
        <v>1.0</v>
      </c>
      <c r="H749" s="42"/>
      <c r="I749" s="42"/>
      <c r="J749" s="22"/>
    </row>
    <row r="750" ht="39.75" customHeight="1">
      <c r="A750" s="1">
        <v>749.0</v>
      </c>
      <c r="B750" s="2" t="s">
        <v>41</v>
      </c>
      <c r="C750" s="2"/>
      <c r="D750" s="13"/>
      <c r="E750" s="13"/>
      <c r="F750" s="44" t="s">
        <v>1156</v>
      </c>
      <c r="G750" s="43">
        <v>1.0</v>
      </c>
      <c r="H750" s="42"/>
      <c r="I750" s="43">
        <v>1.0</v>
      </c>
      <c r="J750" s="22"/>
    </row>
    <row r="751" ht="39.75" customHeight="1">
      <c r="A751" s="1">
        <v>750.0</v>
      </c>
      <c r="B751" s="2" t="s">
        <v>42</v>
      </c>
      <c r="C751" s="2" t="s">
        <v>44</v>
      </c>
      <c r="D751" s="13"/>
      <c r="E751" s="13"/>
      <c r="F751" s="45"/>
      <c r="G751" s="42"/>
      <c r="H751" s="42"/>
      <c r="I751" s="42"/>
      <c r="J751" s="22"/>
    </row>
    <row r="752" ht="39.75" customHeight="1">
      <c r="A752" s="1">
        <v>751.0</v>
      </c>
      <c r="B752" s="2" t="s">
        <v>43</v>
      </c>
      <c r="C752" s="2" t="s">
        <v>69</v>
      </c>
      <c r="D752" s="13"/>
      <c r="E752" s="13"/>
      <c r="F752" s="44" t="s">
        <v>1157</v>
      </c>
      <c r="G752" s="43">
        <v>1.0</v>
      </c>
      <c r="H752" s="42"/>
      <c r="I752" s="42"/>
      <c r="J752" s="22"/>
    </row>
    <row r="753" ht="39.75" customHeight="1">
      <c r="A753" s="1">
        <v>752.0</v>
      </c>
      <c r="B753" s="2" t="s">
        <v>45</v>
      </c>
      <c r="C753" s="2" t="s">
        <v>69</v>
      </c>
      <c r="D753" s="13"/>
      <c r="E753" s="40">
        <v>0.875</v>
      </c>
      <c r="F753" s="44" t="s">
        <v>1158</v>
      </c>
      <c r="G753" s="43">
        <v>1.0</v>
      </c>
      <c r="H753" s="42"/>
      <c r="I753" s="42"/>
      <c r="J753" s="22"/>
    </row>
    <row r="754" ht="39.75" hidden="1" customHeight="1">
      <c r="A754" s="1">
        <v>753.0</v>
      </c>
      <c r="B754" s="2" t="s">
        <v>46</v>
      </c>
      <c r="C754" s="2" t="s">
        <v>58</v>
      </c>
      <c r="D754" s="13"/>
      <c r="E754" s="13"/>
      <c r="F754" s="45"/>
      <c r="G754" s="42"/>
      <c r="H754" s="42"/>
      <c r="I754" s="42"/>
      <c r="J754" s="22"/>
    </row>
    <row r="755" ht="39.75" customHeight="1">
      <c r="A755" s="1">
        <v>754.0</v>
      </c>
      <c r="B755" s="2" t="s">
        <v>47</v>
      </c>
      <c r="C755" s="2" t="s">
        <v>54</v>
      </c>
      <c r="D755" s="13"/>
      <c r="E755" s="13"/>
      <c r="F755" s="45"/>
      <c r="G755" s="42"/>
      <c r="H755" s="42"/>
      <c r="I755" s="42"/>
      <c r="J755" s="22"/>
    </row>
    <row r="756" ht="39.75" customHeight="1">
      <c r="A756" s="1">
        <v>755.0</v>
      </c>
      <c r="B756" s="2" t="s">
        <v>48</v>
      </c>
      <c r="C756" s="2" t="s">
        <v>27</v>
      </c>
      <c r="D756" s="13"/>
      <c r="E756" s="13"/>
      <c r="F756" s="44" t="s">
        <v>1159</v>
      </c>
      <c r="G756" s="43">
        <v>1.0</v>
      </c>
      <c r="H756" s="42"/>
      <c r="I756" s="42"/>
      <c r="J756" s="22"/>
    </row>
    <row r="757" ht="39.75" customHeight="1">
      <c r="A757" s="1">
        <v>756.0</v>
      </c>
      <c r="B757" s="21"/>
      <c r="C757" s="21"/>
      <c r="D757" s="21"/>
      <c r="E757" s="21"/>
      <c r="F757" s="46"/>
      <c r="G757" s="47"/>
      <c r="H757" s="47"/>
      <c r="I757" s="47"/>
      <c r="J757" s="48"/>
      <c r="K757" s="49"/>
      <c r="L757" s="49"/>
      <c r="M757" s="49"/>
    </row>
    <row r="758" ht="39.75" customHeight="1">
      <c r="A758" s="1">
        <v>757.0</v>
      </c>
      <c r="B758" s="2"/>
      <c r="C758" s="2"/>
      <c r="D758" s="13"/>
      <c r="E758" s="13"/>
      <c r="F758" s="45"/>
      <c r="G758" s="42"/>
      <c r="H758" s="42"/>
      <c r="I758" s="42"/>
      <c r="J758" s="22"/>
      <c r="K758" s="15"/>
    </row>
    <row r="759" ht="39.75" customHeight="1">
      <c r="A759" s="1">
        <v>758.0</v>
      </c>
      <c r="B759" s="2"/>
      <c r="C759" s="2"/>
      <c r="D759" s="13"/>
      <c r="E759" s="13"/>
      <c r="F759" s="45"/>
      <c r="G759" s="42"/>
      <c r="H759" s="42"/>
      <c r="I759" s="42"/>
      <c r="J759" s="27"/>
    </row>
    <row r="760" ht="39.75" customHeight="1">
      <c r="A760" s="1">
        <v>759.0</v>
      </c>
      <c r="B760" s="2"/>
      <c r="C760" s="2"/>
      <c r="D760" s="13"/>
      <c r="E760" s="13"/>
      <c r="F760" s="45"/>
      <c r="G760" s="42"/>
      <c r="H760" s="42"/>
      <c r="I760" s="42"/>
      <c r="J760" s="22"/>
    </row>
    <row r="761" ht="39.75" customHeight="1">
      <c r="A761" s="1">
        <v>760.0</v>
      </c>
      <c r="B761" s="2"/>
      <c r="C761" s="13"/>
      <c r="D761" s="13"/>
      <c r="E761" s="13"/>
      <c r="F761" s="44"/>
      <c r="G761" s="42"/>
      <c r="H761" s="42"/>
      <c r="I761" s="42"/>
      <c r="J761" s="22"/>
    </row>
    <row r="762" ht="39.75" customHeight="1">
      <c r="A762" s="1">
        <v>761.0</v>
      </c>
      <c r="B762" s="2"/>
      <c r="C762" s="2"/>
      <c r="D762" s="13"/>
      <c r="E762" s="13"/>
      <c r="F762" s="45"/>
      <c r="G762" s="42"/>
      <c r="H762" s="42"/>
      <c r="I762" s="42"/>
      <c r="J762" s="22"/>
    </row>
    <row r="763" ht="39.75" customHeight="1">
      <c r="A763" s="1">
        <v>762.0</v>
      </c>
      <c r="B763" s="2"/>
      <c r="C763" s="2"/>
      <c r="D763" s="13"/>
      <c r="E763" s="13"/>
      <c r="F763" s="45"/>
      <c r="G763" s="42"/>
      <c r="H763" s="42"/>
      <c r="I763" s="42"/>
      <c r="J763" s="22"/>
    </row>
    <row r="764" ht="39.75" customHeight="1">
      <c r="A764" s="1">
        <v>763.0</v>
      </c>
      <c r="B764" s="2"/>
      <c r="C764" s="2"/>
      <c r="D764" s="13"/>
      <c r="E764" s="13"/>
      <c r="F764" s="45"/>
      <c r="G764" s="42"/>
      <c r="H764" s="42"/>
      <c r="I764" s="42"/>
      <c r="J764" s="22"/>
    </row>
    <row r="765" ht="39.75" customHeight="1">
      <c r="A765" s="1">
        <v>764.0</v>
      </c>
      <c r="B765" s="2"/>
      <c r="C765" s="2"/>
      <c r="D765" s="13"/>
      <c r="E765" s="13"/>
      <c r="F765" s="45"/>
      <c r="G765" s="42"/>
      <c r="H765" s="42"/>
      <c r="I765" s="42"/>
      <c r="J765" s="22"/>
    </row>
    <row r="766" ht="39.75" customHeight="1">
      <c r="A766" s="1">
        <v>765.0</v>
      </c>
      <c r="B766" s="2"/>
      <c r="C766" s="2"/>
      <c r="D766" s="13"/>
      <c r="E766" s="13"/>
      <c r="F766" s="45"/>
      <c r="G766" s="42"/>
      <c r="H766" s="42"/>
      <c r="I766" s="42"/>
      <c r="J766" s="22"/>
    </row>
    <row r="767" ht="39.75" customHeight="1">
      <c r="A767" s="1">
        <v>766.0</v>
      </c>
      <c r="B767" s="2"/>
      <c r="C767" s="2"/>
      <c r="D767" s="13"/>
      <c r="E767" s="13"/>
      <c r="F767" s="45"/>
      <c r="G767" s="42"/>
      <c r="H767" s="42"/>
      <c r="I767" s="42"/>
      <c r="J767" s="22"/>
    </row>
    <row r="768" ht="39.75" customHeight="1">
      <c r="A768" s="1">
        <v>767.0</v>
      </c>
      <c r="B768" s="2"/>
      <c r="C768" s="2"/>
      <c r="D768" s="13"/>
      <c r="E768" s="13"/>
      <c r="F768" s="45"/>
      <c r="G768" s="42"/>
      <c r="H768" s="42"/>
      <c r="I768" s="42"/>
      <c r="J768" s="22"/>
    </row>
    <row r="769" ht="39.75" customHeight="1">
      <c r="A769" s="1">
        <v>768.0</v>
      </c>
      <c r="B769" s="2"/>
      <c r="C769" s="2"/>
      <c r="D769" s="13"/>
      <c r="E769" s="13"/>
      <c r="F769" s="45"/>
      <c r="G769" s="42"/>
      <c r="H769" s="42"/>
      <c r="I769" s="42"/>
      <c r="J769" s="22"/>
    </row>
    <row r="770" ht="39.75" customHeight="1">
      <c r="A770" s="1">
        <v>769.0</v>
      </c>
      <c r="B770" s="2"/>
      <c r="C770" s="2"/>
      <c r="D770" s="13"/>
      <c r="E770" s="13"/>
      <c r="F770" s="45"/>
      <c r="G770" s="42"/>
      <c r="H770" s="42"/>
      <c r="I770" s="42"/>
      <c r="J770" s="22"/>
    </row>
    <row r="771" ht="39.75" customHeight="1">
      <c r="A771" s="1">
        <v>770.0</v>
      </c>
      <c r="B771" s="2"/>
      <c r="C771" s="2"/>
      <c r="D771" s="13"/>
      <c r="E771" s="13"/>
      <c r="F771" s="45"/>
      <c r="G771" s="42"/>
      <c r="H771" s="42"/>
      <c r="I771" s="42"/>
      <c r="J771" s="22"/>
    </row>
    <row r="772" ht="39.75" customHeight="1">
      <c r="A772" s="1">
        <v>771.0</v>
      </c>
      <c r="B772" s="2"/>
      <c r="C772" s="2"/>
      <c r="D772" s="13"/>
      <c r="E772" s="13"/>
      <c r="F772" s="45"/>
      <c r="G772" s="42"/>
      <c r="H772" s="42"/>
      <c r="I772" s="42"/>
      <c r="J772" s="22"/>
    </row>
    <row r="773" ht="39.75" customHeight="1">
      <c r="A773" s="1">
        <v>772.0</v>
      </c>
      <c r="B773" s="2"/>
      <c r="C773" s="2"/>
      <c r="D773" s="13"/>
      <c r="E773" s="13"/>
      <c r="F773" s="45"/>
      <c r="G773" s="42"/>
      <c r="H773" s="42"/>
      <c r="I773" s="42"/>
      <c r="J773" s="22"/>
    </row>
    <row r="774" ht="39.75" customHeight="1">
      <c r="A774" s="1">
        <v>773.0</v>
      </c>
      <c r="B774" s="2"/>
      <c r="C774" s="2"/>
      <c r="D774" s="13"/>
      <c r="E774" s="13"/>
      <c r="F774" s="45"/>
      <c r="G774" s="42"/>
      <c r="H774" s="42"/>
      <c r="I774" s="42"/>
      <c r="J774" s="22"/>
    </row>
    <row r="775" ht="39.75" customHeight="1">
      <c r="A775" s="1">
        <v>774.0</v>
      </c>
      <c r="B775" s="2"/>
      <c r="C775" s="13"/>
      <c r="D775" s="13"/>
      <c r="E775" s="13"/>
      <c r="F775" s="45"/>
      <c r="G775" s="42"/>
      <c r="H775" s="42"/>
      <c r="I775" s="42"/>
      <c r="J775" s="22"/>
    </row>
    <row r="776" ht="39.75" customHeight="1">
      <c r="A776" s="1">
        <v>775.0</v>
      </c>
      <c r="B776" s="2"/>
      <c r="C776" s="2"/>
      <c r="D776" s="13"/>
      <c r="E776" s="13"/>
      <c r="F776" s="45"/>
      <c r="G776" s="42"/>
      <c r="H776" s="42"/>
      <c r="I776" s="42"/>
      <c r="J776" s="22"/>
    </row>
    <row r="777" ht="39.75" customHeight="1">
      <c r="A777" s="1">
        <v>776.0</v>
      </c>
      <c r="B777" s="2"/>
      <c r="C777" s="2"/>
      <c r="D777" s="13"/>
      <c r="E777" s="13"/>
      <c r="F777" s="45"/>
      <c r="G777" s="42"/>
      <c r="H777" s="42"/>
      <c r="I777" s="42"/>
      <c r="J777" s="22"/>
    </row>
    <row r="778" ht="39.75" customHeight="1">
      <c r="A778" s="1">
        <v>777.0</v>
      </c>
      <c r="B778" s="2"/>
      <c r="C778" s="2"/>
      <c r="D778" s="13"/>
      <c r="E778" s="13"/>
      <c r="F778" s="45"/>
      <c r="G778" s="42"/>
      <c r="H778" s="42"/>
      <c r="I778" s="42"/>
      <c r="J778" s="22"/>
    </row>
    <row r="779" ht="39.75" customHeight="1">
      <c r="A779" s="1">
        <v>778.0</v>
      </c>
      <c r="B779" s="2"/>
      <c r="C779" s="2"/>
      <c r="D779" s="13"/>
      <c r="E779" s="13"/>
      <c r="F779" s="45"/>
      <c r="G779" s="42"/>
      <c r="H779" s="42"/>
      <c r="I779" s="42"/>
      <c r="J779" s="22"/>
    </row>
    <row r="780" ht="39.75" customHeight="1">
      <c r="A780" s="1">
        <v>779.0</v>
      </c>
      <c r="B780" s="2"/>
      <c r="C780" s="2"/>
      <c r="D780" s="13"/>
      <c r="E780" s="13"/>
      <c r="F780" s="45"/>
      <c r="G780" s="42"/>
      <c r="H780" s="42"/>
      <c r="I780" s="42"/>
      <c r="J780" s="22"/>
    </row>
    <row r="781" ht="39.75" customHeight="1">
      <c r="A781" s="1">
        <v>780.0</v>
      </c>
      <c r="B781" s="2"/>
      <c r="C781" s="13"/>
      <c r="D781" s="13"/>
      <c r="E781" s="13"/>
      <c r="F781" s="45"/>
      <c r="G781" s="42"/>
      <c r="H781" s="42"/>
      <c r="I781" s="42"/>
      <c r="J781" s="22"/>
    </row>
    <row r="782" ht="39.75" customHeight="1">
      <c r="A782" s="1">
        <v>781.0</v>
      </c>
      <c r="B782" s="2"/>
      <c r="C782" s="13"/>
      <c r="D782" s="13"/>
      <c r="E782" s="13"/>
      <c r="F782" s="45"/>
      <c r="G782" s="42"/>
      <c r="H782" s="42"/>
      <c r="I782" s="42"/>
      <c r="J782" s="22"/>
    </row>
    <row r="783" ht="39.75" customHeight="1">
      <c r="A783" s="1">
        <v>782.0</v>
      </c>
      <c r="B783" s="2"/>
      <c r="C783" s="13"/>
      <c r="D783" s="13"/>
      <c r="E783" s="13"/>
      <c r="F783" s="45"/>
      <c r="G783" s="42"/>
      <c r="H783" s="42"/>
      <c r="I783" s="42"/>
      <c r="J783" s="22"/>
    </row>
    <row r="784" ht="39.75" customHeight="1">
      <c r="A784" s="1">
        <v>783.0</v>
      </c>
      <c r="B784" s="21"/>
      <c r="C784" s="21"/>
      <c r="D784" s="21"/>
      <c r="E784" s="21"/>
      <c r="F784" s="46"/>
      <c r="G784" s="47"/>
      <c r="H784" s="47"/>
      <c r="I784" s="47"/>
      <c r="J784" s="48"/>
      <c r="K784" s="49"/>
      <c r="L784" s="49"/>
      <c r="M784" s="49"/>
    </row>
    <row r="785" ht="39.75" customHeight="1">
      <c r="A785" s="1">
        <v>784.0</v>
      </c>
      <c r="B785" s="2"/>
      <c r="C785" s="2"/>
      <c r="D785" s="13"/>
      <c r="E785" s="13"/>
      <c r="F785" s="45"/>
      <c r="G785" s="42"/>
      <c r="H785" s="42"/>
      <c r="I785" s="42"/>
      <c r="J785" s="22"/>
      <c r="K785" s="15"/>
    </row>
    <row r="786" ht="39.75" customHeight="1">
      <c r="A786" s="1">
        <v>785.0</v>
      </c>
      <c r="B786" s="2"/>
      <c r="C786" s="2"/>
      <c r="D786" s="13"/>
      <c r="E786" s="13"/>
      <c r="F786" s="45"/>
      <c r="G786" s="42"/>
      <c r="H786" s="42"/>
      <c r="I786" s="42"/>
      <c r="J786" s="27"/>
    </row>
    <row r="787" ht="39.75" customHeight="1">
      <c r="A787" s="1">
        <v>786.0</v>
      </c>
      <c r="B787" s="2"/>
      <c r="C787" s="2"/>
      <c r="D787" s="13"/>
      <c r="E787" s="13"/>
      <c r="F787" s="45"/>
      <c r="G787" s="42"/>
      <c r="H787" s="42"/>
      <c r="I787" s="42"/>
      <c r="J787" s="22"/>
    </row>
    <row r="788" ht="39.75" customHeight="1">
      <c r="A788" s="1">
        <v>787.0</v>
      </c>
      <c r="B788" s="2"/>
      <c r="C788" s="13"/>
      <c r="D788" s="13"/>
      <c r="E788" s="13"/>
      <c r="F788" s="44"/>
      <c r="G788" s="42"/>
      <c r="H788" s="42"/>
      <c r="I788" s="42"/>
      <c r="J788" s="22"/>
    </row>
    <row r="789" ht="39.75" customHeight="1">
      <c r="A789" s="1">
        <v>788.0</v>
      </c>
      <c r="B789" s="2"/>
      <c r="C789" s="2"/>
      <c r="D789" s="13"/>
      <c r="E789" s="13"/>
      <c r="F789" s="45"/>
      <c r="G789" s="42"/>
      <c r="H789" s="42"/>
      <c r="I789" s="42"/>
      <c r="J789" s="22"/>
    </row>
    <row r="790" ht="39.75" customHeight="1">
      <c r="A790" s="1">
        <v>789.0</v>
      </c>
      <c r="B790" s="2"/>
      <c r="C790" s="2"/>
      <c r="D790" s="13"/>
      <c r="E790" s="13"/>
      <c r="F790" s="45"/>
      <c r="G790" s="42"/>
      <c r="H790" s="42"/>
      <c r="I790" s="42"/>
      <c r="J790" s="22"/>
    </row>
    <row r="791" ht="39.75" customHeight="1">
      <c r="A791" s="1">
        <v>790.0</v>
      </c>
      <c r="B791" s="2"/>
      <c r="C791" s="2"/>
      <c r="D791" s="13"/>
      <c r="E791" s="13"/>
      <c r="F791" s="45"/>
      <c r="G791" s="42"/>
      <c r="H791" s="42"/>
      <c r="I791" s="42"/>
      <c r="J791" s="22"/>
    </row>
    <row r="792" ht="39.75" customHeight="1">
      <c r="A792" s="1">
        <v>791.0</v>
      </c>
      <c r="B792" s="2"/>
      <c r="C792" s="2"/>
      <c r="D792" s="13"/>
      <c r="E792" s="13"/>
      <c r="F792" s="45"/>
      <c r="G792" s="42"/>
      <c r="H792" s="42"/>
      <c r="I792" s="42"/>
      <c r="J792" s="22"/>
    </row>
    <row r="793" ht="39.75" customHeight="1">
      <c r="A793" s="1">
        <v>792.0</v>
      </c>
      <c r="B793" s="2"/>
      <c r="C793" s="2"/>
      <c r="D793" s="13"/>
      <c r="E793" s="13"/>
      <c r="F793" s="45"/>
      <c r="G793" s="42"/>
      <c r="H793" s="42"/>
      <c r="I793" s="42"/>
      <c r="J793" s="22"/>
    </row>
    <row r="794" ht="39.75" customHeight="1">
      <c r="A794" s="1">
        <v>793.0</v>
      </c>
      <c r="B794" s="2"/>
      <c r="C794" s="2"/>
      <c r="D794" s="13"/>
      <c r="E794" s="13"/>
      <c r="F794" s="45"/>
      <c r="G794" s="42"/>
      <c r="H794" s="42"/>
      <c r="I794" s="42"/>
      <c r="J794" s="22"/>
    </row>
    <row r="795" ht="39.75" customHeight="1">
      <c r="A795" s="1">
        <v>794.0</v>
      </c>
      <c r="B795" s="2"/>
      <c r="C795" s="2"/>
      <c r="D795" s="13"/>
      <c r="E795" s="13"/>
      <c r="F795" s="45"/>
      <c r="G795" s="42"/>
      <c r="H795" s="42"/>
      <c r="I795" s="42"/>
      <c r="J795" s="22"/>
    </row>
    <row r="796" ht="39.75" customHeight="1">
      <c r="A796" s="1">
        <v>795.0</v>
      </c>
      <c r="B796" s="2"/>
      <c r="C796" s="2"/>
      <c r="D796" s="13"/>
      <c r="E796" s="13"/>
      <c r="F796" s="45"/>
      <c r="G796" s="42"/>
      <c r="H796" s="42"/>
      <c r="I796" s="42"/>
      <c r="J796" s="22"/>
    </row>
    <row r="797" ht="39.75" customHeight="1">
      <c r="A797" s="1">
        <v>796.0</v>
      </c>
      <c r="B797" s="2"/>
      <c r="C797" s="2"/>
      <c r="D797" s="13"/>
      <c r="E797" s="13"/>
      <c r="F797" s="45"/>
      <c r="G797" s="42"/>
      <c r="H797" s="42"/>
      <c r="I797" s="42"/>
      <c r="J797" s="22"/>
    </row>
    <row r="798" ht="39.75" customHeight="1">
      <c r="A798" s="1">
        <v>797.0</v>
      </c>
      <c r="B798" s="2"/>
      <c r="C798" s="2"/>
      <c r="D798" s="13"/>
      <c r="E798" s="13"/>
      <c r="F798" s="45"/>
      <c r="G798" s="42"/>
      <c r="H798" s="42"/>
      <c r="I798" s="42"/>
      <c r="J798" s="22"/>
    </row>
    <row r="799" ht="39.75" customHeight="1">
      <c r="A799" s="1">
        <v>798.0</v>
      </c>
      <c r="B799" s="2"/>
      <c r="C799" s="2"/>
      <c r="D799" s="13"/>
      <c r="E799" s="13"/>
      <c r="F799" s="45"/>
      <c r="G799" s="42"/>
      <c r="H799" s="42"/>
      <c r="I799" s="42"/>
      <c r="J799" s="22"/>
    </row>
    <row r="800" ht="39.75" customHeight="1">
      <c r="A800" s="1">
        <v>799.0</v>
      </c>
      <c r="B800" s="2"/>
      <c r="C800" s="2"/>
      <c r="D800" s="13"/>
      <c r="E800" s="13"/>
      <c r="F800" s="45"/>
      <c r="G800" s="42"/>
      <c r="H800" s="42"/>
      <c r="I800" s="42"/>
      <c r="J800" s="22"/>
    </row>
    <row r="801" ht="39.75" customHeight="1">
      <c r="A801" s="1">
        <v>800.0</v>
      </c>
      <c r="B801" s="2"/>
      <c r="C801" s="2"/>
      <c r="D801" s="13"/>
      <c r="E801" s="13"/>
      <c r="F801" s="45"/>
      <c r="G801" s="42"/>
      <c r="H801" s="42"/>
      <c r="I801" s="42"/>
      <c r="J801" s="22"/>
    </row>
    <row r="802" ht="39.75" customHeight="1">
      <c r="A802" s="1">
        <v>801.0</v>
      </c>
      <c r="B802" s="2"/>
      <c r="C802" s="13"/>
      <c r="D802" s="13"/>
      <c r="E802" s="13"/>
      <c r="F802" s="45"/>
      <c r="G802" s="42"/>
      <c r="H802" s="42"/>
      <c r="I802" s="42"/>
      <c r="J802" s="22"/>
    </row>
    <row r="803" ht="39.75" customHeight="1">
      <c r="A803" s="1">
        <v>802.0</v>
      </c>
      <c r="B803" s="2"/>
      <c r="C803" s="2"/>
      <c r="D803" s="13"/>
      <c r="E803" s="13"/>
      <c r="F803" s="45"/>
      <c r="G803" s="42"/>
      <c r="H803" s="42"/>
      <c r="I803" s="42"/>
      <c r="J803" s="22"/>
    </row>
    <row r="804" ht="39.75" customHeight="1">
      <c r="A804" s="1">
        <v>803.0</v>
      </c>
      <c r="B804" s="2"/>
      <c r="C804" s="2"/>
      <c r="D804" s="13"/>
      <c r="E804" s="13"/>
      <c r="F804" s="45"/>
      <c r="G804" s="42"/>
      <c r="H804" s="42"/>
      <c r="I804" s="42"/>
      <c r="J804" s="22"/>
    </row>
    <row r="805" ht="39.75" customHeight="1">
      <c r="A805" s="1">
        <v>804.0</v>
      </c>
      <c r="B805" s="2"/>
      <c r="C805" s="2"/>
      <c r="D805" s="13"/>
      <c r="E805" s="13"/>
      <c r="F805" s="45"/>
      <c r="G805" s="42"/>
      <c r="H805" s="42"/>
      <c r="I805" s="42"/>
      <c r="J805" s="22"/>
    </row>
    <row r="806" ht="39.75" customHeight="1">
      <c r="A806" s="1">
        <v>805.0</v>
      </c>
      <c r="B806" s="2"/>
      <c r="C806" s="2"/>
      <c r="D806" s="13"/>
      <c r="E806" s="13"/>
      <c r="F806" s="45"/>
      <c r="G806" s="42"/>
      <c r="H806" s="42"/>
      <c r="I806" s="42"/>
      <c r="J806" s="22"/>
    </row>
    <row r="807" ht="39.75" customHeight="1">
      <c r="A807" s="1">
        <v>806.0</v>
      </c>
      <c r="B807" s="2"/>
      <c r="C807" s="2"/>
      <c r="D807" s="13"/>
      <c r="E807" s="13"/>
      <c r="F807" s="45"/>
      <c r="G807" s="42"/>
      <c r="H807" s="42"/>
      <c r="I807" s="42"/>
      <c r="J807" s="22"/>
    </row>
    <row r="808" ht="39.75" customHeight="1">
      <c r="A808" s="1">
        <v>807.0</v>
      </c>
      <c r="B808" s="2"/>
      <c r="C808" s="13"/>
      <c r="D808" s="13"/>
      <c r="E808" s="13"/>
      <c r="F808" s="45"/>
      <c r="G808" s="42"/>
      <c r="H808" s="42"/>
      <c r="I808" s="42"/>
      <c r="J808" s="22"/>
    </row>
    <row r="809" ht="39.75" customHeight="1">
      <c r="A809" s="1">
        <v>808.0</v>
      </c>
      <c r="B809" s="2"/>
      <c r="C809" s="13"/>
      <c r="D809" s="13"/>
      <c r="E809" s="13"/>
      <c r="F809" s="45"/>
      <c r="G809" s="42"/>
      <c r="H809" s="42"/>
      <c r="I809" s="42"/>
      <c r="J809" s="22"/>
    </row>
    <row r="810" ht="39.75" customHeight="1">
      <c r="A810" s="1">
        <v>809.0</v>
      </c>
      <c r="B810" s="2"/>
      <c r="C810" s="13"/>
      <c r="D810" s="13"/>
      <c r="E810" s="13"/>
      <c r="F810" s="45"/>
      <c r="G810" s="42"/>
      <c r="H810" s="42"/>
      <c r="I810" s="42"/>
      <c r="J810" s="22"/>
    </row>
    <row r="811" ht="39.75" customHeight="1">
      <c r="A811" s="1">
        <v>810.0</v>
      </c>
      <c r="B811" s="21"/>
      <c r="C811" s="21"/>
      <c r="D811" s="21"/>
      <c r="E811" s="21"/>
      <c r="F811" s="46"/>
      <c r="G811" s="47"/>
      <c r="H811" s="47"/>
      <c r="I811" s="47"/>
      <c r="J811" s="48"/>
      <c r="K811" s="49"/>
      <c r="L811" s="49"/>
      <c r="M811" s="49"/>
    </row>
    <row r="812" ht="39.75" customHeight="1">
      <c r="A812" s="1">
        <v>811.0</v>
      </c>
      <c r="B812" s="2"/>
      <c r="C812" s="2"/>
      <c r="D812" s="13"/>
      <c r="E812" s="13"/>
      <c r="F812" s="45"/>
      <c r="G812" s="42"/>
      <c r="H812" s="42"/>
      <c r="I812" s="42"/>
      <c r="J812" s="22"/>
      <c r="K812" s="15"/>
    </row>
    <row r="813" ht="39.75" customHeight="1">
      <c r="A813" s="1">
        <v>812.0</v>
      </c>
      <c r="B813" s="2"/>
      <c r="C813" s="2"/>
      <c r="D813" s="13"/>
      <c r="E813" s="13"/>
      <c r="F813" s="45"/>
      <c r="G813" s="42"/>
      <c r="H813" s="42"/>
      <c r="I813" s="42"/>
      <c r="J813" s="27"/>
    </row>
    <row r="814" ht="39.75" customHeight="1">
      <c r="A814" s="1">
        <v>813.0</v>
      </c>
      <c r="B814" s="2"/>
      <c r="C814" s="2"/>
      <c r="D814" s="13"/>
      <c r="E814" s="13"/>
      <c r="F814" s="45"/>
      <c r="G814" s="42"/>
      <c r="H814" s="42"/>
      <c r="I814" s="42"/>
      <c r="J814" s="22"/>
    </row>
    <row r="815" ht="39.75" customHeight="1">
      <c r="A815" s="1">
        <v>814.0</v>
      </c>
      <c r="B815" s="2"/>
      <c r="C815" s="13"/>
      <c r="D815" s="13"/>
      <c r="E815" s="13"/>
      <c r="F815" s="44"/>
      <c r="G815" s="42"/>
      <c r="H815" s="42"/>
      <c r="I815" s="42"/>
      <c r="J815" s="22"/>
    </row>
    <row r="816" ht="39.75" customHeight="1">
      <c r="A816" s="1">
        <v>815.0</v>
      </c>
      <c r="B816" s="2"/>
      <c r="C816" s="2"/>
      <c r="D816" s="13"/>
      <c r="E816" s="13"/>
      <c r="F816" s="45"/>
      <c r="G816" s="42"/>
      <c r="H816" s="42"/>
      <c r="I816" s="42"/>
      <c r="J816" s="22"/>
    </row>
    <row r="817" ht="39.75" customHeight="1">
      <c r="A817" s="1">
        <v>816.0</v>
      </c>
      <c r="B817" s="2"/>
      <c r="C817" s="2"/>
      <c r="D817" s="13"/>
      <c r="E817" s="13"/>
      <c r="F817" s="45"/>
      <c r="G817" s="42"/>
      <c r="H817" s="42"/>
      <c r="I817" s="42"/>
      <c r="J817" s="22"/>
    </row>
    <row r="818" ht="39.75" customHeight="1">
      <c r="A818" s="1">
        <v>817.0</v>
      </c>
      <c r="B818" s="2"/>
      <c r="C818" s="2"/>
      <c r="D818" s="13"/>
      <c r="E818" s="13"/>
      <c r="F818" s="45"/>
      <c r="G818" s="42"/>
      <c r="H818" s="42"/>
      <c r="I818" s="42"/>
      <c r="J818" s="22"/>
    </row>
    <row r="819" ht="39.75" customHeight="1">
      <c r="A819" s="1">
        <v>818.0</v>
      </c>
      <c r="B819" s="2"/>
      <c r="C819" s="2"/>
      <c r="D819" s="13"/>
      <c r="E819" s="13"/>
      <c r="F819" s="45"/>
      <c r="G819" s="42"/>
      <c r="H819" s="42"/>
      <c r="I819" s="42"/>
      <c r="J819" s="22"/>
    </row>
    <row r="820" ht="39.75" customHeight="1">
      <c r="A820" s="1">
        <v>819.0</v>
      </c>
      <c r="B820" s="2"/>
      <c r="C820" s="2"/>
      <c r="D820" s="13"/>
      <c r="E820" s="13"/>
      <c r="F820" s="45"/>
      <c r="G820" s="42"/>
      <c r="H820" s="42"/>
      <c r="I820" s="42"/>
      <c r="J820" s="22"/>
    </row>
    <row r="821" ht="39.75" customHeight="1">
      <c r="A821" s="1">
        <v>820.0</v>
      </c>
      <c r="B821" s="2"/>
      <c r="C821" s="2"/>
      <c r="D821" s="13"/>
      <c r="E821" s="13"/>
      <c r="F821" s="45"/>
      <c r="G821" s="42"/>
      <c r="H821" s="42"/>
      <c r="I821" s="42"/>
      <c r="J821" s="22"/>
    </row>
    <row r="822" ht="39.75" customHeight="1">
      <c r="A822" s="1">
        <v>821.0</v>
      </c>
      <c r="B822" s="2"/>
      <c r="C822" s="2"/>
      <c r="D822" s="13"/>
      <c r="E822" s="13"/>
      <c r="F822" s="45"/>
      <c r="G822" s="42"/>
      <c r="H822" s="42"/>
      <c r="I822" s="42"/>
      <c r="J822" s="22"/>
    </row>
    <row r="823" ht="39.75" customHeight="1">
      <c r="A823" s="1">
        <v>822.0</v>
      </c>
      <c r="B823" s="2"/>
      <c r="C823" s="2"/>
      <c r="D823" s="13"/>
      <c r="E823" s="13"/>
      <c r="F823" s="45"/>
      <c r="G823" s="42"/>
      <c r="H823" s="42"/>
      <c r="I823" s="42"/>
      <c r="J823" s="22"/>
    </row>
    <row r="824" ht="39.75" customHeight="1">
      <c r="A824" s="1">
        <v>823.0</v>
      </c>
      <c r="B824" s="2"/>
      <c r="C824" s="2"/>
      <c r="D824" s="13"/>
      <c r="E824" s="13"/>
      <c r="F824" s="45"/>
      <c r="G824" s="42"/>
      <c r="H824" s="42"/>
      <c r="I824" s="42"/>
      <c r="J824" s="22"/>
    </row>
    <row r="825" ht="39.75" customHeight="1">
      <c r="A825" s="1">
        <v>824.0</v>
      </c>
      <c r="B825" s="2"/>
      <c r="C825" s="2"/>
      <c r="D825" s="13"/>
      <c r="E825" s="13"/>
      <c r="F825" s="45"/>
      <c r="G825" s="42"/>
      <c r="H825" s="42"/>
      <c r="I825" s="42"/>
      <c r="J825" s="22"/>
    </row>
    <row r="826" ht="39.75" customHeight="1">
      <c r="A826" s="1">
        <v>825.0</v>
      </c>
      <c r="B826" s="2"/>
      <c r="C826" s="2"/>
      <c r="D826" s="13"/>
      <c r="E826" s="13"/>
      <c r="F826" s="45"/>
      <c r="G826" s="42"/>
      <c r="H826" s="42"/>
      <c r="I826" s="42"/>
      <c r="J826" s="22"/>
    </row>
    <row r="827" ht="39.75" customHeight="1">
      <c r="A827" s="1">
        <v>826.0</v>
      </c>
      <c r="B827" s="2"/>
      <c r="C827" s="2"/>
      <c r="D827" s="13"/>
      <c r="E827" s="13"/>
      <c r="F827" s="45"/>
      <c r="G827" s="42"/>
      <c r="H827" s="42"/>
      <c r="I827" s="42"/>
      <c r="J827" s="22"/>
    </row>
    <row r="828" ht="39.75" customHeight="1">
      <c r="A828" s="1">
        <v>827.0</v>
      </c>
      <c r="B828" s="2"/>
      <c r="C828" s="2"/>
      <c r="D828" s="13"/>
      <c r="E828" s="13"/>
      <c r="F828" s="45"/>
      <c r="G828" s="42"/>
      <c r="H828" s="42"/>
      <c r="I828" s="42"/>
      <c r="J828" s="22"/>
    </row>
    <row r="829" ht="39.75" customHeight="1">
      <c r="A829" s="1">
        <v>828.0</v>
      </c>
      <c r="B829" s="2"/>
      <c r="C829" s="13"/>
      <c r="D829" s="13"/>
      <c r="E829" s="13"/>
      <c r="F829" s="45"/>
      <c r="G829" s="42"/>
      <c r="H829" s="42"/>
      <c r="I829" s="42"/>
      <c r="J829" s="22"/>
    </row>
    <row r="830" ht="39.75" customHeight="1">
      <c r="A830" s="1">
        <v>829.0</v>
      </c>
      <c r="B830" s="2"/>
      <c r="C830" s="2"/>
      <c r="D830" s="13"/>
      <c r="E830" s="13"/>
      <c r="F830" s="45"/>
      <c r="G830" s="42"/>
      <c r="H830" s="42"/>
      <c r="I830" s="42"/>
      <c r="J830" s="22"/>
    </row>
    <row r="831" ht="39.75" customHeight="1">
      <c r="A831" s="1">
        <v>830.0</v>
      </c>
      <c r="B831" s="2"/>
      <c r="C831" s="2"/>
      <c r="D831" s="13"/>
      <c r="E831" s="13"/>
      <c r="F831" s="45"/>
      <c r="G831" s="42"/>
      <c r="H831" s="42"/>
      <c r="I831" s="42"/>
      <c r="J831" s="22"/>
    </row>
    <row r="832" ht="39.75" customHeight="1">
      <c r="A832" s="1">
        <v>831.0</v>
      </c>
      <c r="B832" s="2"/>
      <c r="C832" s="2"/>
      <c r="D832" s="13"/>
      <c r="E832" s="13"/>
      <c r="F832" s="45"/>
      <c r="G832" s="42"/>
      <c r="H832" s="42"/>
      <c r="I832" s="42"/>
      <c r="J832" s="22"/>
    </row>
    <row r="833" ht="39.75" customHeight="1">
      <c r="A833" s="1">
        <v>832.0</v>
      </c>
      <c r="B833" s="2"/>
      <c r="C833" s="2"/>
      <c r="D833" s="13"/>
      <c r="E833" s="13"/>
      <c r="F833" s="45"/>
      <c r="G833" s="42"/>
      <c r="H833" s="42"/>
      <c r="I833" s="42"/>
      <c r="J833" s="22"/>
    </row>
    <row r="834" ht="39.75" customHeight="1">
      <c r="A834" s="1">
        <v>833.0</v>
      </c>
      <c r="B834" s="2"/>
      <c r="C834" s="2"/>
      <c r="D834" s="13"/>
      <c r="E834" s="13"/>
      <c r="F834" s="45"/>
      <c r="G834" s="42"/>
      <c r="H834" s="42"/>
      <c r="I834" s="42"/>
      <c r="J834" s="22"/>
    </row>
    <row r="835" ht="39.75" customHeight="1">
      <c r="A835" s="1">
        <v>834.0</v>
      </c>
      <c r="B835" s="2"/>
      <c r="C835" s="13"/>
      <c r="D835" s="13"/>
      <c r="E835" s="13"/>
      <c r="F835" s="45"/>
      <c r="G835" s="42"/>
      <c r="H835" s="42"/>
      <c r="I835" s="42"/>
      <c r="J835" s="22"/>
    </row>
    <row r="836" ht="39.75" customHeight="1">
      <c r="A836" s="1">
        <v>835.0</v>
      </c>
      <c r="B836" s="2"/>
      <c r="C836" s="13"/>
      <c r="D836" s="13"/>
      <c r="E836" s="13"/>
      <c r="F836" s="45"/>
      <c r="G836" s="42"/>
      <c r="H836" s="42"/>
      <c r="I836" s="42"/>
      <c r="J836" s="22"/>
    </row>
    <row r="837" ht="39.75" customHeight="1">
      <c r="A837" s="1">
        <v>836.0</v>
      </c>
      <c r="B837" s="2"/>
      <c r="C837" s="13"/>
      <c r="D837" s="13"/>
      <c r="E837" s="13"/>
      <c r="F837" s="45"/>
      <c r="G837" s="42"/>
      <c r="H837" s="42"/>
      <c r="I837" s="42"/>
      <c r="J837" s="22"/>
    </row>
    <row r="838" ht="39.75" customHeight="1">
      <c r="A838" s="1">
        <v>837.0</v>
      </c>
      <c r="B838" s="21"/>
      <c r="C838" s="21"/>
      <c r="D838" s="21"/>
      <c r="E838" s="21"/>
      <c r="F838" s="46"/>
      <c r="G838" s="47"/>
      <c r="H838" s="47"/>
      <c r="I838" s="47"/>
      <c r="J838" s="48"/>
      <c r="K838" s="49"/>
      <c r="L838" s="49"/>
      <c r="M838" s="49"/>
    </row>
    <row r="839" ht="39.75" hidden="1" customHeight="1">
      <c r="A839" s="1"/>
      <c r="B839" s="2" t="s">
        <v>12</v>
      </c>
      <c r="C839" s="21"/>
      <c r="D839" s="21"/>
      <c r="E839" s="21"/>
      <c r="F839" s="46"/>
      <c r="G839" s="62">
        <f>SUMIF(B3:B837,"*이동현*",G3:G837)</f>
        <v>11</v>
      </c>
      <c r="H839" s="47"/>
      <c r="I839" s="47"/>
      <c r="J839" s="48"/>
      <c r="K839" s="49"/>
      <c r="L839" s="49"/>
      <c r="M839" s="49"/>
    </row>
    <row r="840" ht="39.75" hidden="1" customHeight="1">
      <c r="A840" s="1"/>
      <c r="B840" s="2" t="s">
        <v>16</v>
      </c>
      <c r="C840" s="21"/>
      <c r="D840" s="21"/>
      <c r="E840" s="21"/>
      <c r="F840" s="46"/>
      <c r="G840" s="62">
        <f>SUMIF(B4:B837,"*반일훈*",G4:G837)</f>
        <v>15</v>
      </c>
      <c r="H840" s="47"/>
      <c r="I840" s="47"/>
      <c r="J840" s="48"/>
      <c r="K840" s="49"/>
      <c r="L840" s="49"/>
      <c r="M840" s="49"/>
    </row>
    <row r="841" ht="39.75" hidden="1" customHeight="1">
      <c r="A841" s="1"/>
      <c r="B841" s="2" t="s">
        <v>116</v>
      </c>
      <c r="C841" s="21"/>
      <c r="D841" s="21"/>
      <c r="E841" s="21"/>
      <c r="F841" s="46"/>
      <c r="G841" s="62">
        <f>SUMIF(B5:B837,"*김재식*",G5:G837)</f>
        <v>1</v>
      </c>
      <c r="H841" s="47"/>
      <c r="I841" s="47"/>
      <c r="J841" s="48"/>
      <c r="K841" s="49"/>
      <c r="L841" s="49"/>
      <c r="M841" s="49"/>
    </row>
    <row r="842" ht="39.75" hidden="1" customHeight="1">
      <c r="A842" s="1"/>
      <c r="B842" s="2" t="s">
        <v>17</v>
      </c>
      <c r="C842" s="21"/>
      <c r="D842" s="21"/>
      <c r="E842" s="21"/>
      <c r="F842" s="46"/>
      <c r="G842" s="62">
        <f>SUMIF(B5:B837,"*신동환*",G5:G837)</f>
        <v>15</v>
      </c>
      <c r="H842" s="47"/>
      <c r="I842" s="47"/>
      <c r="J842" s="48"/>
      <c r="K842" s="49"/>
      <c r="L842" s="49"/>
      <c r="M842" s="49"/>
    </row>
    <row r="843" ht="39.75" hidden="1" customHeight="1">
      <c r="A843" s="1"/>
      <c r="B843" s="2" t="s">
        <v>331</v>
      </c>
      <c r="C843" s="21"/>
      <c r="D843" s="21"/>
      <c r="E843" s="21"/>
      <c r="F843" s="46"/>
      <c r="G843" s="62">
        <f>SUMIF(B5:B837,"*장후원*",G5:G837)</f>
        <v>11</v>
      </c>
      <c r="H843" s="47"/>
      <c r="I843" s="47"/>
      <c r="J843" s="48"/>
      <c r="K843" s="49"/>
      <c r="L843" s="49"/>
      <c r="M843" s="49"/>
    </row>
    <row r="844" ht="39.75" hidden="1" customHeight="1">
      <c r="A844" s="1"/>
      <c r="B844" s="2" t="s">
        <v>21</v>
      </c>
      <c r="C844" s="21"/>
      <c r="D844" s="21"/>
      <c r="E844" s="21"/>
      <c r="F844" s="46"/>
      <c r="G844" s="62">
        <f>SUMIF(B5:B837,"*구본준*",G5:G837)</f>
        <v>11</v>
      </c>
      <c r="H844" s="47"/>
      <c r="I844" s="47"/>
      <c r="J844" s="48"/>
      <c r="K844" s="49"/>
      <c r="L844" s="49"/>
      <c r="M844" s="49"/>
    </row>
    <row r="845" ht="39.75" hidden="1" customHeight="1">
      <c r="A845" s="1"/>
      <c r="B845" s="2" t="s">
        <v>22</v>
      </c>
      <c r="C845" s="21"/>
      <c r="D845" s="21"/>
      <c r="E845" s="21"/>
      <c r="F845" s="46"/>
      <c r="G845" s="62">
        <f>SUMIF(B5:B837,"*이학진*",G5:G837)</f>
        <v>13</v>
      </c>
      <c r="H845" s="47"/>
      <c r="I845" s="47"/>
      <c r="J845" s="48"/>
      <c r="K845" s="49"/>
      <c r="L845" s="49"/>
      <c r="M845" s="49"/>
    </row>
    <row r="846" ht="39.75" hidden="1" customHeight="1">
      <c r="A846" s="1"/>
      <c r="B846" s="2" t="s">
        <v>23</v>
      </c>
      <c r="C846" s="21"/>
      <c r="D846" s="21"/>
      <c r="E846" s="21"/>
      <c r="F846" s="46"/>
      <c r="G846" s="62">
        <f>SUMIF(B5:B837,"*황현우*",G5:G837)</f>
        <v>11</v>
      </c>
      <c r="H846" s="47"/>
      <c r="I846" s="47"/>
      <c r="J846" s="48"/>
      <c r="K846" s="49"/>
      <c r="L846" s="49"/>
      <c r="M846" s="49"/>
    </row>
    <row r="847" ht="39.75" hidden="1" customHeight="1">
      <c r="A847" s="1"/>
      <c r="B847" s="2" t="s">
        <v>24</v>
      </c>
      <c r="C847" s="21"/>
      <c r="D847" s="21"/>
      <c r="E847" s="21"/>
      <c r="F847" s="46"/>
      <c r="G847" s="62">
        <f>SUMIF(B5:B837,"*김미란*",G5:G837)</f>
        <v>8</v>
      </c>
      <c r="H847" s="47"/>
      <c r="I847" s="47"/>
      <c r="J847" s="48"/>
      <c r="K847" s="49"/>
      <c r="L847" s="49"/>
      <c r="M847" s="49"/>
    </row>
    <row r="848" ht="39.75" hidden="1" customHeight="1">
      <c r="A848" s="1"/>
      <c r="B848" s="2" t="s">
        <v>25</v>
      </c>
      <c r="C848" s="21"/>
      <c r="D848" s="21"/>
      <c r="E848" s="21"/>
      <c r="F848" s="46"/>
      <c r="G848" s="62">
        <f>SUMIF(B5:B837,"*유규열*",G5:G837)</f>
        <v>19</v>
      </c>
      <c r="H848" s="47"/>
      <c r="I848" s="47"/>
      <c r="J848" s="48"/>
      <c r="K848" s="49"/>
      <c r="L848" s="49"/>
      <c r="M848" s="49"/>
    </row>
    <row r="849" ht="39.75" hidden="1" customHeight="1">
      <c r="A849" s="1"/>
      <c r="B849" s="2" t="s">
        <v>26</v>
      </c>
      <c r="C849" s="21"/>
      <c r="D849" s="21"/>
      <c r="E849" s="21"/>
      <c r="F849" s="46"/>
      <c r="G849" s="62">
        <f>SUMIF(B5:B837,"*김준택*",G5:G837)</f>
        <v>17</v>
      </c>
      <c r="H849" s="47"/>
      <c r="I849" s="47"/>
      <c r="J849" s="48"/>
      <c r="K849" s="49"/>
      <c r="L849" s="49"/>
      <c r="M849" s="49"/>
    </row>
    <row r="850" ht="39.75" hidden="1" customHeight="1">
      <c r="A850" s="1"/>
      <c r="B850" s="2" t="s">
        <v>29</v>
      </c>
      <c r="C850" s="21"/>
      <c r="D850" s="21"/>
      <c r="E850" s="21"/>
      <c r="F850" s="46"/>
      <c r="G850" s="62">
        <f>SUMIF(B5:B837,"*방극철*",G5:G837)</f>
        <v>10</v>
      </c>
      <c r="H850" s="47"/>
      <c r="I850" s="47"/>
      <c r="J850" s="48"/>
      <c r="K850" s="49"/>
      <c r="L850" s="49"/>
      <c r="M850" s="49"/>
    </row>
    <row r="851" ht="39.75" hidden="1" customHeight="1">
      <c r="A851" s="1"/>
      <c r="B851" s="2" t="s">
        <v>30</v>
      </c>
      <c r="C851" s="21"/>
      <c r="D851" s="21"/>
      <c r="E851" s="21"/>
      <c r="F851" s="46"/>
      <c r="G851" s="62">
        <f>SUMIF(B5:B837,"*홍승재*",G5:G837)</f>
        <v>3</v>
      </c>
      <c r="H851" s="47"/>
      <c r="I851" s="47"/>
      <c r="J851" s="48"/>
      <c r="K851" s="49"/>
      <c r="L851" s="49"/>
      <c r="M851" s="49"/>
    </row>
    <row r="852" ht="39.75" hidden="1" customHeight="1">
      <c r="A852" s="1"/>
      <c r="B852" s="2" t="s">
        <v>31</v>
      </c>
      <c r="C852" s="21"/>
      <c r="D852" s="21"/>
      <c r="E852" s="21"/>
      <c r="F852" s="46"/>
      <c r="G852" s="62">
        <f>SUMIF(B5:B837,"*이   경*",G5:G837)</f>
        <v>24</v>
      </c>
      <c r="H852" s="47"/>
      <c r="I852" s="47"/>
      <c r="J852" s="48"/>
      <c r="K852" s="49"/>
      <c r="L852" s="49"/>
      <c r="M852" s="49"/>
    </row>
    <row r="853" ht="39.75" hidden="1" customHeight="1">
      <c r="A853" s="1"/>
      <c r="B853" s="2" t="s">
        <v>32</v>
      </c>
      <c r="C853" s="21"/>
      <c r="D853" s="21"/>
      <c r="E853" s="21"/>
      <c r="F853" s="46"/>
      <c r="G853" s="62">
        <f>SUMIF(B5:B837,"*정상원*",G5:G837)</f>
        <v>15</v>
      </c>
      <c r="H853" s="47"/>
      <c r="I853" s="47"/>
      <c r="J853" s="48"/>
      <c r="K853" s="49"/>
      <c r="L853" s="49"/>
      <c r="M853" s="49"/>
    </row>
    <row r="854" ht="39.75" hidden="1" customHeight="1">
      <c r="A854" s="1"/>
      <c r="B854" s="2" t="s">
        <v>67</v>
      </c>
      <c r="C854" s="21"/>
      <c r="D854" s="21"/>
      <c r="E854" s="21"/>
      <c r="F854" s="46"/>
      <c r="G854" s="62">
        <f>SUMIF(B5:B837,"*이주원*",G5:G837)</f>
        <v>10</v>
      </c>
      <c r="H854" s="47"/>
      <c r="I854" s="47"/>
      <c r="J854" s="48"/>
      <c r="K854" s="49"/>
      <c r="L854" s="49"/>
      <c r="M854" s="49"/>
    </row>
    <row r="855" ht="39.75" hidden="1" customHeight="1">
      <c r="A855" s="1"/>
      <c r="B855" s="2" t="s">
        <v>35</v>
      </c>
      <c r="C855" s="21"/>
      <c r="D855" s="21"/>
      <c r="E855" s="21"/>
      <c r="F855" s="46"/>
      <c r="G855" s="62">
        <f>SUMIF(B5:B837,"*최무룡*",G5:G837)</f>
        <v>16</v>
      </c>
      <c r="H855" s="47"/>
      <c r="I855" s="47"/>
      <c r="J855" s="48"/>
      <c r="K855" s="49"/>
      <c r="L855" s="49"/>
      <c r="M855" s="49"/>
    </row>
    <row r="856" ht="39.75" hidden="1" customHeight="1">
      <c r="A856" s="1"/>
      <c r="B856" s="2" t="s">
        <v>36</v>
      </c>
      <c r="C856" s="21"/>
      <c r="D856" s="21"/>
      <c r="E856" s="21"/>
      <c r="F856" s="46"/>
      <c r="G856" s="62">
        <f>SUMIF(B5:B837,"*정철원*",G5:G837)</f>
        <v>12</v>
      </c>
      <c r="H856" s="47"/>
      <c r="I856" s="47"/>
      <c r="J856" s="48"/>
      <c r="K856" s="49"/>
      <c r="L856" s="49"/>
      <c r="M856" s="49"/>
    </row>
    <row r="857" ht="39.75" hidden="1" customHeight="1">
      <c r="A857" s="1"/>
      <c r="B857" s="2" t="s">
        <v>38</v>
      </c>
      <c r="C857" s="21"/>
      <c r="D857" s="21"/>
      <c r="E857" s="21"/>
      <c r="F857" s="46"/>
      <c r="G857" s="62">
        <f>SUMIF(B5:B837,"*김진광*",G5:G837)</f>
        <v>15</v>
      </c>
      <c r="H857" s="47"/>
      <c r="I857" s="47"/>
      <c r="J857" s="48"/>
      <c r="K857" s="49"/>
      <c r="L857" s="49"/>
      <c r="M857" s="49"/>
    </row>
    <row r="858" ht="39.75" hidden="1" customHeight="1">
      <c r="A858" s="1"/>
      <c r="B858" s="2" t="s">
        <v>41</v>
      </c>
      <c r="C858" s="21"/>
      <c r="D858" s="21"/>
      <c r="E858" s="21"/>
      <c r="F858" s="46"/>
      <c r="G858" s="62">
        <f>SUMIF(B5:B837,"*조용희*",G5:G837)</f>
        <v>17</v>
      </c>
      <c r="H858" s="47"/>
      <c r="I858" s="47"/>
      <c r="J858" s="48"/>
      <c r="K858" s="49"/>
      <c r="L858" s="49"/>
      <c r="M858" s="49"/>
    </row>
    <row r="859" ht="39.75" hidden="1" customHeight="1">
      <c r="A859" s="1"/>
      <c r="B859" s="2" t="s">
        <v>42</v>
      </c>
      <c r="C859" s="21"/>
      <c r="D859" s="21"/>
      <c r="E859" s="21"/>
      <c r="F859" s="46"/>
      <c r="G859" s="62">
        <f>SUMIF(B5:B837,"*이완근*",G5:G837)</f>
        <v>16</v>
      </c>
      <c r="H859" s="47"/>
      <c r="I859" s="47"/>
      <c r="J859" s="48"/>
      <c r="K859" s="49"/>
      <c r="L859" s="49"/>
      <c r="M859" s="49"/>
    </row>
    <row r="860" ht="39.75" hidden="1" customHeight="1">
      <c r="A860" s="1"/>
      <c r="B860" s="2" t="s">
        <v>43</v>
      </c>
      <c r="C860" s="21"/>
      <c r="D860" s="21"/>
      <c r="E860" s="21"/>
      <c r="F860" s="46"/>
      <c r="G860" s="62">
        <f>SUMIF(B5:B837,"*박대권*",G5:G837)</f>
        <v>12</v>
      </c>
      <c r="H860" s="47"/>
      <c r="I860" s="47"/>
      <c r="J860" s="48"/>
      <c r="K860" s="49"/>
      <c r="L860" s="49"/>
      <c r="M860" s="49"/>
    </row>
    <row r="861" ht="39.75" hidden="1" customHeight="1">
      <c r="A861" s="1"/>
      <c r="B861" s="2" t="s">
        <v>45</v>
      </c>
      <c r="C861" s="21"/>
      <c r="D861" s="21"/>
      <c r="E861" s="21"/>
      <c r="F861" s="46"/>
      <c r="G861" s="62">
        <f>SUMIF(B5:B837,"*김대호*",G5:G837)</f>
        <v>15</v>
      </c>
      <c r="H861" s="47"/>
      <c r="I861" s="47"/>
      <c r="J861" s="48"/>
      <c r="K861" s="49"/>
      <c r="L861" s="49"/>
      <c r="M861" s="49"/>
    </row>
    <row r="862" ht="39.75" hidden="1" customHeight="1">
      <c r="A862" s="1"/>
      <c r="B862" s="2" t="s">
        <v>46</v>
      </c>
      <c r="C862" s="21"/>
      <c r="D862" s="21"/>
      <c r="E862" s="21"/>
      <c r="F862" s="46"/>
      <c r="G862" s="62">
        <f>SUMIF(B5:B837,"*이현일*",G5:G837)</f>
        <v>11</v>
      </c>
      <c r="H862" s="47"/>
      <c r="I862" s="47"/>
      <c r="J862" s="48"/>
      <c r="K862" s="49"/>
      <c r="L862" s="49"/>
      <c r="M862" s="49"/>
    </row>
    <row r="863" ht="39.75" hidden="1" customHeight="1">
      <c r="A863" s="1"/>
      <c r="B863" s="2" t="s">
        <v>47</v>
      </c>
      <c r="C863" s="21"/>
      <c r="D863" s="21"/>
      <c r="E863" s="21"/>
      <c r="F863" s="46"/>
      <c r="G863" s="62">
        <f>SUMIF(B5:B837,"*유연경*",G5:G837)</f>
        <v>14</v>
      </c>
      <c r="H863" s="47"/>
      <c r="I863" s="47"/>
      <c r="J863" s="48"/>
      <c r="K863" s="49"/>
      <c r="L863" s="49"/>
      <c r="M863" s="49"/>
    </row>
    <row r="864" ht="39.75" hidden="1" customHeight="1">
      <c r="A864" s="1"/>
      <c r="B864" s="2" t="s">
        <v>48</v>
      </c>
      <c r="C864" s="21"/>
      <c r="D864" s="21"/>
      <c r="E864" s="21"/>
      <c r="F864" s="46"/>
      <c r="G864" s="62">
        <f>SUMIF(B5:B837,"*정재우*",G5:G837)</f>
        <v>23</v>
      </c>
      <c r="H864" s="47"/>
      <c r="I864" s="47"/>
      <c r="J864" s="48"/>
      <c r="K864" s="49"/>
      <c r="L864" s="49"/>
      <c r="M864" s="49"/>
    </row>
  </sheetData>
  <mergeCells count="31">
    <mergeCell ref="K2:M27"/>
    <mergeCell ref="K29:M54"/>
    <mergeCell ref="K56:M81"/>
    <mergeCell ref="K83:M108"/>
    <mergeCell ref="K110:M135"/>
    <mergeCell ref="K137:M162"/>
    <mergeCell ref="K164:M189"/>
    <mergeCell ref="K191:M216"/>
    <mergeCell ref="K218:M243"/>
    <mergeCell ref="K245:M270"/>
    <mergeCell ref="K272:M297"/>
    <mergeCell ref="K299:M324"/>
    <mergeCell ref="K326:M351"/>
    <mergeCell ref="K353:M378"/>
    <mergeCell ref="K380:M405"/>
    <mergeCell ref="K407:M432"/>
    <mergeCell ref="K434:M459"/>
    <mergeCell ref="K461:M486"/>
    <mergeCell ref="K488:M513"/>
    <mergeCell ref="K515:M540"/>
    <mergeCell ref="K542:M567"/>
    <mergeCell ref="K758:M783"/>
    <mergeCell ref="K785:M810"/>
    <mergeCell ref="K812:M837"/>
    <mergeCell ref="K569:M594"/>
    <mergeCell ref="K596:M621"/>
    <mergeCell ref="K623:M648"/>
    <mergeCell ref="K650:M675"/>
    <mergeCell ref="K677:M702"/>
    <mergeCell ref="K704:M729"/>
    <mergeCell ref="K731:M756"/>
  </mergeCells>
  <conditionalFormatting sqref="B2:I864">
    <cfRule type="expression" dxfId="6" priority="1">
      <formula>$C2="휴가"</formula>
    </cfRule>
  </conditionalFormatting>
  <conditionalFormatting sqref="B2:I864">
    <cfRule type="expression" dxfId="6" priority="2">
      <formula>$C2="휴무"</formula>
    </cfRule>
  </conditionalFormatting>
  <conditionalFormatting sqref="B2:I864">
    <cfRule type="expression" dxfId="6" priority="3">
      <formula>$C2="제크"</formula>
    </cfRule>
  </conditionalFormatting>
  <conditionalFormatting sqref="B2:I864">
    <cfRule type="expression" dxfId="7" priority="4">
      <formula>$C2="야퇴"</formula>
    </cfRule>
  </conditionalFormatting>
  <conditionalFormatting sqref="B2:I864">
    <cfRule type="expression" dxfId="8" priority="5">
      <formula>$C2="대통령실"</formula>
    </cfRule>
  </conditionalFormatting>
  <conditionalFormatting sqref="B2:I864">
    <cfRule type="expression" dxfId="8" priority="6">
      <formula>$C2="헌법재판소"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8.25"/>
    <col customWidth="1" min="3" max="3" width="10.75"/>
    <col customWidth="1" min="4" max="5" width="8.88"/>
    <col customWidth="1" min="6" max="6" width="50.13"/>
    <col customWidth="1" min="7" max="7" width="8.88"/>
    <col customWidth="1" min="8" max="8" width="10.63"/>
    <col customWidth="1" min="9" max="9" width="11.38"/>
    <col customWidth="1" min="10" max="10" width="8.5"/>
    <col customWidth="1" min="11" max="11" width="11.38"/>
    <col customWidth="1" min="12" max="14" width="12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36"/>
      <c r="K1" s="2" t="s">
        <v>1160</v>
      </c>
      <c r="L1" s="37" t="s">
        <v>490</v>
      </c>
      <c r="M1" s="38" t="s">
        <v>10</v>
      </c>
      <c r="N1" s="39" t="s">
        <v>11</v>
      </c>
    </row>
    <row r="2" ht="39.75" hidden="1" customHeight="1">
      <c r="A2" s="1">
        <v>1.0</v>
      </c>
      <c r="B2" s="2" t="s">
        <v>12</v>
      </c>
      <c r="C2" s="2" t="s">
        <v>13</v>
      </c>
      <c r="D2" s="40"/>
      <c r="E2" s="40"/>
      <c r="F2" s="45"/>
      <c r="G2" s="42"/>
      <c r="H2" s="42"/>
      <c r="I2" s="42"/>
      <c r="J2" s="14" t="s">
        <v>1161</v>
      </c>
      <c r="K2" s="71"/>
      <c r="L2" s="15" t="s">
        <v>15</v>
      </c>
    </row>
    <row r="3" ht="39.75" hidden="1" customHeight="1">
      <c r="A3" s="1">
        <v>2.0</v>
      </c>
      <c r="B3" s="2" t="s">
        <v>16</v>
      </c>
      <c r="C3" s="2" t="s">
        <v>13</v>
      </c>
      <c r="D3" s="13"/>
      <c r="E3" s="13"/>
      <c r="F3" s="44"/>
      <c r="G3" s="42"/>
      <c r="H3" s="42"/>
      <c r="I3" s="42"/>
      <c r="J3" s="14" t="s">
        <v>15</v>
      </c>
      <c r="K3" s="71"/>
    </row>
    <row r="4" ht="39.75" hidden="1" customHeight="1">
      <c r="A4" s="1">
        <v>3.0</v>
      </c>
      <c r="B4" s="2" t="s">
        <v>17</v>
      </c>
      <c r="C4" s="2" t="s">
        <v>13</v>
      </c>
      <c r="D4" s="13"/>
      <c r="E4" s="13"/>
      <c r="F4" s="44"/>
      <c r="G4" s="42"/>
      <c r="H4" s="42"/>
      <c r="I4" s="42"/>
      <c r="J4" s="14" t="s">
        <v>149</v>
      </c>
      <c r="K4" s="71"/>
    </row>
    <row r="5" ht="39.75" customHeight="1">
      <c r="A5" s="1">
        <v>4.0</v>
      </c>
      <c r="B5" s="2" t="s">
        <v>266</v>
      </c>
      <c r="C5" s="2" t="s">
        <v>272</v>
      </c>
      <c r="D5" s="13"/>
      <c r="E5" s="13"/>
      <c r="F5" s="44" t="s">
        <v>1162</v>
      </c>
      <c r="G5" s="43">
        <v>1.0</v>
      </c>
      <c r="H5" s="42"/>
      <c r="I5" s="43">
        <v>1.0</v>
      </c>
      <c r="J5" s="14" t="s">
        <v>410</v>
      </c>
      <c r="K5" s="43" t="s">
        <v>1163</v>
      </c>
    </row>
    <row r="6" ht="39.75" customHeight="1">
      <c r="A6" s="1">
        <v>5.0</v>
      </c>
      <c r="B6" s="2" t="s">
        <v>21</v>
      </c>
      <c r="C6" s="2" t="s">
        <v>63</v>
      </c>
      <c r="D6" s="13"/>
      <c r="E6" s="13"/>
      <c r="F6" s="44" t="s">
        <v>1164</v>
      </c>
      <c r="G6" s="43">
        <v>1.0</v>
      </c>
      <c r="H6" s="42"/>
      <c r="I6" s="43">
        <v>1.0</v>
      </c>
      <c r="J6" s="14" t="s">
        <v>412</v>
      </c>
      <c r="K6" s="43"/>
    </row>
    <row r="7" ht="39.75" customHeight="1">
      <c r="A7" s="1">
        <v>6.0</v>
      </c>
      <c r="B7" s="2" t="s">
        <v>22</v>
      </c>
      <c r="C7" s="2" t="s">
        <v>39</v>
      </c>
      <c r="D7" s="40">
        <v>0.375</v>
      </c>
      <c r="E7" s="13"/>
      <c r="F7" s="44" t="s">
        <v>1165</v>
      </c>
      <c r="G7" s="43">
        <v>1.0</v>
      </c>
      <c r="H7" s="42"/>
      <c r="I7" s="42"/>
      <c r="J7" s="14" t="s">
        <v>413</v>
      </c>
      <c r="K7" s="43" t="s">
        <v>1166</v>
      </c>
    </row>
    <row r="8" ht="39.75" hidden="1" customHeight="1">
      <c r="A8" s="1">
        <v>7.0</v>
      </c>
      <c r="B8" s="2" t="s">
        <v>23</v>
      </c>
      <c r="C8" s="2" t="s">
        <v>13</v>
      </c>
      <c r="D8" s="13"/>
      <c r="E8" s="13"/>
      <c r="F8" s="44"/>
      <c r="G8" s="42"/>
      <c r="H8" s="42"/>
      <c r="I8" s="42"/>
      <c r="J8" s="14"/>
      <c r="K8" s="71"/>
    </row>
    <row r="9" ht="39.75" hidden="1" customHeight="1">
      <c r="A9" s="1">
        <v>8.0</v>
      </c>
      <c r="B9" s="2" t="s">
        <v>24</v>
      </c>
      <c r="C9" s="2" t="s">
        <v>13</v>
      </c>
      <c r="D9" s="13"/>
      <c r="E9" s="13"/>
      <c r="F9" s="45"/>
      <c r="G9" s="42"/>
      <c r="H9" s="42"/>
      <c r="I9" s="42"/>
      <c r="J9" s="14"/>
      <c r="K9" s="71"/>
    </row>
    <row r="10" ht="39.75" customHeight="1">
      <c r="A10" s="1">
        <v>9.0</v>
      </c>
      <c r="B10" s="2" t="s">
        <v>25</v>
      </c>
      <c r="C10" s="2"/>
      <c r="D10" s="40">
        <v>0.375</v>
      </c>
      <c r="E10" s="51">
        <v>0.7847222222222222</v>
      </c>
      <c r="F10" s="44" t="s">
        <v>1167</v>
      </c>
      <c r="G10" s="43">
        <v>2.0</v>
      </c>
      <c r="H10" s="43"/>
      <c r="I10" s="43">
        <v>2.0</v>
      </c>
      <c r="J10" s="14"/>
      <c r="K10" s="43" t="s">
        <v>1168</v>
      </c>
    </row>
    <row r="11" ht="39.75" customHeight="1">
      <c r="A11" s="1">
        <v>10.0</v>
      </c>
      <c r="B11" s="2" t="s">
        <v>26</v>
      </c>
      <c r="C11" s="2" t="s">
        <v>27</v>
      </c>
      <c r="D11" s="13"/>
      <c r="E11" s="13"/>
      <c r="F11" s="44" t="s">
        <v>1169</v>
      </c>
      <c r="G11" s="43">
        <v>1.0</v>
      </c>
      <c r="H11" s="42"/>
      <c r="I11" s="43">
        <v>1.0</v>
      </c>
      <c r="J11" s="14"/>
      <c r="K11" s="43" t="s">
        <v>1170</v>
      </c>
    </row>
    <row r="12" ht="39.75" hidden="1" customHeight="1">
      <c r="A12" s="1">
        <v>11.0</v>
      </c>
      <c r="B12" s="2" t="s">
        <v>29</v>
      </c>
      <c r="C12" s="2" t="s">
        <v>13</v>
      </c>
      <c r="D12" s="13"/>
      <c r="E12" s="13"/>
      <c r="F12" s="44"/>
      <c r="G12" s="42"/>
      <c r="H12" s="42"/>
      <c r="I12" s="42"/>
      <c r="J12" s="14"/>
      <c r="K12" s="71"/>
    </row>
    <row r="13" ht="39.75" hidden="1" customHeight="1">
      <c r="A13" s="1">
        <v>12.0</v>
      </c>
      <c r="B13" s="2" t="s">
        <v>30</v>
      </c>
      <c r="C13" s="2" t="s">
        <v>13</v>
      </c>
      <c r="D13" s="13"/>
      <c r="E13" s="13"/>
      <c r="F13" s="44"/>
      <c r="G13" s="42"/>
      <c r="H13" s="42"/>
      <c r="I13" s="42"/>
      <c r="J13" s="14"/>
      <c r="K13" s="71"/>
    </row>
    <row r="14" ht="39.75" hidden="1" customHeight="1">
      <c r="A14" s="1">
        <v>13.0</v>
      </c>
      <c r="B14" s="2" t="s">
        <v>31</v>
      </c>
      <c r="C14" s="2" t="s">
        <v>13</v>
      </c>
      <c r="D14" s="13"/>
      <c r="E14" s="13"/>
      <c r="F14" s="44"/>
      <c r="G14" s="42"/>
      <c r="H14" s="42"/>
      <c r="I14" s="42"/>
      <c r="J14" s="14"/>
      <c r="K14" s="71"/>
    </row>
    <row r="15" ht="39.75" hidden="1" customHeight="1">
      <c r="A15" s="1">
        <v>14.0</v>
      </c>
      <c r="B15" s="2" t="s">
        <v>32</v>
      </c>
      <c r="C15" s="2" t="s">
        <v>13</v>
      </c>
      <c r="D15" s="13"/>
      <c r="E15" s="13"/>
      <c r="F15" s="45"/>
      <c r="G15" s="42"/>
      <c r="H15" s="42"/>
      <c r="I15" s="42"/>
      <c r="J15" s="14"/>
      <c r="K15" s="71"/>
    </row>
    <row r="16" ht="39.75" hidden="1" customHeight="1">
      <c r="A16" s="1">
        <v>15.0</v>
      </c>
      <c r="B16" s="2" t="s">
        <v>67</v>
      </c>
      <c r="C16" s="2" t="s">
        <v>13</v>
      </c>
      <c r="D16" s="13"/>
      <c r="E16" s="13"/>
      <c r="F16" s="45"/>
      <c r="G16" s="42"/>
      <c r="H16" s="42"/>
      <c r="I16" s="42"/>
      <c r="J16" s="14"/>
      <c r="K16" s="71"/>
    </row>
    <row r="17" ht="39.75" hidden="1" customHeight="1">
      <c r="A17" s="1">
        <v>16.0</v>
      </c>
      <c r="B17" s="2" t="s">
        <v>34</v>
      </c>
      <c r="C17" s="2" t="s">
        <v>13</v>
      </c>
      <c r="D17" s="13"/>
      <c r="E17" s="13"/>
      <c r="F17" s="44"/>
      <c r="G17" s="42"/>
      <c r="H17" s="43"/>
      <c r="I17" s="43"/>
      <c r="J17" s="14"/>
      <c r="K17" s="71"/>
    </row>
    <row r="18" ht="39.75" customHeight="1">
      <c r="A18" s="1">
        <v>17.0</v>
      </c>
      <c r="B18" s="2" t="s">
        <v>35</v>
      </c>
      <c r="C18" s="2" t="s">
        <v>49</v>
      </c>
      <c r="D18" s="13"/>
      <c r="E18" s="13"/>
      <c r="F18" s="44" t="s">
        <v>1171</v>
      </c>
      <c r="G18" s="43">
        <v>1.0</v>
      </c>
      <c r="H18" s="42"/>
      <c r="I18" s="42"/>
      <c r="J18" s="14"/>
      <c r="K18" s="43" t="s">
        <v>1172</v>
      </c>
    </row>
    <row r="19" ht="39.75" customHeight="1">
      <c r="A19" s="1">
        <v>18.0</v>
      </c>
      <c r="B19" s="2" t="s">
        <v>36</v>
      </c>
      <c r="C19" s="2" t="s">
        <v>49</v>
      </c>
      <c r="D19" s="13"/>
      <c r="E19" s="13"/>
      <c r="F19" s="44" t="s">
        <v>1173</v>
      </c>
      <c r="G19" s="43">
        <v>1.0</v>
      </c>
      <c r="H19" s="42"/>
      <c r="I19" s="42"/>
      <c r="J19" s="14"/>
      <c r="K19" s="43" t="s">
        <v>1174</v>
      </c>
    </row>
    <row r="20" ht="39.75" hidden="1" customHeight="1">
      <c r="A20" s="1">
        <v>19.0</v>
      </c>
      <c r="B20" s="2" t="s">
        <v>38</v>
      </c>
      <c r="C20" s="2" t="s">
        <v>13</v>
      </c>
      <c r="D20" s="13"/>
      <c r="E20" s="13"/>
      <c r="F20" s="44"/>
      <c r="G20" s="42"/>
      <c r="H20" s="42"/>
      <c r="I20" s="42"/>
      <c r="J20" s="14"/>
      <c r="K20" s="71"/>
    </row>
    <row r="21" ht="39.75" hidden="1" customHeight="1">
      <c r="A21" s="1">
        <v>20.0</v>
      </c>
      <c r="B21" s="2" t="s">
        <v>41</v>
      </c>
      <c r="C21" s="2" t="s">
        <v>13</v>
      </c>
      <c r="D21" s="13"/>
      <c r="E21" s="13"/>
      <c r="F21" s="44"/>
      <c r="G21" s="42"/>
      <c r="H21" s="42"/>
      <c r="I21" s="42"/>
      <c r="J21" s="14"/>
      <c r="K21" s="71"/>
    </row>
    <row r="22" ht="39.75" hidden="1" customHeight="1">
      <c r="A22" s="1">
        <v>21.0</v>
      </c>
      <c r="B22" s="2" t="s">
        <v>42</v>
      </c>
      <c r="C22" s="2" t="s">
        <v>13</v>
      </c>
      <c r="D22" s="13"/>
      <c r="E22" s="13"/>
      <c r="F22" s="45"/>
      <c r="G22" s="42"/>
      <c r="H22" s="42"/>
      <c r="I22" s="42"/>
      <c r="J22" s="14"/>
      <c r="K22" s="71"/>
    </row>
    <row r="23" ht="39.75" customHeight="1">
      <c r="A23" s="1">
        <v>22.0</v>
      </c>
      <c r="B23" s="2" t="s">
        <v>43</v>
      </c>
      <c r="C23" s="2"/>
      <c r="D23" s="40">
        <v>0.375</v>
      </c>
      <c r="E23" s="13"/>
      <c r="F23" s="44" t="s">
        <v>1175</v>
      </c>
      <c r="G23" s="43">
        <v>1.0</v>
      </c>
      <c r="H23" s="42"/>
      <c r="I23" s="42"/>
      <c r="J23" s="14"/>
      <c r="K23" s="43" t="s">
        <v>1176</v>
      </c>
    </row>
    <row r="24" ht="39.75" hidden="1" customHeight="1">
      <c r="A24" s="1">
        <v>23.0</v>
      </c>
      <c r="B24" s="2" t="s">
        <v>45</v>
      </c>
      <c r="C24" s="2" t="s">
        <v>13</v>
      </c>
      <c r="D24" s="13"/>
      <c r="E24" s="13"/>
      <c r="F24" s="45"/>
      <c r="G24" s="42"/>
      <c r="H24" s="42"/>
      <c r="I24" s="42"/>
      <c r="J24" s="14"/>
      <c r="K24" s="71"/>
    </row>
    <row r="25" ht="39.75" hidden="1" customHeight="1">
      <c r="A25" s="1">
        <v>24.0</v>
      </c>
      <c r="B25" s="2" t="s">
        <v>46</v>
      </c>
      <c r="C25" s="2" t="s">
        <v>13</v>
      </c>
      <c r="D25" s="40"/>
      <c r="E25" s="13"/>
      <c r="F25" s="44"/>
      <c r="G25" s="42"/>
      <c r="H25" s="42"/>
      <c r="I25" s="42"/>
      <c r="J25" s="14"/>
      <c r="K25" s="71"/>
    </row>
    <row r="26" ht="39.75" hidden="1" customHeight="1">
      <c r="A26" s="1">
        <v>25.0</v>
      </c>
      <c r="B26" s="2" t="s">
        <v>47</v>
      </c>
      <c r="C26" s="2" t="s">
        <v>13</v>
      </c>
      <c r="D26" s="13"/>
      <c r="E26" s="13"/>
      <c r="F26" s="45"/>
      <c r="G26" s="42"/>
      <c r="H26" s="42"/>
      <c r="I26" s="42"/>
      <c r="J26" s="14"/>
      <c r="K26" s="71"/>
    </row>
    <row r="27" ht="39.75" customHeight="1">
      <c r="A27" s="1">
        <v>26.0</v>
      </c>
      <c r="B27" s="2" t="s">
        <v>48</v>
      </c>
      <c r="C27" s="2" t="s">
        <v>44</v>
      </c>
      <c r="D27" s="13"/>
      <c r="E27" s="13"/>
      <c r="F27" s="45"/>
      <c r="G27" s="42"/>
      <c r="H27" s="42"/>
      <c r="I27" s="42"/>
      <c r="J27" s="14"/>
      <c r="K27" s="43" t="s">
        <v>1177</v>
      </c>
    </row>
    <row r="28" ht="39.75" customHeight="1">
      <c r="A28" s="1">
        <v>27.0</v>
      </c>
      <c r="B28" s="21"/>
      <c r="C28" s="21"/>
      <c r="D28" s="21"/>
      <c r="E28" s="21"/>
      <c r="F28" s="46"/>
      <c r="G28" s="47"/>
      <c r="H28" s="47"/>
      <c r="I28" s="47"/>
      <c r="J28" s="48"/>
      <c r="K28" s="47"/>
      <c r="L28" s="49"/>
      <c r="M28" s="49"/>
      <c r="N28" s="49"/>
    </row>
    <row r="29" ht="39.75" hidden="1" customHeight="1">
      <c r="A29" s="1">
        <v>28.0</v>
      </c>
      <c r="B29" s="2" t="s">
        <v>12</v>
      </c>
      <c r="C29" s="2" t="s">
        <v>13</v>
      </c>
      <c r="D29" s="13"/>
      <c r="E29" s="13"/>
      <c r="F29" s="45"/>
      <c r="G29" s="42"/>
      <c r="H29" s="42"/>
      <c r="I29" s="42"/>
      <c r="J29" s="14" t="s">
        <v>1161</v>
      </c>
      <c r="K29" s="71"/>
      <c r="L29" s="15" t="s">
        <v>52</v>
      </c>
    </row>
    <row r="30" ht="39.75" hidden="1" customHeight="1">
      <c r="A30" s="1">
        <v>29.0</v>
      </c>
      <c r="B30" s="2" t="s">
        <v>16</v>
      </c>
      <c r="C30" s="2" t="s">
        <v>13</v>
      </c>
      <c r="D30" s="13"/>
      <c r="E30" s="13"/>
      <c r="F30" s="45"/>
      <c r="G30" s="42"/>
      <c r="H30" s="42"/>
      <c r="I30" s="42"/>
      <c r="J30" s="14" t="s">
        <v>52</v>
      </c>
      <c r="K30" s="71"/>
    </row>
    <row r="31" ht="39.75" hidden="1" customHeight="1">
      <c r="A31" s="1">
        <v>30.0</v>
      </c>
      <c r="B31" s="2" t="s">
        <v>17</v>
      </c>
      <c r="C31" s="2" t="s">
        <v>13</v>
      </c>
      <c r="D31" s="13"/>
      <c r="E31" s="13"/>
      <c r="F31" s="45"/>
      <c r="G31" s="42"/>
      <c r="H31" s="42"/>
      <c r="I31" s="42"/>
      <c r="J31" s="14" t="s">
        <v>19</v>
      </c>
      <c r="K31" s="71"/>
    </row>
    <row r="32" ht="39.75" customHeight="1">
      <c r="A32" s="1">
        <v>31.0</v>
      </c>
      <c r="B32" s="2" t="s">
        <v>331</v>
      </c>
      <c r="C32" s="2" t="s">
        <v>49</v>
      </c>
      <c r="D32" s="13"/>
      <c r="E32" s="13"/>
      <c r="F32" s="44" t="s">
        <v>1178</v>
      </c>
      <c r="G32" s="43">
        <v>1.0</v>
      </c>
      <c r="H32" s="42"/>
      <c r="I32" s="42"/>
      <c r="J32" s="14" t="s">
        <v>165</v>
      </c>
      <c r="K32" s="43" t="s">
        <v>1179</v>
      </c>
    </row>
    <row r="33" ht="39.75" customHeight="1">
      <c r="A33" s="1">
        <v>32.0</v>
      </c>
      <c r="B33" s="2" t="s">
        <v>21</v>
      </c>
      <c r="C33" s="2" t="s">
        <v>63</v>
      </c>
      <c r="D33" s="13"/>
      <c r="E33" s="13"/>
      <c r="F33" s="44" t="s">
        <v>1164</v>
      </c>
      <c r="G33" s="43">
        <v>1.0</v>
      </c>
      <c r="H33" s="43"/>
      <c r="I33" s="43">
        <v>1.0</v>
      </c>
      <c r="J33" s="14" t="s">
        <v>166</v>
      </c>
      <c r="K33" s="43"/>
    </row>
    <row r="34" ht="39.75" hidden="1" customHeight="1">
      <c r="A34" s="1">
        <v>33.0</v>
      </c>
      <c r="B34" s="2" t="s">
        <v>22</v>
      </c>
      <c r="C34" s="2" t="s">
        <v>13</v>
      </c>
      <c r="D34" s="13"/>
      <c r="E34" s="13"/>
      <c r="F34" s="45"/>
      <c r="G34" s="42"/>
      <c r="H34" s="42"/>
      <c r="I34" s="42"/>
      <c r="J34" s="14" t="s">
        <v>167</v>
      </c>
      <c r="K34" s="71"/>
    </row>
    <row r="35" ht="39.75" hidden="1" customHeight="1">
      <c r="A35" s="1">
        <v>34.0</v>
      </c>
      <c r="B35" s="2" t="s">
        <v>23</v>
      </c>
      <c r="C35" s="2" t="s">
        <v>13</v>
      </c>
      <c r="D35" s="13"/>
      <c r="E35" s="13"/>
      <c r="F35" s="45"/>
      <c r="G35" s="42"/>
      <c r="H35" s="42"/>
      <c r="I35" s="42"/>
      <c r="J35" s="14"/>
      <c r="K35" s="71"/>
    </row>
    <row r="36" ht="39.75" hidden="1" customHeight="1">
      <c r="A36" s="1">
        <v>35.0</v>
      </c>
      <c r="B36" s="2" t="s">
        <v>24</v>
      </c>
      <c r="C36" s="2" t="s">
        <v>13</v>
      </c>
      <c r="D36" s="13"/>
      <c r="E36" s="13"/>
      <c r="F36" s="45"/>
      <c r="G36" s="42"/>
      <c r="H36" s="42"/>
      <c r="I36" s="42"/>
      <c r="J36" s="14"/>
      <c r="K36" s="71"/>
    </row>
    <row r="37" ht="39.75" hidden="1" customHeight="1">
      <c r="A37" s="1">
        <v>36.0</v>
      </c>
      <c r="B37" s="2" t="s">
        <v>25</v>
      </c>
      <c r="C37" s="2" t="s">
        <v>13</v>
      </c>
      <c r="D37" s="13"/>
      <c r="E37" s="13"/>
      <c r="F37" s="45"/>
      <c r="G37" s="42"/>
      <c r="H37" s="42"/>
      <c r="I37" s="42"/>
      <c r="J37" s="14"/>
      <c r="K37" s="71"/>
    </row>
    <row r="38" ht="39.75" customHeight="1">
      <c r="A38" s="1">
        <v>37.0</v>
      </c>
      <c r="B38" s="2" t="s">
        <v>26</v>
      </c>
      <c r="C38" s="2" t="s">
        <v>44</v>
      </c>
      <c r="D38" s="13"/>
      <c r="E38" s="13"/>
      <c r="F38" s="45"/>
      <c r="G38" s="42"/>
      <c r="H38" s="42"/>
      <c r="I38" s="42"/>
      <c r="J38" s="14"/>
      <c r="K38" s="43" t="s">
        <v>1170</v>
      </c>
    </row>
    <row r="39" ht="39.75" customHeight="1">
      <c r="A39" s="1">
        <v>38.0</v>
      </c>
      <c r="B39" s="2" t="s">
        <v>29</v>
      </c>
      <c r="C39" s="2"/>
      <c r="D39" s="40">
        <v>0.375</v>
      </c>
      <c r="E39" s="13"/>
      <c r="F39" s="44" t="s">
        <v>1180</v>
      </c>
      <c r="G39" s="43">
        <v>1.0</v>
      </c>
      <c r="H39" s="42"/>
      <c r="I39" s="43">
        <v>1.0</v>
      </c>
      <c r="J39" s="14"/>
      <c r="K39" s="43" t="s">
        <v>1177</v>
      </c>
    </row>
    <row r="40" ht="39.75" hidden="1" customHeight="1">
      <c r="A40" s="1">
        <v>39.0</v>
      </c>
      <c r="B40" s="2" t="s">
        <v>30</v>
      </c>
      <c r="C40" s="2" t="s">
        <v>13</v>
      </c>
      <c r="D40" s="13"/>
      <c r="E40" s="13"/>
      <c r="F40" s="45"/>
      <c r="G40" s="42"/>
      <c r="H40" s="42"/>
      <c r="I40" s="42"/>
      <c r="J40" s="14"/>
      <c r="K40" s="71"/>
    </row>
    <row r="41" ht="39.75" hidden="1" customHeight="1">
      <c r="A41" s="1">
        <v>40.0</v>
      </c>
      <c r="B41" s="2" t="s">
        <v>31</v>
      </c>
      <c r="C41" s="2" t="s">
        <v>13</v>
      </c>
      <c r="D41" s="13"/>
      <c r="E41" s="13"/>
      <c r="F41" s="45"/>
      <c r="G41" s="42"/>
      <c r="H41" s="42"/>
      <c r="I41" s="42"/>
      <c r="J41" s="14"/>
      <c r="K41" s="71"/>
    </row>
    <row r="42" ht="39.75" hidden="1" customHeight="1">
      <c r="A42" s="1">
        <v>41.0</v>
      </c>
      <c r="B42" s="2" t="s">
        <v>32</v>
      </c>
      <c r="C42" s="2" t="s">
        <v>13</v>
      </c>
      <c r="D42" s="13"/>
      <c r="E42" s="13"/>
      <c r="F42" s="45"/>
      <c r="G42" s="42"/>
      <c r="H42" s="42"/>
      <c r="I42" s="42"/>
      <c r="J42" s="14"/>
      <c r="K42" s="71"/>
    </row>
    <row r="43" ht="39.75" customHeight="1">
      <c r="A43" s="1">
        <v>42.0</v>
      </c>
      <c r="B43" s="2" t="s">
        <v>67</v>
      </c>
      <c r="C43" s="2" t="s">
        <v>27</v>
      </c>
      <c r="D43" s="13"/>
      <c r="E43" s="13"/>
      <c r="F43" s="45"/>
      <c r="G43" s="42"/>
      <c r="H43" s="42"/>
      <c r="I43" s="42"/>
      <c r="J43" s="14"/>
      <c r="K43" s="43" t="s">
        <v>1181</v>
      </c>
    </row>
    <row r="44" ht="39.75" hidden="1" customHeight="1">
      <c r="A44" s="1">
        <v>43.0</v>
      </c>
      <c r="B44" s="2" t="s">
        <v>34</v>
      </c>
      <c r="C44" s="2" t="s">
        <v>13</v>
      </c>
      <c r="D44" s="13"/>
      <c r="E44" s="13"/>
      <c r="F44" s="45"/>
      <c r="G44" s="42"/>
      <c r="H44" s="42"/>
      <c r="I44" s="42"/>
      <c r="J44" s="14"/>
      <c r="K44" s="71"/>
    </row>
    <row r="45" ht="39.75" hidden="1" customHeight="1">
      <c r="A45" s="1">
        <v>44.0</v>
      </c>
      <c r="B45" s="2" t="s">
        <v>35</v>
      </c>
      <c r="C45" s="2" t="s">
        <v>13</v>
      </c>
      <c r="D45" s="13"/>
      <c r="E45" s="13"/>
      <c r="F45" s="45"/>
      <c r="G45" s="42"/>
      <c r="H45" s="42"/>
      <c r="I45" s="42"/>
      <c r="J45" s="14"/>
      <c r="K45" s="71"/>
    </row>
    <row r="46" ht="39.75" hidden="1" customHeight="1">
      <c r="A46" s="1">
        <v>45.0</v>
      </c>
      <c r="B46" s="2" t="s">
        <v>36</v>
      </c>
      <c r="C46" s="2" t="s">
        <v>13</v>
      </c>
      <c r="D46" s="13"/>
      <c r="E46" s="13"/>
      <c r="F46" s="45"/>
      <c r="G46" s="42"/>
      <c r="H46" s="42"/>
      <c r="I46" s="42"/>
      <c r="J46" s="14"/>
      <c r="K46" s="71"/>
    </row>
    <row r="47" ht="39.75" hidden="1" customHeight="1">
      <c r="A47" s="1">
        <v>46.0</v>
      </c>
      <c r="B47" s="2" t="s">
        <v>38</v>
      </c>
      <c r="C47" s="2" t="s">
        <v>13</v>
      </c>
      <c r="D47" s="13"/>
      <c r="E47" s="13"/>
      <c r="F47" s="45"/>
      <c r="G47" s="42"/>
      <c r="H47" s="42"/>
      <c r="I47" s="42"/>
      <c r="J47" s="14"/>
      <c r="K47" s="71"/>
    </row>
    <row r="48" ht="39.75" hidden="1" customHeight="1">
      <c r="A48" s="1">
        <v>47.0</v>
      </c>
      <c r="B48" s="2" t="s">
        <v>41</v>
      </c>
      <c r="C48" s="2" t="s">
        <v>13</v>
      </c>
      <c r="D48" s="13"/>
      <c r="E48" s="13"/>
      <c r="F48" s="45"/>
      <c r="G48" s="42"/>
      <c r="H48" s="42"/>
      <c r="I48" s="42"/>
      <c r="J48" s="14"/>
      <c r="K48" s="71"/>
    </row>
    <row r="49" ht="39.75" customHeight="1">
      <c r="A49" s="1">
        <v>48.0</v>
      </c>
      <c r="B49" s="2" t="s">
        <v>42</v>
      </c>
      <c r="C49" s="2" t="s">
        <v>39</v>
      </c>
      <c r="D49" s="13"/>
      <c r="E49" s="13"/>
      <c r="F49" s="44" t="s">
        <v>1182</v>
      </c>
      <c r="G49" s="43">
        <v>1.0</v>
      </c>
      <c r="H49" s="42"/>
      <c r="I49" s="42"/>
      <c r="J49" s="14"/>
      <c r="K49" s="43" t="s">
        <v>1183</v>
      </c>
    </row>
    <row r="50" ht="39.75" customHeight="1">
      <c r="A50" s="1">
        <v>49.0</v>
      </c>
      <c r="B50" s="2" t="s">
        <v>267</v>
      </c>
      <c r="C50" s="2" t="s">
        <v>272</v>
      </c>
      <c r="D50" s="13"/>
      <c r="E50" s="13"/>
      <c r="F50" s="44" t="s">
        <v>1184</v>
      </c>
      <c r="G50" s="43">
        <v>1.0</v>
      </c>
      <c r="H50" s="42"/>
      <c r="I50" s="43">
        <v>1.0</v>
      </c>
      <c r="J50" s="14"/>
      <c r="K50" s="43" t="s">
        <v>1185</v>
      </c>
    </row>
    <row r="51" ht="39.75" hidden="1" customHeight="1">
      <c r="A51" s="1">
        <v>50.0</v>
      </c>
      <c r="B51" s="2" t="s">
        <v>45</v>
      </c>
      <c r="C51" s="2" t="s">
        <v>13</v>
      </c>
      <c r="D51" s="13"/>
      <c r="E51" s="13"/>
      <c r="F51" s="45"/>
      <c r="G51" s="42"/>
      <c r="H51" s="42"/>
      <c r="I51" s="42"/>
      <c r="J51" s="14"/>
      <c r="K51" s="71"/>
    </row>
    <row r="52" ht="39.75" hidden="1" customHeight="1">
      <c r="A52" s="1">
        <v>51.0</v>
      </c>
      <c r="B52" s="2" t="s">
        <v>46</v>
      </c>
      <c r="C52" s="2" t="s">
        <v>13</v>
      </c>
      <c r="D52" s="13"/>
      <c r="E52" s="13"/>
      <c r="F52" s="45"/>
      <c r="G52" s="42"/>
      <c r="H52" s="42"/>
      <c r="I52" s="42"/>
      <c r="J52" s="14"/>
      <c r="K52" s="71"/>
    </row>
    <row r="53" ht="39.75" hidden="1" customHeight="1">
      <c r="A53" s="1">
        <v>52.0</v>
      </c>
      <c r="B53" s="2" t="s">
        <v>47</v>
      </c>
      <c r="C53" s="2" t="s">
        <v>13</v>
      </c>
      <c r="D53" s="13"/>
      <c r="E53" s="13"/>
      <c r="F53" s="45"/>
      <c r="G53" s="42"/>
      <c r="H53" s="42"/>
      <c r="I53" s="42"/>
      <c r="J53" s="14"/>
      <c r="K53" s="71"/>
    </row>
    <row r="54" ht="39.75" hidden="1" customHeight="1">
      <c r="A54" s="1">
        <v>53.0</v>
      </c>
      <c r="B54" s="2" t="s">
        <v>48</v>
      </c>
      <c r="C54" s="2" t="s">
        <v>13</v>
      </c>
      <c r="D54" s="13"/>
      <c r="E54" s="13"/>
      <c r="F54" s="45"/>
      <c r="G54" s="42"/>
      <c r="H54" s="42"/>
      <c r="I54" s="42"/>
      <c r="J54" s="14"/>
      <c r="K54" s="71"/>
    </row>
    <row r="55" ht="39.75" customHeight="1">
      <c r="A55" s="1">
        <v>54.0</v>
      </c>
      <c r="B55" s="21"/>
      <c r="C55" s="21"/>
      <c r="D55" s="21"/>
      <c r="E55" s="21"/>
      <c r="F55" s="46"/>
      <c r="G55" s="47"/>
      <c r="H55" s="47"/>
      <c r="I55" s="47"/>
      <c r="J55" s="48"/>
      <c r="K55" s="47"/>
      <c r="L55" s="49"/>
      <c r="M55" s="49"/>
      <c r="N55" s="49"/>
    </row>
    <row r="56" ht="39.75" hidden="1" customHeight="1">
      <c r="A56" s="1">
        <v>55.0</v>
      </c>
      <c r="B56" s="2" t="s">
        <v>12</v>
      </c>
      <c r="C56" s="2" t="s">
        <v>13</v>
      </c>
      <c r="D56" s="13"/>
      <c r="E56" s="13"/>
      <c r="F56" s="45"/>
      <c r="G56" s="42"/>
      <c r="H56" s="42"/>
      <c r="I56" s="42"/>
      <c r="J56" s="14" t="s">
        <v>1161</v>
      </c>
      <c r="K56" s="71"/>
      <c r="L56" s="15" t="s">
        <v>74</v>
      </c>
    </row>
    <row r="57" ht="39.75" customHeight="1">
      <c r="A57" s="1">
        <v>56.0</v>
      </c>
      <c r="B57" s="2" t="s">
        <v>263</v>
      </c>
      <c r="C57" s="2" t="s">
        <v>272</v>
      </c>
      <c r="D57" s="13"/>
      <c r="E57" s="13"/>
      <c r="F57" s="44" t="s">
        <v>1186</v>
      </c>
      <c r="G57" s="42"/>
      <c r="H57" s="42"/>
      <c r="I57" s="42"/>
      <c r="J57" s="14" t="s">
        <v>74</v>
      </c>
      <c r="K57" s="43" t="s">
        <v>1187</v>
      </c>
    </row>
    <row r="58" ht="39.75" customHeight="1">
      <c r="A58" s="1">
        <v>57.0</v>
      </c>
      <c r="B58" s="2" t="s">
        <v>20</v>
      </c>
      <c r="C58" s="2" t="s">
        <v>271</v>
      </c>
      <c r="D58" s="13"/>
      <c r="E58" s="13"/>
      <c r="F58" s="44" t="s">
        <v>1188</v>
      </c>
      <c r="G58" s="42"/>
      <c r="H58" s="42"/>
      <c r="I58" s="42"/>
      <c r="J58" s="14" t="s">
        <v>56</v>
      </c>
      <c r="K58" s="43" t="s">
        <v>1189</v>
      </c>
    </row>
    <row r="59" ht="39.75" customHeight="1">
      <c r="A59" s="1">
        <v>58.0</v>
      </c>
      <c r="B59" s="2" t="s">
        <v>331</v>
      </c>
      <c r="C59" s="2" t="s">
        <v>69</v>
      </c>
      <c r="D59" s="13"/>
      <c r="E59" s="13"/>
      <c r="F59" s="45"/>
      <c r="G59" s="42"/>
      <c r="H59" s="42"/>
      <c r="I59" s="42"/>
      <c r="J59" s="14" t="s">
        <v>410</v>
      </c>
      <c r="K59" s="43" t="s">
        <v>1179</v>
      </c>
    </row>
    <row r="60" ht="39.75" hidden="1" customHeight="1">
      <c r="A60" s="1">
        <v>59.0</v>
      </c>
      <c r="B60" s="2" t="s">
        <v>21</v>
      </c>
      <c r="C60" s="2" t="s">
        <v>13</v>
      </c>
      <c r="D60" s="13"/>
      <c r="E60" s="13"/>
      <c r="F60" s="45"/>
      <c r="G60" s="42"/>
      <c r="H60" s="42"/>
      <c r="I60" s="42"/>
      <c r="J60" s="14" t="s">
        <v>412</v>
      </c>
      <c r="K60" s="71"/>
    </row>
    <row r="61" ht="39.75" customHeight="1">
      <c r="A61" s="1">
        <v>60.0</v>
      </c>
      <c r="B61" s="2" t="s">
        <v>22</v>
      </c>
      <c r="C61" s="2" t="s">
        <v>39</v>
      </c>
      <c r="D61" s="13"/>
      <c r="E61" s="13"/>
      <c r="F61" s="44" t="s">
        <v>1190</v>
      </c>
      <c r="G61" s="43">
        <v>1.0</v>
      </c>
      <c r="H61" s="42"/>
      <c r="I61" s="43">
        <v>1.0</v>
      </c>
      <c r="J61" s="14" t="s">
        <v>413</v>
      </c>
      <c r="K61" s="43" t="s">
        <v>1174</v>
      </c>
    </row>
    <row r="62" ht="39.75" customHeight="1">
      <c r="A62" s="1">
        <v>61.0</v>
      </c>
      <c r="B62" s="2" t="s">
        <v>23</v>
      </c>
      <c r="C62" s="2"/>
      <c r="D62" s="40">
        <v>0.375</v>
      </c>
      <c r="E62" s="13"/>
      <c r="F62" s="44" t="s">
        <v>1191</v>
      </c>
      <c r="G62" s="43">
        <v>1.0</v>
      </c>
      <c r="H62" s="42"/>
      <c r="I62" s="42"/>
      <c r="J62" s="14"/>
      <c r="K62" s="43" t="s">
        <v>1192</v>
      </c>
    </row>
    <row r="63" ht="39.75" customHeight="1">
      <c r="A63" s="1">
        <v>62.0</v>
      </c>
      <c r="B63" s="2" t="s">
        <v>24</v>
      </c>
      <c r="C63" s="2" t="s">
        <v>277</v>
      </c>
      <c r="D63" s="13"/>
      <c r="E63" s="13"/>
      <c r="F63" s="44" t="s">
        <v>1164</v>
      </c>
      <c r="G63" s="43">
        <v>1.0</v>
      </c>
      <c r="H63" s="42"/>
      <c r="I63" s="43">
        <v>1.0</v>
      </c>
      <c r="J63" s="14"/>
      <c r="K63" s="43" t="s">
        <v>1193</v>
      </c>
    </row>
    <row r="64" ht="39.75" hidden="1" customHeight="1">
      <c r="A64" s="1">
        <v>63.0</v>
      </c>
      <c r="B64" s="2" t="s">
        <v>25</v>
      </c>
      <c r="C64" s="2" t="s">
        <v>13</v>
      </c>
      <c r="D64" s="13"/>
      <c r="E64" s="13"/>
      <c r="F64" s="45"/>
      <c r="G64" s="42"/>
      <c r="H64" s="42"/>
      <c r="I64" s="42"/>
      <c r="J64" s="14"/>
      <c r="K64" s="71"/>
    </row>
    <row r="65" ht="39.75" hidden="1" customHeight="1">
      <c r="A65" s="1">
        <v>64.0</v>
      </c>
      <c r="B65" s="2" t="s">
        <v>26</v>
      </c>
      <c r="C65" s="2" t="s">
        <v>13</v>
      </c>
      <c r="D65" s="13"/>
      <c r="E65" s="13"/>
      <c r="F65" s="45"/>
      <c r="G65" s="42"/>
      <c r="H65" s="42"/>
      <c r="I65" s="42"/>
      <c r="J65" s="14"/>
      <c r="K65" s="71"/>
    </row>
    <row r="66" ht="39.75" hidden="1" customHeight="1">
      <c r="A66" s="1">
        <v>65.0</v>
      </c>
      <c r="B66" s="2" t="s">
        <v>29</v>
      </c>
      <c r="C66" s="2" t="s">
        <v>13</v>
      </c>
      <c r="D66" s="13"/>
      <c r="E66" s="13"/>
      <c r="F66" s="45"/>
      <c r="G66" s="42"/>
      <c r="H66" s="42"/>
      <c r="I66" s="42"/>
      <c r="J66" s="14"/>
      <c r="K66" s="71"/>
    </row>
    <row r="67" ht="39.75" customHeight="1">
      <c r="A67" s="1">
        <v>66.0</v>
      </c>
      <c r="B67" s="2" t="s">
        <v>30</v>
      </c>
      <c r="C67" s="2" t="s">
        <v>54</v>
      </c>
      <c r="D67" s="13"/>
      <c r="E67" s="13"/>
      <c r="F67" s="44" t="s">
        <v>1194</v>
      </c>
      <c r="G67" s="43">
        <v>1.0</v>
      </c>
      <c r="H67" s="42"/>
      <c r="I67" s="42"/>
      <c r="J67" s="14"/>
      <c r="K67" s="43" t="s">
        <v>1195</v>
      </c>
    </row>
    <row r="68" ht="39.75" customHeight="1">
      <c r="A68" s="1">
        <v>67.0</v>
      </c>
      <c r="B68" s="2" t="s">
        <v>31</v>
      </c>
      <c r="C68" s="2"/>
      <c r="D68" s="40">
        <v>0.375</v>
      </c>
      <c r="E68" s="13"/>
      <c r="F68" s="44" t="s">
        <v>1196</v>
      </c>
      <c r="G68" s="43">
        <v>3.0</v>
      </c>
      <c r="H68" s="42"/>
      <c r="I68" s="42"/>
      <c r="J68" s="14"/>
      <c r="K68" s="43" t="s">
        <v>1166</v>
      </c>
    </row>
    <row r="69" ht="39.75" hidden="1" customHeight="1">
      <c r="A69" s="1">
        <v>68.0</v>
      </c>
      <c r="B69" s="2" t="s">
        <v>32</v>
      </c>
      <c r="C69" s="2" t="s">
        <v>13</v>
      </c>
      <c r="D69" s="13"/>
      <c r="E69" s="13"/>
      <c r="F69" s="45"/>
      <c r="G69" s="42"/>
      <c r="H69" s="42"/>
      <c r="I69" s="42"/>
      <c r="J69" s="14"/>
      <c r="K69" s="71"/>
    </row>
    <row r="70" ht="39.75" customHeight="1">
      <c r="A70" s="1">
        <v>69.0</v>
      </c>
      <c r="B70" s="2" t="s">
        <v>67</v>
      </c>
      <c r="C70" s="2" t="s">
        <v>44</v>
      </c>
      <c r="D70" s="13"/>
      <c r="E70" s="13"/>
      <c r="F70" s="45"/>
      <c r="G70" s="42"/>
      <c r="H70" s="42"/>
      <c r="I70" s="42"/>
      <c r="J70" s="14"/>
      <c r="K70" s="43" t="s">
        <v>1181</v>
      </c>
    </row>
    <row r="71" ht="39.75" hidden="1" customHeight="1">
      <c r="A71" s="1">
        <v>70.0</v>
      </c>
      <c r="B71" s="2" t="s">
        <v>34</v>
      </c>
      <c r="C71" s="2" t="s">
        <v>13</v>
      </c>
      <c r="D71" s="13"/>
      <c r="E71" s="13"/>
      <c r="F71" s="45"/>
      <c r="G71" s="42"/>
      <c r="H71" s="42"/>
      <c r="I71" s="42"/>
      <c r="J71" s="14"/>
      <c r="K71" s="71"/>
    </row>
    <row r="72" ht="39.75" hidden="1" customHeight="1">
      <c r="A72" s="1">
        <v>71.0</v>
      </c>
      <c r="B72" s="2" t="s">
        <v>35</v>
      </c>
      <c r="C72" s="2" t="s">
        <v>13</v>
      </c>
      <c r="D72" s="13"/>
      <c r="E72" s="13"/>
      <c r="F72" s="45"/>
      <c r="G72" s="42"/>
      <c r="H72" s="42"/>
      <c r="I72" s="42"/>
      <c r="J72" s="14"/>
      <c r="K72" s="71"/>
    </row>
    <row r="73" ht="39.75" hidden="1" customHeight="1">
      <c r="A73" s="1">
        <v>72.0</v>
      </c>
      <c r="B73" s="2" t="s">
        <v>36</v>
      </c>
      <c r="C73" s="2" t="s">
        <v>13</v>
      </c>
      <c r="D73" s="13"/>
      <c r="E73" s="13"/>
      <c r="F73" s="45"/>
      <c r="G73" s="42"/>
      <c r="H73" s="42"/>
      <c r="I73" s="42"/>
      <c r="J73" s="14"/>
      <c r="K73" s="71"/>
    </row>
    <row r="74" ht="39.75" hidden="1" customHeight="1">
      <c r="A74" s="1">
        <v>73.0</v>
      </c>
      <c r="B74" s="2" t="s">
        <v>38</v>
      </c>
      <c r="C74" s="2" t="s">
        <v>13</v>
      </c>
      <c r="D74" s="13"/>
      <c r="E74" s="13"/>
      <c r="F74" s="45"/>
      <c r="G74" s="42"/>
      <c r="H74" s="42"/>
      <c r="I74" s="42"/>
      <c r="J74" s="14"/>
      <c r="K74" s="71"/>
    </row>
    <row r="75" ht="39.75" hidden="1" customHeight="1">
      <c r="A75" s="1">
        <v>74.0</v>
      </c>
      <c r="B75" s="2" t="s">
        <v>41</v>
      </c>
      <c r="C75" s="2" t="s">
        <v>13</v>
      </c>
      <c r="D75" s="13"/>
      <c r="E75" s="13"/>
      <c r="F75" s="45"/>
      <c r="G75" s="42"/>
      <c r="H75" s="42"/>
      <c r="I75" s="42"/>
      <c r="J75" s="14"/>
      <c r="K75" s="71"/>
    </row>
    <row r="76" ht="39.75" hidden="1" customHeight="1">
      <c r="A76" s="1">
        <v>75.0</v>
      </c>
      <c r="B76" s="2" t="s">
        <v>42</v>
      </c>
      <c r="C76" s="2" t="s">
        <v>13</v>
      </c>
      <c r="D76" s="13"/>
      <c r="E76" s="13"/>
      <c r="F76" s="45"/>
      <c r="G76" s="42"/>
      <c r="H76" s="42"/>
      <c r="I76" s="42"/>
      <c r="J76" s="14"/>
      <c r="K76" s="71"/>
    </row>
    <row r="77" ht="39.75" customHeight="1">
      <c r="A77" s="1">
        <v>76.0</v>
      </c>
      <c r="B77" s="2" t="s">
        <v>43</v>
      </c>
      <c r="C77" s="2" t="s">
        <v>69</v>
      </c>
      <c r="D77" s="13"/>
      <c r="E77" s="13"/>
      <c r="F77" s="44" t="s">
        <v>1197</v>
      </c>
      <c r="G77" s="43">
        <v>1.0</v>
      </c>
      <c r="H77" s="42"/>
      <c r="I77" s="43">
        <v>1.0</v>
      </c>
      <c r="J77" s="14"/>
      <c r="K77" s="43" t="s">
        <v>1170</v>
      </c>
    </row>
    <row r="78" ht="39.75" hidden="1" customHeight="1">
      <c r="A78" s="1">
        <v>77.0</v>
      </c>
      <c r="B78" s="2" t="s">
        <v>45</v>
      </c>
      <c r="C78" s="2" t="s">
        <v>13</v>
      </c>
      <c r="D78" s="13"/>
      <c r="E78" s="13"/>
      <c r="F78" s="45"/>
      <c r="G78" s="42"/>
      <c r="H78" s="42"/>
      <c r="I78" s="42"/>
      <c r="J78" s="14"/>
      <c r="K78" s="71"/>
    </row>
    <row r="79" ht="39.75" hidden="1" customHeight="1">
      <c r="A79" s="1">
        <v>78.0</v>
      </c>
      <c r="B79" s="2" t="s">
        <v>46</v>
      </c>
      <c r="C79" s="2" t="s">
        <v>13</v>
      </c>
      <c r="D79" s="13"/>
      <c r="E79" s="13"/>
      <c r="F79" s="45"/>
      <c r="G79" s="42"/>
      <c r="H79" s="42"/>
      <c r="I79" s="42"/>
      <c r="J79" s="14"/>
      <c r="K79" s="71"/>
    </row>
    <row r="80" ht="39.75" customHeight="1">
      <c r="A80" s="1">
        <v>79.0</v>
      </c>
      <c r="B80" s="2" t="s">
        <v>47</v>
      </c>
      <c r="C80" s="2" t="s">
        <v>27</v>
      </c>
      <c r="D80" s="13"/>
      <c r="E80" s="13"/>
      <c r="F80" s="44" t="s">
        <v>1198</v>
      </c>
      <c r="G80" s="43">
        <v>1.0</v>
      </c>
      <c r="H80" s="42"/>
      <c r="I80" s="42"/>
      <c r="J80" s="14"/>
      <c r="K80" s="43" t="s">
        <v>1199</v>
      </c>
    </row>
    <row r="81" ht="39.75" hidden="1" customHeight="1">
      <c r="A81" s="1">
        <v>80.0</v>
      </c>
      <c r="B81" s="2" t="s">
        <v>48</v>
      </c>
      <c r="C81" s="2" t="s">
        <v>13</v>
      </c>
      <c r="D81" s="13"/>
      <c r="E81" s="13"/>
      <c r="F81" s="45"/>
      <c r="G81" s="42"/>
      <c r="H81" s="42"/>
      <c r="I81" s="42"/>
      <c r="J81" s="14"/>
      <c r="K81" s="71"/>
    </row>
    <row r="82" ht="39.75" customHeight="1">
      <c r="A82" s="1">
        <v>81.0</v>
      </c>
      <c r="B82" s="21"/>
      <c r="C82" s="21"/>
      <c r="D82" s="21"/>
      <c r="E82" s="21"/>
      <c r="F82" s="46"/>
      <c r="G82" s="47"/>
      <c r="H82" s="47"/>
      <c r="I82" s="47"/>
      <c r="J82" s="48"/>
      <c r="K82" s="47"/>
      <c r="L82" s="49"/>
      <c r="M82" s="49"/>
      <c r="N82" s="49"/>
    </row>
    <row r="83" ht="39.75" customHeight="1">
      <c r="A83" s="1">
        <v>82.0</v>
      </c>
      <c r="B83" s="2" t="s">
        <v>12</v>
      </c>
      <c r="C83" s="2" t="s">
        <v>62</v>
      </c>
      <c r="D83" s="13"/>
      <c r="E83" s="13"/>
      <c r="F83" s="45"/>
      <c r="G83" s="42"/>
      <c r="H83" s="42"/>
      <c r="I83" s="42"/>
      <c r="J83" s="14" t="s">
        <v>1161</v>
      </c>
      <c r="K83" s="43"/>
      <c r="L83" s="15" t="s">
        <v>94</v>
      </c>
    </row>
    <row r="84" ht="39.75" customHeight="1">
      <c r="A84" s="1">
        <v>83.0</v>
      </c>
      <c r="B84" s="2" t="s">
        <v>16</v>
      </c>
      <c r="C84" s="2" t="s">
        <v>69</v>
      </c>
      <c r="D84" s="13"/>
      <c r="E84" s="13"/>
      <c r="F84" s="44" t="s">
        <v>1200</v>
      </c>
      <c r="G84" s="43">
        <v>1.0</v>
      </c>
      <c r="H84" s="42"/>
      <c r="I84" s="43">
        <v>1.0</v>
      </c>
      <c r="J84" s="14" t="s">
        <v>94</v>
      </c>
      <c r="K84" s="43"/>
    </row>
    <row r="85" ht="39.75" customHeight="1">
      <c r="A85" s="1">
        <v>84.0</v>
      </c>
      <c r="B85" s="2" t="s">
        <v>17</v>
      </c>
      <c r="C85" s="2" t="s">
        <v>69</v>
      </c>
      <c r="D85" s="13"/>
      <c r="E85" s="13"/>
      <c r="F85" s="44" t="s">
        <v>1201</v>
      </c>
      <c r="G85" s="43">
        <v>1.0</v>
      </c>
      <c r="H85" s="42"/>
      <c r="I85" s="43">
        <v>1.0</v>
      </c>
      <c r="J85" s="14" t="s">
        <v>77</v>
      </c>
      <c r="K85" s="43"/>
    </row>
    <row r="86" ht="39.75" customHeight="1">
      <c r="A86" s="1">
        <v>85.0</v>
      </c>
      <c r="B86" s="2" t="s">
        <v>331</v>
      </c>
      <c r="C86" s="2" t="s">
        <v>542</v>
      </c>
      <c r="D86" s="13"/>
      <c r="E86" s="13"/>
      <c r="F86" s="45"/>
      <c r="G86" s="42"/>
      <c r="H86" s="42"/>
      <c r="I86" s="42"/>
      <c r="J86" s="14"/>
      <c r="K86" s="43"/>
    </row>
    <row r="87" ht="39.75" customHeight="1">
      <c r="A87" s="1">
        <v>86.0</v>
      </c>
      <c r="B87" s="2" t="s">
        <v>21</v>
      </c>
      <c r="C87" s="2" t="s">
        <v>277</v>
      </c>
      <c r="D87" s="13"/>
      <c r="E87" s="13"/>
      <c r="F87" s="45"/>
      <c r="G87" s="42"/>
      <c r="H87" s="42"/>
      <c r="I87" s="42"/>
      <c r="J87" s="14"/>
      <c r="K87" s="43"/>
    </row>
    <row r="88" ht="39.75" customHeight="1">
      <c r="A88" s="1">
        <v>87.0</v>
      </c>
      <c r="B88" s="2" t="s">
        <v>22</v>
      </c>
      <c r="C88" s="2"/>
      <c r="D88" s="13"/>
      <c r="E88" s="13"/>
      <c r="F88" s="44" t="s">
        <v>1202</v>
      </c>
      <c r="G88" s="43">
        <v>1.0</v>
      </c>
      <c r="H88" s="42"/>
      <c r="I88" s="42"/>
      <c r="J88" s="14"/>
      <c r="K88" s="43"/>
    </row>
    <row r="89" ht="39.75" hidden="1" customHeight="1">
      <c r="A89" s="1">
        <v>88.0</v>
      </c>
      <c r="B89" s="2" t="s">
        <v>23</v>
      </c>
      <c r="C89" s="2" t="s">
        <v>58</v>
      </c>
      <c r="D89" s="13"/>
      <c r="E89" s="13"/>
      <c r="F89" s="45"/>
      <c r="G89" s="42"/>
      <c r="H89" s="42"/>
      <c r="I89" s="42"/>
      <c r="J89" s="14"/>
      <c r="K89" s="71"/>
    </row>
    <row r="90" ht="39.75" customHeight="1">
      <c r="A90" s="1">
        <v>89.0</v>
      </c>
      <c r="B90" s="2" t="s">
        <v>24</v>
      </c>
      <c r="C90" s="2"/>
      <c r="D90" s="13"/>
      <c r="E90" s="13"/>
      <c r="F90" s="44" t="s">
        <v>1203</v>
      </c>
      <c r="G90" s="43">
        <v>1.0</v>
      </c>
      <c r="H90" s="42"/>
      <c r="I90" s="42"/>
      <c r="J90" s="14"/>
      <c r="K90" s="43"/>
    </row>
    <row r="91" ht="39.75" customHeight="1">
      <c r="A91" s="1">
        <v>90.0</v>
      </c>
      <c r="B91" s="2" t="s">
        <v>25</v>
      </c>
      <c r="C91" s="2"/>
      <c r="D91" s="13"/>
      <c r="E91" s="13"/>
      <c r="F91" s="44" t="s">
        <v>1204</v>
      </c>
      <c r="G91" s="43">
        <v>1.0</v>
      </c>
      <c r="H91" s="42"/>
      <c r="I91" s="43">
        <v>1.0</v>
      </c>
      <c r="J91" s="14"/>
      <c r="K91" s="43"/>
    </row>
    <row r="92" ht="39.75" customHeight="1">
      <c r="A92" s="1">
        <v>91.0</v>
      </c>
      <c r="B92" s="2" t="s">
        <v>26</v>
      </c>
      <c r="C92" s="2" t="s">
        <v>69</v>
      </c>
      <c r="D92" s="13"/>
      <c r="E92" s="13"/>
      <c r="F92" s="44" t="s">
        <v>1205</v>
      </c>
      <c r="G92" s="43">
        <v>1.0</v>
      </c>
      <c r="H92" s="42"/>
      <c r="I92" s="43">
        <v>1.0</v>
      </c>
      <c r="J92" s="14"/>
      <c r="K92" s="43"/>
    </row>
    <row r="93" ht="39.75" customHeight="1">
      <c r="A93" s="1">
        <v>92.0</v>
      </c>
      <c r="B93" s="2" t="s">
        <v>29</v>
      </c>
      <c r="C93" s="2" t="s">
        <v>54</v>
      </c>
      <c r="D93" s="53">
        <v>0.2916666666666667</v>
      </c>
      <c r="E93" s="13"/>
      <c r="F93" s="44" t="s">
        <v>1206</v>
      </c>
      <c r="G93" s="43">
        <v>1.0</v>
      </c>
      <c r="H93" s="43">
        <v>1.0</v>
      </c>
      <c r="I93" s="42"/>
      <c r="J93" s="14"/>
      <c r="K93" s="43"/>
    </row>
    <row r="94" ht="39.75" customHeight="1">
      <c r="A94" s="1">
        <v>93.0</v>
      </c>
      <c r="B94" s="2" t="s">
        <v>30</v>
      </c>
      <c r="C94" s="2" t="s">
        <v>64</v>
      </c>
      <c r="D94" s="13"/>
      <c r="E94" s="13"/>
      <c r="F94" s="44" t="s">
        <v>1207</v>
      </c>
      <c r="G94" s="43">
        <v>1.0</v>
      </c>
      <c r="H94" s="42"/>
      <c r="I94" s="43">
        <v>1.0</v>
      </c>
      <c r="J94" s="14"/>
      <c r="K94" s="43"/>
    </row>
    <row r="95" ht="39.75" customHeight="1">
      <c r="A95" s="1">
        <v>94.0</v>
      </c>
      <c r="B95" s="2" t="s">
        <v>31</v>
      </c>
      <c r="C95" s="2" t="s">
        <v>39</v>
      </c>
      <c r="D95" s="13"/>
      <c r="E95" s="13"/>
      <c r="F95" s="44" t="s">
        <v>1208</v>
      </c>
      <c r="G95" s="43">
        <v>2.0</v>
      </c>
      <c r="H95" s="42"/>
      <c r="I95" s="43">
        <v>2.0</v>
      </c>
      <c r="J95" s="14"/>
      <c r="K95" s="43"/>
    </row>
    <row r="96" ht="39.75" customHeight="1">
      <c r="A96" s="1">
        <v>95.0</v>
      </c>
      <c r="B96" s="2" t="s">
        <v>32</v>
      </c>
      <c r="C96" s="13"/>
      <c r="D96" s="13"/>
      <c r="E96" s="13"/>
      <c r="F96" s="44" t="s">
        <v>1209</v>
      </c>
      <c r="G96" s="43">
        <v>1.0</v>
      </c>
      <c r="H96" s="42"/>
      <c r="I96" s="43">
        <v>1.0</v>
      </c>
      <c r="J96" s="14"/>
      <c r="K96" s="43"/>
    </row>
    <row r="97" ht="39.75" customHeight="1">
      <c r="A97" s="1">
        <v>96.0</v>
      </c>
      <c r="B97" s="2" t="s">
        <v>67</v>
      </c>
      <c r="C97" s="2"/>
      <c r="D97" s="13"/>
      <c r="E97" s="13"/>
      <c r="F97" s="44" t="s">
        <v>1210</v>
      </c>
      <c r="G97" s="43">
        <v>1.0</v>
      </c>
      <c r="H97" s="42"/>
      <c r="I97" s="42"/>
      <c r="J97" s="14"/>
      <c r="K97" s="43"/>
    </row>
    <row r="98" ht="39.75" customHeight="1">
      <c r="A98" s="1">
        <v>97.0</v>
      </c>
      <c r="B98" s="2" t="s">
        <v>34</v>
      </c>
      <c r="C98" s="2"/>
      <c r="D98" s="13"/>
      <c r="E98" s="13"/>
      <c r="F98" s="44" t="s">
        <v>1211</v>
      </c>
      <c r="G98" s="43">
        <v>1.0</v>
      </c>
      <c r="H98" s="42"/>
      <c r="I98" s="42"/>
      <c r="J98" s="14"/>
      <c r="K98" s="43"/>
    </row>
    <row r="99" ht="39.75" customHeight="1">
      <c r="A99" s="1">
        <v>98.0</v>
      </c>
      <c r="B99" s="2" t="s">
        <v>35</v>
      </c>
      <c r="C99" s="2" t="s">
        <v>54</v>
      </c>
      <c r="D99" s="13"/>
      <c r="E99" s="13"/>
      <c r="F99" s="44" t="s">
        <v>1212</v>
      </c>
      <c r="G99" s="43">
        <v>1.0</v>
      </c>
      <c r="H99" s="42"/>
      <c r="I99" s="43">
        <v>1.0</v>
      </c>
      <c r="J99" s="14"/>
      <c r="K99" s="43"/>
    </row>
    <row r="100" ht="39.75" hidden="1" customHeight="1">
      <c r="A100" s="1">
        <v>99.0</v>
      </c>
      <c r="B100" s="2" t="s">
        <v>36</v>
      </c>
      <c r="C100" s="2" t="s">
        <v>58</v>
      </c>
      <c r="D100" s="13"/>
      <c r="E100" s="13"/>
      <c r="F100" s="45"/>
      <c r="G100" s="42"/>
      <c r="H100" s="42"/>
      <c r="I100" s="42"/>
      <c r="J100" s="14"/>
      <c r="K100" s="71"/>
    </row>
    <row r="101" ht="39.75" customHeight="1">
      <c r="A101" s="1">
        <v>100.0</v>
      </c>
      <c r="B101" s="2" t="s">
        <v>38</v>
      </c>
      <c r="C101" s="13"/>
      <c r="D101" s="13"/>
      <c r="E101" s="13"/>
      <c r="F101" s="44" t="s">
        <v>1213</v>
      </c>
      <c r="G101" s="43">
        <v>1.0</v>
      </c>
      <c r="H101" s="42"/>
      <c r="I101" s="42"/>
      <c r="J101" s="14"/>
      <c r="K101" s="43"/>
    </row>
    <row r="102" ht="39.75" customHeight="1">
      <c r="A102" s="1">
        <v>101.0</v>
      </c>
      <c r="B102" s="2" t="s">
        <v>41</v>
      </c>
      <c r="C102" s="2" t="s">
        <v>39</v>
      </c>
      <c r="D102" s="53">
        <v>0.2638888888888889</v>
      </c>
      <c r="E102" s="13"/>
      <c r="F102" s="44" t="s">
        <v>1214</v>
      </c>
      <c r="G102" s="43">
        <v>1.0</v>
      </c>
      <c r="H102" s="42"/>
      <c r="I102" s="42"/>
      <c r="J102" s="14"/>
      <c r="K102" s="43"/>
    </row>
    <row r="103" ht="39.75" customHeight="1">
      <c r="A103" s="1">
        <v>102.0</v>
      </c>
      <c r="B103" s="2" t="s">
        <v>42</v>
      </c>
      <c r="C103" s="2" t="s">
        <v>54</v>
      </c>
      <c r="D103" s="13"/>
      <c r="E103" s="13"/>
      <c r="F103" s="44" t="s">
        <v>856</v>
      </c>
      <c r="G103" s="43">
        <v>1.0</v>
      </c>
      <c r="H103" s="42"/>
      <c r="I103" s="43">
        <v>1.0</v>
      </c>
      <c r="J103" s="14"/>
      <c r="K103" s="43"/>
    </row>
    <row r="104" ht="39.75" customHeight="1">
      <c r="A104" s="1">
        <v>103.0</v>
      </c>
      <c r="B104" s="2" t="s">
        <v>43</v>
      </c>
      <c r="C104" s="2" t="s">
        <v>54</v>
      </c>
      <c r="D104" s="13"/>
      <c r="E104" s="13"/>
      <c r="F104" s="44" t="s">
        <v>1215</v>
      </c>
      <c r="G104" s="43">
        <v>2.0</v>
      </c>
      <c r="H104" s="42"/>
      <c r="I104" s="43">
        <v>1.0</v>
      </c>
      <c r="J104" s="14"/>
      <c r="K104" s="43"/>
    </row>
    <row r="105" ht="39.75" customHeight="1">
      <c r="A105" s="1">
        <v>104.0</v>
      </c>
      <c r="B105" s="2" t="s">
        <v>45</v>
      </c>
      <c r="C105" s="2" t="s">
        <v>27</v>
      </c>
      <c r="D105" s="13"/>
      <c r="E105" s="13"/>
      <c r="F105" s="44" t="s">
        <v>1216</v>
      </c>
      <c r="G105" s="43">
        <v>1.0</v>
      </c>
      <c r="H105" s="42"/>
      <c r="I105" s="42"/>
      <c r="J105" s="14"/>
      <c r="K105" s="43"/>
    </row>
    <row r="106" ht="39.75" hidden="1" customHeight="1">
      <c r="A106" s="1">
        <v>105.0</v>
      </c>
      <c r="B106" s="2" t="s">
        <v>46</v>
      </c>
      <c r="C106" s="2" t="s">
        <v>58</v>
      </c>
      <c r="D106" s="13"/>
      <c r="E106" s="13"/>
      <c r="F106" s="45"/>
      <c r="G106" s="42"/>
      <c r="H106" s="42"/>
      <c r="I106" s="42"/>
      <c r="J106" s="14"/>
      <c r="K106" s="71"/>
    </row>
    <row r="107" ht="39.75" customHeight="1">
      <c r="A107" s="1">
        <v>106.0</v>
      </c>
      <c r="B107" s="2" t="s">
        <v>47</v>
      </c>
      <c r="C107" s="2" t="s">
        <v>44</v>
      </c>
      <c r="D107" s="13"/>
      <c r="E107" s="13"/>
      <c r="F107" s="45"/>
      <c r="G107" s="42"/>
      <c r="H107" s="42"/>
      <c r="I107" s="42"/>
      <c r="J107" s="14"/>
      <c r="K107" s="43"/>
    </row>
    <row r="108" ht="39.75" hidden="1" customHeight="1">
      <c r="A108" s="1">
        <v>107.0</v>
      </c>
      <c r="B108" s="2" t="s">
        <v>48</v>
      </c>
      <c r="C108" s="2" t="s">
        <v>66</v>
      </c>
      <c r="D108" s="13"/>
      <c r="E108" s="13"/>
      <c r="F108" s="45"/>
      <c r="G108" s="42"/>
      <c r="H108" s="42"/>
      <c r="I108" s="42"/>
      <c r="J108" s="14"/>
      <c r="K108" s="71"/>
    </row>
    <row r="109" ht="39.75" customHeight="1">
      <c r="A109" s="1">
        <v>108.0</v>
      </c>
      <c r="B109" s="21"/>
      <c r="C109" s="21"/>
      <c r="D109" s="21"/>
      <c r="E109" s="21"/>
      <c r="F109" s="46"/>
      <c r="G109" s="47"/>
      <c r="H109" s="47"/>
      <c r="I109" s="47"/>
      <c r="J109" s="54"/>
      <c r="K109" s="72"/>
      <c r="L109" s="49"/>
      <c r="M109" s="49"/>
      <c r="N109" s="49"/>
    </row>
    <row r="110" ht="39.75" customHeight="1">
      <c r="A110" s="1">
        <v>109.0</v>
      </c>
      <c r="B110" s="2" t="s">
        <v>12</v>
      </c>
      <c r="C110" s="2" t="s">
        <v>62</v>
      </c>
      <c r="D110" s="13"/>
      <c r="E110" s="13"/>
      <c r="F110" s="45"/>
      <c r="G110" s="42"/>
      <c r="H110" s="42"/>
      <c r="I110" s="42"/>
      <c r="J110" s="27" t="s">
        <v>1161</v>
      </c>
      <c r="K110" s="43"/>
      <c r="L110" s="15" t="s">
        <v>109</v>
      </c>
    </row>
    <row r="111" ht="39.75" customHeight="1">
      <c r="A111" s="1">
        <v>110.0</v>
      </c>
      <c r="B111" s="2" t="s">
        <v>16</v>
      </c>
      <c r="C111" s="2"/>
      <c r="D111" s="13"/>
      <c r="E111" s="13"/>
      <c r="F111" s="44" t="s">
        <v>1217</v>
      </c>
      <c r="G111" s="43">
        <v>1.0</v>
      </c>
      <c r="H111" s="42"/>
      <c r="I111" s="42"/>
      <c r="J111" s="27" t="s">
        <v>109</v>
      </c>
      <c r="K111" s="43"/>
    </row>
    <row r="112" ht="39.75" customHeight="1">
      <c r="A112" s="1">
        <v>111.0</v>
      </c>
      <c r="B112" s="2" t="s">
        <v>17</v>
      </c>
      <c r="C112" s="2" t="s">
        <v>27</v>
      </c>
      <c r="D112" s="13"/>
      <c r="E112" s="13"/>
      <c r="F112" s="45"/>
      <c r="G112" s="42"/>
      <c r="H112" s="42"/>
      <c r="I112" s="42"/>
      <c r="J112" s="27" t="s">
        <v>95</v>
      </c>
      <c r="K112" s="43"/>
    </row>
    <row r="113" ht="39.75" customHeight="1">
      <c r="A113" s="1">
        <v>112.0</v>
      </c>
      <c r="B113" s="2" t="s">
        <v>331</v>
      </c>
      <c r="C113" s="2" t="s">
        <v>542</v>
      </c>
      <c r="D113" s="13"/>
      <c r="E113" s="13"/>
      <c r="F113" s="44"/>
      <c r="G113" s="42"/>
      <c r="H113" s="42"/>
      <c r="I113" s="42"/>
      <c r="J113" s="22"/>
      <c r="K113" s="42"/>
    </row>
    <row r="114" ht="39.75" customHeight="1">
      <c r="A114" s="1">
        <v>113.0</v>
      </c>
      <c r="B114" s="2" t="s">
        <v>21</v>
      </c>
      <c r="C114" s="2" t="s">
        <v>277</v>
      </c>
      <c r="D114" s="13"/>
      <c r="E114" s="13"/>
      <c r="F114" s="45"/>
      <c r="G114" s="42"/>
      <c r="H114" s="42"/>
      <c r="I114" s="42"/>
      <c r="J114" s="22"/>
      <c r="K114" s="42"/>
    </row>
    <row r="115" ht="39.75" customHeight="1">
      <c r="A115" s="1">
        <v>114.0</v>
      </c>
      <c r="B115" s="2" t="s">
        <v>22</v>
      </c>
      <c r="C115" s="2"/>
      <c r="D115" s="13"/>
      <c r="E115" s="13"/>
      <c r="F115" s="44" t="s">
        <v>1218</v>
      </c>
      <c r="G115" s="43">
        <v>1.0</v>
      </c>
      <c r="H115" s="42"/>
      <c r="I115" s="43">
        <v>1.0</v>
      </c>
      <c r="J115" s="22"/>
      <c r="K115" s="42"/>
    </row>
    <row r="116" ht="39.75" customHeight="1">
      <c r="A116" s="1">
        <v>115.0</v>
      </c>
      <c r="B116" s="2" t="s">
        <v>23</v>
      </c>
      <c r="C116" s="2"/>
      <c r="D116" s="59">
        <v>0.3770833333333333</v>
      </c>
      <c r="E116" s="13"/>
      <c r="F116" s="44" t="s">
        <v>1219</v>
      </c>
      <c r="G116" s="43">
        <v>2.0</v>
      </c>
      <c r="H116" s="42"/>
      <c r="I116" s="42"/>
      <c r="J116" s="22"/>
      <c r="K116" s="42"/>
    </row>
    <row r="117" ht="39.75" hidden="1" customHeight="1">
      <c r="A117" s="1">
        <v>116.0</v>
      </c>
      <c r="B117" s="2" t="s">
        <v>24</v>
      </c>
      <c r="C117" s="2" t="s">
        <v>66</v>
      </c>
      <c r="D117" s="13"/>
      <c r="E117" s="13"/>
      <c r="F117" s="45"/>
      <c r="G117" s="42"/>
      <c r="H117" s="42"/>
      <c r="I117" s="42"/>
      <c r="J117" s="22"/>
      <c r="K117" s="73"/>
    </row>
    <row r="118" ht="39.75" customHeight="1">
      <c r="A118" s="1">
        <v>117.0</v>
      </c>
      <c r="B118" s="2" t="s">
        <v>25</v>
      </c>
      <c r="C118" s="2" t="s">
        <v>69</v>
      </c>
      <c r="D118" s="13"/>
      <c r="E118" s="13"/>
      <c r="F118" s="44" t="s">
        <v>1220</v>
      </c>
      <c r="G118" s="43">
        <v>1.0</v>
      </c>
      <c r="H118" s="42"/>
      <c r="I118" s="42"/>
      <c r="J118" s="22"/>
      <c r="K118" s="42"/>
    </row>
    <row r="119" ht="39.75" hidden="1" customHeight="1">
      <c r="A119" s="1">
        <v>118.0</v>
      </c>
      <c r="B119" s="2" t="s">
        <v>26</v>
      </c>
      <c r="C119" s="2" t="s">
        <v>58</v>
      </c>
      <c r="D119" s="13"/>
      <c r="E119" s="13"/>
      <c r="F119" s="45"/>
      <c r="G119" s="42"/>
      <c r="H119" s="42"/>
      <c r="I119" s="42"/>
      <c r="J119" s="22"/>
      <c r="K119" s="73"/>
    </row>
    <row r="120" ht="39.75" customHeight="1">
      <c r="A120" s="1">
        <v>119.0</v>
      </c>
      <c r="B120" s="2" t="s">
        <v>29</v>
      </c>
      <c r="C120" s="2" t="s">
        <v>54</v>
      </c>
      <c r="D120" s="53">
        <v>0.3541666666666667</v>
      </c>
      <c r="E120" s="13"/>
      <c r="F120" s="44" t="s">
        <v>1221</v>
      </c>
      <c r="G120" s="43">
        <v>2.0</v>
      </c>
      <c r="H120" s="42"/>
      <c r="I120" s="43">
        <v>1.0</v>
      </c>
      <c r="J120" s="22"/>
      <c r="K120" s="42"/>
    </row>
    <row r="121" ht="39.75" customHeight="1">
      <c r="A121" s="1">
        <v>120.0</v>
      </c>
      <c r="B121" s="2" t="s">
        <v>30</v>
      </c>
      <c r="C121" s="2" t="s">
        <v>64</v>
      </c>
      <c r="D121" s="13"/>
      <c r="E121" s="13"/>
      <c r="F121" s="45"/>
      <c r="G121" s="42"/>
      <c r="H121" s="42"/>
      <c r="I121" s="42"/>
      <c r="J121" s="22"/>
      <c r="K121" s="42"/>
    </row>
    <row r="122" ht="39.75" customHeight="1">
      <c r="A122" s="1">
        <v>121.0</v>
      </c>
      <c r="B122" s="2" t="s">
        <v>31</v>
      </c>
      <c r="C122" s="2"/>
      <c r="D122" s="13"/>
      <c r="E122" s="13"/>
      <c r="F122" s="44" t="s">
        <v>1222</v>
      </c>
      <c r="G122" s="43">
        <v>1.0</v>
      </c>
      <c r="H122" s="42"/>
      <c r="I122" s="42"/>
      <c r="J122" s="22"/>
      <c r="K122" s="42"/>
    </row>
    <row r="123" ht="39.75" customHeight="1">
      <c r="A123" s="1">
        <v>122.0</v>
      </c>
      <c r="B123" s="2" t="s">
        <v>32</v>
      </c>
      <c r="C123" s="2" t="s">
        <v>39</v>
      </c>
      <c r="D123" s="13"/>
      <c r="E123" s="13"/>
      <c r="F123" s="44" t="s">
        <v>1223</v>
      </c>
      <c r="G123" s="43">
        <v>2.0</v>
      </c>
      <c r="H123" s="42"/>
      <c r="I123" s="42"/>
      <c r="J123" s="22"/>
      <c r="K123" s="42"/>
    </row>
    <row r="124" ht="39.75" customHeight="1">
      <c r="A124" s="1">
        <v>123.0</v>
      </c>
      <c r="B124" s="2" t="s">
        <v>67</v>
      </c>
      <c r="C124" s="2"/>
      <c r="D124" s="13"/>
      <c r="E124" s="13"/>
      <c r="F124" s="44" t="s">
        <v>1224</v>
      </c>
      <c r="G124" s="43">
        <v>1.0</v>
      </c>
      <c r="H124" s="42"/>
      <c r="I124" s="42"/>
      <c r="J124" s="22"/>
      <c r="K124" s="42"/>
    </row>
    <row r="125" ht="39.75" customHeight="1">
      <c r="A125" s="1">
        <v>124.0</v>
      </c>
      <c r="B125" s="2" t="s">
        <v>34</v>
      </c>
      <c r="C125" s="2"/>
      <c r="D125" s="13"/>
      <c r="E125" s="13"/>
      <c r="F125" s="44" t="s">
        <v>1225</v>
      </c>
      <c r="G125" s="43">
        <v>1.0</v>
      </c>
      <c r="H125" s="42"/>
      <c r="I125" s="42"/>
      <c r="J125" s="22"/>
      <c r="K125" s="43" t="s">
        <v>1061</v>
      </c>
    </row>
    <row r="126" ht="39.75" customHeight="1">
      <c r="A126" s="1">
        <v>125.0</v>
      </c>
      <c r="B126" s="2" t="s">
        <v>35</v>
      </c>
      <c r="C126" s="2" t="s">
        <v>54</v>
      </c>
      <c r="D126" s="40"/>
      <c r="E126" s="40">
        <v>0.7777777777777778</v>
      </c>
      <c r="F126" s="44" t="s">
        <v>1226</v>
      </c>
      <c r="G126" s="43">
        <v>1.0</v>
      </c>
      <c r="H126" s="42"/>
      <c r="I126" s="43">
        <v>1.0</v>
      </c>
      <c r="J126" s="22"/>
      <c r="K126" s="42"/>
    </row>
    <row r="127" ht="39.75" hidden="1" customHeight="1">
      <c r="A127" s="1">
        <v>126.0</v>
      </c>
      <c r="B127" s="2" t="s">
        <v>36</v>
      </c>
      <c r="C127" s="2" t="s">
        <v>58</v>
      </c>
      <c r="D127" s="13"/>
      <c r="E127" s="13"/>
      <c r="F127" s="45"/>
      <c r="G127" s="42"/>
      <c r="H127" s="42"/>
      <c r="I127" s="42"/>
      <c r="J127" s="22"/>
      <c r="K127" s="73"/>
    </row>
    <row r="128" ht="39.75" hidden="1" customHeight="1">
      <c r="A128" s="1">
        <v>127.0</v>
      </c>
      <c r="B128" s="2" t="s">
        <v>38</v>
      </c>
      <c r="C128" s="2" t="s">
        <v>66</v>
      </c>
      <c r="D128" s="13"/>
      <c r="E128" s="13"/>
      <c r="F128" s="45"/>
      <c r="G128" s="42"/>
      <c r="H128" s="42"/>
      <c r="I128" s="42"/>
      <c r="J128" s="22"/>
      <c r="K128" s="73"/>
    </row>
    <row r="129" ht="39.75" customHeight="1">
      <c r="A129" s="1">
        <v>128.0</v>
      </c>
      <c r="B129" s="2" t="s">
        <v>41</v>
      </c>
      <c r="C129" s="2" t="s">
        <v>69</v>
      </c>
      <c r="D129" s="13"/>
      <c r="E129" s="13"/>
      <c r="F129" s="44" t="s">
        <v>1227</v>
      </c>
      <c r="G129" s="43">
        <v>1.0</v>
      </c>
      <c r="H129" s="42"/>
      <c r="I129" s="42"/>
      <c r="J129" s="22"/>
      <c r="K129" s="42"/>
    </row>
    <row r="130" ht="39.75" customHeight="1">
      <c r="A130" s="1">
        <v>129.0</v>
      </c>
      <c r="B130" s="2" t="s">
        <v>42</v>
      </c>
      <c r="C130" s="2" t="s">
        <v>54</v>
      </c>
      <c r="D130" s="53">
        <v>0.3541666666666667</v>
      </c>
      <c r="E130" s="13"/>
      <c r="F130" s="44" t="s">
        <v>1228</v>
      </c>
      <c r="G130" s="43">
        <v>1.0</v>
      </c>
      <c r="H130" s="42"/>
      <c r="I130" s="42"/>
      <c r="J130" s="22"/>
      <c r="K130" s="42"/>
    </row>
    <row r="131" ht="39.75" customHeight="1">
      <c r="A131" s="1">
        <v>130.0</v>
      </c>
      <c r="B131" s="2" t="s">
        <v>43</v>
      </c>
      <c r="C131" s="2" t="s">
        <v>54</v>
      </c>
      <c r="D131" s="53">
        <v>0.2916666666666667</v>
      </c>
      <c r="E131" s="13"/>
      <c r="F131" s="44" t="s">
        <v>1229</v>
      </c>
      <c r="G131" s="43">
        <v>1.0</v>
      </c>
      <c r="H131" s="42"/>
      <c r="I131" s="43">
        <v>1.0</v>
      </c>
      <c r="J131" s="22"/>
      <c r="K131" s="42"/>
    </row>
    <row r="132" ht="39.75" customHeight="1">
      <c r="A132" s="1">
        <v>131.0</v>
      </c>
      <c r="B132" s="2" t="s">
        <v>45</v>
      </c>
      <c r="C132" s="2" t="s">
        <v>44</v>
      </c>
      <c r="D132" s="13"/>
      <c r="E132" s="13"/>
      <c r="F132" s="45"/>
      <c r="G132" s="42"/>
      <c r="H132" s="42"/>
      <c r="I132" s="42"/>
      <c r="J132" s="22"/>
      <c r="K132" s="42"/>
    </row>
    <row r="133" ht="39.75" hidden="1" customHeight="1">
      <c r="A133" s="1">
        <v>132.0</v>
      </c>
      <c r="B133" s="2" t="s">
        <v>46</v>
      </c>
      <c r="C133" s="2" t="s">
        <v>58</v>
      </c>
      <c r="D133" s="13"/>
      <c r="E133" s="13"/>
      <c r="F133" s="45"/>
      <c r="G133" s="42"/>
      <c r="H133" s="42"/>
      <c r="I133" s="42"/>
      <c r="J133" s="22"/>
      <c r="K133" s="73"/>
    </row>
    <row r="134" ht="39.75" hidden="1" customHeight="1">
      <c r="A134" s="1">
        <v>133.0</v>
      </c>
      <c r="B134" s="2" t="s">
        <v>47</v>
      </c>
      <c r="C134" s="2" t="s">
        <v>58</v>
      </c>
      <c r="D134" s="13"/>
      <c r="E134" s="13"/>
      <c r="F134" s="44" t="s">
        <v>1230</v>
      </c>
      <c r="G134" s="42"/>
      <c r="H134" s="42"/>
      <c r="I134" s="42"/>
      <c r="J134" s="22"/>
      <c r="K134" s="42"/>
    </row>
    <row r="135" ht="39.75" customHeight="1">
      <c r="A135" s="1">
        <v>134.0</v>
      </c>
      <c r="B135" s="2" t="s">
        <v>48</v>
      </c>
      <c r="C135" s="2" t="s">
        <v>69</v>
      </c>
      <c r="D135" s="13"/>
      <c r="E135" s="13"/>
      <c r="F135" s="44" t="s">
        <v>1231</v>
      </c>
      <c r="G135" s="43">
        <v>1.0</v>
      </c>
      <c r="H135" s="42"/>
      <c r="I135" s="42"/>
      <c r="J135" s="22"/>
      <c r="K135" s="42"/>
    </row>
    <row r="136" ht="39.75" customHeight="1">
      <c r="A136" s="1">
        <v>135.0</v>
      </c>
      <c r="B136" s="21"/>
      <c r="C136" s="21"/>
      <c r="D136" s="21"/>
      <c r="E136" s="21"/>
      <c r="F136" s="46"/>
      <c r="G136" s="47"/>
      <c r="H136" s="47"/>
      <c r="I136" s="47"/>
      <c r="J136" s="48"/>
      <c r="K136" s="47"/>
      <c r="L136" s="49"/>
      <c r="M136" s="49"/>
      <c r="N136" s="49"/>
    </row>
    <row r="137" ht="39.75" customHeight="1">
      <c r="A137" s="1">
        <v>136.0</v>
      </c>
      <c r="B137" s="2" t="s">
        <v>12</v>
      </c>
      <c r="C137" s="2" t="s">
        <v>62</v>
      </c>
      <c r="D137" s="13"/>
      <c r="E137" s="13"/>
      <c r="F137" s="45"/>
      <c r="G137" s="42"/>
      <c r="H137" s="42"/>
      <c r="I137" s="42"/>
      <c r="J137" s="27" t="s">
        <v>1161</v>
      </c>
      <c r="K137" s="43"/>
      <c r="L137" s="15" t="s">
        <v>128</v>
      </c>
    </row>
    <row r="138" ht="39.75" customHeight="1">
      <c r="A138" s="1">
        <v>137.0</v>
      </c>
      <c r="B138" s="2" t="s">
        <v>16</v>
      </c>
      <c r="C138" s="2"/>
      <c r="D138" s="13"/>
      <c r="E138" s="13"/>
      <c r="F138" s="44" t="s">
        <v>1232</v>
      </c>
      <c r="G138" s="43">
        <v>1.0</v>
      </c>
      <c r="H138" s="42"/>
      <c r="I138" s="43">
        <v>1.0</v>
      </c>
      <c r="J138" s="27" t="s">
        <v>128</v>
      </c>
      <c r="K138" s="43"/>
    </row>
    <row r="139" ht="39.75" customHeight="1">
      <c r="A139" s="1">
        <v>138.0</v>
      </c>
      <c r="B139" s="2" t="s">
        <v>17</v>
      </c>
      <c r="C139" s="2" t="s">
        <v>44</v>
      </c>
      <c r="D139" s="13"/>
      <c r="E139" s="13"/>
      <c r="F139" s="45"/>
      <c r="G139" s="42"/>
      <c r="H139" s="42"/>
      <c r="I139" s="42"/>
      <c r="J139" s="27" t="s">
        <v>111</v>
      </c>
      <c r="K139" s="43"/>
    </row>
    <row r="140" ht="39.75" customHeight="1">
      <c r="A140" s="1">
        <v>139.0</v>
      </c>
      <c r="B140" s="2" t="s">
        <v>331</v>
      </c>
      <c r="C140" s="2" t="s">
        <v>542</v>
      </c>
      <c r="D140" s="13"/>
      <c r="E140" s="13"/>
      <c r="F140" s="44" t="s">
        <v>1233</v>
      </c>
      <c r="G140" s="43">
        <v>1.0</v>
      </c>
      <c r="H140" s="42"/>
      <c r="I140" s="42"/>
      <c r="J140" s="27"/>
      <c r="K140" s="43"/>
    </row>
    <row r="141" ht="39.75" customHeight="1">
      <c r="A141" s="1">
        <v>140.0</v>
      </c>
      <c r="B141" s="2" t="s">
        <v>21</v>
      </c>
      <c r="C141" s="2" t="s">
        <v>277</v>
      </c>
      <c r="D141" s="13"/>
      <c r="E141" s="13"/>
      <c r="F141" s="45"/>
      <c r="G141" s="42"/>
      <c r="H141" s="42"/>
      <c r="I141" s="42"/>
      <c r="J141" s="27"/>
      <c r="K141" s="43"/>
    </row>
    <row r="142" ht="39.75" customHeight="1">
      <c r="A142" s="1">
        <v>141.0</v>
      </c>
      <c r="B142" s="2" t="s">
        <v>22</v>
      </c>
      <c r="C142" s="2"/>
      <c r="D142" s="13"/>
      <c r="E142" s="13"/>
      <c r="F142" s="45"/>
      <c r="G142" s="42"/>
      <c r="H142" s="42"/>
      <c r="I142" s="42"/>
      <c r="J142" s="27"/>
      <c r="K142" s="43"/>
    </row>
    <row r="143" ht="39.75" customHeight="1">
      <c r="A143" s="1">
        <v>142.0</v>
      </c>
      <c r="B143" s="2" t="s">
        <v>23</v>
      </c>
      <c r="C143" s="2" t="s">
        <v>69</v>
      </c>
      <c r="D143" s="13"/>
      <c r="E143" s="13"/>
      <c r="F143" s="44" t="s">
        <v>1234</v>
      </c>
      <c r="G143" s="43">
        <v>1.0</v>
      </c>
      <c r="H143" s="42"/>
      <c r="I143" s="43">
        <v>1.0</v>
      </c>
      <c r="J143" s="22"/>
      <c r="K143" s="42"/>
    </row>
    <row r="144" ht="39.75" hidden="1" customHeight="1">
      <c r="A144" s="1">
        <v>143.0</v>
      </c>
      <c r="B144" s="2" t="s">
        <v>24</v>
      </c>
      <c r="C144" s="2" t="s">
        <v>58</v>
      </c>
      <c r="D144" s="13"/>
      <c r="E144" s="13"/>
      <c r="F144" s="45"/>
      <c r="G144" s="42"/>
      <c r="H144" s="42"/>
      <c r="I144" s="42"/>
      <c r="J144" s="22"/>
      <c r="K144" s="73"/>
    </row>
    <row r="145" ht="39.75" customHeight="1">
      <c r="A145" s="1">
        <v>144.0</v>
      </c>
      <c r="B145" s="2" t="s">
        <v>25</v>
      </c>
      <c r="C145" s="2" t="s">
        <v>27</v>
      </c>
      <c r="D145" s="13"/>
      <c r="E145" s="13"/>
      <c r="F145" s="44" t="s">
        <v>1235</v>
      </c>
      <c r="G145" s="43">
        <v>1.0</v>
      </c>
      <c r="H145" s="42"/>
      <c r="I145" s="43">
        <v>1.0</v>
      </c>
      <c r="J145" s="22"/>
      <c r="K145" s="42"/>
    </row>
    <row r="146" ht="39.75" customHeight="1">
      <c r="A146" s="1">
        <v>145.0</v>
      </c>
      <c r="B146" s="2" t="s">
        <v>26</v>
      </c>
      <c r="C146" s="2"/>
      <c r="D146" s="13"/>
      <c r="E146" s="13"/>
      <c r="F146" s="45"/>
      <c r="G146" s="42"/>
      <c r="H146" s="42"/>
      <c r="I146" s="42"/>
      <c r="J146" s="22"/>
      <c r="K146" s="42"/>
    </row>
    <row r="147" ht="39.75" customHeight="1">
      <c r="A147" s="1">
        <v>146.0</v>
      </c>
      <c r="B147" s="2" t="s">
        <v>29</v>
      </c>
      <c r="C147" s="2" t="s">
        <v>54</v>
      </c>
      <c r="D147" s="13"/>
      <c r="E147" s="13"/>
      <c r="F147" s="45"/>
      <c r="G147" s="42"/>
      <c r="H147" s="42"/>
      <c r="I147" s="42"/>
      <c r="J147" s="22"/>
      <c r="K147" s="42"/>
    </row>
    <row r="148" ht="39.75" customHeight="1">
      <c r="A148" s="1">
        <v>147.0</v>
      </c>
      <c r="B148" s="2" t="s">
        <v>30</v>
      </c>
      <c r="C148" s="2" t="s">
        <v>64</v>
      </c>
      <c r="D148" s="13"/>
      <c r="E148" s="13"/>
      <c r="F148" s="45"/>
      <c r="G148" s="42"/>
      <c r="H148" s="42"/>
      <c r="I148" s="42"/>
      <c r="J148" s="22"/>
      <c r="K148" s="42"/>
    </row>
    <row r="149" ht="39.75" hidden="1" customHeight="1">
      <c r="A149" s="1">
        <v>148.0</v>
      </c>
      <c r="B149" s="2" t="s">
        <v>31</v>
      </c>
      <c r="C149" s="2" t="s">
        <v>58</v>
      </c>
      <c r="D149" s="13"/>
      <c r="E149" s="13"/>
      <c r="F149" s="45"/>
      <c r="G149" s="42"/>
      <c r="H149" s="42"/>
      <c r="I149" s="42"/>
      <c r="J149" s="22"/>
      <c r="K149" s="73"/>
    </row>
    <row r="150" ht="39.75" hidden="1" customHeight="1">
      <c r="A150" s="1">
        <v>149.0</v>
      </c>
      <c r="B150" s="2" t="s">
        <v>32</v>
      </c>
      <c r="C150" s="2" t="s">
        <v>58</v>
      </c>
      <c r="D150" s="13"/>
      <c r="E150" s="13"/>
      <c r="F150" s="45"/>
      <c r="G150" s="42"/>
      <c r="H150" s="42"/>
      <c r="I150" s="42"/>
      <c r="J150" s="22"/>
      <c r="K150" s="73"/>
    </row>
    <row r="151" ht="39.75" customHeight="1">
      <c r="A151" s="1">
        <v>150.0</v>
      </c>
      <c r="B151" s="2" t="s">
        <v>67</v>
      </c>
      <c r="C151" s="2"/>
      <c r="D151" s="13"/>
      <c r="E151" s="13"/>
      <c r="F151" s="45"/>
      <c r="G151" s="42"/>
      <c r="H151" s="42"/>
      <c r="I151" s="42"/>
      <c r="J151" s="22"/>
      <c r="K151" s="42"/>
    </row>
    <row r="152" ht="39.75" customHeight="1">
      <c r="A152" s="1">
        <v>151.0</v>
      </c>
      <c r="B152" s="2" t="s">
        <v>34</v>
      </c>
      <c r="C152" s="2" t="s">
        <v>39</v>
      </c>
      <c r="D152" s="13"/>
      <c r="E152" s="13"/>
      <c r="F152" s="44" t="s">
        <v>1236</v>
      </c>
      <c r="G152" s="43">
        <v>1.0</v>
      </c>
      <c r="H152" s="42"/>
      <c r="I152" s="42"/>
      <c r="J152" s="22"/>
      <c r="K152" s="42"/>
    </row>
    <row r="153" ht="39.75" customHeight="1">
      <c r="A153" s="1">
        <v>152.0</v>
      </c>
      <c r="B153" s="2" t="s">
        <v>35</v>
      </c>
      <c r="C153" s="2" t="s">
        <v>54</v>
      </c>
      <c r="D153" s="13"/>
      <c r="E153" s="13"/>
      <c r="F153" s="45"/>
      <c r="G153" s="42"/>
      <c r="H153" s="42"/>
      <c r="I153" s="42"/>
      <c r="J153" s="22"/>
      <c r="K153" s="42"/>
    </row>
    <row r="154" ht="39.75" customHeight="1">
      <c r="A154" s="1">
        <v>153.0</v>
      </c>
      <c r="B154" s="2" t="s">
        <v>36</v>
      </c>
      <c r="C154" s="2" t="s">
        <v>69</v>
      </c>
      <c r="D154" s="13"/>
      <c r="E154" s="13"/>
      <c r="F154" s="44" t="s">
        <v>1237</v>
      </c>
      <c r="G154" s="43">
        <v>1.0</v>
      </c>
      <c r="H154" s="42"/>
      <c r="I154" s="42"/>
      <c r="J154" s="22"/>
      <c r="K154" s="42"/>
    </row>
    <row r="155" ht="39.75" hidden="1" customHeight="1">
      <c r="A155" s="1">
        <v>154.0</v>
      </c>
      <c r="B155" s="2" t="s">
        <v>38</v>
      </c>
      <c r="C155" s="2" t="s">
        <v>66</v>
      </c>
      <c r="D155" s="13"/>
      <c r="E155" s="13"/>
      <c r="F155" s="45"/>
      <c r="G155" s="42"/>
      <c r="H155" s="42"/>
      <c r="I155" s="42"/>
      <c r="J155" s="22"/>
      <c r="K155" s="73"/>
    </row>
    <row r="156" ht="39.75" customHeight="1">
      <c r="A156" s="1">
        <v>155.0</v>
      </c>
      <c r="B156" s="2" t="s">
        <v>41</v>
      </c>
      <c r="C156" s="2"/>
      <c r="D156" s="13"/>
      <c r="E156" s="13"/>
      <c r="F156" s="44" t="s">
        <v>1238</v>
      </c>
      <c r="G156" s="43">
        <v>1.0</v>
      </c>
      <c r="H156" s="42"/>
      <c r="I156" s="42"/>
      <c r="J156" s="22"/>
      <c r="K156" s="42"/>
    </row>
    <row r="157" ht="39.75" customHeight="1">
      <c r="A157" s="1">
        <v>156.0</v>
      </c>
      <c r="B157" s="2" t="s">
        <v>42</v>
      </c>
      <c r="C157" s="2" t="s">
        <v>54</v>
      </c>
      <c r="D157" s="13"/>
      <c r="E157" s="13"/>
      <c r="F157" s="44" t="s">
        <v>1239</v>
      </c>
      <c r="G157" s="43">
        <v>1.0</v>
      </c>
      <c r="H157" s="42"/>
      <c r="I157" s="42"/>
      <c r="J157" s="22"/>
      <c r="K157" s="42"/>
    </row>
    <row r="158" ht="39.75" customHeight="1">
      <c r="A158" s="1">
        <v>157.0</v>
      </c>
      <c r="B158" s="2" t="s">
        <v>43</v>
      </c>
      <c r="C158" s="2" t="s">
        <v>39</v>
      </c>
      <c r="D158" s="13"/>
      <c r="E158" s="13"/>
      <c r="F158" s="44" t="s">
        <v>1240</v>
      </c>
      <c r="G158" s="43">
        <v>1.0</v>
      </c>
      <c r="H158" s="42"/>
      <c r="I158" s="42"/>
      <c r="J158" s="22"/>
      <c r="K158" s="42"/>
    </row>
    <row r="159" ht="39.75" customHeight="1">
      <c r="A159" s="1">
        <v>158.0</v>
      </c>
      <c r="B159" s="2" t="s">
        <v>45</v>
      </c>
      <c r="C159" s="2" t="s">
        <v>69</v>
      </c>
      <c r="D159" s="13"/>
      <c r="E159" s="40">
        <v>0.875</v>
      </c>
      <c r="F159" s="44" t="s">
        <v>1241</v>
      </c>
      <c r="G159" s="43">
        <v>1.0</v>
      </c>
      <c r="H159" s="42"/>
      <c r="I159" s="42"/>
      <c r="J159" s="22"/>
      <c r="K159" s="42"/>
    </row>
    <row r="160" ht="39.75" hidden="1" customHeight="1">
      <c r="A160" s="1">
        <v>159.0</v>
      </c>
      <c r="B160" s="2" t="s">
        <v>46</v>
      </c>
      <c r="C160" s="2" t="s">
        <v>58</v>
      </c>
      <c r="D160" s="13"/>
      <c r="E160" s="13"/>
      <c r="F160" s="45"/>
      <c r="G160" s="42"/>
      <c r="H160" s="42"/>
      <c r="I160" s="42"/>
      <c r="J160" s="22"/>
      <c r="K160" s="73"/>
    </row>
    <row r="161" ht="39.75" customHeight="1">
      <c r="A161" s="1">
        <v>160.0</v>
      </c>
      <c r="B161" s="2" t="s">
        <v>47</v>
      </c>
      <c r="C161" s="2" t="s">
        <v>54</v>
      </c>
      <c r="D161" s="13"/>
      <c r="E161" s="13"/>
      <c r="F161" s="44" t="s">
        <v>1242</v>
      </c>
      <c r="G161" s="43">
        <v>1.0</v>
      </c>
      <c r="H161" s="42"/>
      <c r="I161" s="42"/>
      <c r="J161" s="22"/>
      <c r="K161" s="42"/>
    </row>
    <row r="162" ht="39.75" customHeight="1">
      <c r="A162" s="1">
        <v>161.0</v>
      </c>
      <c r="B162" s="2" t="s">
        <v>48</v>
      </c>
      <c r="C162" s="13"/>
      <c r="D162" s="13"/>
      <c r="E162" s="13"/>
      <c r="F162" s="45"/>
      <c r="G162" s="42"/>
      <c r="H162" s="42"/>
      <c r="I162" s="42"/>
      <c r="J162" s="22"/>
      <c r="K162" s="42"/>
    </row>
    <row r="163" ht="39.75" customHeight="1">
      <c r="A163" s="1">
        <v>162.0</v>
      </c>
      <c r="B163" s="21"/>
      <c r="C163" s="21"/>
      <c r="D163" s="21"/>
      <c r="E163" s="21"/>
      <c r="F163" s="46"/>
      <c r="G163" s="47"/>
      <c r="H163" s="47"/>
      <c r="I163" s="47"/>
      <c r="J163" s="48"/>
      <c r="K163" s="47"/>
      <c r="L163" s="49"/>
      <c r="M163" s="49"/>
      <c r="N163" s="49"/>
    </row>
    <row r="164" ht="39.75" hidden="1" customHeight="1">
      <c r="A164" s="1">
        <v>163.0</v>
      </c>
      <c r="B164" s="2" t="s">
        <v>12</v>
      </c>
      <c r="C164" s="2" t="s">
        <v>58</v>
      </c>
      <c r="D164" s="13"/>
      <c r="E164" s="13"/>
      <c r="F164" s="45"/>
      <c r="G164" s="42"/>
      <c r="H164" s="42"/>
      <c r="I164" s="42"/>
      <c r="J164" s="27" t="s">
        <v>1161</v>
      </c>
      <c r="K164" s="43"/>
      <c r="L164" s="15" t="s">
        <v>147</v>
      </c>
    </row>
    <row r="165" ht="39.75" customHeight="1">
      <c r="A165" s="1">
        <v>164.0</v>
      </c>
      <c r="B165" s="2" t="s">
        <v>16</v>
      </c>
      <c r="C165" s="2" t="s">
        <v>39</v>
      </c>
      <c r="D165" s="13"/>
      <c r="E165" s="13"/>
      <c r="F165" s="44" t="s">
        <v>1243</v>
      </c>
      <c r="G165" s="43">
        <v>1.0</v>
      </c>
      <c r="H165" s="42"/>
      <c r="I165" s="43">
        <v>1.0</v>
      </c>
      <c r="J165" s="27" t="s">
        <v>147</v>
      </c>
      <c r="K165" s="43"/>
    </row>
    <row r="166" ht="39.75" customHeight="1">
      <c r="A166" s="1">
        <v>165.0</v>
      </c>
      <c r="B166" s="2" t="s">
        <v>17</v>
      </c>
      <c r="C166" s="2" t="s">
        <v>39</v>
      </c>
      <c r="D166" s="13"/>
      <c r="E166" s="13"/>
      <c r="F166" s="44" t="s">
        <v>1244</v>
      </c>
      <c r="G166" s="43">
        <v>1.0</v>
      </c>
      <c r="H166" s="42"/>
      <c r="I166" s="42"/>
      <c r="J166" s="27" t="s">
        <v>131</v>
      </c>
      <c r="K166" s="43"/>
    </row>
    <row r="167" ht="39.75" customHeight="1">
      <c r="A167" s="1">
        <v>166.0</v>
      </c>
      <c r="B167" s="2" t="s">
        <v>331</v>
      </c>
      <c r="C167" s="2" t="s">
        <v>542</v>
      </c>
      <c r="D167" s="13"/>
      <c r="E167" s="51">
        <v>0.8611111111111112</v>
      </c>
      <c r="F167" s="44" t="s">
        <v>1245</v>
      </c>
      <c r="G167" s="43">
        <v>2.0</v>
      </c>
      <c r="H167" s="42"/>
      <c r="I167" s="42"/>
      <c r="J167" s="27"/>
      <c r="K167" s="43"/>
    </row>
    <row r="168" ht="39.75" customHeight="1">
      <c r="A168" s="1">
        <v>167.0</v>
      </c>
      <c r="B168" s="2" t="s">
        <v>21</v>
      </c>
      <c r="C168" s="2" t="s">
        <v>277</v>
      </c>
      <c r="D168" s="13"/>
      <c r="E168" s="13"/>
      <c r="F168" s="45"/>
      <c r="G168" s="42"/>
      <c r="H168" s="42"/>
      <c r="I168" s="42"/>
      <c r="J168" s="27"/>
      <c r="K168" s="43"/>
    </row>
    <row r="169" ht="39.75" customHeight="1">
      <c r="A169" s="1">
        <v>168.0</v>
      </c>
      <c r="B169" s="2" t="s">
        <v>22</v>
      </c>
      <c r="C169" s="2"/>
      <c r="D169" s="13"/>
      <c r="E169" s="13"/>
      <c r="F169" s="44" t="s">
        <v>1246</v>
      </c>
      <c r="G169" s="43">
        <v>1.0</v>
      </c>
      <c r="H169" s="42"/>
      <c r="I169" s="42"/>
      <c r="J169" s="27"/>
      <c r="K169" s="43"/>
    </row>
    <row r="170" ht="39.75" customHeight="1">
      <c r="A170" s="1">
        <v>169.0</v>
      </c>
      <c r="B170" s="2" t="s">
        <v>23</v>
      </c>
      <c r="C170" s="2" t="s">
        <v>54</v>
      </c>
      <c r="D170" s="13"/>
      <c r="E170" s="51">
        <v>0.8819444444444444</v>
      </c>
      <c r="F170" s="44" t="s">
        <v>1247</v>
      </c>
      <c r="G170" s="43">
        <v>1.0</v>
      </c>
      <c r="H170" s="42"/>
      <c r="I170" s="42"/>
      <c r="J170" s="22"/>
      <c r="K170" s="42"/>
    </row>
    <row r="171" ht="39.75" customHeight="1">
      <c r="A171" s="1">
        <v>170.0</v>
      </c>
      <c r="B171" s="2" t="s">
        <v>24</v>
      </c>
      <c r="C171" s="2"/>
      <c r="D171" s="53">
        <v>0.3611111111111111</v>
      </c>
      <c r="E171" s="13"/>
      <c r="F171" s="44" t="s">
        <v>1248</v>
      </c>
      <c r="G171" s="43">
        <v>1.0</v>
      </c>
      <c r="H171" s="42"/>
      <c r="I171" s="42"/>
      <c r="J171" s="22"/>
      <c r="K171" s="42"/>
    </row>
    <row r="172" ht="39.75" customHeight="1">
      <c r="A172" s="1">
        <v>171.0</v>
      </c>
      <c r="B172" s="2" t="s">
        <v>25</v>
      </c>
      <c r="C172" s="2" t="s">
        <v>44</v>
      </c>
      <c r="D172" s="13"/>
      <c r="E172" s="13"/>
      <c r="F172" s="45"/>
      <c r="G172" s="42"/>
      <c r="H172" s="42"/>
      <c r="I172" s="42"/>
      <c r="J172" s="22"/>
      <c r="K172" s="42"/>
    </row>
    <row r="173" ht="39.75" customHeight="1">
      <c r="A173" s="1">
        <v>172.0</v>
      </c>
      <c r="B173" s="2" t="s">
        <v>26</v>
      </c>
      <c r="C173" s="2" t="s">
        <v>69</v>
      </c>
      <c r="D173" s="13"/>
      <c r="E173" s="13"/>
      <c r="F173" s="44" t="s">
        <v>858</v>
      </c>
      <c r="G173" s="43">
        <v>1.0</v>
      </c>
      <c r="H173" s="42"/>
      <c r="I173" s="42"/>
      <c r="J173" s="22"/>
      <c r="K173" s="42"/>
    </row>
    <row r="174" ht="39.75" customHeight="1">
      <c r="A174" s="1">
        <v>173.0</v>
      </c>
      <c r="B174" s="2" t="s">
        <v>29</v>
      </c>
      <c r="C174" s="2" t="s">
        <v>54</v>
      </c>
      <c r="D174" s="13"/>
      <c r="E174" s="51">
        <v>0.8541666666666666</v>
      </c>
      <c r="F174" s="44" t="s">
        <v>1249</v>
      </c>
      <c r="G174" s="43">
        <v>2.0</v>
      </c>
      <c r="H174" s="42"/>
      <c r="I174" s="43">
        <v>2.0</v>
      </c>
      <c r="J174" s="22"/>
      <c r="K174" s="42"/>
    </row>
    <row r="175" ht="39.75" customHeight="1">
      <c r="A175" s="1">
        <v>174.0</v>
      </c>
      <c r="B175" s="2" t="s">
        <v>30</v>
      </c>
      <c r="C175" s="2" t="s">
        <v>64</v>
      </c>
      <c r="D175" s="13"/>
      <c r="E175" s="13"/>
      <c r="F175" s="45"/>
      <c r="G175" s="42"/>
      <c r="H175" s="42"/>
      <c r="I175" s="42"/>
      <c r="J175" s="22"/>
      <c r="K175" s="42"/>
    </row>
    <row r="176" ht="39.75" customHeight="1">
      <c r="A176" s="1">
        <v>175.0</v>
      </c>
      <c r="B176" s="2" t="s">
        <v>31</v>
      </c>
      <c r="C176" s="2" t="s">
        <v>54</v>
      </c>
      <c r="D176" s="13"/>
      <c r="E176" s="51">
        <v>0.8402777777777778</v>
      </c>
      <c r="F176" s="44" t="s">
        <v>1250</v>
      </c>
      <c r="G176" s="43">
        <v>3.0</v>
      </c>
      <c r="H176" s="42"/>
      <c r="I176" s="43">
        <v>3.0</v>
      </c>
      <c r="J176" s="22"/>
      <c r="K176" s="42"/>
    </row>
    <row r="177" ht="39.75" hidden="1" customHeight="1">
      <c r="A177" s="1">
        <v>176.0</v>
      </c>
      <c r="B177" s="2" t="s">
        <v>32</v>
      </c>
      <c r="C177" s="2" t="s">
        <v>58</v>
      </c>
      <c r="D177" s="13"/>
      <c r="E177" s="13"/>
      <c r="F177" s="45"/>
      <c r="G177" s="42"/>
      <c r="H177" s="42"/>
      <c r="I177" s="42"/>
      <c r="J177" s="22"/>
      <c r="K177" s="73"/>
    </row>
    <row r="178" ht="39.75" hidden="1" customHeight="1">
      <c r="A178" s="1">
        <v>177.0</v>
      </c>
      <c r="B178" s="2" t="s">
        <v>67</v>
      </c>
      <c r="C178" s="2" t="s">
        <v>66</v>
      </c>
      <c r="D178" s="13"/>
      <c r="E178" s="13"/>
      <c r="F178" s="45"/>
      <c r="G178" s="42"/>
      <c r="H178" s="42"/>
      <c r="I178" s="42"/>
      <c r="J178" s="22"/>
      <c r="K178" s="73"/>
    </row>
    <row r="179" ht="39.75" customHeight="1">
      <c r="A179" s="1">
        <v>178.0</v>
      </c>
      <c r="B179" s="2" t="s">
        <v>34</v>
      </c>
      <c r="C179" s="2"/>
      <c r="D179" s="13"/>
      <c r="E179" s="13"/>
      <c r="F179" s="44" t="s">
        <v>1204</v>
      </c>
      <c r="G179" s="42"/>
      <c r="H179" s="42"/>
      <c r="I179" s="42"/>
      <c r="J179" s="22"/>
      <c r="K179" s="42"/>
    </row>
    <row r="180" ht="39.75" customHeight="1">
      <c r="A180" s="1">
        <v>179.0</v>
      </c>
      <c r="B180" s="2" t="s">
        <v>35</v>
      </c>
      <c r="C180" s="2" t="s">
        <v>69</v>
      </c>
      <c r="D180" s="13"/>
      <c r="E180" s="51">
        <v>0.8819444444444444</v>
      </c>
      <c r="F180" s="44" t="s">
        <v>1251</v>
      </c>
      <c r="G180" s="43">
        <v>1.0</v>
      </c>
      <c r="H180" s="42"/>
      <c r="I180" s="43">
        <v>1.0</v>
      </c>
      <c r="J180" s="22"/>
      <c r="K180" s="42"/>
    </row>
    <row r="181" ht="39.75" customHeight="1">
      <c r="A181" s="1">
        <v>180.0</v>
      </c>
      <c r="B181" s="2" t="s">
        <v>36</v>
      </c>
      <c r="C181" s="2" t="s">
        <v>27</v>
      </c>
      <c r="D181" s="13"/>
      <c r="E181" s="40"/>
      <c r="F181" s="44" t="s">
        <v>1252</v>
      </c>
      <c r="G181" s="43">
        <v>1.0</v>
      </c>
      <c r="H181" s="42"/>
      <c r="I181" s="43">
        <v>1.0</v>
      </c>
      <c r="J181" s="22"/>
      <c r="K181" s="42"/>
    </row>
    <row r="182" ht="39.75" hidden="1" customHeight="1">
      <c r="A182" s="1">
        <v>181.0</v>
      </c>
      <c r="B182" s="2" t="s">
        <v>38</v>
      </c>
      <c r="C182" s="2" t="s">
        <v>58</v>
      </c>
      <c r="D182" s="13"/>
      <c r="E182" s="13"/>
      <c r="F182" s="45"/>
      <c r="G182" s="42"/>
      <c r="H182" s="42"/>
      <c r="I182" s="42"/>
      <c r="J182" s="22"/>
      <c r="K182" s="73"/>
    </row>
    <row r="183" ht="39.75" customHeight="1">
      <c r="A183" s="1">
        <v>182.0</v>
      </c>
      <c r="B183" s="2" t="s">
        <v>41</v>
      </c>
      <c r="C183" s="2"/>
      <c r="D183" s="13"/>
      <c r="E183" s="13"/>
      <c r="F183" s="44" t="s">
        <v>504</v>
      </c>
      <c r="G183" s="43">
        <v>1.0</v>
      </c>
      <c r="H183" s="42"/>
      <c r="I183" s="43">
        <v>1.0</v>
      </c>
      <c r="J183" s="22"/>
      <c r="K183" s="42"/>
    </row>
    <row r="184" ht="39.75" customHeight="1">
      <c r="A184" s="1">
        <v>183.0</v>
      </c>
      <c r="B184" s="2" t="s">
        <v>42</v>
      </c>
      <c r="C184" s="2" t="s">
        <v>54</v>
      </c>
      <c r="D184" s="13"/>
      <c r="E184" s="40">
        <v>0.8541666666666666</v>
      </c>
      <c r="F184" s="44" t="s">
        <v>1253</v>
      </c>
      <c r="G184" s="43">
        <v>1.0</v>
      </c>
      <c r="H184" s="42"/>
      <c r="I184" s="43">
        <v>1.0</v>
      </c>
      <c r="J184" s="22"/>
      <c r="K184" s="42"/>
    </row>
    <row r="185" ht="39.75" customHeight="1">
      <c r="A185" s="1">
        <v>184.0</v>
      </c>
      <c r="B185" s="2" t="s">
        <v>43</v>
      </c>
      <c r="C185" s="2" t="s">
        <v>69</v>
      </c>
      <c r="D185" s="13"/>
      <c r="E185" s="13"/>
      <c r="F185" s="44" t="s">
        <v>1254</v>
      </c>
      <c r="G185" s="43">
        <v>1.0</v>
      </c>
      <c r="H185" s="42"/>
      <c r="I185" s="42"/>
      <c r="J185" s="22"/>
      <c r="K185" s="42"/>
    </row>
    <row r="186" ht="39.75" hidden="1" customHeight="1">
      <c r="A186" s="1">
        <v>185.0</v>
      </c>
      <c r="B186" s="2" t="s">
        <v>45</v>
      </c>
      <c r="C186" s="2" t="s">
        <v>66</v>
      </c>
      <c r="D186" s="13"/>
      <c r="E186" s="13"/>
      <c r="F186" s="45"/>
      <c r="G186" s="42"/>
      <c r="H186" s="42"/>
      <c r="I186" s="42"/>
      <c r="J186" s="22"/>
      <c r="K186" s="73"/>
    </row>
    <row r="187" ht="39.75" hidden="1" customHeight="1">
      <c r="A187" s="1">
        <v>186.0</v>
      </c>
      <c r="B187" s="2" t="s">
        <v>46</v>
      </c>
      <c r="C187" s="2" t="s">
        <v>58</v>
      </c>
      <c r="D187" s="13"/>
      <c r="E187" s="13"/>
      <c r="F187" s="45"/>
      <c r="G187" s="42"/>
      <c r="H187" s="42"/>
      <c r="I187" s="42"/>
      <c r="J187" s="22"/>
      <c r="K187" s="73"/>
    </row>
    <row r="188" ht="39.75" customHeight="1">
      <c r="A188" s="1">
        <v>187.0</v>
      </c>
      <c r="B188" s="2" t="s">
        <v>47</v>
      </c>
      <c r="C188" s="13"/>
      <c r="D188" s="13"/>
      <c r="E188" s="13"/>
      <c r="F188" s="44" t="s">
        <v>1255</v>
      </c>
      <c r="G188" s="43">
        <v>2.0</v>
      </c>
      <c r="H188" s="42"/>
      <c r="I188" s="42"/>
      <c r="J188" s="22"/>
      <c r="K188" s="42"/>
    </row>
    <row r="189" ht="39.75" customHeight="1">
      <c r="A189" s="1">
        <v>188.0</v>
      </c>
      <c r="B189" s="2" t="s">
        <v>48</v>
      </c>
      <c r="C189" s="13"/>
      <c r="D189" s="13"/>
      <c r="E189" s="13"/>
      <c r="F189" s="44" t="s">
        <v>1256</v>
      </c>
      <c r="G189" s="43">
        <v>2.0</v>
      </c>
      <c r="H189" s="42"/>
      <c r="I189" s="43">
        <v>1.0</v>
      </c>
      <c r="J189" s="22"/>
      <c r="K189" s="42"/>
    </row>
    <row r="190" ht="39.75" customHeight="1">
      <c r="A190" s="1">
        <v>189.0</v>
      </c>
      <c r="B190" s="21"/>
      <c r="C190" s="21"/>
      <c r="D190" s="21"/>
      <c r="E190" s="21"/>
      <c r="F190" s="46"/>
      <c r="G190" s="47"/>
      <c r="H190" s="47"/>
      <c r="I190" s="47"/>
      <c r="J190" s="48"/>
      <c r="K190" s="47"/>
      <c r="L190" s="49"/>
      <c r="M190" s="49"/>
      <c r="N190" s="49"/>
    </row>
    <row r="191" ht="39.75" hidden="1" customHeight="1">
      <c r="A191" s="1">
        <v>190.0</v>
      </c>
      <c r="B191" s="2" t="s">
        <v>12</v>
      </c>
      <c r="C191" s="2" t="s">
        <v>13</v>
      </c>
      <c r="D191" s="13"/>
      <c r="E191" s="13"/>
      <c r="F191" s="45"/>
      <c r="G191" s="42"/>
      <c r="H191" s="42"/>
      <c r="I191" s="42"/>
      <c r="J191" s="27" t="s">
        <v>1161</v>
      </c>
      <c r="K191" s="71"/>
      <c r="L191" s="15" t="s">
        <v>163</v>
      </c>
    </row>
    <row r="192" ht="39.75" hidden="1" customHeight="1">
      <c r="A192" s="1">
        <v>191.0</v>
      </c>
      <c r="B192" s="2" t="s">
        <v>16</v>
      </c>
      <c r="C192" s="2" t="s">
        <v>13</v>
      </c>
      <c r="D192" s="13"/>
      <c r="E192" s="13"/>
      <c r="F192" s="45"/>
      <c r="G192" s="42"/>
      <c r="H192" s="42"/>
      <c r="I192" s="42"/>
      <c r="J192" s="27" t="s">
        <v>163</v>
      </c>
      <c r="K192" s="71"/>
    </row>
    <row r="193" ht="39.75" customHeight="1">
      <c r="A193" s="1">
        <v>192.0</v>
      </c>
      <c r="B193" s="2" t="s">
        <v>17</v>
      </c>
      <c r="C193" s="2"/>
      <c r="D193" s="40">
        <v>0.375</v>
      </c>
      <c r="E193" s="13"/>
      <c r="F193" s="44" t="s">
        <v>1257</v>
      </c>
      <c r="G193" s="43">
        <v>1.0</v>
      </c>
      <c r="H193" s="42"/>
      <c r="I193" s="42"/>
      <c r="J193" s="27" t="s">
        <v>149</v>
      </c>
      <c r="K193" s="43"/>
    </row>
    <row r="194" ht="39.75" customHeight="1">
      <c r="A194" s="1">
        <v>193.0</v>
      </c>
      <c r="B194" s="2" t="s">
        <v>266</v>
      </c>
      <c r="C194" s="2" t="s">
        <v>272</v>
      </c>
      <c r="D194" s="13"/>
      <c r="E194" s="13"/>
      <c r="F194" s="44" t="s">
        <v>1258</v>
      </c>
      <c r="G194" s="43">
        <v>2.0</v>
      </c>
      <c r="H194" s="42"/>
      <c r="I194" s="42"/>
      <c r="J194" s="27" t="s">
        <v>262</v>
      </c>
      <c r="K194" s="43"/>
    </row>
    <row r="195" ht="39.75" customHeight="1">
      <c r="A195" s="1">
        <v>194.0</v>
      </c>
      <c r="B195" s="2" t="s">
        <v>268</v>
      </c>
      <c r="C195" s="2" t="s">
        <v>63</v>
      </c>
      <c r="D195" s="13"/>
      <c r="E195" s="40">
        <v>0.8333333333333334</v>
      </c>
      <c r="F195" s="44" t="s">
        <v>1259</v>
      </c>
      <c r="G195" s="43">
        <v>1.0</v>
      </c>
      <c r="H195" s="42"/>
      <c r="I195" s="42"/>
      <c r="J195" s="27" t="s">
        <v>264</v>
      </c>
      <c r="K195" s="43"/>
    </row>
    <row r="196" ht="39.75" hidden="1" customHeight="1">
      <c r="A196" s="1">
        <v>195.0</v>
      </c>
      <c r="B196" s="2" t="s">
        <v>22</v>
      </c>
      <c r="C196" s="2" t="s">
        <v>13</v>
      </c>
      <c r="D196" s="13"/>
      <c r="E196" s="13"/>
      <c r="F196" s="45"/>
      <c r="G196" s="42"/>
      <c r="H196" s="42"/>
      <c r="I196" s="42"/>
      <c r="J196" s="27" t="s">
        <v>265</v>
      </c>
      <c r="K196" s="71"/>
    </row>
    <row r="197" ht="39.75" customHeight="1">
      <c r="A197" s="1">
        <v>196.0</v>
      </c>
      <c r="B197" s="2" t="s">
        <v>23</v>
      </c>
      <c r="C197" s="2" t="s">
        <v>49</v>
      </c>
      <c r="D197" s="40">
        <v>0.4583333333333333</v>
      </c>
      <c r="E197" s="51">
        <v>0.8333333333333334</v>
      </c>
      <c r="F197" s="44" t="s">
        <v>1260</v>
      </c>
      <c r="G197" s="43">
        <v>1.0</v>
      </c>
      <c r="H197" s="42"/>
      <c r="I197" s="42"/>
      <c r="J197" s="22"/>
      <c r="K197" s="42"/>
    </row>
    <row r="198" ht="39.75" hidden="1" customHeight="1">
      <c r="A198" s="1">
        <v>197.0</v>
      </c>
      <c r="B198" s="2" t="s">
        <v>24</v>
      </c>
      <c r="C198" s="2" t="s">
        <v>13</v>
      </c>
      <c r="D198" s="13"/>
      <c r="E198" s="13"/>
      <c r="F198" s="45"/>
      <c r="G198" s="42"/>
      <c r="H198" s="42"/>
      <c r="I198" s="42"/>
      <c r="J198" s="22"/>
      <c r="K198" s="73"/>
    </row>
    <row r="199" ht="39.75" hidden="1" customHeight="1">
      <c r="A199" s="1">
        <v>198.0</v>
      </c>
      <c r="B199" s="2" t="s">
        <v>25</v>
      </c>
      <c r="C199" s="2" t="s">
        <v>13</v>
      </c>
      <c r="D199" s="13"/>
      <c r="E199" s="13"/>
      <c r="F199" s="45"/>
      <c r="G199" s="42"/>
      <c r="H199" s="42"/>
      <c r="I199" s="42"/>
      <c r="J199" s="22"/>
      <c r="K199" s="73"/>
    </row>
    <row r="200" ht="39.75" hidden="1" customHeight="1">
      <c r="A200" s="1">
        <v>199.0</v>
      </c>
      <c r="B200" s="2" t="s">
        <v>26</v>
      </c>
      <c r="C200" s="2" t="s">
        <v>13</v>
      </c>
      <c r="D200" s="13"/>
      <c r="E200" s="13"/>
      <c r="F200" s="45"/>
      <c r="G200" s="42"/>
      <c r="H200" s="42"/>
      <c r="I200" s="42"/>
      <c r="J200" s="22"/>
      <c r="K200" s="73"/>
    </row>
    <row r="201" ht="39.75" hidden="1" customHeight="1">
      <c r="A201" s="1">
        <v>200.0</v>
      </c>
      <c r="B201" s="2" t="s">
        <v>29</v>
      </c>
      <c r="C201" s="2" t="s">
        <v>13</v>
      </c>
      <c r="D201" s="13"/>
      <c r="E201" s="13"/>
      <c r="F201" s="45"/>
      <c r="G201" s="42"/>
      <c r="H201" s="42"/>
      <c r="I201" s="42"/>
      <c r="J201" s="22"/>
      <c r="K201" s="73"/>
    </row>
    <row r="202" ht="39.75" customHeight="1">
      <c r="A202" s="1">
        <v>201.0</v>
      </c>
      <c r="B202" s="2" t="s">
        <v>30</v>
      </c>
      <c r="C202" s="2" t="s">
        <v>39</v>
      </c>
      <c r="D202" s="13"/>
      <c r="E202" s="51">
        <v>0.8333333333333334</v>
      </c>
      <c r="F202" s="57" t="s">
        <v>1261</v>
      </c>
      <c r="G202" s="43">
        <v>2.0</v>
      </c>
      <c r="H202" s="42"/>
      <c r="I202" s="42"/>
      <c r="J202" s="22"/>
      <c r="K202" s="42"/>
    </row>
    <row r="203" ht="39.75" customHeight="1">
      <c r="A203" s="1">
        <v>202.0</v>
      </c>
      <c r="B203" s="2" t="s">
        <v>31</v>
      </c>
      <c r="C203" s="2"/>
      <c r="D203" s="40">
        <v>0.375</v>
      </c>
      <c r="E203" s="13"/>
      <c r="F203" s="44" t="s">
        <v>1262</v>
      </c>
      <c r="G203" s="43">
        <v>2.0</v>
      </c>
      <c r="H203" s="42"/>
      <c r="I203" s="42"/>
      <c r="J203" s="22"/>
      <c r="K203" s="42"/>
    </row>
    <row r="204" ht="39.75" hidden="1" customHeight="1">
      <c r="A204" s="1">
        <v>203.0</v>
      </c>
      <c r="B204" s="2" t="s">
        <v>32</v>
      </c>
      <c r="C204" s="2" t="s">
        <v>13</v>
      </c>
      <c r="D204" s="13"/>
      <c r="E204" s="13"/>
      <c r="F204" s="45"/>
      <c r="G204" s="42"/>
      <c r="H204" s="42"/>
      <c r="I204" s="42"/>
      <c r="J204" s="22"/>
      <c r="K204" s="73"/>
    </row>
    <row r="205" ht="39.75" hidden="1" customHeight="1">
      <c r="A205" s="1">
        <v>204.0</v>
      </c>
      <c r="B205" s="2" t="s">
        <v>67</v>
      </c>
      <c r="C205" s="2" t="s">
        <v>13</v>
      </c>
      <c r="D205" s="13"/>
      <c r="E205" s="13"/>
      <c r="F205" s="45"/>
      <c r="G205" s="42"/>
      <c r="H205" s="42"/>
      <c r="I205" s="42"/>
      <c r="J205" s="22"/>
      <c r="K205" s="73"/>
    </row>
    <row r="206" ht="39.75" hidden="1" customHeight="1">
      <c r="A206" s="1">
        <v>205.0</v>
      </c>
      <c r="B206" s="2" t="s">
        <v>34</v>
      </c>
      <c r="C206" s="2" t="s">
        <v>13</v>
      </c>
      <c r="D206" s="13"/>
      <c r="E206" s="13"/>
      <c r="F206" s="45"/>
      <c r="G206" s="42"/>
      <c r="H206" s="42"/>
      <c r="I206" s="42"/>
      <c r="J206" s="22"/>
      <c r="K206" s="73"/>
    </row>
    <row r="207" ht="39.75" hidden="1" customHeight="1">
      <c r="A207" s="1">
        <v>206.0</v>
      </c>
      <c r="B207" s="2" t="s">
        <v>35</v>
      </c>
      <c r="C207" s="2" t="s">
        <v>13</v>
      </c>
      <c r="D207" s="13"/>
      <c r="E207" s="13"/>
      <c r="F207" s="45"/>
      <c r="G207" s="42"/>
      <c r="H207" s="42"/>
      <c r="I207" s="42"/>
      <c r="J207" s="22"/>
      <c r="K207" s="73"/>
    </row>
    <row r="208" ht="39.75" customHeight="1">
      <c r="A208" s="1">
        <v>207.0</v>
      </c>
      <c r="B208" s="2" t="s">
        <v>36</v>
      </c>
      <c r="C208" s="2" t="s">
        <v>44</v>
      </c>
      <c r="D208" s="13"/>
      <c r="E208" s="13"/>
      <c r="F208" s="45"/>
      <c r="G208" s="42"/>
      <c r="H208" s="42"/>
      <c r="I208" s="42"/>
      <c r="J208" s="22"/>
      <c r="K208" s="42"/>
    </row>
    <row r="209" ht="39.75" hidden="1" customHeight="1">
      <c r="A209" s="1">
        <v>208.0</v>
      </c>
      <c r="B209" s="2" t="s">
        <v>38</v>
      </c>
      <c r="C209" s="2" t="s">
        <v>13</v>
      </c>
      <c r="D209" s="13"/>
      <c r="E209" s="13"/>
      <c r="F209" s="45"/>
      <c r="G209" s="42"/>
      <c r="H209" s="42"/>
      <c r="I209" s="42"/>
      <c r="J209" s="22"/>
      <c r="K209" s="73"/>
    </row>
    <row r="210" ht="39.75" hidden="1" customHeight="1">
      <c r="A210" s="1">
        <v>209.0</v>
      </c>
      <c r="B210" s="2" t="s">
        <v>41</v>
      </c>
      <c r="C210" s="2" t="s">
        <v>13</v>
      </c>
      <c r="D210" s="13"/>
      <c r="E210" s="13"/>
      <c r="F210" s="45"/>
      <c r="G210" s="42"/>
      <c r="H210" s="42"/>
      <c r="I210" s="42"/>
      <c r="J210" s="22"/>
      <c r="K210" s="73"/>
    </row>
    <row r="211" ht="39.75" customHeight="1">
      <c r="A211" s="1">
        <v>210.0</v>
      </c>
      <c r="B211" s="2" t="s">
        <v>42</v>
      </c>
      <c r="C211" s="2" t="s">
        <v>27</v>
      </c>
      <c r="D211" s="13"/>
      <c r="E211" s="13"/>
      <c r="F211" s="44" t="s">
        <v>1263</v>
      </c>
      <c r="G211" s="43">
        <v>2.0</v>
      </c>
      <c r="H211" s="42"/>
      <c r="I211" s="42"/>
      <c r="J211" s="22"/>
      <c r="K211" s="42"/>
    </row>
    <row r="212" ht="39.75" hidden="1" customHeight="1">
      <c r="A212" s="1">
        <v>211.0</v>
      </c>
      <c r="B212" s="2" t="s">
        <v>43</v>
      </c>
      <c r="C212" s="2" t="s">
        <v>13</v>
      </c>
      <c r="D212" s="13"/>
      <c r="E212" s="13"/>
      <c r="F212" s="45"/>
      <c r="G212" s="42"/>
      <c r="H212" s="42"/>
      <c r="I212" s="42"/>
      <c r="J212" s="22"/>
      <c r="K212" s="73"/>
    </row>
    <row r="213" ht="39.75" hidden="1" customHeight="1">
      <c r="A213" s="1">
        <v>212.0</v>
      </c>
      <c r="B213" s="2" t="s">
        <v>45</v>
      </c>
      <c r="C213" s="2" t="s">
        <v>13</v>
      </c>
      <c r="D213" s="13"/>
      <c r="E213" s="13"/>
      <c r="F213" s="45"/>
      <c r="G213" s="42"/>
      <c r="H213" s="42"/>
      <c r="I213" s="42"/>
      <c r="J213" s="22"/>
      <c r="K213" s="73"/>
    </row>
    <row r="214" ht="39.75" hidden="1" customHeight="1">
      <c r="A214" s="1">
        <v>213.0</v>
      </c>
      <c r="B214" s="2" t="s">
        <v>46</v>
      </c>
      <c r="C214" s="2" t="s">
        <v>13</v>
      </c>
      <c r="D214" s="13"/>
      <c r="E214" s="13"/>
      <c r="F214" s="45"/>
      <c r="G214" s="42"/>
      <c r="H214" s="42"/>
      <c r="I214" s="42"/>
      <c r="J214" s="22"/>
      <c r="K214" s="73"/>
    </row>
    <row r="215" ht="39.75" hidden="1" customHeight="1">
      <c r="A215" s="1">
        <v>214.0</v>
      </c>
      <c r="B215" s="2" t="s">
        <v>47</v>
      </c>
      <c r="C215" s="2" t="s">
        <v>13</v>
      </c>
      <c r="D215" s="13"/>
      <c r="E215" s="13"/>
      <c r="F215" s="45"/>
      <c r="G215" s="42"/>
      <c r="H215" s="42"/>
      <c r="I215" s="42"/>
      <c r="J215" s="22"/>
      <c r="K215" s="73"/>
    </row>
    <row r="216" ht="39.75" hidden="1" customHeight="1">
      <c r="A216" s="1">
        <v>215.0</v>
      </c>
      <c r="B216" s="2" t="s">
        <v>48</v>
      </c>
      <c r="C216" s="2" t="s">
        <v>13</v>
      </c>
      <c r="D216" s="13"/>
      <c r="E216" s="13"/>
      <c r="F216" s="45"/>
      <c r="G216" s="42"/>
      <c r="H216" s="42"/>
      <c r="I216" s="42"/>
      <c r="J216" s="22"/>
      <c r="K216" s="73"/>
    </row>
    <row r="217" ht="39.75" customHeight="1">
      <c r="A217" s="1">
        <v>216.0</v>
      </c>
      <c r="B217" s="21"/>
      <c r="C217" s="21"/>
      <c r="D217" s="21"/>
      <c r="E217" s="21"/>
      <c r="F217" s="46"/>
      <c r="G217" s="47"/>
      <c r="H217" s="47"/>
      <c r="I217" s="47"/>
      <c r="J217" s="48"/>
      <c r="K217" s="47"/>
      <c r="L217" s="49"/>
      <c r="M217" s="49"/>
      <c r="N217" s="49"/>
    </row>
    <row r="218" ht="39.75" hidden="1" customHeight="1">
      <c r="A218" s="1">
        <v>217.0</v>
      </c>
      <c r="B218" s="2" t="s">
        <v>12</v>
      </c>
      <c r="C218" s="2" t="s">
        <v>13</v>
      </c>
      <c r="D218" s="13"/>
      <c r="E218" s="13"/>
      <c r="F218" s="45"/>
      <c r="G218" s="42"/>
      <c r="H218" s="42"/>
      <c r="I218" s="42"/>
      <c r="J218" s="27" t="s">
        <v>1161</v>
      </c>
      <c r="K218" s="71"/>
      <c r="L218" s="15" t="s">
        <v>175</v>
      </c>
    </row>
    <row r="219" ht="39.75" customHeight="1">
      <c r="A219" s="1">
        <v>218.0</v>
      </c>
      <c r="B219" s="2" t="s">
        <v>16</v>
      </c>
      <c r="C219" s="2"/>
      <c r="D219" s="40">
        <v>0.375</v>
      </c>
      <c r="E219" s="51">
        <v>0.7708333333333334</v>
      </c>
      <c r="F219" s="44" t="s">
        <v>1264</v>
      </c>
      <c r="G219" s="43">
        <v>1.0</v>
      </c>
      <c r="H219" s="42"/>
      <c r="I219" s="42"/>
      <c r="J219" s="27" t="s">
        <v>175</v>
      </c>
      <c r="K219" s="43"/>
    </row>
    <row r="220" ht="39.75" hidden="1" customHeight="1">
      <c r="A220" s="1">
        <v>219.0</v>
      </c>
      <c r="B220" s="2" t="s">
        <v>17</v>
      </c>
      <c r="C220" s="2" t="s">
        <v>13</v>
      </c>
      <c r="D220" s="13"/>
      <c r="E220" s="13"/>
      <c r="F220" s="45"/>
      <c r="G220" s="42"/>
      <c r="H220" s="42"/>
      <c r="I220" s="42"/>
      <c r="J220" s="27" t="s">
        <v>19</v>
      </c>
      <c r="K220" s="71"/>
    </row>
    <row r="221" ht="39.75" hidden="1" customHeight="1">
      <c r="A221" s="1">
        <v>220.0</v>
      </c>
      <c r="B221" s="2" t="s">
        <v>331</v>
      </c>
      <c r="C221" s="2" t="s">
        <v>13</v>
      </c>
      <c r="D221" s="13"/>
      <c r="E221" s="13"/>
      <c r="F221" s="44"/>
      <c r="G221" s="42"/>
      <c r="H221" s="42"/>
      <c r="I221" s="42"/>
      <c r="J221" s="27" t="s">
        <v>410</v>
      </c>
      <c r="K221" s="71"/>
    </row>
    <row r="222" ht="39.75" customHeight="1">
      <c r="A222" s="1">
        <v>221.0</v>
      </c>
      <c r="B222" s="2" t="s">
        <v>268</v>
      </c>
      <c r="C222" s="2" t="s">
        <v>63</v>
      </c>
      <c r="D222" s="13"/>
      <c r="E222" s="13"/>
      <c r="F222" s="44" t="s">
        <v>1265</v>
      </c>
      <c r="G222" s="42"/>
      <c r="H222" s="42"/>
      <c r="I222" s="42"/>
      <c r="J222" s="27" t="s">
        <v>412</v>
      </c>
      <c r="K222" s="43"/>
    </row>
    <row r="223" ht="39.75" customHeight="1">
      <c r="A223" s="1">
        <v>222.0</v>
      </c>
      <c r="B223" s="2" t="s">
        <v>22</v>
      </c>
      <c r="C223" s="2" t="s">
        <v>27</v>
      </c>
      <c r="D223" s="13"/>
      <c r="E223" s="13"/>
      <c r="F223" s="44" t="s">
        <v>1266</v>
      </c>
      <c r="G223" s="43">
        <v>1.0</v>
      </c>
      <c r="H223" s="42"/>
      <c r="I223" s="42"/>
      <c r="J223" s="27" t="s">
        <v>413</v>
      </c>
      <c r="K223" s="43"/>
    </row>
    <row r="224" ht="39.75" hidden="1" customHeight="1">
      <c r="A224" s="1">
        <v>223.0</v>
      </c>
      <c r="B224" s="2" t="s">
        <v>23</v>
      </c>
      <c r="C224" s="2" t="s">
        <v>13</v>
      </c>
      <c r="D224" s="13"/>
      <c r="E224" s="13"/>
      <c r="F224" s="45"/>
      <c r="G224" s="42"/>
      <c r="H224" s="42"/>
      <c r="I224" s="42"/>
      <c r="J224" s="22"/>
      <c r="K224" s="73"/>
    </row>
    <row r="225" ht="39.75" hidden="1" customHeight="1">
      <c r="A225" s="1">
        <v>224.0</v>
      </c>
      <c r="B225" s="2" t="s">
        <v>24</v>
      </c>
      <c r="C225" s="2" t="s">
        <v>13</v>
      </c>
      <c r="D225" s="13"/>
      <c r="E225" s="13"/>
      <c r="F225" s="45"/>
      <c r="G225" s="42"/>
      <c r="H225" s="42"/>
      <c r="I225" s="42"/>
      <c r="J225" s="22"/>
      <c r="K225" s="73"/>
    </row>
    <row r="226" ht="39.75" customHeight="1">
      <c r="A226" s="1">
        <v>225.0</v>
      </c>
      <c r="B226" s="2" t="s">
        <v>25</v>
      </c>
      <c r="C226" s="2" t="s">
        <v>39</v>
      </c>
      <c r="D226" s="40">
        <v>0.3333333333333333</v>
      </c>
      <c r="E226" s="40">
        <v>0.6666666666666666</v>
      </c>
      <c r="F226" s="44" t="s">
        <v>1267</v>
      </c>
      <c r="G226" s="43">
        <v>1.0</v>
      </c>
      <c r="H226" s="42"/>
      <c r="I226" s="42"/>
      <c r="J226" s="22"/>
      <c r="K226" s="42"/>
    </row>
    <row r="227" ht="39.75" hidden="1" customHeight="1">
      <c r="A227" s="1">
        <v>226.0</v>
      </c>
      <c r="B227" s="2" t="s">
        <v>26</v>
      </c>
      <c r="C227" s="2" t="s">
        <v>13</v>
      </c>
      <c r="D227" s="13"/>
      <c r="E227" s="13"/>
      <c r="F227" s="45"/>
      <c r="G227" s="42"/>
      <c r="H227" s="42"/>
      <c r="I227" s="42"/>
      <c r="J227" s="22"/>
      <c r="K227" s="73"/>
    </row>
    <row r="228" ht="39.75" hidden="1" customHeight="1">
      <c r="A228" s="1">
        <v>227.0</v>
      </c>
      <c r="B228" s="2" t="s">
        <v>29</v>
      </c>
      <c r="C228" s="2" t="s">
        <v>13</v>
      </c>
      <c r="D228" s="13"/>
      <c r="E228" s="13"/>
      <c r="F228" s="45"/>
      <c r="G228" s="42"/>
      <c r="H228" s="42"/>
      <c r="I228" s="42"/>
      <c r="J228" s="22"/>
      <c r="K228" s="73"/>
    </row>
    <row r="229" ht="39.75" hidden="1" customHeight="1">
      <c r="A229" s="1">
        <v>228.0</v>
      </c>
      <c r="B229" s="2" t="s">
        <v>30</v>
      </c>
      <c r="C229" s="2" t="s">
        <v>13</v>
      </c>
      <c r="D229" s="13"/>
      <c r="E229" s="13"/>
      <c r="F229" s="45"/>
      <c r="G229" s="42"/>
      <c r="H229" s="42"/>
      <c r="I229" s="42"/>
      <c r="J229" s="22"/>
      <c r="K229" s="73"/>
    </row>
    <row r="230" ht="39.75" customHeight="1">
      <c r="A230" s="1">
        <v>229.0</v>
      </c>
      <c r="B230" s="2" t="s">
        <v>33</v>
      </c>
      <c r="C230" s="2" t="s">
        <v>272</v>
      </c>
      <c r="D230" s="13"/>
      <c r="E230" s="13"/>
      <c r="F230" s="44" t="s">
        <v>1268</v>
      </c>
      <c r="G230" s="42"/>
      <c r="H230" s="42"/>
      <c r="I230" s="42"/>
      <c r="J230" s="22"/>
      <c r="K230" s="42"/>
    </row>
    <row r="231" ht="39.75" hidden="1" customHeight="1">
      <c r="A231" s="1">
        <v>230.0</v>
      </c>
      <c r="B231" s="2" t="s">
        <v>32</v>
      </c>
      <c r="C231" s="2" t="s">
        <v>13</v>
      </c>
      <c r="D231" s="13"/>
      <c r="E231" s="13"/>
      <c r="F231" s="45"/>
      <c r="G231" s="42"/>
      <c r="H231" s="42"/>
      <c r="I231" s="42"/>
      <c r="J231" s="22"/>
      <c r="K231" s="73"/>
    </row>
    <row r="232" ht="39.75" customHeight="1">
      <c r="A232" s="1">
        <v>231.0</v>
      </c>
      <c r="B232" s="2" t="s">
        <v>67</v>
      </c>
      <c r="C232" s="2"/>
      <c r="D232" s="40">
        <v>0.4583333333333333</v>
      </c>
      <c r="E232" s="51">
        <v>0.8472222222222222</v>
      </c>
      <c r="F232" s="44" t="s">
        <v>1269</v>
      </c>
      <c r="G232" s="43">
        <v>2.0</v>
      </c>
      <c r="H232" s="42"/>
      <c r="I232" s="43">
        <v>1.0</v>
      </c>
      <c r="J232" s="22"/>
      <c r="K232" s="42"/>
    </row>
    <row r="233" ht="39.75" hidden="1" customHeight="1">
      <c r="A233" s="1">
        <v>232.0</v>
      </c>
      <c r="B233" s="2" t="s">
        <v>34</v>
      </c>
      <c r="C233" s="2" t="s">
        <v>13</v>
      </c>
      <c r="D233" s="13"/>
      <c r="E233" s="13"/>
      <c r="F233" s="45"/>
      <c r="G233" s="42"/>
      <c r="H233" s="42"/>
      <c r="I233" s="42"/>
      <c r="J233" s="22"/>
      <c r="K233" s="73"/>
    </row>
    <row r="234" ht="39.75" hidden="1" customHeight="1">
      <c r="A234" s="1">
        <v>233.0</v>
      </c>
      <c r="B234" s="2" t="s">
        <v>35</v>
      </c>
      <c r="C234" s="2" t="s">
        <v>13</v>
      </c>
      <c r="D234" s="13"/>
      <c r="E234" s="13"/>
      <c r="F234" s="45"/>
      <c r="G234" s="42"/>
      <c r="H234" s="42"/>
      <c r="I234" s="42"/>
      <c r="J234" s="22"/>
      <c r="K234" s="73"/>
    </row>
    <row r="235" ht="39.75" customHeight="1">
      <c r="A235" s="1">
        <v>234.0</v>
      </c>
      <c r="B235" s="2" t="s">
        <v>36</v>
      </c>
      <c r="C235" s="13"/>
      <c r="D235" s="40">
        <v>0.375</v>
      </c>
      <c r="E235" s="51">
        <v>0.7638888888888888</v>
      </c>
      <c r="F235" s="44" t="s">
        <v>1270</v>
      </c>
      <c r="G235" s="43">
        <v>1.0</v>
      </c>
      <c r="H235" s="42"/>
      <c r="I235" s="43">
        <v>1.0</v>
      </c>
      <c r="J235" s="22"/>
      <c r="K235" s="42"/>
    </row>
    <row r="236" ht="39.75" hidden="1" customHeight="1">
      <c r="A236" s="1">
        <v>235.0</v>
      </c>
      <c r="B236" s="2" t="s">
        <v>38</v>
      </c>
      <c r="C236" s="2" t="s">
        <v>13</v>
      </c>
      <c r="D236" s="13"/>
      <c r="E236" s="13"/>
      <c r="F236" s="45"/>
      <c r="G236" s="42"/>
      <c r="H236" s="42"/>
      <c r="I236" s="42"/>
      <c r="J236" s="22"/>
      <c r="K236" s="73"/>
    </row>
    <row r="237" ht="39.75" hidden="1" customHeight="1">
      <c r="A237" s="1">
        <v>236.0</v>
      </c>
      <c r="B237" s="2" t="s">
        <v>41</v>
      </c>
      <c r="C237" s="2" t="s">
        <v>13</v>
      </c>
      <c r="D237" s="13"/>
      <c r="E237" s="13"/>
      <c r="F237" s="45"/>
      <c r="G237" s="42"/>
      <c r="H237" s="42"/>
      <c r="I237" s="42"/>
      <c r="J237" s="22"/>
      <c r="K237" s="73"/>
    </row>
    <row r="238" ht="39.75" customHeight="1">
      <c r="A238" s="1">
        <v>237.0</v>
      </c>
      <c r="B238" s="2" t="s">
        <v>42</v>
      </c>
      <c r="C238" s="2" t="s">
        <v>44</v>
      </c>
      <c r="D238" s="13"/>
      <c r="E238" s="40">
        <v>0.3611111111111111</v>
      </c>
      <c r="F238" s="52" t="s">
        <v>1271</v>
      </c>
      <c r="G238" s="43">
        <v>1.0</v>
      </c>
      <c r="H238" s="42"/>
      <c r="I238" s="42"/>
      <c r="J238" s="22"/>
      <c r="K238" s="42"/>
    </row>
    <row r="239" ht="39.75" hidden="1" customHeight="1">
      <c r="A239" s="1">
        <v>238.0</v>
      </c>
      <c r="B239" s="2" t="s">
        <v>43</v>
      </c>
      <c r="C239" s="2" t="s">
        <v>13</v>
      </c>
      <c r="D239" s="13"/>
      <c r="E239" s="13"/>
      <c r="F239" s="45"/>
      <c r="G239" s="42"/>
      <c r="H239" s="42"/>
      <c r="I239" s="42"/>
      <c r="J239" s="22"/>
      <c r="K239" s="73"/>
    </row>
    <row r="240" ht="39.75" hidden="1" customHeight="1">
      <c r="A240" s="1">
        <v>239.0</v>
      </c>
      <c r="B240" s="2" t="s">
        <v>45</v>
      </c>
      <c r="C240" s="2" t="s">
        <v>13</v>
      </c>
      <c r="D240" s="13"/>
      <c r="E240" s="13"/>
      <c r="F240" s="45"/>
      <c r="G240" s="42"/>
      <c r="H240" s="42"/>
      <c r="I240" s="42"/>
      <c r="J240" s="22"/>
      <c r="K240" s="73"/>
    </row>
    <row r="241" ht="39.75" hidden="1" customHeight="1">
      <c r="A241" s="1">
        <v>240.0</v>
      </c>
      <c r="B241" s="2" t="s">
        <v>46</v>
      </c>
      <c r="C241" s="2" t="s">
        <v>13</v>
      </c>
      <c r="D241" s="13"/>
      <c r="E241" s="13"/>
      <c r="F241" s="45"/>
      <c r="G241" s="42"/>
      <c r="H241" s="42"/>
      <c r="I241" s="42"/>
      <c r="J241" s="22"/>
      <c r="K241" s="73"/>
    </row>
    <row r="242" ht="39.75" hidden="1" customHeight="1">
      <c r="A242" s="1">
        <v>241.0</v>
      </c>
      <c r="B242" s="2" t="s">
        <v>47</v>
      </c>
      <c r="C242" s="2" t="s">
        <v>13</v>
      </c>
      <c r="D242" s="13"/>
      <c r="E242" s="13"/>
      <c r="F242" s="45"/>
      <c r="G242" s="42"/>
      <c r="H242" s="42"/>
      <c r="I242" s="42"/>
      <c r="J242" s="22"/>
      <c r="K242" s="73"/>
    </row>
    <row r="243" ht="39.75" hidden="1" customHeight="1">
      <c r="A243" s="1">
        <v>242.0</v>
      </c>
      <c r="B243" s="2" t="s">
        <v>48</v>
      </c>
      <c r="C243" s="2" t="s">
        <v>13</v>
      </c>
      <c r="D243" s="13"/>
      <c r="E243" s="13"/>
      <c r="F243" s="45"/>
      <c r="G243" s="42"/>
      <c r="H243" s="42"/>
      <c r="I243" s="42"/>
      <c r="J243" s="22"/>
      <c r="K243" s="73"/>
    </row>
    <row r="244" ht="39.75" customHeight="1">
      <c r="A244" s="1">
        <v>243.0</v>
      </c>
      <c r="B244" s="21"/>
      <c r="C244" s="21"/>
      <c r="D244" s="21"/>
      <c r="E244" s="21"/>
      <c r="F244" s="46"/>
      <c r="G244" s="47"/>
      <c r="H244" s="47"/>
      <c r="I244" s="47"/>
      <c r="J244" s="48"/>
      <c r="K244" s="47"/>
      <c r="L244" s="49"/>
      <c r="M244" s="49"/>
      <c r="N244" s="49"/>
    </row>
    <row r="245" ht="39.75" customHeight="1">
      <c r="A245" s="1">
        <v>244.0</v>
      </c>
      <c r="B245" s="2" t="s">
        <v>12</v>
      </c>
      <c r="C245" s="2" t="s">
        <v>62</v>
      </c>
      <c r="D245" s="13"/>
      <c r="E245" s="13"/>
      <c r="F245" s="44" t="s">
        <v>1272</v>
      </c>
      <c r="G245" s="43">
        <v>1.0</v>
      </c>
      <c r="H245" s="42"/>
      <c r="I245" s="43">
        <v>1.0</v>
      </c>
      <c r="J245" s="27" t="s">
        <v>1161</v>
      </c>
      <c r="K245" s="43"/>
      <c r="L245" s="15" t="s">
        <v>192</v>
      </c>
    </row>
    <row r="246" ht="39.75" customHeight="1">
      <c r="A246" s="1">
        <v>245.0</v>
      </c>
      <c r="B246" s="2" t="s">
        <v>16</v>
      </c>
      <c r="C246" s="2" t="s">
        <v>54</v>
      </c>
      <c r="D246" s="13"/>
      <c r="E246" s="13"/>
      <c r="F246" s="44" t="s">
        <v>1273</v>
      </c>
      <c r="G246" s="43">
        <v>1.0</v>
      </c>
      <c r="H246" s="42"/>
      <c r="I246" s="42"/>
      <c r="J246" s="27" t="s">
        <v>192</v>
      </c>
      <c r="K246" s="43"/>
    </row>
    <row r="247" ht="39.75" customHeight="1">
      <c r="A247" s="1">
        <v>246.0</v>
      </c>
      <c r="B247" s="2" t="s">
        <v>17</v>
      </c>
      <c r="C247" s="2" t="s">
        <v>54</v>
      </c>
      <c r="D247" s="13"/>
      <c r="E247" s="13"/>
      <c r="F247" s="44" t="s">
        <v>1274</v>
      </c>
      <c r="G247" s="43">
        <v>1.0</v>
      </c>
      <c r="H247" s="42"/>
      <c r="I247" s="42"/>
      <c r="J247" s="27" t="s">
        <v>56</v>
      </c>
      <c r="K247" s="43"/>
    </row>
    <row r="248" ht="39.75" customHeight="1">
      <c r="A248" s="1">
        <v>247.0</v>
      </c>
      <c r="B248" s="2" t="s">
        <v>116</v>
      </c>
      <c r="C248" s="2"/>
      <c r="D248" s="40">
        <v>0.37569444444444444</v>
      </c>
      <c r="E248" s="13"/>
      <c r="F248" s="44"/>
      <c r="G248" s="42"/>
      <c r="H248" s="42"/>
      <c r="I248" s="42"/>
      <c r="J248" s="22"/>
      <c r="K248" s="42"/>
    </row>
    <row r="249" ht="39.75" hidden="1" customHeight="1">
      <c r="A249" s="1">
        <v>248.0</v>
      </c>
      <c r="B249" s="2" t="s">
        <v>21</v>
      </c>
      <c r="C249" s="2" t="s">
        <v>58</v>
      </c>
      <c r="D249" s="13"/>
      <c r="E249" s="13"/>
      <c r="F249" s="45"/>
      <c r="G249" s="42"/>
      <c r="H249" s="42"/>
      <c r="I249" s="42"/>
      <c r="J249" s="22"/>
      <c r="K249" s="42"/>
    </row>
    <row r="250" ht="39.75" customHeight="1">
      <c r="A250" s="1">
        <v>249.0</v>
      </c>
      <c r="B250" s="2" t="s">
        <v>22</v>
      </c>
      <c r="C250" s="2" t="s">
        <v>44</v>
      </c>
      <c r="D250" s="13"/>
      <c r="E250" s="13"/>
      <c r="F250" s="45"/>
      <c r="G250" s="42"/>
      <c r="H250" s="42"/>
      <c r="I250" s="42"/>
      <c r="J250" s="22"/>
      <c r="K250" s="42"/>
    </row>
    <row r="251" ht="39.75" customHeight="1">
      <c r="A251" s="1">
        <v>250.0</v>
      </c>
      <c r="B251" s="2" t="s">
        <v>23</v>
      </c>
      <c r="C251" s="2"/>
      <c r="D251" s="13"/>
      <c r="E251" s="13"/>
      <c r="F251" s="44" t="s">
        <v>1275</v>
      </c>
      <c r="G251" s="43">
        <v>1.0</v>
      </c>
      <c r="H251" s="42"/>
      <c r="I251" s="42"/>
      <c r="J251" s="22"/>
      <c r="K251" s="42"/>
    </row>
    <row r="252" ht="39.75" customHeight="1">
      <c r="A252" s="1">
        <v>251.0</v>
      </c>
      <c r="B252" s="2" t="s">
        <v>24</v>
      </c>
      <c r="C252" s="2" t="s">
        <v>277</v>
      </c>
      <c r="D252" s="13"/>
      <c r="E252" s="13"/>
      <c r="F252" s="45"/>
      <c r="G252" s="42"/>
      <c r="H252" s="42"/>
      <c r="I252" s="42"/>
      <c r="J252" s="22"/>
      <c r="K252" s="42"/>
    </row>
    <row r="253" ht="39.75" customHeight="1">
      <c r="A253" s="1">
        <v>252.0</v>
      </c>
      <c r="B253" s="2" t="s">
        <v>25</v>
      </c>
      <c r="C253" s="2"/>
      <c r="D253" s="13"/>
      <c r="E253" s="13"/>
      <c r="F253" s="44" t="s">
        <v>1276</v>
      </c>
      <c r="G253" s="43">
        <v>2.0</v>
      </c>
      <c r="H253" s="42"/>
      <c r="I253" s="42"/>
      <c r="J253" s="22"/>
      <c r="K253" s="42"/>
    </row>
    <row r="254" ht="39.75" customHeight="1">
      <c r="A254" s="1">
        <v>253.0</v>
      </c>
      <c r="B254" s="2" t="s">
        <v>26</v>
      </c>
      <c r="C254" s="2" t="s">
        <v>39</v>
      </c>
      <c r="D254" s="13"/>
      <c r="E254" s="13"/>
      <c r="F254" s="44" t="s">
        <v>1277</v>
      </c>
      <c r="G254" s="43">
        <v>1.0</v>
      </c>
      <c r="H254" s="42"/>
      <c r="I254" s="42"/>
      <c r="J254" s="22"/>
      <c r="K254" s="42"/>
    </row>
    <row r="255" ht="39.75" customHeight="1">
      <c r="A255" s="1">
        <v>254.0</v>
      </c>
      <c r="B255" s="2" t="s">
        <v>29</v>
      </c>
      <c r="C255" s="2" t="s">
        <v>39</v>
      </c>
      <c r="D255" s="13"/>
      <c r="E255" s="13"/>
      <c r="F255" s="44" t="s">
        <v>1278</v>
      </c>
      <c r="G255" s="43">
        <v>1.0</v>
      </c>
      <c r="H255" s="42"/>
      <c r="I255" s="43"/>
      <c r="J255" s="22"/>
      <c r="K255" s="42"/>
    </row>
    <row r="256" ht="39.75" hidden="1" customHeight="1">
      <c r="A256" s="1">
        <v>255.0</v>
      </c>
      <c r="B256" s="2" t="s">
        <v>30</v>
      </c>
      <c r="C256" s="2" t="s">
        <v>58</v>
      </c>
      <c r="D256" s="13"/>
      <c r="E256" s="13"/>
      <c r="F256" s="45"/>
      <c r="G256" s="42"/>
      <c r="H256" s="42"/>
      <c r="I256" s="42"/>
      <c r="J256" s="22"/>
      <c r="K256" s="42"/>
    </row>
    <row r="257" ht="39.75" customHeight="1">
      <c r="A257" s="1">
        <v>256.0</v>
      </c>
      <c r="B257" s="2" t="s">
        <v>31</v>
      </c>
      <c r="C257" s="2" t="s">
        <v>54</v>
      </c>
      <c r="D257" s="13"/>
      <c r="E257" s="13"/>
      <c r="F257" s="44" t="s">
        <v>1279</v>
      </c>
      <c r="G257" s="43">
        <v>2.0</v>
      </c>
      <c r="H257" s="42"/>
      <c r="I257" s="42"/>
      <c r="J257" s="22"/>
      <c r="K257" s="42"/>
    </row>
    <row r="258" ht="39.75" hidden="1" customHeight="1">
      <c r="A258" s="1">
        <v>257.0</v>
      </c>
      <c r="B258" s="2" t="s">
        <v>32</v>
      </c>
      <c r="C258" s="2" t="s">
        <v>58</v>
      </c>
      <c r="D258" s="13"/>
      <c r="E258" s="13"/>
      <c r="F258" s="45"/>
      <c r="G258" s="42"/>
      <c r="H258" s="42"/>
      <c r="I258" s="42"/>
      <c r="J258" s="22"/>
      <c r="K258" s="42"/>
    </row>
    <row r="259" ht="39.75" customHeight="1">
      <c r="A259" s="1">
        <v>258.0</v>
      </c>
      <c r="B259" s="2" t="s">
        <v>67</v>
      </c>
      <c r="C259" s="2" t="s">
        <v>54</v>
      </c>
      <c r="D259" s="13"/>
      <c r="E259" s="13"/>
      <c r="F259" s="44" t="s">
        <v>1280</v>
      </c>
      <c r="G259" s="43">
        <v>1.0</v>
      </c>
      <c r="H259" s="42"/>
      <c r="I259" s="42"/>
      <c r="J259" s="22"/>
      <c r="K259" s="42"/>
    </row>
    <row r="260" ht="39.75" customHeight="1">
      <c r="A260" s="1">
        <v>259.0</v>
      </c>
      <c r="B260" s="2" t="s">
        <v>34</v>
      </c>
      <c r="C260" s="2" t="s">
        <v>69</v>
      </c>
      <c r="D260" s="13"/>
      <c r="E260" s="40">
        <v>0.8333333333333334</v>
      </c>
      <c r="F260" s="44" t="s">
        <v>1281</v>
      </c>
      <c r="G260" s="43">
        <v>2.0</v>
      </c>
      <c r="H260" s="42"/>
      <c r="I260" s="42"/>
      <c r="J260" s="22"/>
      <c r="K260" s="42"/>
    </row>
    <row r="261" ht="39.75" customHeight="1">
      <c r="A261" s="1">
        <v>260.0</v>
      </c>
      <c r="B261" s="2" t="s">
        <v>35</v>
      </c>
      <c r="C261" s="2"/>
      <c r="D261" s="13"/>
      <c r="E261" s="13"/>
      <c r="F261" s="44" t="s">
        <v>1282</v>
      </c>
      <c r="G261" s="43">
        <v>1.0</v>
      </c>
      <c r="H261" s="42"/>
      <c r="I261" s="43">
        <v>1.0</v>
      </c>
      <c r="J261" s="22"/>
      <c r="K261" s="42"/>
    </row>
    <row r="262" ht="39.75" customHeight="1">
      <c r="A262" s="1">
        <v>261.0</v>
      </c>
      <c r="B262" s="2" t="s">
        <v>36</v>
      </c>
      <c r="C262" s="2" t="s">
        <v>69</v>
      </c>
      <c r="D262" s="13"/>
      <c r="E262" s="13"/>
      <c r="F262" s="44" t="s">
        <v>1283</v>
      </c>
      <c r="G262" s="43">
        <v>2.0</v>
      </c>
      <c r="H262" s="42"/>
      <c r="I262" s="42"/>
      <c r="J262" s="22"/>
      <c r="K262" s="42"/>
    </row>
    <row r="263" ht="39.75" customHeight="1">
      <c r="A263" s="1">
        <v>262.0</v>
      </c>
      <c r="B263" s="2" t="s">
        <v>38</v>
      </c>
      <c r="C263" s="2" t="s">
        <v>69</v>
      </c>
      <c r="D263" s="13"/>
      <c r="E263" s="13"/>
      <c r="F263" s="44" t="s">
        <v>1284</v>
      </c>
      <c r="G263" s="43">
        <v>1.0</v>
      </c>
      <c r="H263" s="42"/>
      <c r="I263" s="42"/>
      <c r="J263" s="22"/>
      <c r="K263" s="42"/>
    </row>
    <row r="264" ht="39.75" customHeight="1">
      <c r="A264" s="1">
        <v>263.0</v>
      </c>
      <c r="B264" s="2" t="s">
        <v>41</v>
      </c>
      <c r="C264" s="2"/>
      <c r="D264" s="13"/>
      <c r="E264" s="13"/>
      <c r="F264" s="44" t="s">
        <v>1285</v>
      </c>
      <c r="G264" s="43">
        <v>1.0</v>
      </c>
      <c r="H264" s="42"/>
      <c r="I264" s="43">
        <v>1.0</v>
      </c>
      <c r="J264" s="22"/>
      <c r="K264" s="42"/>
    </row>
    <row r="265" ht="39.75" customHeight="1">
      <c r="A265" s="1">
        <v>264.0</v>
      </c>
      <c r="B265" s="2" t="s">
        <v>42</v>
      </c>
      <c r="C265" s="2"/>
      <c r="D265" s="13"/>
      <c r="E265" s="13"/>
      <c r="F265" s="44" t="s">
        <v>1286</v>
      </c>
      <c r="G265" s="43">
        <v>1.0</v>
      </c>
      <c r="H265" s="42"/>
      <c r="I265" s="43">
        <v>1.0</v>
      </c>
      <c r="J265" s="22"/>
      <c r="K265" s="42"/>
    </row>
    <row r="266" ht="39.75" customHeight="1">
      <c r="A266" s="1">
        <v>265.0</v>
      </c>
      <c r="B266" s="2" t="s">
        <v>43</v>
      </c>
      <c r="C266" s="2" t="s">
        <v>27</v>
      </c>
      <c r="D266" s="13"/>
      <c r="E266" s="13"/>
      <c r="F266" s="44" t="s">
        <v>1287</v>
      </c>
      <c r="G266" s="43">
        <v>1.0</v>
      </c>
      <c r="H266" s="42"/>
      <c r="I266" s="42"/>
      <c r="J266" s="22"/>
      <c r="K266" s="42"/>
    </row>
    <row r="267" ht="39.75" customHeight="1">
      <c r="A267" s="1">
        <v>266.0</v>
      </c>
      <c r="B267" s="2" t="s">
        <v>45</v>
      </c>
      <c r="C267" s="2"/>
      <c r="D267" s="13"/>
      <c r="E267" s="13"/>
      <c r="F267" s="44" t="s">
        <v>1288</v>
      </c>
      <c r="G267" s="43">
        <v>2.0</v>
      </c>
      <c r="H267" s="42"/>
      <c r="I267" s="42"/>
      <c r="J267" s="22"/>
      <c r="K267" s="42"/>
    </row>
    <row r="268" ht="39.75" hidden="1" customHeight="1">
      <c r="A268" s="1">
        <v>267.0</v>
      </c>
      <c r="B268" s="2" t="s">
        <v>46</v>
      </c>
      <c r="C268" s="2" t="s">
        <v>58</v>
      </c>
      <c r="D268" s="13"/>
      <c r="E268" s="13"/>
      <c r="F268" s="45"/>
      <c r="G268" s="42"/>
      <c r="H268" s="42"/>
      <c r="I268" s="42"/>
      <c r="J268" s="22"/>
      <c r="K268" s="42"/>
    </row>
    <row r="269" ht="39.75" hidden="1" customHeight="1">
      <c r="A269" s="1">
        <v>268.0</v>
      </c>
      <c r="B269" s="2" t="s">
        <v>47</v>
      </c>
      <c r="C269" s="2" t="s">
        <v>66</v>
      </c>
      <c r="D269" s="13"/>
      <c r="E269" s="13"/>
      <c r="F269" s="45"/>
      <c r="G269" s="42"/>
      <c r="H269" s="42"/>
      <c r="I269" s="42"/>
      <c r="J269" s="22"/>
      <c r="K269" s="42"/>
    </row>
    <row r="270" ht="39.75" customHeight="1">
      <c r="A270" s="1">
        <v>269.0</v>
      </c>
      <c r="B270" s="2" t="s">
        <v>48</v>
      </c>
      <c r="C270" s="13"/>
      <c r="D270" s="13"/>
      <c r="E270" s="13"/>
      <c r="F270" s="44" t="s">
        <v>1289</v>
      </c>
      <c r="G270" s="43">
        <v>3.0</v>
      </c>
      <c r="H270" s="42"/>
      <c r="I270" s="43">
        <v>2.0</v>
      </c>
      <c r="J270" s="22"/>
      <c r="K270" s="42"/>
    </row>
    <row r="271" ht="39.75" customHeight="1">
      <c r="A271" s="1">
        <v>270.0</v>
      </c>
      <c r="B271" s="21"/>
      <c r="C271" s="21"/>
      <c r="D271" s="21"/>
      <c r="E271" s="21"/>
      <c r="F271" s="46"/>
      <c r="G271" s="47"/>
      <c r="H271" s="47"/>
      <c r="I271" s="47"/>
      <c r="J271" s="48"/>
      <c r="K271" s="47"/>
      <c r="L271" s="49"/>
      <c r="M271" s="49"/>
      <c r="N271" s="49"/>
    </row>
    <row r="272" ht="39.75" customHeight="1">
      <c r="A272" s="1">
        <v>271.0</v>
      </c>
      <c r="B272" s="2" t="s">
        <v>12</v>
      </c>
      <c r="C272" s="2" t="s">
        <v>62</v>
      </c>
      <c r="D272" s="13"/>
      <c r="E272" s="13"/>
      <c r="F272" s="45"/>
      <c r="G272" s="42"/>
      <c r="H272" s="42"/>
      <c r="I272" s="42"/>
      <c r="J272" s="27" t="s">
        <v>1161</v>
      </c>
      <c r="K272" s="43"/>
      <c r="L272" s="15" t="s">
        <v>209</v>
      </c>
    </row>
    <row r="273" ht="39.75" customHeight="1">
      <c r="A273" s="1">
        <v>272.0</v>
      </c>
      <c r="B273" s="2" t="s">
        <v>16</v>
      </c>
      <c r="C273" s="2" t="s">
        <v>54</v>
      </c>
      <c r="D273" s="13"/>
      <c r="E273" s="13"/>
      <c r="F273" s="44" t="s">
        <v>1290</v>
      </c>
      <c r="G273" s="43">
        <v>1.0</v>
      </c>
      <c r="H273" s="42"/>
      <c r="I273" s="42"/>
      <c r="J273" s="27" t="s">
        <v>209</v>
      </c>
      <c r="K273" s="43"/>
    </row>
    <row r="274" ht="39.75" customHeight="1">
      <c r="A274" s="1">
        <v>273.0</v>
      </c>
      <c r="B274" s="2" t="s">
        <v>17</v>
      </c>
      <c r="C274" s="2"/>
      <c r="D274" s="13"/>
      <c r="E274" s="13"/>
      <c r="F274" s="44" t="s">
        <v>1291</v>
      </c>
      <c r="G274" s="43">
        <v>2.0</v>
      </c>
      <c r="H274" s="42"/>
      <c r="I274" s="42"/>
      <c r="J274" s="27" t="s">
        <v>77</v>
      </c>
      <c r="K274" s="43"/>
    </row>
    <row r="275" ht="39.75" customHeight="1">
      <c r="A275" s="1">
        <v>274.0</v>
      </c>
      <c r="B275" s="2" t="s">
        <v>331</v>
      </c>
      <c r="C275" s="2" t="s">
        <v>542</v>
      </c>
      <c r="D275" s="13"/>
      <c r="E275" s="13"/>
      <c r="F275" s="44" t="s">
        <v>1292</v>
      </c>
      <c r="G275" s="43">
        <v>2.0</v>
      </c>
      <c r="H275" s="42"/>
      <c r="I275" s="43">
        <v>1.0</v>
      </c>
      <c r="J275" s="22"/>
      <c r="K275" s="42"/>
    </row>
    <row r="276" ht="39.75" hidden="1" customHeight="1">
      <c r="A276" s="1">
        <v>275.0</v>
      </c>
      <c r="B276" s="2" t="s">
        <v>21</v>
      </c>
      <c r="C276" s="2" t="s">
        <v>58</v>
      </c>
      <c r="D276" s="13"/>
      <c r="E276" s="13"/>
      <c r="F276" s="45"/>
      <c r="G276" s="42"/>
      <c r="H276" s="42"/>
      <c r="I276" s="42"/>
      <c r="J276" s="22"/>
      <c r="K276" s="42"/>
    </row>
    <row r="277" ht="39.75" customHeight="1">
      <c r="A277" s="1">
        <v>276.0</v>
      </c>
      <c r="B277" s="2" t="s">
        <v>22</v>
      </c>
      <c r="C277" s="2" t="s">
        <v>69</v>
      </c>
      <c r="D277" s="13"/>
      <c r="E277" s="40">
        <v>0.8611111111111112</v>
      </c>
      <c r="F277" s="44" t="s">
        <v>1293</v>
      </c>
      <c r="G277" s="43">
        <v>1.0</v>
      </c>
      <c r="H277" s="42"/>
      <c r="I277" s="42"/>
      <c r="J277" s="22"/>
      <c r="K277" s="42"/>
    </row>
    <row r="278" ht="39.75" customHeight="1">
      <c r="A278" s="1">
        <v>277.0</v>
      </c>
      <c r="B278" s="2" t="s">
        <v>23</v>
      </c>
      <c r="C278" s="2"/>
      <c r="D278" s="13"/>
      <c r="E278" s="13"/>
      <c r="F278" s="44" t="s">
        <v>1294</v>
      </c>
      <c r="G278" s="43">
        <v>1.0</v>
      </c>
      <c r="H278" s="42"/>
      <c r="I278" s="42"/>
      <c r="J278" s="22"/>
      <c r="K278" s="42"/>
    </row>
    <row r="279" ht="39.75" customHeight="1">
      <c r="A279" s="1">
        <v>278.0</v>
      </c>
      <c r="B279" s="2" t="s">
        <v>24</v>
      </c>
      <c r="C279" s="2" t="s">
        <v>277</v>
      </c>
      <c r="D279" s="13"/>
      <c r="E279" s="13"/>
      <c r="F279" s="45"/>
      <c r="G279" s="42"/>
      <c r="H279" s="42"/>
      <c r="I279" s="42"/>
      <c r="J279" s="22"/>
      <c r="K279" s="42"/>
    </row>
    <row r="280" ht="39.75" customHeight="1">
      <c r="A280" s="1">
        <v>279.0</v>
      </c>
      <c r="B280" s="2" t="s">
        <v>25</v>
      </c>
      <c r="C280" s="2" t="s">
        <v>69</v>
      </c>
      <c r="D280" s="13"/>
      <c r="E280" s="40">
        <v>0.8402777777777778</v>
      </c>
      <c r="F280" s="44" t="s">
        <v>1295</v>
      </c>
      <c r="G280" s="43">
        <v>2.0</v>
      </c>
      <c r="H280" s="42"/>
      <c r="I280" s="42"/>
      <c r="J280" s="22"/>
      <c r="K280" s="42"/>
    </row>
    <row r="281" ht="39.75" hidden="1" customHeight="1">
      <c r="A281" s="1">
        <v>280.0</v>
      </c>
      <c r="B281" s="2" t="s">
        <v>26</v>
      </c>
      <c r="C281" s="2" t="s">
        <v>66</v>
      </c>
      <c r="D281" s="13"/>
      <c r="E281" s="13"/>
      <c r="F281" s="45"/>
      <c r="G281" s="42"/>
      <c r="H281" s="42"/>
      <c r="I281" s="42"/>
      <c r="J281" s="22"/>
      <c r="K281" s="42"/>
    </row>
    <row r="282" ht="39.75" hidden="1" customHeight="1">
      <c r="A282" s="1">
        <v>281.0</v>
      </c>
      <c r="B282" s="2" t="s">
        <v>29</v>
      </c>
      <c r="C282" s="2" t="s">
        <v>58</v>
      </c>
      <c r="D282" s="13"/>
      <c r="E282" s="13"/>
      <c r="F282" s="45"/>
      <c r="G282" s="42"/>
      <c r="H282" s="42"/>
      <c r="I282" s="42"/>
      <c r="J282" s="22"/>
      <c r="K282" s="42"/>
    </row>
    <row r="283" ht="39.75" customHeight="1">
      <c r="A283" s="1">
        <v>282.0</v>
      </c>
      <c r="B283" s="2" t="s">
        <v>30</v>
      </c>
      <c r="C283" s="2" t="s">
        <v>64</v>
      </c>
      <c r="D283" s="13"/>
      <c r="E283" s="13"/>
      <c r="F283" s="45"/>
      <c r="G283" s="42"/>
      <c r="H283" s="42"/>
      <c r="I283" s="42"/>
      <c r="J283" s="22"/>
      <c r="K283" s="42"/>
    </row>
    <row r="284" ht="39.75" customHeight="1">
      <c r="A284" s="1">
        <v>283.0</v>
      </c>
      <c r="B284" s="2" t="s">
        <v>31</v>
      </c>
      <c r="C284" s="2" t="s">
        <v>54</v>
      </c>
      <c r="D284" s="13"/>
      <c r="E284" s="13"/>
      <c r="F284" s="44" t="s">
        <v>1296</v>
      </c>
      <c r="G284" s="43">
        <v>1.0</v>
      </c>
      <c r="H284" s="42"/>
      <c r="I284" s="42"/>
      <c r="J284" s="22"/>
      <c r="K284" s="42"/>
    </row>
    <row r="285" ht="39.75" hidden="1" customHeight="1">
      <c r="A285" s="1">
        <v>284.0</v>
      </c>
      <c r="B285" s="2" t="s">
        <v>32</v>
      </c>
      <c r="C285" s="2" t="s">
        <v>58</v>
      </c>
      <c r="D285" s="13"/>
      <c r="E285" s="13"/>
      <c r="F285" s="45"/>
      <c r="G285" s="42"/>
      <c r="H285" s="42"/>
      <c r="I285" s="42"/>
      <c r="J285" s="22"/>
      <c r="K285" s="42"/>
    </row>
    <row r="286" ht="39.75" customHeight="1">
      <c r="A286" s="1">
        <v>285.0</v>
      </c>
      <c r="B286" s="2" t="s">
        <v>67</v>
      </c>
      <c r="C286" s="2" t="s">
        <v>54</v>
      </c>
      <c r="D286" s="13"/>
      <c r="E286" s="13"/>
      <c r="F286" s="44" t="s">
        <v>1297</v>
      </c>
      <c r="G286" s="43">
        <v>1.0</v>
      </c>
      <c r="H286" s="42"/>
      <c r="I286" s="42"/>
      <c r="J286" s="22"/>
      <c r="K286" s="42"/>
    </row>
    <row r="287" ht="39.75" customHeight="1">
      <c r="A287" s="1">
        <v>286.0</v>
      </c>
      <c r="B287" s="2" t="s">
        <v>34</v>
      </c>
      <c r="C287" s="2"/>
      <c r="D287" s="13"/>
      <c r="E287" s="51">
        <v>0.8958333333333334</v>
      </c>
      <c r="F287" s="44" t="s">
        <v>1298</v>
      </c>
      <c r="G287" s="43">
        <v>1.0</v>
      </c>
      <c r="H287" s="42"/>
      <c r="I287" s="43">
        <v>1.0</v>
      </c>
      <c r="J287" s="22"/>
      <c r="K287" s="42"/>
    </row>
    <row r="288" ht="39.75" customHeight="1">
      <c r="A288" s="1">
        <v>287.0</v>
      </c>
      <c r="B288" s="2" t="s">
        <v>35</v>
      </c>
      <c r="C288" s="2" t="s">
        <v>39</v>
      </c>
      <c r="D288" s="13"/>
      <c r="E288" s="13"/>
      <c r="F288" s="44" t="s">
        <v>1299</v>
      </c>
      <c r="G288" s="43">
        <v>1.0</v>
      </c>
      <c r="H288" s="42"/>
      <c r="I288" s="43">
        <v>1.0</v>
      </c>
      <c r="J288" s="22"/>
      <c r="K288" s="42"/>
    </row>
    <row r="289" ht="39.75" customHeight="1">
      <c r="A289" s="1">
        <v>288.0</v>
      </c>
      <c r="B289" s="2" t="s">
        <v>36</v>
      </c>
      <c r="C289" s="13"/>
      <c r="D289" s="13"/>
      <c r="E289" s="13"/>
      <c r="F289" s="44" t="s">
        <v>1300</v>
      </c>
      <c r="G289" s="43">
        <v>1.0</v>
      </c>
      <c r="H289" s="42"/>
      <c r="I289" s="43">
        <v>1.0</v>
      </c>
      <c r="J289" s="22"/>
      <c r="K289" s="42"/>
    </row>
    <row r="290" ht="39.75" customHeight="1">
      <c r="A290" s="1">
        <v>289.0</v>
      </c>
      <c r="B290" s="2" t="s">
        <v>38</v>
      </c>
      <c r="C290" s="2" t="s">
        <v>54</v>
      </c>
      <c r="D290" s="13"/>
      <c r="E290" s="13"/>
      <c r="F290" s="44" t="s">
        <v>1301</v>
      </c>
      <c r="G290" s="43">
        <v>2.0</v>
      </c>
      <c r="H290" s="42"/>
      <c r="I290" s="43">
        <v>1.0</v>
      </c>
      <c r="J290" s="22"/>
      <c r="K290" s="42"/>
    </row>
    <row r="291" ht="39.75" customHeight="1">
      <c r="A291" s="1">
        <v>290.0</v>
      </c>
      <c r="B291" s="2" t="s">
        <v>41</v>
      </c>
      <c r="C291" s="2"/>
      <c r="D291" s="13"/>
      <c r="E291" s="13"/>
      <c r="F291" s="44" t="s">
        <v>1302</v>
      </c>
      <c r="G291" s="43">
        <v>1.0</v>
      </c>
      <c r="H291" s="42"/>
      <c r="I291" s="43">
        <v>1.0</v>
      </c>
      <c r="J291" s="22"/>
      <c r="K291" s="42"/>
    </row>
    <row r="292" ht="39.75" customHeight="1">
      <c r="A292" s="1">
        <v>291.0</v>
      </c>
      <c r="B292" s="2" t="s">
        <v>42</v>
      </c>
      <c r="C292" s="2" t="s">
        <v>39</v>
      </c>
      <c r="D292" s="53">
        <v>0.2708333333333333</v>
      </c>
      <c r="E292" s="13"/>
      <c r="F292" s="44" t="s">
        <v>1303</v>
      </c>
      <c r="G292" s="43">
        <v>1.0</v>
      </c>
      <c r="H292" s="42"/>
      <c r="I292" s="42"/>
      <c r="J292" s="22"/>
      <c r="K292" s="42"/>
    </row>
    <row r="293" ht="39.75" customHeight="1">
      <c r="A293" s="1">
        <v>292.0</v>
      </c>
      <c r="B293" s="2" t="s">
        <v>43</v>
      </c>
      <c r="C293" s="2" t="s">
        <v>44</v>
      </c>
      <c r="D293" s="13"/>
      <c r="E293" s="13"/>
      <c r="F293" s="45"/>
      <c r="G293" s="42"/>
      <c r="H293" s="42"/>
      <c r="I293" s="42"/>
      <c r="J293" s="22"/>
      <c r="K293" s="42"/>
    </row>
    <row r="294" ht="39.75" customHeight="1">
      <c r="A294" s="1">
        <v>293.0</v>
      </c>
      <c r="B294" s="2" t="s">
        <v>45</v>
      </c>
      <c r="C294" s="2" t="s">
        <v>69</v>
      </c>
      <c r="D294" s="13"/>
      <c r="E294" s="40">
        <v>0.8611111111111112</v>
      </c>
      <c r="F294" s="44" t="s">
        <v>1304</v>
      </c>
      <c r="G294" s="43">
        <v>1.0</v>
      </c>
      <c r="H294" s="42"/>
      <c r="I294" s="42"/>
      <c r="J294" s="22"/>
      <c r="K294" s="42"/>
    </row>
    <row r="295" ht="39.75" hidden="1" customHeight="1">
      <c r="A295" s="1">
        <v>294.0</v>
      </c>
      <c r="B295" s="2" t="s">
        <v>46</v>
      </c>
      <c r="C295" s="2" t="s">
        <v>58</v>
      </c>
      <c r="D295" s="13"/>
      <c r="E295" s="13"/>
      <c r="F295" s="45"/>
      <c r="G295" s="42"/>
      <c r="H295" s="42"/>
      <c r="I295" s="42"/>
      <c r="J295" s="22"/>
      <c r="K295" s="42"/>
    </row>
    <row r="296" ht="39.75" customHeight="1">
      <c r="A296" s="1">
        <v>295.0</v>
      </c>
      <c r="B296" s="2" t="s">
        <v>47</v>
      </c>
      <c r="C296" s="2" t="s">
        <v>27</v>
      </c>
      <c r="D296" s="13"/>
      <c r="E296" s="13"/>
      <c r="F296" s="45"/>
      <c r="G296" s="42"/>
      <c r="H296" s="42"/>
      <c r="I296" s="42"/>
      <c r="J296" s="22"/>
      <c r="K296" s="42"/>
    </row>
    <row r="297" ht="39.75" customHeight="1">
      <c r="A297" s="1">
        <v>296.0</v>
      </c>
      <c r="B297" s="2" t="s">
        <v>48</v>
      </c>
      <c r="C297" s="13"/>
      <c r="D297" s="13"/>
      <c r="E297" s="13"/>
      <c r="F297" s="44" t="s">
        <v>1305</v>
      </c>
      <c r="G297" s="43">
        <v>2.0</v>
      </c>
      <c r="H297" s="42"/>
      <c r="I297" s="43">
        <v>2.0</v>
      </c>
      <c r="J297" s="22"/>
      <c r="K297" s="42"/>
    </row>
    <row r="298" ht="39.75" customHeight="1">
      <c r="A298" s="1">
        <v>297.0</v>
      </c>
      <c r="B298" s="21"/>
      <c r="C298" s="21"/>
      <c r="D298" s="21"/>
      <c r="E298" s="21"/>
      <c r="F298" s="46"/>
      <c r="G298" s="47"/>
      <c r="H298" s="47"/>
      <c r="I298" s="47"/>
      <c r="J298" s="48"/>
      <c r="K298" s="47"/>
      <c r="L298" s="49"/>
      <c r="M298" s="49"/>
      <c r="N298" s="49"/>
    </row>
    <row r="299" ht="39.75" customHeight="1">
      <c r="A299" s="1">
        <v>298.0</v>
      </c>
      <c r="B299" s="2" t="s">
        <v>12</v>
      </c>
      <c r="C299" s="2" t="s">
        <v>62</v>
      </c>
      <c r="D299" s="13"/>
      <c r="E299" s="13"/>
      <c r="F299" s="45"/>
      <c r="G299" s="42"/>
      <c r="H299" s="42"/>
      <c r="I299" s="42"/>
      <c r="J299" s="27" t="s">
        <v>1161</v>
      </c>
      <c r="K299" s="43"/>
      <c r="L299" s="15" t="s">
        <v>228</v>
      </c>
    </row>
    <row r="300" ht="39.75" customHeight="1">
      <c r="A300" s="1">
        <v>299.0</v>
      </c>
      <c r="B300" s="2" t="s">
        <v>16</v>
      </c>
      <c r="C300" s="2" t="s">
        <v>54</v>
      </c>
      <c r="D300" s="13"/>
      <c r="E300" s="13"/>
      <c r="F300" s="44" t="s">
        <v>1306</v>
      </c>
      <c r="G300" s="43">
        <v>2.0</v>
      </c>
      <c r="H300" s="42"/>
      <c r="I300" s="42"/>
      <c r="J300" s="27" t="s">
        <v>228</v>
      </c>
      <c r="K300" s="43"/>
    </row>
    <row r="301" ht="39.75" customHeight="1">
      <c r="A301" s="1">
        <v>300.0</v>
      </c>
      <c r="B301" s="2" t="s">
        <v>17</v>
      </c>
      <c r="C301" s="2" t="s">
        <v>54</v>
      </c>
      <c r="D301" s="13"/>
      <c r="E301" s="13"/>
      <c r="F301" s="44" t="s">
        <v>1307</v>
      </c>
      <c r="G301" s="43">
        <v>1.0</v>
      </c>
      <c r="H301" s="42"/>
      <c r="I301" s="42"/>
      <c r="J301" s="27" t="s">
        <v>95</v>
      </c>
      <c r="K301" s="43"/>
    </row>
    <row r="302" ht="39.75" customHeight="1">
      <c r="A302" s="1">
        <v>301.0</v>
      </c>
      <c r="B302" s="2" t="s">
        <v>331</v>
      </c>
      <c r="C302" s="2" t="s">
        <v>542</v>
      </c>
      <c r="D302" s="13"/>
      <c r="E302" s="13"/>
      <c r="F302" s="44"/>
      <c r="G302" s="42"/>
      <c r="H302" s="42"/>
      <c r="I302" s="42"/>
      <c r="J302" s="22"/>
      <c r="K302" s="42"/>
    </row>
    <row r="303" ht="39.75" customHeight="1">
      <c r="A303" s="1">
        <v>302.0</v>
      </c>
      <c r="B303" s="2" t="s">
        <v>21</v>
      </c>
      <c r="C303" s="2"/>
      <c r="D303" s="13"/>
      <c r="E303" s="13"/>
      <c r="F303" s="44" t="s">
        <v>1308</v>
      </c>
      <c r="G303" s="43">
        <v>2.0</v>
      </c>
      <c r="H303" s="42"/>
      <c r="I303" s="43">
        <v>2.0</v>
      </c>
      <c r="J303" s="22"/>
      <c r="K303" s="42"/>
    </row>
    <row r="304" ht="39.75" customHeight="1">
      <c r="A304" s="1">
        <v>303.0</v>
      </c>
      <c r="B304" s="2" t="s">
        <v>22</v>
      </c>
      <c r="C304" s="2" t="s">
        <v>69</v>
      </c>
      <c r="D304" s="13"/>
      <c r="E304" s="40">
        <v>0.8611111111111112</v>
      </c>
      <c r="F304" s="44" t="s">
        <v>1309</v>
      </c>
      <c r="G304" s="43">
        <v>1.0</v>
      </c>
      <c r="H304" s="42"/>
      <c r="I304" s="42"/>
      <c r="J304" s="22"/>
      <c r="K304" s="42"/>
    </row>
    <row r="305" ht="39.75" customHeight="1">
      <c r="A305" s="1">
        <v>304.0</v>
      </c>
      <c r="B305" s="2" t="s">
        <v>23</v>
      </c>
      <c r="C305" s="2" t="s">
        <v>69</v>
      </c>
      <c r="D305" s="13"/>
      <c r="E305" s="13"/>
      <c r="F305" s="44" t="s">
        <v>1310</v>
      </c>
      <c r="G305" s="43">
        <v>1.0</v>
      </c>
      <c r="H305" s="42"/>
      <c r="I305" s="42"/>
      <c r="J305" s="22"/>
      <c r="K305" s="42"/>
    </row>
    <row r="306" ht="39.75" customHeight="1">
      <c r="A306" s="1">
        <v>305.0</v>
      </c>
      <c r="B306" s="2" t="s">
        <v>24</v>
      </c>
      <c r="C306" s="2" t="s">
        <v>277</v>
      </c>
      <c r="D306" s="13"/>
      <c r="E306" s="13"/>
      <c r="F306" s="45"/>
      <c r="G306" s="42"/>
      <c r="H306" s="42"/>
      <c r="I306" s="42"/>
      <c r="J306" s="22"/>
      <c r="K306" s="42"/>
    </row>
    <row r="307" ht="39.75" customHeight="1">
      <c r="A307" s="1">
        <v>306.0</v>
      </c>
      <c r="B307" s="2" t="s">
        <v>116</v>
      </c>
      <c r="C307" s="2"/>
      <c r="D307" s="13"/>
      <c r="E307" s="13"/>
      <c r="F307" s="44" t="s">
        <v>1311</v>
      </c>
      <c r="G307" s="43">
        <v>1.0</v>
      </c>
      <c r="H307" s="42"/>
      <c r="I307" s="43">
        <v>1.0</v>
      </c>
      <c r="J307" s="22"/>
      <c r="K307" s="42"/>
    </row>
    <row r="308" ht="39.75" customHeight="1">
      <c r="A308" s="1">
        <v>307.0</v>
      </c>
      <c r="B308" s="2" t="s">
        <v>26</v>
      </c>
      <c r="C308" s="2"/>
      <c r="D308" s="13"/>
      <c r="E308" s="13"/>
      <c r="F308" s="44" t="s">
        <v>1312</v>
      </c>
      <c r="G308" s="43">
        <v>1.0</v>
      </c>
      <c r="H308" s="42"/>
      <c r="I308" s="42"/>
      <c r="J308" s="22"/>
      <c r="K308" s="42"/>
    </row>
    <row r="309" ht="39.75" hidden="1" customHeight="1">
      <c r="A309" s="1">
        <v>308.0</v>
      </c>
      <c r="B309" s="2" t="s">
        <v>29</v>
      </c>
      <c r="C309" s="2" t="s">
        <v>58</v>
      </c>
      <c r="D309" s="13"/>
      <c r="E309" s="13"/>
      <c r="F309" s="45"/>
      <c r="G309" s="42"/>
      <c r="H309" s="42"/>
      <c r="I309" s="42"/>
      <c r="J309" s="22"/>
      <c r="K309" s="42"/>
    </row>
    <row r="310" ht="39.75" customHeight="1">
      <c r="A310" s="1">
        <v>309.0</v>
      </c>
      <c r="B310" s="2" t="s">
        <v>30</v>
      </c>
      <c r="C310" s="2" t="s">
        <v>64</v>
      </c>
      <c r="D310" s="13"/>
      <c r="E310" s="13"/>
      <c r="F310" s="45"/>
      <c r="G310" s="42"/>
      <c r="H310" s="42"/>
      <c r="I310" s="42"/>
      <c r="J310" s="22"/>
      <c r="K310" s="42"/>
    </row>
    <row r="311" ht="39.75" customHeight="1">
      <c r="A311" s="1">
        <v>310.0</v>
      </c>
      <c r="B311" s="2" t="s">
        <v>31</v>
      </c>
      <c r="C311" s="2" t="s">
        <v>54</v>
      </c>
      <c r="D311" s="13"/>
      <c r="E311" s="13"/>
      <c r="F311" s="44" t="s">
        <v>1313</v>
      </c>
      <c r="G311" s="43">
        <v>2.0</v>
      </c>
      <c r="H311" s="42"/>
      <c r="I311" s="43">
        <v>1.0</v>
      </c>
      <c r="J311" s="22"/>
      <c r="K311" s="42"/>
    </row>
    <row r="312" ht="39.75" hidden="1" customHeight="1">
      <c r="A312" s="1">
        <v>311.0</v>
      </c>
      <c r="B312" s="2" t="s">
        <v>32</v>
      </c>
      <c r="C312" s="2" t="s">
        <v>58</v>
      </c>
      <c r="D312" s="13"/>
      <c r="E312" s="13"/>
      <c r="F312" s="45"/>
      <c r="G312" s="42"/>
      <c r="H312" s="42"/>
      <c r="I312" s="42"/>
      <c r="J312" s="22"/>
      <c r="K312" s="42"/>
    </row>
    <row r="313" ht="39.75" customHeight="1">
      <c r="A313" s="1">
        <v>312.0</v>
      </c>
      <c r="B313" s="2" t="s">
        <v>67</v>
      </c>
      <c r="C313" s="2" t="s">
        <v>69</v>
      </c>
      <c r="D313" s="13"/>
      <c r="E313" s="40">
        <v>0.8194444444444444</v>
      </c>
      <c r="F313" s="44" t="s">
        <v>1314</v>
      </c>
      <c r="G313" s="43">
        <v>1.0</v>
      </c>
      <c r="H313" s="42"/>
      <c r="I313" s="42"/>
      <c r="J313" s="22"/>
      <c r="K313" s="42"/>
    </row>
    <row r="314" ht="39.75" customHeight="1">
      <c r="A314" s="1">
        <v>313.0</v>
      </c>
      <c r="B314" s="2" t="s">
        <v>34</v>
      </c>
      <c r="C314" s="2" t="s">
        <v>27</v>
      </c>
      <c r="D314" s="13"/>
      <c r="E314" s="13"/>
      <c r="F314" s="45"/>
      <c r="G314" s="42"/>
      <c r="H314" s="42"/>
      <c r="I314" s="42"/>
      <c r="J314" s="22"/>
      <c r="K314" s="42"/>
    </row>
    <row r="315" ht="39.75" hidden="1" customHeight="1">
      <c r="A315" s="1">
        <v>314.0</v>
      </c>
      <c r="B315" s="2" t="s">
        <v>35</v>
      </c>
      <c r="C315" s="2" t="s">
        <v>66</v>
      </c>
      <c r="D315" s="13"/>
      <c r="E315" s="13"/>
      <c r="F315" s="45"/>
      <c r="G315" s="42"/>
      <c r="H315" s="42"/>
      <c r="I315" s="42"/>
      <c r="J315" s="22"/>
      <c r="K315" s="42"/>
    </row>
    <row r="316" ht="39.75" customHeight="1">
      <c r="A316" s="1">
        <v>315.0</v>
      </c>
      <c r="B316" s="2" t="s">
        <v>36</v>
      </c>
      <c r="C316" s="13"/>
      <c r="D316" s="13"/>
      <c r="E316" s="13"/>
      <c r="F316" s="44" t="s">
        <v>1315</v>
      </c>
      <c r="G316" s="43">
        <v>1.0</v>
      </c>
      <c r="H316" s="42"/>
      <c r="I316" s="42"/>
      <c r="J316" s="22"/>
      <c r="K316" s="42"/>
    </row>
    <row r="317" ht="39.75" customHeight="1">
      <c r="A317" s="1">
        <v>316.0</v>
      </c>
      <c r="B317" s="2" t="s">
        <v>38</v>
      </c>
      <c r="C317" s="2" t="s">
        <v>39</v>
      </c>
      <c r="D317" s="40">
        <v>0.2916666666666667</v>
      </c>
      <c r="E317" s="13"/>
      <c r="F317" s="44" t="s">
        <v>1316</v>
      </c>
      <c r="G317" s="43">
        <v>1.0</v>
      </c>
      <c r="H317" s="42"/>
      <c r="I317" s="42"/>
      <c r="J317" s="22"/>
      <c r="K317" s="42"/>
    </row>
    <row r="318" ht="39.75" customHeight="1">
      <c r="A318" s="1">
        <v>317.0</v>
      </c>
      <c r="B318" s="2" t="s">
        <v>41</v>
      </c>
      <c r="C318" s="2" t="s">
        <v>39</v>
      </c>
      <c r="D318" s="40">
        <v>0.2916666666666667</v>
      </c>
      <c r="E318" s="13"/>
      <c r="F318" s="44" t="s">
        <v>1317</v>
      </c>
      <c r="G318" s="43">
        <v>1.0</v>
      </c>
      <c r="H318" s="42"/>
      <c r="I318" s="42"/>
      <c r="J318" s="22"/>
      <c r="K318" s="42"/>
    </row>
    <row r="319" ht="39.75" customHeight="1">
      <c r="A319" s="1">
        <v>318.0</v>
      </c>
      <c r="B319" s="2" t="s">
        <v>42</v>
      </c>
      <c r="C319" s="2"/>
      <c r="D319" s="13"/>
      <c r="E319" s="13"/>
      <c r="F319" s="44" t="s">
        <v>1318</v>
      </c>
      <c r="G319" s="43">
        <v>1.0</v>
      </c>
      <c r="H319" s="42"/>
      <c r="I319" s="43">
        <v>1.0</v>
      </c>
      <c r="J319" s="22"/>
      <c r="K319" s="42"/>
    </row>
    <row r="320" ht="39.75" customHeight="1">
      <c r="A320" s="1">
        <v>319.0</v>
      </c>
      <c r="B320" s="2" t="s">
        <v>43</v>
      </c>
      <c r="C320" s="2"/>
      <c r="D320" s="13"/>
      <c r="E320" s="13"/>
      <c r="F320" s="44" t="s">
        <v>1319</v>
      </c>
      <c r="G320" s="43">
        <v>1.0</v>
      </c>
      <c r="H320" s="42"/>
      <c r="I320" s="43">
        <v>1.0</v>
      </c>
      <c r="J320" s="22"/>
      <c r="K320" s="42"/>
    </row>
    <row r="321" ht="39.75" customHeight="1">
      <c r="A321" s="1">
        <v>320.0</v>
      </c>
      <c r="B321" s="2" t="s">
        <v>45</v>
      </c>
      <c r="C321" s="2"/>
      <c r="D321" s="13"/>
      <c r="E321" s="13"/>
      <c r="F321" s="44" t="s">
        <v>1311</v>
      </c>
      <c r="G321" s="43">
        <v>1.0</v>
      </c>
      <c r="H321" s="42"/>
      <c r="I321" s="43">
        <v>1.0</v>
      </c>
      <c r="J321" s="22"/>
      <c r="K321" s="42"/>
    </row>
    <row r="322" ht="39.75" hidden="1" customHeight="1">
      <c r="A322" s="1">
        <v>321.0</v>
      </c>
      <c r="B322" s="2" t="s">
        <v>46</v>
      </c>
      <c r="C322" s="2" t="s">
        <v>58</v>
      </c>
      <c r="D322" s="13"/>
      <c r="E322" s="13"/>
      <c r="F322" s="45"/>
      <c r="G322" s="42"/>
      <c r="H322" s="42"/>
      <c r="I322" s="42"/>
      <c r="J322" s="22"/>
      <c r="K322" s="42"/>
    </row>
    <row r="323" ht="39.75" customHeight="1">
      <c r="A323" s="1">
        <v>322.0</v>
      </c>
      <c r="B323" s="2" t="s">
        <v>47</v>
      </c>
      <c r="C323" s="2" t="s">
        <v>44</v>
      </c>
      <c r="D323" s="13"/>
      <c r="E323" s="13"/>
      <c r="F323" s="45"/>
      <c r="G323" s="42"/>
      <c r="H323" s="42"/>
      <c r="I323" s="42"/>
      <c r="J323" s="22"/>
      <c r="K323" s="42"/>
    </row>
    <row r="324" ht="39.75" customHeight="1">
      <c r="A324" s="1">
        <v>323.0</v>
      </c>
      <c r="B324" s="2" t="s">
        <v>48</v>
      </c>
      <c r="C324" s="2" t="s">
        <v>54</v>
      </c>
      <c r="D324" s="53">
        <v>0.3541666666666667</v>
      </c>
      <c r="E324" s="13"/>
      <c r="F324" s="44" t="s">
        <v>1320</v>
      </c>
      <c r="G324" s="43">
        <v>1.0</v>
      </c>
      <c r="H324" s="42"/>
      <c r="I324" s="42"/>
      <c r="J324" s="22"/>
      <c r="K324" s="42"/>
    </row>
    <row r="325" ht="39.75" customHeight="1">
      <c r="A325" s="1">
        <v>324.0</v>
      </c>
      <c r="B325" s="21"/>
      <c r="C325" s="21"/>
      <c r="D325" s="21"/>
      <c r="E325" s="21"/>
      <c r="F325" s="46"/>
      <c r="G325" s="47"/>
      <c r="H325" s="47"/>
      <c r="I325" s="47"/>
      <c r="J325" s="48"/>
      <c r="K325" s="47"/>
      <c r="L325" s="49"/>
      <c r="M325" s="49"/>
      <c r="N325" s="49"/>
    </row>
    <row r="326" ht="39.75" hidden="1" customHeight="1">
      <c r="A326" s="1">
        <v>325.0</v>
      </c>
      <c r="B326" s="2" t="s">
        <v>12</v>
      </c>
      <c r="C326" s="2" t="s">
        <v>58</v>
      </c>
      <c r="D326" s="13"/>
      <c r="E326" s="13"/>
      <c r="F326" s="45"/>
      <c r="G326" s="42"/>
      <c r="H326" s="42"/>
      <c r="I326" s="42"/>
      <c r="J326" s="27" t="s">
        <v>1161</v>
      </c>
      <c r="K326" s="43"/>
      <c r="L326" s="15" t="s">
        <v>244</v>
      </c>
    </row>
    <row r="327" ht="39.75" customHeight="1">
      <c r="A327" s="1">
        <v>326.0</v>
      </c>
      <c r="B327" s="2" t="s">
        <v>16</v>
      </c>
      <c r="C327" s="2" t="s">
        <v>54</v>
      </c>
      <c r="D327" s="13"/>
      <c r="E327" s="13"/>
      <c r="F327" s="44" t="s">
        <v>1321</v>
      </c>
      <c r="G327" s="43">
        <v>1.0</v>
      </c>
      <c r="H327" s="42"/>
      <c r="I327" s="42"/>
      <c r="J327" s="27" t="s">
        <v>244</v>
      </c>
      <c r="K327" s="43"/>
    </row>
    <row r="328" ht="39.75" customHeight="1">
      <c r="A328" s="1">
        <v>327.0</v>
      </c>
      <c r="B328" s="2" t="s">
        <v>17</v>
      </c>
      <c r="C328" s="2" t="s">
        <v>54</v>
      </c>
      <c r="D328" s="13"/>
      <c r="E328" s="13"/>
      <c r="F328" s="44" t="s">
        <v>1322</v>
      </c>
      <c r="G328" s="43">
        <v>1.0</v>
      </c>
      <c r="H328" s="42"/>
      <c r="I328" s="42"/>
      <c r="J328" s="27" t="s">
        <v>111</v>
      </c>
      <c r="K328" s="43"/>
    </row>
    <row r="329" ht="39.75" customHeight="1">
      <c r="A329" s="1">
        <v>328.0</v>
      </c>
      <c r="B329" s="2" t="s">
        <v>331</v>
      </c>
      <c r="C329" s="2" t="s">
        <v>542</v>
      </c>
      <c r="D329" s="13"/>
      <c r="E329" s="13"/>
      <c r="F329" s="44" t="s">
        <v>1323</v>
      </c>
      <c r="G329" s="43">
        <v>1.0</v>
      </c>
      <c r="H329" s="42"/>
      <c r="I329" s="42"/>
      <c r="J329" s="22"/>
      <c r="K329" s="42"/>
    </row>
    <row r="330" ht="39.75" customHeight="1">
      <c r="A330" s="1">
        <v>329.0</v>
      </c>
      <c r="B330" s="2" t="s">
        <v>21</v>
      </c>
      <c r="C330" s="2"/>
      <c r="D330" s="13"/>
      <c r="E330" s="13"/>
      <c r="F330" s="44" t="s">
        <v>1324</v>
      </c>
      <c r="G330" s="43">
        <v>1.0</v>
      </c>
      <c r="H330" s="42"/>
      <c r="I330" s="42"/>
      <c r="J330" s="22"/>
      <c r="K330" s="42"/>
    </row>
    <row r="331" ht="39.75" customHeight="1">
      <c r="A331" s="1">
        <v>330.0</v>
      </c>
      <c r="B331" s="2" t="s">
        <v>22</v>
      </c>
      <c r="C331" s="2"/>
      <c r="D331" s="13"/>
      <c r="E331" s="13"/>
      <c r="F331" s="44" t="s">
        <v>1325</v>
      </c>
      <c r="G331" s="43">
        <v>1.0</v>
      </c>
      <c r="H331" s="42"/>
      <c r="I331" s="43">
        <v>1.0</v>
      </c>
      <c r="J331" s="22"/>
      <c r="K331" s="42"/>
    </row>
    <row r="332" ht="39.75" customHeight="1">
      <c r="A332" s="1">
        <v>331.0</v>
      </c>
      <c r="B332" s="2" t="s">
        <v>23</v>
      </c>
      <c r="C332" s="2"/>
      <c r="D332" s="13"/>
      <c r="E332" s="13"/>
      <c r="F332" s="44" t="s">
        <v>1326</v>
      </c>
      <c r="G332" s="43">
        <v>1.0</v>
      </c>
      <c r="H332" s="42"/>
      <c r="I332" s="42"/>
      <c r="J332" s="22"/>
      <c r="K332" s="42"/>
    </row>
    <row r="333" ht="39.75" customHeight="1">
      <c r="A333" s="1">
        <v>332.0</v>
      </c>
      <c r="B333" s="2" t="s">
        <v>24</v>
      </c>
      <c r="C333" s="2" t="s">
        <v>277</v>
      </c>
      <c r="D333" s="13"/>
      <c r="E333" s="13"/>
      <c r="F333" s="45"/>
      <c r="G333" s="42"/>
      <c r="H333" s="42"/>
      <c r="I333" s="42"/>
      <c r="J333" s="22"/>
      <c r="K333" s="42"/>
    </row>
    <row r="334" ht="39.75" customHeight="1">
      <c r="A334" s="1">
        <v>333.0</v>
      </c>
      <c r="B334" s="2" t="s">
        <v>25</v>
      </c>
      <c r="C334" s="2" t="s">
        <v>39</v>
      </c>
      <c r="D334" s="13"/>
      <c r="E334" s="13"/>
      <c r="F334" s="44" t="s">
        <v>1327</v>
      </c>
      <c r="G334" s="43">
        <v>1.0</v>
      </c>
      <c r="H334" s="42"/>
      <c r="I334" s="42"/>
      <c r="J334" s="22"/>
      <c r="K334" s="42"/>
    </row>
    <row r="335" ht="39.75" customHeight="1">
      <c r="A335" s="1">
        <v>334.0</v>
      </c>
      <c r="B335" s="2" t="s">
        <v>26</v>
      </c>
      <c r="C335" s="2"/>
      <c r="D335" s="13"/>
      <c r="E335" s="13"/>
      <c r="F335" s="44" t="s">
        <v>1328</v>
      </c>
      <c r="G335" s="43">
        <v>1.0</v>
      </c>
      <c r="H335" s="42"/>
      <c r="I335" s="43">
        <v>1.0</v>
      </c>
      <c r="J335" s="22"/>
      <c r="K335" s="42"/>
    </row>
    <row r="336" ht="39.75" customHeight="1">
      <c r="A336" s="1">
        <v>335.0</v>
      </c>
      <c r="B336" s="2" t="s">
        <v>29</v>
      </c>
      <c r="C336" s="2"/>
      <c r="D336" s="13"/>
      <c r="E336" s="13"/>
      <c r="F336" s="44" t="s">
        <v>1329</v>
      </c>
      <c r="G336" s="43">
        <v>2.0</v>
      </c>
      <c r="H336" s="42"/>
      <c r="I336" s="43">
        <v>1.0</v>
      </c>
      <c r="J336" s="22"/>
      <c r="K336" s="42"/>
    </row>
    <row r="337" ht="39.75" customHeight="1">
      <c r="A337" s="1">
        <v>336.0</v>
      </c>
      <c r="B337" s="2" t="s">
        <v>30</v>
      </c>
      <c r="C337" s="2" t="s">
        <v>64</v>
      </c>
      <c r="D337" s="13"/>
      <c r="E337" s="13"/>
      <c r="F337" s="45"/>
      <c r="G337" s="42"/>
      <c r="H337" s="42"/>
      <c r="I337" s="42"/>
      <c r="J337" s="22"/>
      <c r="K337" s="42"/>
    </row>
    <row r="338" ht="39.75" customHeight="1">
      <c r="A338" s="1">
        <v>337.0</v>
      </c>
      <c r="B338" s="2" t="s">
        <v>31</v>
      </c>
      <c r="C338" s="2" t="s">
        <v>54</v>
      </c>
      <c r="D338" s="13"/>
      <c r="E338" s="13"/>
      <c r="F338" s="44" t="s">
        <v>1330</v>
      </c>
      <c r="G338" s="43">
        <v>1.0</v>
      </c>
      <c r="H338" s="42"/>
      <c r="I338" s="42"/>
      <c r="J338" s="22"/>
      <c r="K338" s="42"/>
    </row>
    <row r="339" ht="39.75" hidden="1" customHeight="1">
      <c r="A339" s="1">
        <v>338.0</v>
      </c>
      <c r="B339" s="2" t="s">
        <v>32</v>
      </c>
      <c r="C339" s="2" t="s">
        <v>58</v>
      </c>
      <c r="D339" s="13"/>
      <c r="E339" s="13"/>
      <c r="F339" s="45"/>
      <c r="G339" s="42"/>
      <c r="H339" s="42"/>
      <c r="I339" s="42"/>
      <c r="J339" s="22"/>
      <c r="K339" s="42"/>
    </row>
    <row r="340" ht="39.75" hidden="1" customHeight="1">
      <c r="A340" s="1">
        <v>339.0</v>
      </c>
      <c r="B340" s="2" t="s">
        <v>67</v>
      </c>
      <c r="C340" s="2" t="s">
        <v>58</v>
      </c>
      <c r="D340" s="13"/>
      <c r="E340" s="13"/>
      <c r="F340" s="45"/>
      <c r="G340" s="42"/>
      <c r="H340" s="42"/>
      <c r="I340" s="42"/>
      <c r="J340" s="22"/>
      <c r="K340" s="42"/>
    </row>
    <row r="341" ht="39.75" customHeight="1">
      <c r="A341" s="1">
        <v>340.0</v>
      </c>
      <c r="B341" s="2" t="s">
        <v>34</v>
      </c>
      <c r="C341" s="2" t="s">
        <v>44</v>
      </c>
      <c r="D341" s="13"/>
      <c r="E341" s="13"/>
      <c r="F341" s="45"/>
      <c r="G341" s="42"/>
      <c r="H341" s="42"/>
      <c r="I341" s="42"/>
      <c r="J341" s="22"/>
      <c r="K341" s="42"/>
    </row>
    <row r="342" ht="39.75" hidden="1" customHeight="1">
      <c r="A342" s="1">
        <v>341.0</v>
      </c>
      <c r="B342" s="2" t="s">
        <v>35</v>
      </c>
      <c r="C342" s="2" t="s">
        <v>58</v>
      </c>
      <c r="D342" s="13"/>
      <c r="E342" s="13"/>
      <c r="F342" s="45"/>
      <c r="G342" s="42"/>
      <c r="H342" s="42"/>
      <c r="I342" s="42"/>
      <c r="J342" s="22"/>
      <c r="K342" s="42"/>
    </row>
    <row r="343" ht="39.75" customHeight="1">
      <c r="A343" s="1">
        <v>342.0</v>
      </c>
      <c r="B343" s="2" t="s">
        <v>36</v>
      </c>
      <c r="C343" s="13"/>
      <c r="D343" s="13"/>
      <c r="E343" s="13"/>
      <c r="F343" s="44" t="s">
        <v>1331</v>
      </c>
      <c r="G343" s="42"/>
      <c r="H343" s="42"/>
      <c r="I343" s="42"/>
      <c r="J343" s="22"/>
      <c r="K343" s="42"/>
    </row>
    <row r="344" ht="39.75" customHeight="1">
      <c r="A344" s="1">
        <v>343.0</v>
      </c>
      <c r="B344" s="2" t="s">
        <v>38</v>
      </c>
      <c r="C344" s="2" t="s">
        <v>27</v>
      </c>
      <c r="D344" s="13"/>
      <c r="E344" s="13"/>
      <c r="F344" s="45"/>
      <c r="G344" s="42"/>
      <c r="H344" s="42"/>
      <c r="I344" s="42"/>
      <c r="J344" s="22"/>
      <c r="K344" s="42"/>
    </row>
    <row r="345" ht="39.75" hidden="1" customHeight="1">
      <c r="A345" s="1">
        <v>344.0</v>
      </c>
      <c r="B345" s="2" t="s">
        <v>41</v>
      </c>
      <c r="C345" s="2" t="s">
        <v>66</v>
      </c>
      <c r="D345" s="13"/>
      <c r="E345" s="13"/>
      <c r="F345" s="45"/>
      <c r="G345" s="42"/>
      <c r="H345" s="42"/>
      <c r="I345" s="42"/>
      <c r="J345" s="22"/>
      <c r="K345" s="42"/>
    </row>
    <row r="346" ht="39.75" customHeight="1">
      <c r="A346" s="1">
        <v>345.0</v>
      </c>
      <c r="B346" s="2" t="s">
        <v>42</v>
      </c>
      <c r="C346" s="2" t="s">
        <v>39</v>
      </c>
      <c r="D346" s="13"/>
      <c r="E346" s="13"/>
      <c r="F346" s="44" t="s">
        <v>1332</v>
      </c>
      <c r="G346" s="43">
        <v>1.0</v>
      </c>
      <c r="H346" s="42"/>
      <c r="I346" s="43">
        <v>1.0</v>
      </c>
      <c r="J346" s="22"/>
      <c r="K346" s="42"/>
    </row>
    <row r="347" ht="39.75" customHeight="1">
      <c r="A347" s="1">
        <v>346.0</v>
      </c>
      <c r="B347" s="2" t="s">
        <v>43</v>
      </c>
      <c r="C347" s="2" t="s">
        <v>69</v>
      </c>
      <c r="D347" s="13"/>
      <c r="E347" s="13"/>
      <c r="F347" s="44" t="s">
        <v>1333</v>
      </c>
      <c r="G347" s="43">
        <v>1.0</v>
      </c>
      <c r="H347" s="42"/>
      <c r="I347" s="43">
        <v>1.0</v>
      </c>
      <c r="J347" s="22"/>
      <c r="K347" s="42"/>
    </row>
    <row r="348" ht="39.75" customHeight="1">
      <c r="A348" s="1">
        <v>347.0</v>
      </c>
      <c r="B348" s="2" t="s">
        <v>45</v>
      </c>
      <c r="C348" s="2"/>
      <c r="D348" s="13"/>
      <c r="E348" s="13"/>
      <c r="F348" s="44" t="s">
        <v>1334</v>
      </c>
      <c r="G348" s="43">
        <v>1.0</v>
      </c>
      <c r="H348" s="42"/>
      <c r="I348" s="42"/>
      <c r="J348" s="22"/>
      <c r="K348" s="42"/>
    </row>
    <row r="349" ht="39.75" customHeight="1">
      <c r="A349" s="1">
        <v>348.0</v>
      </c>
      <c r="B349" s="2" t="s">
        <v>46</v>
      </c>
      <c r="C349" s="2" t="s">
        <v>69</v>
      </c>
      <c r="D349" s="13"/>
      <c r="E349" s="40">
        <v>0.8333333333333334</v>
      </c>
      <c r="F349" s="44" t="s">
        <v>1335</v>
      </c>
      <c r="G349" s="43">
        <v>1.0</v>
      </c>
      <c r="H349" s="42"/>
      <c r="I349" s="42"/>
      <c r="J349" s="22"/>
      <c r="K349" s="42"/>
    </row>
    <row r="350" ht="39.75" customHeight="1">
      <c r="A350" s="1">
        <v>349.0</v>
      </c>
      <c r="B350" s="2" t="s">
        <v>47</v>
      </c>
      <c r="C350" s="2" t="s">
        <v>69</v>
      </c>
      <c r="D350" s="13"/>
      <c r="E350" s="13"/>
      <c r="F350" s="45"/>
      <c r="G350" s="42"/>
      <c r="H350" s="42"/>
      <c r="I350" s="42"/>
      <c r="J350" s="22"/>
      <c r="K350" s="42"/>
    </row>
    <row r="351" ht="39.75" customHeight="1">
      <c r="A351" s="1">
        <v>350.0</v>
      </c>
      <c r="B351" s="2" t="s">
        <v>48</v>
      </c>
      <c r="C351" s="2" t="s">
        <v>54</v>
      </c>
      <c r="D351" s="13"/>
      <c r="E351" s="13"/>
      <c r="F351" s="44" t="s">
        <v>1336</v>
      </c>
      <c r="G351" s="43">
        <v>1.0</v>
      </c>
      <c r="H351" s="42"/>
      <c r="I351" s="42"/>
      <c r="J351" s="22"/>
      <c r="K351" s="42"/>
    </row>
    <row r="352" ht="39.75" customHeight="1">
      <c r="A352" s="1">
        <v>351.0</v>
      </c>
      <c r="B352" s="21"/>
      <c r="C352" s="21"/>
      <c r="D352" s="21"/>
      <c r="E352" s="21"/>
      <c r="F352" s="46"/>
      <c r="G352" s="47"/>
      <c r="H352" s="47"/>
      <c r="I352" s="47"/>
      <c r="J352" s="48"/>
      <c r="K352" s="47"/>
      <c r="L352" s="49"/>
      <c r="M352" s="49"/>
      <c r="N352" s="49"/>
    </row>
    <row r="353" ht="39.75" hidden="1" customHeight="1">
      <c r="A353" s="1">
        <v>352.0</v>
      </c>
      <c r="B353" s="2" t="s">
        <v>12</v>
      </c>
      <c r="C353" s="2" t="s">
        <v>66</v>
      </c>
      <c r="D353" s="13"/>
      <c r="E353" s="13"/>
      <c r="F353" s="45"/>
      <c r="G353" s="42"/>
      <c r="H353" s="42"/>
      <c r="I353" s="42"/>
      <c r="J353" s="27" t="s">
        <v>1161</v>
      </c>
      <c r="K353" s="43"/>
      <c r="L353" s="15" t="s">
        <v>260</v>
      </c>
    </row>
    <row r="354" ht="39.75" customHeight="1">
      <c r="A354" s="1">
        <v>353.0</v>
      </c>
      <c r="B354" s="2" t="s">
        <v>16</v>
      </c>
      <c r="C354" s="2" t="s">
        <v>54</v>
      </c>
      <c r="D354" s="13"/>
      <c r="E354" s="13"/>
      <c r="F354" s="44" t="s">
        <v>1337</v>
      </c>
      <c r="G354" s="43">
        <v>1.0</v>
      </c>
      <c r="H354" s="42"/>
      <c r="I354" s="42"/>
      <c r="J354" s="27" t="s">
        <v>260</v>
      </c>
      <c r="K354" s="43"/>
    </row>
    <row r="355" ht="39.75" customHeight="1">
      <c r="A355" s="1">
        <v>354.0</v>
      </c>
      <c r="B355" s="2" t="s">
        <v>17</v>
      </c>
      <c r="C355" s="2" t="s">
        <v>54</v>
      </c>
      <c r="D355" s="13"/>
      <c r="E355" s="13"/>
      <c r="F355" s="44" t="s">
        <v>1338</v>
      </c>
      <c r="G355" s="43">
        <v>1.0</v>
      </c>
      <c r="H355" s="42"/>
      <c r="I355" s="42"/>
      <c r="J355" s="27" t="s">
        <v>131</v>
      </c>
      <c r="K355" s="43"/>
    </row>
    <row r="356" ht="39.75" customHeight="1">
      <c r="A356" s="1">
        <v>355.0</v>
      </c>
      <c r="B356" s="2" t="s">
        <v>331</v>
      </c>
      <c r="C356" s="2" t="s">
        <v>542</v>
      </c>
      <c r="D356" s="13"/>
      <c r="E356" s="13"/>
      <c r="F356" s="44"/>
      <c r="G356" s="42"/>
      <c r="H356" s="42"/>
      <c r="I356" s="42"/>
      <c r="J356" s="22"/>
      <c r="K356" s="42"/>
    </row>
    <row r="357" ht="39.75" customHeight="1">
      <c r="A357" s="1">
        <v>356.0</v>
      </c>
      <c r="B357" s="2" t="s">
        <v>21</v>
      </c>
      <c r="C357" s="2"/>
      <c r="D357" s="13"/>
      <c r="E357" s="13"/>
      <c r="F357" s="44" t="s">
        <v>1339</v>
      </c>
      <c r="G357" s="43">
        <v>2.0</v>
      </c>
      <c r="H357" s="42"/>
      <c r="I357" s="42"/>
      <c r="J357" s="22"/>
      <c r="K357" s="42"/>
    </row>
    <row r="358" ht="39.75" customHeight="1">
      <c r="A358" s="1">
        <v>357.0</v>
      </c>
      <c r="B358" s="2" t="s">
        <v>22</v>
      </c>
      <c r="C358" s="2" t="s">
        <v>39</v>
      </c>
      <c r="D358" s="53">
        <v>0.2708333333333333</v>
      </c>
      <c r="E358" s="13"/>
      <c r="F358" s="44" t="s">
        <v>1340</v>
      </c>
      <c r="G358" s="43">
        <v>1.0</v>
      </c>
      <c r="H358" s="42"/>
      <c r="I358" s="42"/>
      <c r="J358" s="22"/>
      <c r="K358" s="42"/>
    </row>
    <row r="359" ht="39.75" customHeight="1">
      <c r="A359" s="1">
        <v>358.0</v>
      </c>
      <c r="B359" s="2" t="s">
        <v>23</v>
      </c>
      <c r="C359" s="2" t="s">
        <v>69</v>
      </c>
      <c r="D359" s="13"/>
      <c r="E359" s="40">
        <v>0.8541666666666666</v>
      </c>
      <c r="F359" s="44" t="s">
        <v>1341</v>
      </c>
      <c r="G359" s="43">
        <v>1.0</v>
      </c>
      <c r="H359" s="42"/>
      <c r="I359" s="42"/>
      <c r="J359" s="22"/>
      <c r="K359" s="42"/>
    </row>
    <row r="360" ht="39.75" customHeight="1">
      <c r="A360" s="1">
        <v>359.0</v>
      </c>
      <c r="B360" s="2" t="s">
        <v>24</v>
      </c>
      <c r="C360" s="2" t="s">
        <v>277</v>
      </c>
      <c r="D360" s="13"/>
      <c r="E360" s="13"/>
      <c r="F360" s="45"/>
      <c r="G360" s="42"/>
      <c r="H360" s="42"/>
      <c r="I360" s="42"/>
      <c r="J360" s="22"/>
      <c r="K360" s="42"/>
    </row>
    <row r="361" ht="39.75" hidden="1" customHeight="1">
      <c r="A361" s="1">
        <v>360.0</v>
      </c>
      <c r="B361" s="2" t="s">
        <v>25</v>
      </c>
      <c r="C361" s="2" t="s">
        <v>58</v>
      </c>
      <c r="D361" s="13"/>
      <c r="E361" s="13"/>
      <c r="F361" s="45"/>
      <c r="G361" s="42"/>
      <c r="H361" s="42"/>
      <c r="I361" s="42"/>
      <c r="J361" s="22"/>
      <c r="K361" s="42"/>
    </row>
    <row r="362" ht="39.75" customHeight="1">
      <c r="A362" s="1">
        <v>361.0</v>
      </c>
      <c r="B362" s="2" t="s">
        <v>26</v>
      </c>
      <c r="C362" s="2"/>
      <c r="D362" s="13"/>
      <c r="E362" s="13"/>
      <c r="F362" s="44" t="s">
        <v>1342</v>
      </c>
      <c r="G362" s="43">
        <v>1.0</v>
      </c>
      <c r="H362" s="42"/>
      <c r="I362" s="42"/>
      <c r="J362" s="22"/>
      <c r="K362" s="42"/>
    </row>
    <row r="363" ht="39.75" customHeight="1">
      <c r="A363" s="1">
        <v>362.0</v>
      </c>
      <c r="B363" s="2" t="s">
        <v>29</v>
      </c>
      <c r="C363" s="2" t="s">
        <v>69</v>
      </c>
      <c r="D363" s="13"/>
      <c r="E363" s="40">
        <v>0.84375</v>
      </c>
      <c r="F363" s="44" t="s">
        <v>1343</v>
      </c>
      <c r="G363" s="43">
        <v>1.0</v>
      </c>
      <c r="H363" s="42"/>
      <c r="I363" s="42"/>
      <c r="J363" s="22"/>
      <c r="K363" s="42"/>
    </row>
    <row r="364" ht="39.75" customHeight="1">
      <c r="A364" s="1">
        <v>363.0</v>
      </c>
      <c r="B364" s="2" t="s">
        <v>30</v>
      </c>
      <c r="C364" s="2" t="s">
        <v>64</v>
      </c>
      <c r="D364" s="13"/>
      <c r="E364" s="13"/>
      <c r="F364" s="45"/>
      <c r="G364" s="42"/>
      <c r="H364" s="42"/>
      <c r="I364" s="42"/>
      <c r="J364" s="22"/>
      <c r="K364" s="42"/>
    </row>
    <row r="365" ht="39.75" customHeight="1">
      <c r="A365" s="1">
        <v>364.0</v>
      </c>
      <c r="B365" s="2" t="s">
        <v>31</v>
      </c>
      <c r="C365" s="2"/>
      <c r="D365" s="13"/>
      <c r="E365" s="13"/>
      <c r="F365" s="44" t="s">
        <v>1344</v>
      </c>
      <c r="G365" s="43">
        <v>1.0</v>
      </c>
      <c r="H365" s="42"/>
      <c r="I365" s="43">
        <v>1.0</v>
      </c>
      <c r="J365" s="22"/>
      <c r="K365" s="42"/>
    </row>
    <row r="366" ht="39.75" hidden="1" customHeight="1">
      <c r="A366" s="1">
        <v>365.0</v>
      </c>
      <c r="B366" s="2" t="s">
        <v>32</v>
      </c>
      <c r="C366" s="2" t="s">
        <v>58</v>
      </c>
      <c r="D366" s="13"/>
      <c r="E366" s="13"/>
      <c r="F366" s="45"/>
      <c r="G366" s="42"/>
      <c r="H366" s="42"/>
      <c r="I366" s="42"/>
      <c r="J366" s="22"/>
      <c r="K366" s="42"/>
    </row>
    <row r="367" ht="39.75" customHeight="1">
      <c r="A367" s="1">
        <v>366.0</v>
      </c>
      <c r="B367" s="2" t="s">
        <v>67</v>
      </c>
      <c r="C367" s="2" t="s">
        <v>69</v>
      </c>
      <c r="D367" s="13"/>
      <c r="E367" s="40">
        <v>0.8020833333333334</v>
      </c>
      <c r="F367" s="44" t="s">
        <v>1345</v>
      </c>
      <c r="G367" s="43">
        <v>2.0</v>
      </c>
      <c r="H367" s="42"/>
      <c r="I367" s="43">
        <v>2.0</v>
      </c>
      <c r="J367" s="22"/>
      <c r="K367" s="42"/>
    </row>
    <row r="368" ht="39.75" customHeight="1">
      <c r="A368" s="1">
        <v>367.0</v>
      </c>
      <c r="B368" s="2" t="s">
        <v>34</v>
      </c>
      <c r="C368" s="2" t="s">
        <v>39</v>
      </c>
      <c r="D368" s="53">
        <v>0.2708333333333333</v>
      </c>
      <c r="E368" s="13"/>
      <c r="F368" s="44" t="s">
        <v>1346</v>
      </c>
      <c r="G368" s="43">
        <v>2.0</v>
      </c>
      <c r="H368" s="42"/>
      <c r="I368" s="43">
        <v>1.0</v>
      </c>
      <c r="J368" s="22"/>
      <c r="K368" s="42"/>
    </row>
    <row r="369" ht="39.75" customHeight="1">
      <c r="A369" s="1">
        <v>368.0</v>
      </c>
      <c r="B369" s="2" t="s">
        <v>35</v>
      </c>
      <c r="C369" s="2" t="s">
        <v>54</v>
      </c>
      <c r="D369" s="13"/>
      <c r="E369" s="13"/>
      <c r="F369" s="44" t="s">
        <v>1347</v>
      </c>
      <c r="G369" s="43">
        <v>1.0</v>
      </c>
      <c r="H369" s="42"/>
      <c r="I369" s="42"/>
      <c r="J369" s="22"/>
      <c r="K369" s="42"/>
    </row>
    <row r="370" ht="39.75" hidden="1" customHeight="1">
      <c r="A370" s="1">
        <v>369.0</v>
      </c>
      <c r="B370" s="2" t="s">
        <v>36</v>
      </c>
      <c r="C370" s="2" t="s">
        <v>58</v>
      </c>
      <c r="D370" s="13"/>
      <c r="E370" s="13"/>
      <c r="F370" s="45"/>
      <c r="G370" s="42"/>
      <c r="H370" s="42"/>
      <c r="I370" s="42"/>
      <c r="J370" s="22"/>
      <c r="K370" s="42"/>
    </row>
    <row r="371" ht="39.75" customHeight="1">
      <c r="A371" s="1">
        <v>370.0</v>
      </c>
      <c r="B371" s="2" t="s">
        <v>38</v>
      </c>
      <c r="C371" s="2" t="s">
        <v>44</v>
      </c>
      <c r="D371" s="13"/>
      <c r="E371" s="13"/>
      <c r="F371" s="45"/>
      <c r="G371" s="42"/>
      <c r="H371" s="42"/>
      <c r="I371" s="42"/>
      <c r="J371" s="22"/>
      <c r="K371" s="42"/>
    </row>
    <row r="372" ht="39.75" hidden="1" customHeight="1">
      <c r="A372" s="1">
        <v>371.0</v>
      </c>
      <c r="B372" s="2" t="s">
        <v>41</v>
      </c>
      <c r="C372" s="2" t="s">
        <v>58</v>
      </c>
      <c r="D372" s="13"/>
      <c r="E372" s="13"/>
      <c r="F372" s="45"/>
      <c r="G372" s="42"/>
      <c r="H372" s="42"/>
      <c r="I372" s="42"/>
      <c r="J372" s="22"/>
      <c r="K372" s="42"/>
    </row>
    <row r="373" ht="39.75" hidden="1" customHeight="1">
      <c r="A373" s="1">
        <v>372.0</v>
      </c>
      <c r="B373" s="2" t="s">
        <v>42</v>
      </c>
      <c r="C373" s="2" t="s">
        <v>66</v>
      </c>
      <c r="D373" s="13"/>
      <c r="E373" s="13"/>
      <c r="F373" s="45"/>
      <c r="G373" s="42"/>
      <c r="H373" s="42"/>
      <c r="I373" s="42"/>
      <c r="J373" s="22"/>
      <c r="K373" s="42"/>
    </row>
    <row r="374" ht="39.75" hidden="1" customHeight="1">
      <c r="A374" s="1">
        <v>373.0</v>
      </c>
      <c r="B374" s="2" t="s">
        <v>43</v>
      </c>
      <c r="C374" s="2" t="s">
        <v>58</v>
      </c>
      <c r="D374" s="13"/>
      <c r="E374" s="13"/>
      <c r="F374" s="45"/>
      <c r="G374" s="42"/>
      <c r="H374" s="42"/>
      <c r="I374" s="42"/>
      <c r="J374" s="22"/>
      <c r="K374" s="42"/>
    </row>
    <row r="375" ht="39.75" customHeight="1">
      <c r="A375" s="1">
        <v>374.0</v>
      </c>
      <c r="B375" s="2" t="s">
        <v>45</v>
      </c>
      <c r="C375" s="2"/>
      <c r="D375" s="13"/>
      <c r="E375" s="13"/>
      <c r="F375" s="44" t="s">
        <v>1348</v>
      </c>
      <c r="G375" s="43">
        <v>1.0</v>
      </c>
      <c r="H375" s="42"/>
      <c r="I375" s="43">
        <v>1.0</v>
      </c>
      <c r="J375" s="22"/>
      <c r="K375" s="42"/>
    </row>
    <row r="376" ht="39.75" customHeight="1">
      <c r="A376" s="1">
        <v>375.0</v>
      </c>
      <c r="B376" s="2" t="s">
        <v>46</v>
      </c>
      <c r="C376" s="2" t="s">
        <v>27</v>
      </c>
      <c r="D376" s="13"/>
      <c r="E376" s="13"/>
      <c r="F376" s="45"/>
      <c r="G376" s="42"/>
      <c r="H376" s="42"/>
      <c r="I376" s="42"/>
      <c r="J376" s="22"/>
      <c r="K376" s="42"/>
    </row>
    <row r="377" ht="39.75" customHeight="1">
      <c r="A377" s="1">
        <v>376.0</v>
      </c>
      <c r="B377" s="2" t="s">
        <v>47</v>
      </c>
      <c r="C377" s="13"/>
      <c r="D377" s="13"/>
      <c r="E377" s="13"/>
      <c r="F377" s="44" t="s">
        <v>1349</v>
      </c>
      <c r="G377" s="43">
        <v>1.0</v>
      </c>
      <c r="H377" s="42"/>
      <c r="I377" s="43">
        <v>1.0</v>
      </c>
      <c r="J377" s="22"/>
      <c r="K377" s="42"/>
    </row>
    <row r="378" ht="39.75" customHeight="1">
      <c r="A378" s="1">
        <v>377.0</v>
      </c>
      <c r="B378" s="2" t="s">
        <v>48</v>
      </c>
      <c r="C378" s="2" t="s">
        <v>54</v>
      </c>
      <c r="D378" s="53">
        <v>0.3402777777777778</v>
      </c>
      <c r="E378" s="13"/>
      <c r="F378" s="44" t="s">
        <v>1350</v>
      </c>
      <c r="G378" s="43">
        <v>1.0</v>
      </c>
      <c r="H378" s="42"/>
      <c r="I378" s="42"/>
      <c r="J378" s="22"/>
      <c r="K378" s="42"/>
    </row>
    <row r="379" ht="39.75" customHeight="1">
      <c r="A379" s="1">
        <v>378.0</v>
      </c>
      <c r="B379" s="21"/>
      <c r="C379" s="21"/>
      <c r="D379" s="21"/>
      <c r="E379" s="21"/>
      <c r="F379" s="46"/>
      <c r="G379" s="47"/>
      <c r="H379" s="47"/>
      <c r="I379" s="47"/>
      <c r="J379" s="48"/>
      <c r="K379" s="47"/>
      <c r="L379" s="49"/>
      <c r="M379" s="49"/>
      <c r="N379" s="49"/>
    </row>
    <row r="380" ht="39.75" hidden="1" customHeight="1">
      <c r="A380" s="1">
        <v>379.0</v>
      </c>
      <c r="B380" s="2" t="s">
        <v>12</v>
      </c>
      <c r="C380" s="2" t="s">
        <v>13</v>
      </c>
      <c r="D380" s="13"/>
      <c r="E380" s="13"/>
      <c r="F380" s="45"/>
      <c r="G380" s="42"/>
      <c r="H380" s="42"/>
      <c r="I380" s="42"/>
      <c r="J380" s="27" t="s">
        <v>1161</v>
      </c>
      <c r="K380" s="43"/>
      <c r="L380" s="15" t="s">
        <v>269</v>
      </c>
    </row>
    <row r="381" ht="39.75" hidden="1" customHeight="1">
      <c r="A381" s="1">
        <v>380.0</v>
      </c>
      <c r="B381" s="2" t="s">
        <v>16</v>
      </c>
      <c r="C381" s="2" t="s">
        <v>13</v>
      </c>
      <c r="D381" s="13"/>
      <c r="E381" s="13"/>
      <c r="F381" s="45"/>
      <c r="G381" s="42"/>
      <c r="H381" s="42"/>
      <c r="I381" s="42"/>
      <c r="J381" s="27" t="s">
        <v>269</v>
      </c>
      <c r="K381" s="43"/>
    </row>
    <row r="382" ht="39.75" hidden="1" customHeight="1">
      <c r="A382" s="1">
        <v>381.0</v>
      </c>
      <c r="B382" s="2" t="s">
        <v>17</v>
      </c>
      <c r="C382" s="2" t="s">
        <v>13</v>
      </c>
      <c r="D382" s="13"/>
      <c r="E382" s="13"/>
      <c r="F382" s="45"/>
      <c r="G382" s="42"/>
      <c r="H382" s="42"/>
      <c r="I382" s="42"/>
      <c r="J382" s="27" t="s">
        <v>149</v>
      </c>
      <c r="K382" s="43"/>
    </row>
    <row r="383" ht="39.75" hidden="1" customHeight="1">
      <c r="A383" s="1">
        <v>382.0</v>
      </c>
      <c r="B383" s="2" t="s">
        <v>331</v>
      </c>
      <c r="C383" s="2" t="s">
        <v>13</v>
      </c>
      <c r="D383" s="13"/>
      <c r="E383" s="13"/>
      <c r="F383" s="44"/>
      <c r="G383" s="42"/>
      <c r="H383" s="42"/>
      <c r="I383" s="42"/>
      <c r="J383" s="27" t="s">
        <v>165</v>
      </c>
      <c r="K383" s="42"/>
    </row>
    <row r="384" ht="39.75" hidden="1" customHeight="1">
      <c r="A384" s="1">
        <v>383.0</v>
      </c>
      <c r="B384" s="2" t="s">
        <v>21</v>
      </c>
      <c r="C384" s="2" t="s">
        <v>13</v>
      </c>
      <c r="D384" s="13"/>
      <c r="E384" s="13"/>
      <c r="F384" s="45"/>
      <c r="G384" s="42"/>
      <c r="H384" s="42"/>
      <c r="I384" s="42"/>
      <c r="J384" s="27" t="s">
        <v>166</v>
      </c>
      <c r="K384" s="42"/>
    </row>
    <row r="385" ht="39.75" customHeight="1">
      <c r="A385" s="1">
        <v>384.0</v>
      </c>
      <c r="B385" s="2" t="s">
        <v>22</v>
      </c>
      <c r="C385" s="2"/>
      <c r="D385" s="40">
        <v>0.375</v>
      </c>
      <c r="E385" s="13"/>
      <c r="F385" s="44" t="s">
        <v>1351</v>
      </c>
      <c r="G385" s="43">
        <v>1.0</v>
      </c>
      <c r="H385" s="42"/>
      <c r="I385" s="42"/>
      <c r="J385" s="27" t="s">
        <v>167</v>
      </c>
      <c r="K385" s="42"/>
    </row>
    <row r="386" ht="39.75" hidden="1" customHeight="1">
      <c r="A386" s="1">
        <v>385.0</v>
      </c>
      <c r="B386" s="2" t="s">
        <v>23</v>
      </c>
      <c r="C386" s="2" t="s">
        <v>13</v>
      </c>
      <c r="D386" s="13"/>
      <c r="E386" s="13"/>
      <c r="F386" s="45"/>
      <c r="G386" s="42"/>
      <c r="H386" s="42"/>
      <c r="I386" s="42"/>
      <c r="J386" s="22"/>
      <c r="K386" s="42"/>
    </row>
    <row r="387" ht="39.75" customHeight="1">
      <c r="A387" s="1">
        <v>386.0</v>
      </c>
      <c r="B387" s="2" t="s">
        <v>24</v>
      </c>
      <c r="C387" s="2" t="s">
        <v>63</v>
      </c>
      <c r="D387" s="13"/>
      <c r="E387" s="13"/>
      <c r="F387" s="45"/>
      <c r="G387" s="42"/>
      <c r="H387" s="42"/>
      <c r="I387" s="42"/>
      <c r="J387" s="22"/>
      <c r="K387" s="42"/>
    </row>
    <row r="388" ht="39.75" hidden="1" customHeight="1">
      <c r="A388" s="1">
        <v>387.0</v>
      </c>
      <c r="B388" s="2" t="s">
        <v>25</v>
      </c>
      <c r="C388" s="2" t="s">
        <v>13</v>
      </c>
      <c r="D388" s="13"/>
      <c r="E388" s="13"/>
      <c r="F388" s="45"/>
      <c r="G388" s="42"/>
      <c r="H388" s="42"/>
      <c r="I388" s="42"/>
      <c r="J388" s="22"/>
      <c r="K388" s="42"/>
    </row>
    <row r="389" ht="39.75" customHeight="1">
      <c r="A389" s="1">
        <v>388.0</v>
      </c>
      <c r="B389" s="2" t="s">
        <v>26</v>
      </c>
      <c r="C389" s="2" t="s">
        <v>39</v>
      </c>
      <c r="D389" s="13"/>
      <c r="E389" s="2"/>
      <c r="F389" s="44" t="s">
        <v>1178</v>
      </c>
      <c r="G389" s="43">
        <v>1.0</v>
      </c>
      <c r="H389" s="42"/>
      <c r="I389" s="43">
        <v>1.0</v>
      </c>
      <c r="J389" s="22"/>
      <c r="K389" s="42"/>
    </row>
    <row r="390" ht="39.75" hidden="1" customHeight="1">
      <c r="A390" s="1">
        <v>389.0</v>
      </c>
      <c r="B390" s="2" t="s">
        <v>29</v>
      </c>
      <c r="C390" s="2" t="s">
        <v>13</v>
      </c>
      <c r="D390" s="13"/>
      <c r="E390" s="13"/>
      <c r="F390" s="45"/>
      <c r="G390" s="42"/>
      <c r="H390" s="42"/>
      <c r="I390" s="42"/>
      <c r="J390" s="22"/>
      <c r="K390" s="42"/>
    </row>
    <row r="391" ht="39.75" hidden="1" customHeight="1">
      <c r="A391" s="1">
        <v>390.0</v>
      </c>
      <c r="B391" s="2" t="s">
        <v>30</v>
      </c>
      <c r="C391" s="2" t="s">
        <v>13</v>
      </c>
      <c r="D391" s="13"/>
      <c r="E391" s="13"/>
      <c r="F391" s="45"/>
      <c r="G391" s="42"/>
      <c r="H391" s="42"/>
      <c r="I391" s="42"/>
      <c r="J391" s="22"/>
      <c r="K391" s="42"/>
    </row>
    <row r="392" ht="39.75" hidden="1" customHeight="1">
      <c r="A392" s="1">
        <v>391.0</v>
      </c>
      <c r="B392" s="2" t="s">
        <v>31</v>
      </c>
      <c r="C392" s="2" t="s">
        <v>13</v>
      </c>
      <c r="D392" s="13"/>
      <c r="E392" s="13"/>
      <c r="F392" s="45"/>
      <c r="G392" s="42"/>
      <c r="H392" s="42"/>
      <c r="I392" s="42"/>
      <c r="J392" s="22"/>
      <c r="K392" s="42"/>
    </row>
    <row r="393" ht="39.75" hidden="1" customHeight="1">
      <c r="A393" s="1">
        <v>392.0</v>
      </c>
      <c r="B393" s="2" t="s">
        <v>32</v>
      </c>
      <c r="C393" s="2" t="s">
        <v>13</v>
      </c>
      <c r="D393" s="13"/>
      <c r="E393" s="13"/>
      <c r="F393" s="45"/>
      <c r="G393" s="42"/>
      <c r="H393" s="42"/>
      <c r="I393" s="42"/>
      <c r="J393" s="22"/>
      <c r="K393" s="42"/>
    </row>
    <row r="394" ht="39.75" hidden="1" customHeight="1">
      <c r="A394" s="1">
        <v>393.0</v>
      </c>
      <c r="B394" s="2" t="s">
        <v>67</v>
      </c>
      <c r="C394" s="2" t="s">
        <v>13</v>
      </c>
      <c r="D394" s="13"/>
      <c r="E394" s="13"/>
      <c r="F394" s="45"/>
      <c r="G394" s="42"/>
      <c r="H394" s="42"/>
      <c r="I394" s="42"/>
      <c r="J394" s="22"/>
      <c r="K394" s="42"/>
    </row>
    <row r="395" ht="39.75" customHeight="1">
      <c r="A395" s="1">
        <v>394.0</v>
      </c>
      <c r="B395" s="2" t="s">
        <v>34</v>
      </c>
      <c r="C395" s="2" t="s">
        <v>49</v>
      </c>
      <c r="D395" s="13"/>
      <c r="E395" s="40">
        <v>0.8125</v>
      </c>
      <c r="F395" s="44" t="s">
        <v>1352</v>
      </c>
      <c r="G395" s="43">
        <v>1.0</v>
      </c>
      <c r="H395" s="42"/>
      <c r="I395" s="42"/>
      <c r="J395" s="22"/>
      <c r="K395" s="42"/>
    </row>
    <row r="396" ht="39.75" customHeight="1">
      <c r="A396" s="1">
        <v>395.0</v>
      </c>
      <c r="B396" s="2" t="s">
        <v>35</v>
      </c>
      <c r="C396" s="2"/>
      <c r="D396" s="40">
        <v>0.375</v>
      </c>
      <c r="E396" s="13"/>
      <c r="F396" s="45"/>
      <c r="G396" s="42"/>
      <c r="H396" s="42"/>
      <c r="I396" s="42"/>
      <c r="J396" s="22"/>
      <c r="K396" s="42"/>
    </row>
    <row r="397" ht="39.75" hidden="1" customHeight="1">
      <c r="A397" s="1">
        <v>396.0</v>
      </c>
      <c r="B397" s="2" t="s">
        <v>36</v>
      </c>
      <c r="C397" s="2" t="s">
        <v>13</v>
      </c>
      <c r="D397" s="13"/>
      <c r="E397" s="13"/>
      <c r="F397" s="45"/>
      <c r="G397" s="42"/>
      <c r="H397" s="42"/>
      <c r="I397" s="42"/>
      <c r="J397" s="22"/>
      <c r="K397" s="42"/>
    </row>
    <row r="398" ht="39.75" hidden="1" customHeight="1">
      <c r="A398" s="1">
        <v>397.0</v>
      </c>
      <c r="B398" s="2" t="s">
        <v>38</v>
      </c>
      <c r="C398" s="2" t="s">
        <v>13</v>
      </c>
      <c r="D398" s="13"/>
      <c r="E398" s="13"/>
      <c r="F398" s="45"/>
      <c r="G398" s="42"/>
      <c r="H398" s="42"/>
      <c r="I398" s="42"/>
      <c r="J398" s="22"/>
      <c r="K398" s="42"/>
    </row>
    <row r="399" ht="39.75" hidden="1" customHeight="1">
      <c r="A399" s="1">
        <v>398.0</v>
      </c>
      <c r="B399" s="2" t="s">
        <v>41</v>
      </c>
      <c r="C399" s="2" t="s">
        <v>13</v>
      </c>
      <c r="D399" s="13"/>
      <c r="E399" s="13"/>
      <c r="F399" s="45"/>
      <c r="G399" s="42"/>
      <c r="H399" s="42"/>
      <c r="I399" s="42"/>
      <c r="J399" s="22"/>
      <c r="K399" s="42"/>
    </row>
    <row r="400" ht="39.75" hidden="1" customHeight="1">
      <c r="A400" s="1">
        <v>399.0</v>
      </c>
      <c r="B400" s="2" t="s">
        <v>42</v>
      </c>
      <c r="C400" s="2" t="s">
        <v>13</v>
      </c>
      <c r="D400" s="13"/>
      <c r="E400" s="13"/>
      <c r="F400" s="45"/>
      <c r="G400" s="42"/>
      <c r="H400" s="42"/>
      <c r="I400" s="42"/>
      <c r="J400" s="22"/>
      <c r="K400" s="42"/>
    </row>
    <row r="401" ht="39.75" customHeight="1">
      <c r="A401" s="1">
        <v>400.0</v>
      </c>
      <c r="B401" s="2" t="s">
        <v>267</v>
      </c>
      <c r="C401" s="2" t="s">
        <v>272</v>
      </c>
      <c r="D401" s="13"/>
      <c r="E401" s="13"/>
      <c r="F401" s="45"/>
      <c r="G401" s="42"/>
      <c r="H401" s="42"/>
      <c r="I401" s="42"/>
      <c r="J401" s="22"/>
      <c r="K401" s="42"/>
    </row>
    <row r="402" ht="39.75" customHeight="1">
      <c r="A402" s="1">
        <v>401.0</v>
      </c>
      <c r="B402" s="2" t="s">
        <v>45</v>
      </c>
      <c r="C402" s="2" t="s">
        <v>27</v>
      </c>
      <c r="D402" s="13"/>
      <c r="E402" s="13"/>
      <c r="F402" s="44" t="s">
        <v>1353</v>
      </c>
      <c r="G402" s="43">
        <v>1.0</v>
      </c>
      <c r="H402" s="42"/>
      <c r="I402" s="42"/>
      <c r="J402" s="22"/>
      <c r="K402" s="42"/>
    </row>
    <row r="403" ht="39.75" customHeight="1">
      <c r="A403" s="1">
        <v>402.0</v>
      </c>
      <c r="B403" s="2" t="s">
        <v>46</v>
      </c>
      <c r="C403" s="2" t="s">
        <v>44</v>
      </c>
      <c r="D403" s="13"/>
      <c r="E403" s="13"/>
      <c r="F403" s="45"/>
      <c r="G403" s="42"/>
      <c r="H403" s="42"/>
      <c r="I403" s="42"/>
      <c r="J403" s="22"/>
      <c r="K403" s="42"/>
    </row>
    <row r="404" ht="39.75" customHeight="1">
      <c r="A404" s="1">
        <v>403.0</v>
      </c>
      <c r="B404" s="2" t="s">
        <v>47</v>
      </c>
      <c r="C404" s="13"/>
      <c r="D404" s="40">
        <v>0.375</v>
      </c>
      <c r="E404" s="13"/>
      <c r="F404" s="44" t="s">
        <v>1354</v>
      </c>
      <c r="G404" s="43">
        <v>1.0</v>
      </c>
      <c r="H404" s="42"/>
      <c r="I404" s="42"/>
      <c r="J404" s="22"/>
      <c r="K404" s="42"/>
    </row>
    <row r="405" ht="39.75" hidden="1" customHeight="1">
      <c r="A405" s="1">
        <v>404.0</v>
      </c>
      <c r="B405" s="2" t="s">
        <v>48</v>
      </c>
      <c r="C405" s="2" t="s">
        <v>13</v>
      </c>
      <c r="D405" s="13"/>
      <c r="E405" s="13"/>
      <c r="F405" s="45"/>
      <c r="G405" s="42"/>
      <c r="H405" s="42"/>
      <c r="I405" s="42"/>
      <c r="J405" s="22"/>
      <c r="K405" s="42"/>
    </row>
    <row r="406" ht="39.75" customHeight="1">
      <c r="A406" s="1">
        <v>405.0</v>
      </c>
      <c r="B406" s="21"/>
      <c r="C406" s="21"/>
      <c r="D406" s="21"/>
      <c r="E406" s="21"/>
      <c r="F406" s="46"/>
      <c r="G406" s="47"/>
      <c r="H406" s="47"/>
      <c r="I406" s="47"/>
      <c r="J406" s="48"/>
      <c r="K406" s="47"/>
      <c r="L406" s="49"/>
      <c r="M406" s="49"/>
      <c r="N406" s="49"/>
    </row>
    <row r="407" ht="39.75" customHeight="1">
      <c r="A407" s="1">
        <v>406.0</v>
      </c>
      <c r="B407" s="2" t="s">
        <v>12</v>
      </c>
      <c r="C407" s="2" t="s">
        <v>49</v>
      </c>
      <c r="D407" s="40">
        <v>0.4583333333333333</v>
      </c>
      <c r="E407" s="40">
        <v>0.8055555555555556</v>
      </c>
      <c r="F407" s="44" t="s">
        <v>1355</v>
      </c>
      <c r="G407" s="43">
        <v>3.0</v>
      </c>
      <c r="H407" s="42"/>
      <c r="I407" s="42"/>
      <c r="J407" s="27" t="s">
        <v>1161</v>
      </c>
      <c r="K407" s="43"/>
      <c r="L407" s="15" t="s">
        <v>274</v>
      </c>
    </row>
    <row r="408" ht="39.75" customHeight="1">
      <c r="A408" s="1">
        <v>407.0</v>
      </c>
      <c r="B408" s="2" t="s">
        <v>263</v>
      </c>
      <c r="C408" s="2" t="s">
        <v>272</v>
      </c>
      <c r="D408" s="13"/>
      <c r="E408" s="13"/>
      <c r="F408" s="44" t="s">
        <v>1356</v>
      </c>
      <c r="G408" s="42"/>
      <c r="H408" s="42"/>
      <c r="I408" s="42"/>
      <c r="J408" s="27" t="s">
        <v>274</v>
      </c>
      <c r="K408" s="43"/>
    </row>
    <row r="409" ht="39.75" hidden="1" customHeight="1">
      <c r="A409" s="1">
        <v>408.0</v>
      </c>
      <c r="B409" s="2" t="s">
        <v>17</v>
      </c>
      <c r="C409" s="2" t="s">
        <v>13</v>
      </c>
      <c r="D409" s="13"/>
      <c r="E409" s="13"/>
      <c r="F409" s="44"/>
      <c r="G409" s="42"/>
      <c r="H409" s="42"/>
      <c r="I409" s="42"/>
      <c r="J409" s="27" t="s">
        <v>19</v>
      </c>
      <c r="K409" s="43"/>
    </row>
    <row r="410" ht="39.75" customHeight="1">
      <c r="A410" s="1">
        <v>409.0</v>
      </c>
      <c r="B410" s="2" t="s">
        <v>331</v>
      </c>
      <c r="C410" s="2"/>
      <c r="D410" s="40">
        <v>0.375</v>
      </c>
      <c r="E410" s="13"/>
      <c r="F410" s="44" t="s">
        <v>1357</v>
      </c>
      <c r="G410" s="42"/>
      <c r="H410" s="42"/>
      <c r="I410" s="42"/>
      <c r="J410" s="27" t="s">
        <v>262</v>
      </c>
      <c r="K410" s="42"/>
    </row>
    <row r="411" ht="39.75" hidden="1" customHeight="1">
      <c r="A411" s="1">
        <v>410.0</v>
      </c>
      <c r="B411" s="2" t="s">
        <v>21</v>
      </c>
      <c r="C411" s="2" t="s">
        <v>13</v>
      </c>
      <c r="D411" s="13"/>
      <c r="E411" s="13"/>
      <c r="F411" s="45"/>
      <c r="G411" s="42"/>
      <c r="H411" s="42"/>
      <c r="I411" s="42"/>
      <c r="J411" s="27" t="s">
        <v>264</v>
      </c>
      <c r="K411" s="42"/>
    </row>
    <row r="412" ht="39.75" hidden="1" customHeight="1">
      <c r="A412" s="1">
        <v>411.0</v>
      </c>
      <c r="B412" s="2" t="s">
        <v>22</v>
      </c>
      <c r="C412" s="2" t="s">
        <v>13</v>
      </c>
      <c r="D412" s="13"/>
      <c r="E412" s="13"/>
      <c r="F412" s="45"/>
      <c r="G412" s="42"/>
      <c r="H412" s="42"/>
      <c r="I412" s="42"/>
      <c r="J412" s="27" t="s">
        <v>265</v>
      </c>
      <c r="K412" s="42"/>
    </row>
    <row r="413" ht="39.75" hidden="1" customHeight="1">
      <c r="A413" s="1">
        <v>412.0</v>
      </c>
      <c r="B413" s="2" t="s">
        <v>23</v>
      </c>
      <c r="C413" s="2" t="s">
        <v>13</v>
      </c>
      <c r="D413" s="13"/>
      <c r="E413" s="13"/>
      <c r="F413" s="44"/>
      <c r="G413" s="42"/>
      <c r="H413" s="42"/>
      <c r="I413" s="42"/>
      <c r="J413" s="22"/>
      <c r="K413" s="42"/>
    </row>
    <row r="414" ht="39.75" customHeight="1">
      <c r="A414" s="1">
        <v>413.0</v>
      </c>
      <c r="B414" s="2" t="s">
        <v>24</v>
      </c>
      <c r="C414" s="2" t="s">
        <v>63</v>
      </c>
      <c r="D414" s="13"/>
      <c r="E414" s="13"/>
      <c r="F414" s="45"/>
      <c r="G414" s="42"/>
      <c r="H414" s="42"/>
      <c r="I414" s="42"/>
      <c r="J414" s="22"/>
      <c r="K414" s="42"/>
    </row>
    <row r="415" ht="39.75" hidden="1" customHeight="1">
      <c r="A415" s="1">
        <v>414.0</v>
      </c>
      <c r="B415" s="2" t="s">
        <v>25</v>
      </c>
      <c r="C415" s="2" t="s">
        <v>13</v>
      </c>
      <c r="D415" s="13"/>
      <c r="E415" s="13"/>
      <c r="F415" s="44"/>
      <c r="G415" s="42"/>
      <c r="H415" s="43"/>
      <c r="I415" s="43"/>
      <c r="J415" s="22"/>
      <c r="K415" s="42"/>
    </row>
    <row r="416" ht="39.75" hidden="1" customHeight="1">
      <c r="A416" s="1">
        <v>415.0</v>
      </c>
      <c r="B416" s="2" t="s">
        <v>26</v>
      </c>
      <c r="C416" s="2" t="s">
        <v>13</v>
      </c>
      <c r="D416" s="13"/>
      <c r="E416" s="13"/>
      <c r="F416" s="45"/>
      <c r="G416" s="42"/>
      <c r="H416" s="42"/>
      <c r="I416" s="42"/>
      <c r="J416" s="22"/>
      <c r="K416" s="42"/>
    </row>
    <row r="417" ht="39.75" hidden="1" customHeight="1">
      <c r="A417" s="1">
        <v>416.0</v>
      </c>
      <c r="B417" s="2" t="s">
        <v>29</v>
      </c>
      <c r="C417" s="2" t="s">
        <v>13</v>
      </c>
      <c r="D417" s="13"/>
      <c r="E417" s="13"/>
      <c r="F417" s="44"/>
      <c r="G417" s="42"/>
      <c r="H417" s="42"/>
      <c r="I417" s="42"/>
      <c r="J417" s="22"/>
      <c r="K417" s="42"/>
    </row>
    <row r="418" ht="39.75" hidden="1" customHeight="1">
      <c r="A418" s="1">
        <v>417.0</v>
      </c>
      <c r="B418" s="2" t="s">
        <v>30</v>
      </c>
      <c r="C418" s="2" t="s">
        <v>13</v>
      </c>
      <c r="D418" s="13"/>
      <c r="E418" s="13"/>
      <c r="F418" s="44"/>
      <c r="G418" s="42"/>
      <c r="H418" s="42"/>
      <c r="I418" s="42"/>
      <c r="J418" s="22"/>
      <c r="K418" s="42"/>
    </row>
    <row r="419" ht="39.75" hidden="1" customHeight="1">
      <c r="A419" s="1">
        <v>418.0</v>
      </c>
      <c r="B419" s="2" t="s">
        <v>31</v>
      </c>
      <c r="C419" s="2" t="s">
        <v>13</v>
      </c>
      <c r="D419" s="13"/>
      <c r="E419" s="13"/>
      <c r="F419" s="44"/>
      <c r="G419" s="42"/>
      <c r="H419" s="42"/>
      <c r="I419" s="42"/>
      <c r="J419" s="22"/>
      <c r="K419" s="42"/>
    </row>
    <row r="420" ht="39.75" hidden="1" customHeight="1">
      <c r="A420" s="1">
        <v>419.0</v>
      </c>
      <c r="B420" s="2" t="s">
        <v>32</v>
      </c>
      <c r="C420" s="2" t="s">
        <v>13</v>
      </c>
      <c r="D420" s="13"/>
      <c r="E420" s="13"/>
      <c r="F420" s="45"/>
      <c r="G420" s="42"/>
      <c r="H420" s="42"/>
      <c r="I420" s="42"/>
      <c r="J420" s="22"/>
      <c r="K420" s="42"/>
    </row>
    <row r="421" ht="39.75" hidden="1" customHeight="1">
      <c r="A421" s="1">
        <v>420.0</v>
      </c>
      <c r="B421" s="2" t="s">
        <v>67</v>
      </c>
      <c r="C421" s="2" t="s">
        <v>13</v>
      </c>
      <c r="D421" s="13"/>
      <c r="E421" s="13"/>
      <c r="F421" s="45"/>
      <c r="G421" s="42"/>
      <c r="H421" s="42"/>
      <c r="I421" s="42"/>
      <c r="J421" s="22"/>
      <c r="K421" s="42"/>
    </row>
    <row r="422" ht="39.75" hidden="1" customHeight="1">
      <c r="A422" s="1">
        <v>421.0</v>
      </c>
      <c r="B422" s="2" t="s">
        <v>34</v>
      </c>
      <c r="C422" s="2" t="s">
        <v>13</v>
      </c>
      <c r="D422" s="13"/>
      <c r="E422" s="13"/>
      <c r="F422" s="44"/>
      <c r="G422" s="42"/>
      <c r="H422" s="43"/>
      <c r="I422" s="43"/>
      <c r="J422" s="22"/>
      <c r="K422" s="42"/>
    </row>
    <row r="423" ht="39.75" hidden="1" customHeight="1">
      <c r="A423" s="1">
        <v>422.0</v>
      </c>
      <c r="B423" s="2" t="s">
        <v>35</v>
      </c>
      <c r="C423" s="2" t="s">
        <v>13</v>
      </c>
      <c r="D423" s="13"/>
      <c r="E423" s="13"/>
      <c r="F423" s="45"/>
      <c r="G423" s="42"/>
      <c r="H423" s="42"/>
      <c r="I423" s="42"/>
      <c r="J423" s="22"/>
      <c r="K423" s="42"/>
    </row>
    <row r="424" ht="39.75" hidden="1" customHeight="1">
      <c r="A424" s="1">
        <v>423.0</v>
      </c>
      <c r="B424" s="2" t="s">
        <v>36</v>
      </c>
      <c r="C424" s="2" t="s">
        <v>13</v>
      </c>
      <c r="D424" s="13"/>
      <c r="E424" s="13"/>
      <c r="F424" s="44"/>
      <c r="G424" s="42"/>
      <c r="H424" s="42"/>
      <c r="I424" s="42"/>
      <c r="J424" s="22"/>
      <c r="K424" s="42"/>
    </row>
    <row r="425" ht="39.75" hidden="1" customHeight="1">
      <c r="A425" s="1">
        <v>424.0</v>
      </c>
      <c r="B425" s="2" t="s">
        <v>38</v>
      </c>
      <c r="C425" s="2" t="s">
        <v>13</v>
      </c>
      <c r="D425" s="13"/>
      <c r="E425" s="13"/>
      <c r="F425" s="44"/>
      <c r="G425" s="42"/>
      <c r="H425" s="42"/>
      <c r="I425" s="42"/>
      <c r="J425" s="22"/>
      <c r="K425" s="42"/>
    </row>
    <row r="426" ht="39.75" hidden="1" customHeight="1">
      <c r="A426" s="1">
        <v>425.0</v>
      </c>
      <c r="B426" s="2" t="s">
        <v>41</v>
      </c>
      <c r="C426" s="2" t="s">
        <v>13</v>
      </c>
      <c r="D426" s="13"/>
      <c r="E426" s="13"/>
      <c r="F426" s="44"/>
      <c r="G426" s="42"/>
      <c r="H426" s="42"/>
      <c r="I426" s="42"/>
      <c r="J426" s="22"/>
      <c r="K426" s="42"/>
    </row>
    <row r="427" ht="39.75" hidden="1" customHeight="1">
      <c r="A427" s="1">
        <v>426.0</v>
      </c>
      <c r="B427" s="2" t="s">
        <v>42</v>
      </c>
      <c r="C427" s="2" t="s">
        <v>13</v>
      </c>
      <c r="D427" s="13"/>
      <c r="E427" s="13"/>
      <c r="F427" s="45"/>
      <c r="G427" s="42"/>
      <c r="H427" s="42"/>
      <c r="I427" s="42"/>
      <c r="J427" s="22"/>
      <c r="K427" s="42"/>
    </row>
    <row r="428" ht="39.75" hidden="1" customHeight="1">
      <c r="A428" s="1">
        <v>427.0</v>
      </c>
      <c r="B428" s="2" t="s">
        <v>43</v>
      </c>
      <c r="C428" s="2" t="s">
        <v>13</v>
      </c>
      <c r="D428" s="13"/>
      <c r="E428" s="13"/>
      <c r="F428" s="45"/>
      <c r="G428" s="42"/>
      <c r="H428" s="42"/>
      <c r="I428" s="42"/>
      <c r="J428" s="22"/>
      <c r="K428" s="42"/>
    </row>
    <row r="429" ht="39.75" customHeight="1">
      <c r="A429" s="1">
        <v>428.0</v>
      </c>
      <c r="B429" s="2" t="s">
        <v>45</v>
      </c>
      <c r="C429" s="2" t="s">
        <v>44</v>
      </c>
      <c r="D429" s="13"/>
      <c r="E429" s="13"/>
      <c r="F429" s="45"/>
      <c r="G429" s="42"/>
      <c r="H429" s="42"/>
      <c r="I429" s="42"/>
      <c r="J429" s="22"/>
      <c r="K429" s="42"/>
    </row>
    <row r="430" ht="39.75" customHeight="1">
      <c r="A430" s="1">
        <v>429.0</v>
      </c>
      <c r="B430" s="2" t="s">
        <v>46</v>
      </c>
      <c r="C430" s="2" t="s">
        <v>27</v>
      </c>
      <c r="D430" s="40"/>
      <c r="E430" s="13"/>
      <c r="F430" s="44" t="s">
        <v>1358</v>
      </c>
      <c r="G430" s="43">
        <v>1.0</v>
      </c>
      <c r="H430" s="42"/>
      <c r="I430" s="42"/>
      <c r="J430" s="22"/>
      <c r="K430" s="42"/>
    </row>
    <row r="431" ht="39.75" hidden="1" customHeight="1">
      <c r="A431" s="1">
        <v>430.0</v>
      </c>
      <c r="B431" s="2" t="s">
        <v>47</v>
      </c>
      <c r="C431" s="2" t="s">
        <v>13</v>
      </c>
      <c r="D431" s="40"/>
      <c r="E431" s="13"/>
      <c r="F431" s="45"/>
      <c r="G431" s="42"/>
      <c r="H431" s="42"/>
      <c r="I431" s="42"/>
      <c r="J431" s="22"/>
      <c r="K431" s="42"/>
    </row>
    <row r="432" ht="39.75" customHeight="1">
      <c r="A432" s="1">
        <v>431.0</v>
      </c>
      <c r="B432" s="2" t="s">
        <v>48</v>
      </c>
      <c r="C432" s="2" t="s">
        <v>39</v>
      </c>
      <c r="D432" s="13"/>
      <c r="E432" s="13"/>
      <c r="F432" s="44" t="s">
        <v>1359</v>
      </c>
      <c r="G432" s="43">
        <v>2.0</v>
      </c>
      <c r="H432" s="42"/>
      <c r="I432" s="42"/>
      <c r="J432" s="22"/>
      <c r="K432" s="42"/>
    </row>
    <row r="433" ht="39.75" customHeight="1">
      <c r="A433" s="1">
        <v>432.0</v>
      </c>
      <c r="B433" s="21"/>
      <c r="C433" s="21"/>
      <c r="D433" s="21"/>
      <c r="E433" s="21"/>
      <c r="F433" s="46"/>
      <c r="G433" s="47"/>
      <c r="H433" s="47"/>
      <c r="I433" s="47"/>
      <c r="J433" s="48"/>
      <c r="K433" s="47"/>
      <c r="L433" s="49"/>
      <c r="M433" s="49"/>
      <c r="N433" s="49"/>
    </row>
    <row r="434" ht="39.75" customHeight="1">
      <c r="A434" s="1">
        <v>433.0</v>
      </c>
      <c r="B434" s="2" t="s">
        <v>12</v>
      </c>
      <c r="C434" s="2" t="s">
        <v>62</v>
      </c>
      <c r="D434" s="13"/>
      <c r="E434" s="13"/>
      <c r="F434" s="44" t="s">
        <v>1360</v>
      </c>
      <c r="G434" s="43">
        <v>1.0</v>
      </c>
      <c r="H434" s="42"/>
      <c r="I434" s="43">
        <v>1.0</v>
      </c>
      <c r="J434" s="27" t="s">
        <v>1161</v>
      </c>
      <c r="K434" s="43"/>
      <c r="L434" s="15" t="s">
        <v>294</v>
      </c>
    </row>
    <row r="435" ht="39.75" hidden="1" customHeight="1">
      <c r="A435" s="1">
        <v>434.0</v>
      </c>
      <c r="B435" s="2" t="s">
        <v>16</v>
      </c>
      <c r="C435" s="2" t="s">
        <v>66</v>
      </c>
      <c r="D435" s="13"/>
      <c r="E435" s="13"/>
      <c r="F435" s="45"/>
      <c r="G435" s="42"/>
      <c r="H435" s="42"/>
      <c r="I435" s="42"/>
      <c r="J435" s="27" t="s">
        <v>294</v>
      </c>
      <c r="K435" s="43"/>
    </row>
    <row r="436" ht="39.75" hidden="1" customHeight="1">
      <c r="A436" s="1">
        <v>435.0</v>
      </c>
      <c r="B436" s="2" t="s">
        <v>17</v>
      </c>
      <c r="C436" s="2" t="s">
        <v>58</v>
      </c>
      <c r="D436" s="13"/>
      <c r="E436" s="13"/>
      <c r="F436" s="45"/>
      <c r="G436" s="42"/>
      <c r="H436" s="42"/>
      <c r="I436" s="42"/>
      <c r="J436" s="27" t="s">
        <v>56</v>
      </c>
      <c r="K436" s="43"/>
    </row>
    <row r="437" ht="39.75" customHeight="1">
      <c r="A437" s="1">
        <v>436.0</v>
      </c>
      <c r="B437" s="2" t="s">
        <v>331</v>
      </c>
      <c r="C437" s="2" t="s">
        <v>542</v>
      </c>
      <c r="D437" s="13"/>
      <c r="E437" s="13"/>
      <c r="F437" s="45"/>
      <c r="G437" s="42"/>
      <c r="H437" s="42"/>
      <c r="I437" s="42"/>
      <c r="J437" s="22"/>
      <c r="K437" s="42"/>
    </row>
    <row r="438" ht="39.75" customHeight="1">
      <c r="A438" s="1">
        <v>437.0</v>
      </c>
      <c r="B438" s="2" t="s">
        <v>21</v>
      </c>
      <c r="C438" s="2" t="s">
        <v>277</v>
      </c>
      <c r="D438" s="13"/>
      <c r="E438" s="13"/>
      <c r="F438" s="45"/>
      <c r="G438" s="42"/>
      <c r="H438" s="42"/>
      <c r="I438" s="42"/>
      <c r="J438" s="22"/>
      <c r="K438" s="42"/>
    </row>
    <row r="439" ht="39.75" customHeight="1">
      <c r="A439" s="1">
        <v>438.0</v>
      </c>
      <c r="B439" s="2" t="s">
        <v>22</v>
      </c>
      <c r="C439" s="2" t="s">
        <v>39</v>
      </c>
      <c r="D439" s="13"/>
      <c r="E439" s="13"/>
      <c r="F439" s="44" t="s">
        <v>1361</v>
      </c>
      <c r="G439" s="43">
        <v>1.0</v>
      </c>
      <c r="H439" s="42"/>
      <c r="I439" s="42"/>
      <c r="J439" s="22"/>
      <c r="K439" s="42"/>
    </row>
    <row r="440" ht="39.75" customHeight="1">
      <c r="A440" s="1">
        <v>439.0</v>
      </c>
      <c r="B440" s="2" t="s">
        <v>23</v>
      </c>
      <c r="C440" s="2" t="s">
        <v>54</v>
      </c>
      <c r="D440" s="13"/>
      <c r="E440" s="13"/>
      <c r="F440" s="44" t="s">
        <v>1362</v>
      </c>
      <c r="G440" s="43">
        <v>2.0</v>
      </c>
      <c r="H440" s="42"/>
      <c r="I440" s="43">
        <v>2.0</v>
      </c>
      <c r="J440" s="22"/>
      <c r="K440" s="42"/>
    </row>
    <row r="441" ht="39.75" hidden="1" customHeight="1">
      <c r="A441" s="1">
        <v>440.0</v>
      </c>
      <c r="B441" s="2" t="s">
        <v>24</v>
      </c>
      <c r="C441" s="2" t="s">
        <v>58</v>
      </c>
      <c r="D441" s="13"/>
      <c r="E441" s="13"/>
      <c r="F441" s="45"/>
      <c r="G441" s="42"/>
      <c r="H441" s="42"/>
      <c r="I441" s="42"/>
      <c r="J441" s="22"/>
      <c r="K441" s="42"/>
    </row>
    <row r="442" ht="39.75" customHeight="1">
      <c r="A442" s="1">
        <v>441.0</v>
      </c>
      <c r="B442" s="2" t="s">
        <v>25</v>
      </c>
      <c r="C442" s="2" t="s">
        <v>69</v>
      </c>
      <c r="D442" s="13"/>
      <c r="E442" s="40">
        <v>0.8680555555555556</v>
      </c>
      <c r="F442" s="44" t="s">
        <v>1363</v>
      </c>
      <c r="G442" s="43">
        <v>1.0</v>
      </c>
      <c r="H442" s="42"/>
      <c r="I442" s="42"/>
      <c r="J442" s="22"/>
      <c r="K442" s="42"/>
    </row>
    <row r="443" ht="39.75" customHeight="1">
      <c r="A443" s="1">
        <v>442.0</v>
      </c>
      <c r="B443" s="2" t="s">
        <v>26</v>
      </c>
      <c r="C443" s="2"/>
      <c r="D443" s="13"/>
      <c r="E443" s="13"/>
      <c r="F443" s="44" t="s">
        <v>1364</v>
      </c>
      <c r="G443" s="43">
        <v>1.0</v>
      </c>
      <c r="H443" s="42"/>
      <c r="I443" s="42"/>
      <c r="J443" s="22"/>
      <c r="K443" s="42"/>
    </row>
    <row r="444" ht="39.75" customHeight="1">
      <c r="A444" s="1">
        <v>443.0</v>
      </c>
      <c r="B444" s="2" t="s">
        <v>29</v>
      </c>
      <c r="C444" s="2" t="s">
        <v>69</v>
      </c>
      <c r="D444" s="13"/>
      <c r="E444" s="13"/>
      <c r="F444" s="44" t="s">
        <v>1365</v>
      </c>
      <c r="G444" s="43">
        <v>1.0</v>
      </c>
      <c r="H444" s="42"/>
      <c r="I444" s="42"/>
      <c r="J444" s="22"/>
      <c r="K444" s="42"/>
    </row>
    <row r="445" ht="39.75" hidden="1" customHeight="1">
      <c r="A445" s="1">
        <v>444.0</v>
      </c>
      <c r="B445" s="2" t="s">
        <v>30</v>
      </c>
      <c r="C445" s="2" t="s">
        <v>58</v>
      </c>
      <c r="D445" s="13"/>
      <c r="E445" s="13"/>
      <c r="F445" s="45"/>
      <c r="G445" s="42"/>
      <c r="H445" s="42"/>
      <c r="I445" s="42"/>
      <c r="J445" s="22"/>
      <c r="K445" s="42"/>
    </row>
    <row r="446" ht="39.75" customHeight="1">
      <c r="A446" s="1">
        <v>445.0</v>
      </c>
      <c r="B446" s="2" t="s">
        <v>31</v>
      </c>
      <c r="C446" s="2"/>
      <c r="D446" s="13"/>
      <c r="E446" s="13"/>
      <c r="F446" s="44" t="s">
        <v>1366</v>
      </c>
      <c r="G446" s="43">
        <v>2.0</v>
      </c>
      <c r="H446" s="42"/>
      <c r="I446" s="42"/>
      <c r="J446" s="22"/>
      <c r="K446" s="42"/>
    </row>
    <row r="447" ht="39.75" hidden="1" customHeight="1">
      <c r="A447" s="1">
        <v>446.0</v>
      </c>
      <c r="B447" s="2" t="s">
        <v>32</v>
      </c>
      <c r="C447" s="2" t="s">
        <v>66</v>
      </c>
      <c r="D447" s="13"/>
      <c r="E447" s="13"/>
      <c r="F447" s="45"/>
      <c r="G447" s="42"/>
      <c r="H447" s="42"/>
      <c r="I447" s="42"/>
      <c r="J447" s="22"/>
      <c r="K447" s="42"/>
    </row>
    <row r="448" ht="39.75" customHeight="1">
      <c r="A448" s="1">
        <v>447.0</v>
      </c>
      <c r="B448" s="2" t="s">
        <v>67</v>
      </c>
      <c r="C448" s="2" t="s">
        <v>27</v>
      </c>
      <c r="D448" s="13"/>
      <c r="E448" s="13"/>
      <c r="F448" s="44" t="s">
        <v>1367</v>
      </c>
      <c r="G448" s="43">
        <v>2.0</v>
      </c>
      <c r="H448" s="42"/>
      <c r="I448" s="42"/>
      <c r="J448" s="22"/>
      <c r="K448" s="42"/>
    </row>
    <row r="449" ht="39.75" customHeight="1">
      <c r="A449" s="1">
        <v>448.0</v>
      </c>
      <c r="B449" s="2" t="s">
        <v>34</v>
      </c>
      <c r="C449" s="2" t="s">
        <v>54</v>
      </c>
      <c r="D449" s="13"/>
      <c r="E449" s="13"/>
      <c r="F449" s="44" t="s">
        <v>1368</v>
      </c>
      <c r="G449" s="43">
        <v>1.0</v>
      </c>
      <c r="H449" s="42"/>
      <c r="I449" s="42"/>
      <c r="J449" s="22"/>
      <c r="K449" s="42"/>
    </row>
    <row r="450" ht="39.75" customHeight="1">
      <c r="A450" s="1">
        <v>449.0</v>
      </c>
      <c r="B450" s="2" t="s">
        <v>35</v>
      </c>
      <c r="C450" s="2" t="s">
        <v>69</v>
      </c>
      <c r="D450" s="13"/>
      <c r="E450" s="13"/>
      <c r="F450" s="44" t="s">
        <v>1369</v>
      </c>
      <c r="G450" s="43">
        <v>1.0</v>
      </c>
      <c r="H450" s="42"/>
      <c r="I450" s="43">
        <v>1.0</v>
      </c>
      <c r="J450" s="22"/>
      <c r="K450" s="42"/>
    </row>
    <row r="451" ht="39.75" customHeight="1">
      <c r="A451" s="1">
        <v>450.0</v>
      </c>
      <c r="B451" s="2" t="s">
        <v>36</v>
      </c>
      <c r="C451" s="2"/>
      <c r="D451" s="13"/>
      <c r="E451" s="13"/>
      <c r="F451" s="44" t="s">
        <v>1370</v>
      </c>
      <c r="G451" s="43">
        <v>2.0</v>
      </c>
      <c r="H451" s="42"/>
      <c r="I451" s="43">
        <v>1.0</v>
      </c>
      <c r="J451" s="22"/>
      <c r="K451" s="42"/>
    </row>
    <row r="452" ht="39.75" customHeight="1">
      <c r="A452" s="1">
        <v>451.0</v>
      </c>
      <c r="B452" s="2" t="s">
        <v>38</v>
      </c>
      <c r="C452" s="13"/>
      <c r="D452" s="13"/>
      <c r="E452" s="13"/>
      <c r="F452" s="44" t="s">
        <v>1285</v>
      </c>
      <c r="G452" s="42"/>
      <c r="H452" s="42"/>
      <c r="I452" s="42"/>
      <c r="J452" s="22"/>
      <c r="K452" s="42"/>
    </row>
    <row r="453" ht="39.75" hidden="1" customHeight="1">
      <c r="A453" s="1">
        <v>452.0</v>
      </c>
      <c r="B453" s="2" t="s">
        <v>41</v>
      </c>
      <c r="C453" s="2" t="s">
        <v>58</v>
      </c>
      <c r="D453" s="13"/>
      <c r="E453" s="13"/>
      <c r="F453" s="45"/>
      <c r="G453" s="42"/>
      <c r="H453" s="42"/>
      <c r="I453" s="42"/>
      <c r="J453" s="22"/>
      <c r="K453" s="42"/>
    </row>
    <row r="454" ht="39.75" hidden="1" customHeight="1">
      <c r="A454" s="1">
        <v>453.0</v>
      </c>
      <c r="B454" s="2" t="s">
        <v>42</v>
      </c>
      <c r="C454" s="2" t="s">
        <v>58</v>
      </c>
      <c r="D454" s="13"/>
      <c r="E454" s="13"/>
      <c r="F454" s="45"/>
      <c r="G454" s="42"/>
      <c r="H454" s="42"/>
      <c r="I454" s="42"/>
      <c r="J454" s="22"/>
      <c r="K454" s="42"/>
    </row>
    <row r="455" ht="39.75" customHeight="1">
      <c r="A455" s="1">
        <v>454.0</v>
      </c>
      <c r="B455" s="2" t="s">
        <v>43</v>
      </c>
      <c r="C455" s="2" t="s">
        <v>39</v>
      </c>
      <c r="D455" s="13"/>
      <c r="E455" s="13"/>
      <c r="F455" s="57" t="s">
        <v>1371</v>
      </c>
      <c r="G455" s="43">
        <v>1.0</v>
      </c>
      <c r="H455" s="42"/>
      <c r="I455" s="43">
        <v>1.0</v>
      </c>
      <c r="J455" s="22"/>
      <c r="K455" s="42"/>
    </row>
    <row r="456" ht="39.75" customHeight="1">
      <c r="A456" s="1">
        <v>455.0</v>
      </c>
      <c r="B456" s="2" t="s">
        <v>45</v>
      </c>
      <c r="C456" s="2"/>
      <c r="D456" s="13"/>
      <c r="E456" s="13"/>
      <c r="F456" s="44" t="s">
        <v>1372</v>
      </c>
      <c r="G456" s="43">
        <v>1.0</v>
      </c>
      <c r="H456" s="42"/>
      <c r="I456" s="43">
        <v>1.0</v>
      </c>
      <c r="J456" s="22"/>
      <c r="K456" s="42"/>
    </row>
    <row r="457" ht="39.75" customHeight="1">
      <c r="A457" s="1">
        <v>456.0</v>
      </c>
      <c r="B457" s="2" t="s">
        <v>46</v>
      </c>
      <c r="C457" s="2" t="s">
        <v>44</v>
      </c>
      <c r="D457" s="13"/>
      <c r="E457" s="13"/>
      <c r="F457" s="45"/>
      <c r="G457" s="42"/>
      <c r="H457" s="42"/>
      <c r="I457" s="42"/>
      <c r="J457" s="22"/>
      <c r="K457" s="42"/>
    </row>
    <row r="458" ht="39.75" customHeight="1">
      <c r="A458" s="1">
        <v>457.0</v>
      </c>
      <c r="B458" s="2" t="s">
        <v>47</v>
      </c>
      <c r="C458" s="2" t="s">
        <v>54</v>
      </c>
      <c r="D458" s="13"/>
      <c r="E458" s="13"/>
      <c r="F458" s="44" t="s">
        <v>1373</v>
      </c>
      <c r="G458" s="43">
        <v>2.0</v>
      </c>
      <c r="H458" s="42"/>
      <c r="I458" s="42"/>
      <c r="J458" s="22"/>
      <c r="K458" s="42"/>
    </row>
    <row r="459" ht="39.75" customHeight="1">
      <c r="A459" s="1">
        <v>458.0</v>
      </c>
      <c r="B459" s="2" t="s">
        <v>48</v>
      </c>
      <c r="C459" s="2" t="s">
        <v>54</v>
      </c>
      <c r="D459" s="13"/>
      <c r="E459" s="13"/>
      <c r="F459" s="44" t="s">
        <v>1374</v>
      </c>
      <c r="G459" s="43">
        <v>1.0</v>
      </c>
      <c r="H459" s="42"/>
      <c r="I459" s="42"/>
      <c r="J459" s="22"/>
      <c r="K459" s="42"/>
    </row>
    <row r="460" ht="39.75" customHeight="1">
      <c r="A460" s="1">
        <v>459.0</v>
      </c>
      <c r="B460" s="21"/>
      <c r="C460" s="21"/>
      <c r="D460" s="21"/>
      <c r="E460" s="21"/>
      <c r="F460" s="46"/>
      <c r="G460" s="47"/>
      <c r="H460" s="47"/>
      <c r="I460" s="47"/>
      <c r="J460" s="48"/>
      <c r="K460" s="47"/>
      <c r="L460" s="49"/>
      <c r="M460" s="49"/>
      <c r="N460" s="49"/>
    </row>
    <row r="461" ht="39.75" customHeight="1">
      <c r="A461" s="1">
        <v>460.0</v>
      </c>
      <c r="B461" s="2" t="s">
        <v>12</v>
      </c>
      <c r="C461" s="2" t="s">
        <v>62</v>
      </c>
      <c r="D461" s="13"/>
      <c r="E461" s="13"/>
      <c r="F461" s="45"/>
      <c r="G461" s="42"/>
      <c r="H461" s="42"/>
      <c r="I461" s="42"/>
      <c r="J461" s="27" t="s">
        <v>1161</v>
      </c>
      <c r="K461" s="43"/>
      <c r="L461" s="15" t="s">
        <v>309</v>
      </c>
    </row>
    <row r="462" ht="39.75" hidden="1" customHeight="1">
      <c r="A462" s="1">
        <v>461.0</v>
      </c>
      <c r="B462" s="2" t="s">
        <v>16</v>
      </c>
      <c r="C462" s="2" t="s">
        <v>58</v>
      </c>
      <c r="D462" s="13"/>
      <c r="E462" s="13"/>
      <c r="F462" s="45"/>
      <c r="G462" s="42"/>
      <c r="H462" s="42"/>
      <c r="I462" s="42"/>
      <c r="J462" s="27" t="s">
        <v>309</v>
      </c>
      <c r="K462" s="43"/>
    </row>
    <row r="463" ht="39.75" hidden="1" customHeight="1">
      <c r="A463" s="1">
        <v>462.0</v>
      </c>
      <c r="B463" s="2" t="s">
        <v>17</v>
      </c>
      <c r="C463" s="2" t="s">
        <v>58</v>
      </c>
      <c r="D463" s="13"/>
      <c r="E463" s="13"/>
      <c r="F463" s="45"/>
      <c r="G463" s="42"/>
      <c r="H463" s="42"/>
      <c r="I463" s="42"/>
      <c r="J463" s="27" t="s">
        <v>77</v>
      </c>
      <c r="K463" s="43"/>
    </row>
    <row r="464" ht="39.75" customHeight="1">
      <c r="A464" s="1">
        <v>463.0</v>
      </c>
      <c r="B464" s="2" t="s">
        <v>331</v>
      </c>
      <c r="C464" s="2" t="s">
        <v>542</v>
      </c>
      <c r="D464" s="13"/>
      <c r="E464" s="13"/>
      <c r="F464" s="44" t="s">
        <v>1375</v>
      </c>
      <c r="G464" s="43">
        <v>2.0</v>
      </c>
      <c r="H464" s="42"/>
      <c r="I464" s="43">
        <v>1.0</v>
      </c>
      <c r="J464" s="22"/>
      <c r="K464" s="42"/>
    </row>
    <row r="465" ht="39.75" customHeight="1">
      <c r="A465" s="1">
        <v>464.0</v>
      </c>
      <c r="B465" s="2" t="s">
        <v>21</v>
      </c>
      <c r="C465" s="2" t="s">
        <v>277</v>
      </c>
      <c r="D465" s="13"/>
      <c r="E465" s="13"/>
      <c r="F465" s="45"/>
      <c r="G465" s="42"/>
      <c r="H465" s="42"/>
      <c r="I465" s="42"/>
      <c r="J465" s="22"/>
      <c r="K465" s="42"/>
    </row>
    <row r="466" ht="39.75" customHeight="1">
      <c r="A466" s="1">
        <v>465.0</v>
      </c>
      <c r="B466" s="2" t="s">
        <v>22</v>
      </c>
      <c r="C466" s="2" t="s">
        <v>69</v>
      </c>
      <c r="D466" s="13"/>
      <c r="E466" s="40">
        <v>0.875</v>
      </c>
      <c r="F466" s="44" t="s">
        <v>1376</v>
      </c>
      <c r="G466" s="43">
        <v>1.0</v>
      </c>
      <c r="H466" s="42"/>
      <c r="I466" s="42"/>
      <c r="J466" s="22"/>
      <c r="K466" s="42"/>
    </row>
    <row r="467" ht="39.75" customHeight="1">
      <c r="A467" s="1">
        <v>466.0</v>
      </c>
      <c r="B467" s="2" t="s">
        <v>23</v>
      </c>
      <c r="C467" s="2" t="s">
        <v>54</v>
      </c>
      <c r="D467" s="13"/>
      <c r="E467" s="13"/>
      <c r="F467" s="44" t="s">
        <v>1377</v>
      </c>
      <c r="G467" s="43">
        <v>1.0</v>
      </c>
      <c r="H467" s="42"/>
      <c r="I467" s="42"/>
      <c r="J467" s="22"/>
      <c r="K467" s="42"/>
    </row>
    <row r="468" ht="39.75" customHeight="1">
      <c r="A468" s="1">
        <v>467.0</v>
      </c>
      <c r="B468" s="2" t="s">
        <v>24</v>
      </c>
      <c r="C468" s="2" t="s">
        <v>1378</v>
      </c>
      <c r="D468" s="13"/>
      <c r="E468" s="13"/>
      <c r="F468" s="44" t="s">
        <v>1379</v>
      </c>
      <c r="G468" s="42"/>
      <c r="H468" s="42"/>
      <c r="I468" s="42"/>
      <c r="J468" s="22"/>
      <c r="K468" s="42"/>
    </row>
    <row r="469" ht="39.75" customHeight="1">
      <c r="A469" s="1">
        <v>468.0</v>
      </c>
      <c r="B469" s="2" t="s">
        <v>25</v>
      </c>
      <c r="C469" s="2"/>
      <c r="D469" s="13"/>
      <c r="E469" s="13"/>
      <c r="F469" s="44" t="s">
        <v>1380</v>
      </c>
      <c r="G469" s="43">
        <v>1.0</v>
      </c>
      <c r="H469" s="42"/>
      <c r="I469" s="43">
        <v>1.0</v>
      </c>
      <c r="J469" s="22"/>
      <c r="K469" s="42"/>
    </row>
    <row r="470" ht="39.75" hidden="1" customHeight="1">
      <c r="A470" s="1">
        <v>469.0</v>
      </c>
      <c r="B470" s="2" t="s">
        <v>26</v>
      </c>
      <c r="C470" s="2" t="s">
        <v>58</v>
      </c>
      <c r="D470" s="13"/>
      <c r="E470" s="13"/>
      <c r="F470" s="45"/>
      <c r="G470" s="42"/>
      <c r="H470" s="42"/>
      <c r="I470" s="42"/>
      <c r="J470" s="22"/>
      <c r="K470" s="42"/>
    </row>
    <row r="471" ht="39.75" hidden="1" customHeight="1">
      <c r="A471" s="1">
        <v>470.0</v>
      </c>
      <c r="B471" s="2" t="s">
        <v>29</v>
      </c>
      <c r="C471" s="2" t="s">
        <v>66</v>
      </c>
      <c r="D471" s="13"/>
      <c r="E471" s="13"/>
      <c r="F471" s="45"/>
      <c r="G471" s="42"/>
      <c r="H471" s="42"/>
      <c r="I471" s="42"/>
      <c r="J471" s="22"/>
      <c r="K471" s="42"/>
    </row>
    <row r="472" ht="39.75" customHeight="1">
      <c r="A472" s="1">
        <v>471.0</v>
      </c>
      <c r="B472" s="2" t="s">
        <v>30</v>
      </c>
      <c r="C472" s="2" t="s">
        <v>64</v>
      </c>
      <c r="D472" s="13"/>
      <c r="E472" s="13"/>
      <c r="F472" s="45"/>
      <c r="G472" s="42"/>
      <c r="H472" s="42"/>
      <c r="I472" s="42"/>
      <c r="J472" s="22"/>
      <c r="K472" s="42"/>
    </row>
    <row r="473" ht="39.75" customHeight="1">
      <c r="A473" s="1">
        <v>472.0</v>
      </c>
      <c r="B473" s="2" t="s">
        <v>31</v>
      </c>
      <c r="C473" s="2"/>
      <c r="D473" s="13"/>
      <c r="E473" s="13"/>
      <c r="F473" s="44" t="s">
        <v>1381</v>
      </c>
      <c r="G473" s="43">
        <v>1.0</v>
      </c>
      <c r="H473" s="42"/>
      <c r="I473" s="42"/>
      <c r="J473" s="22"/>
      <c r="K473" s="42"/>
    </row>
    <row r="474" ht="39.75" customHeight="1">
      <c r="A474" s="1">
        <v>473.0</v>
      </c>
      <c r="B474" s="2" t="s">
        <v>32</v>
      </c>
      <c r="C474" s="2" t="s">
        <v>69</v>
      </c>
      <c r="D474" s="13"/>
      <c r="E474" s="40">
        <v>0.8125</v>
      </c>
      <c r="F474" s="44" t="s">
        <v>1382</v>
      </c>
      <c r="G474" s="43">
        <v>1.0</v>
      </c>
      <c r="H474" s="42"/>
      <c r="I474" s="42"/>
      <c r="J474" s="22"/>
      <c r="K474" s="42"/>
    </row>
    <row r="475" ht="39.75" customHeight="1">
      <c r="A475" s="1">
        <v>474.0</v>
      </c>
      <c r="B475" s="2" t="s">
        <v>67</v>
      </c>
      <c r="C475" s="2" t="s">
        <v>44</v>
      </c>
      <c r="D475" s="13"/>
      <c r="E475" s="13"/>
      <c r="F475" s="52" t="s">
        <v>1383</v>
      </c>
      <c r="G475" s="56">
        <v>1.0</v>
      </c>
      <c r="H475" s="42"/>
      <c r="I475" s="42"/>
      <c r="J475" s="22"/>
      <c r="K475" s="42"/>
    </row>
    <row r="476" ht="39.75" customHeight="1">
      <c r="A476" s="1">
        <v>475.0</v>
      </c>
      <c r="B476" s="2" t="s">
        <v>34</v>
      </c>
      <c r="C476" s="2" t="s">
        <v>54</v>
      </c>
      <c r="D476" s="13"/>
      <c r="E476" s="13"/>
      <c r="F476" s="44" t="s">
        <v>1384</v>
      </c>
      <c r="G476" s="43">
        <v>1.0</v>
      </c>
      <c r="H476" s="42"/>
      <c r="I476" s="42"/>
      <c r="J476" s="22"/>
      <c r="K476" s="42"/>
    </row>
    <row r="477" ht="39.75" customHeight="1">
      <c r="A477" s="1">
        <v>476.0</v>
      </c>
      <c r="B477" s="2" t="s">
        <v>35</v>
      </c>
      <c r="C477" s="13"/>
      <c r="D477" s="13"/>
      <c r="E477" s="13"/>
      <c r="F477" s="44" t="s">
        <v>1385</v>
      </c>
      <c r="G477" s="43">
        <v>1.0</v>
      </c>
      <c r="H477" s="42"/>
      <c r="I477" s="42"/>
      <c r="J477" s="22"/>
      <c r="K477" s="42"/>
    </row>
    <row r="478" ht="39.75" customHeight="1">
      <c r="A478" s="1">
        <v>477.0</v>
      </c>
      <c r="B478" s="2" t="s">
        <v>36</v>
      </c>
      <c r="C478" s="2" t="s">
        <v>39</v>
      </c>
      <c r="D478" s="13"/>
      <c r="E478" s="13"/>
      <c r="F478" s="44" t="s">
        <v>1386</v>
      </c>
      <c r="G478" s="43">
        <v>1.0</v>
      </c>
      <c r="H478" s="42"/>
      <c r="I478" s="43">
        <v>1.0</v>
      </c>
      <c r="J478" s="22"/>
      <c r="K478" s="42"/>
    </row>
    <row r="479" ht="39.75" customHeight="1">
      <c r="A479" s="1">
        <v>478.0</v>
      </c>
      <c r="B479" s="2" t="s">
        <v>38</v>
      </c>
      <c r="C479" s="2" t="s">
        <v>54</v>
      </c>
      <c r="D479" s="13"/>
      <c r="E479" s="13"/>
      <c r="F479" s="44" t="s">
        <v>1387</v>
      </c>
      <c r="G479" s="43">
        <v>1.0</v>
      </c>
      <c r="H479" s="42"/>
      <c r="I479" s="42"/>
      <c r="J479" s="22"/>
      <c r="K479" s="42"/>
    </row>
    <row r="480" ht="39.75" hidden="1" customHeight="1">
      <c r="A480" s="1">
        <v>479.0</v>
      </c>
      <c r="B480" s="2" t="s">
        <v>41</v>
      </c>
      <c r="C480" s="2" t="s">
        <v>58</v>
      </c>
      <c r="D480" s="13"/>
      <c r="E480" s="13"/>
      <c r="F480" s="45"/>
      <c r="G480" s="42"/>
      <c r="H480" s="42"/>
      <c r="I480" s="42"/>
      <c r="J480" s="22"/>
      <c r="K480" s="42"/>
    </row>
    <row r="481" ht="39.75" customHeight="1">
      <c r="A481" s="1">
        <v>480.0</v>
      </c>
      <c r="B481" s="2" t="s">
        <v>42</v>
      </c>
      <c r="C481" s="2" t="s">
        <v>69</v>
      </c>
      <c r="D481" s="13"/>
      <c r="E481" s="40">
        <v>0.8194444444444444</v>
      </c>
      <c r="F481" s="44" t="s">
        <v>1388</v>
      </c>
      <c r="G481" s="43">
        <v>1.0</v>
      </c>
      <c r="H481" s="42"/>
      <c r="I481" s="42"/>
      <c r="J481" s="22"/>
      <c r="K481" s="42"/>
    </row>
    <row r="482" ht="39.75" customHeight="1">
      <c r="A482" s="1">
        <v>481.0</v>
      </c>
      <c r="B482" s="2" t="s">
        <v>43</v>
      </c>
      <c r="C482" s="2"/>
      <c r="D482" s="13"/>
      <c r="E482" s="13"/>
      <c r="F482" s="44" t="s">
        <v>1389</v>
      </c>
      <c r="G482" s="42"/>
      <c r="H482" s="42"/>
      <c r="I482" s="42"/>
      <c r="J482" s="22"/>
      <c r="K482" s="42"/>
    </row>
    <row r="483" ht="39.75" hidden="1" customHeight="1">
      <c r="A483" s="1">
        <v>482.0</v>
      </c>
      <c r="B483" s="2" t="s">
        <v>45</v>
      </c>
      <c r="C483" s="2" t="s">
        <v>58</v>
      </c>
      <c r="D483" s="13"/>
      <c r="E483" s="13"/>
      <c r="F483" s="45"/>
      <c r="G483" s="42"/>
      <c r="H483" s="42"/>
      <c r="I483" s="42"/>
      <c r="J483" s="22"/>
      <c r="K483" s="42"/>
    </row>
    <row r="484" ht="39.75" customHeight="1">
      <c r="A484" s="1">
        <v>483.0</v>
      </c>
      <c r="B484" s="2" t="s">
        <v>46</v>
      </c>
      <c r="C484" s="2" t="s">
        <v>27</v>
      </c>
      <c r="D484" s="13"/>
      <c r="E484" s="13"/>
      <c r="F484" s="44" t="s">
        <v>1390</v>
      </c>
      <c r="G484" s="43">
        <v>2.0</v>
      </c>
      <c r="H484" s="42"/>
      <c r="I484" s="42"/>
      <c r="J484" s="22"/>
      <c r="K484" s="42"/>
    </row>
    <row r="485" ht="39.75" customHeight="1">
      <c r="A485" s="1">
        <v>484.0</v>
      </c>
      <c r="B485" s="2" t="s">
        <v>47</v>
      </c>
      <c r="C485" s="2" t="s">
        <v>54</v>
      </c>
      <c r="D485" s="13"/>
      <c r="E485" s="13"/>
      <c r="F485" s="44" t="s">
        <v>1391</v>
      </c>
      <c r="G485" s="43">
        <v>1.0</v>
      </c>
      <c r="H485" s="42"/>
      <c r="I485" s="43">
        <v>1.0</v>
      </c>
      <c r="J485" s="22"/>
      <c r="K485" s="42"/>
    </row>
    <row r="486" ht="39.75" customHeight="1">
      <c r="A486" s="1">
        <v>485.0</v>
      </c>
      <c r="B486" s="2" t="s">
        <v>48</v>
      </c>
      <c r="C486" s="2" t="s">
        <v>39</v>
      </c>
      <c r="D486" s="13"/>
      <c r="E486" s="13"/>
      <c r="F486" s="44" t="s">
        <v>1392</v>
      </c>
      <c r="G486" s="43">
        <v>1.0</v>
      </c>
      <c r="H486" s="42"/>
      <c r="I486" s="42"/>
      <c r="J486" s="22"/>
      <c r="K486" s="42"/>
    </row>
    <row r="487" ht="39.75" customHeight="1">
      <c r="A487" s="1">
        <v>486.0</v>
      </c>
      <c r="B487" s="21"/>
      <c r="C487" s="21"/>
      <c r="D487" s="21"/>
      <c r="E487" s="21"/>
      <c r="F487" s="46"/>
      <c r="G487" s="47"/>
      <c r="H487" s="47"/>
      <c r="I487" s="47"/>
      <c r="J487" s="48"/>
      <c r="K487" s="47"/>
      <c r="L487" s="49"/>
      <c r="M487" s="49"/>
      <c r="N487" s="49"/>
    </row>
    <row r="488" ht="39.75" hidden="1" customHeight="1">
      <c r="A488" s="1">
        <v>487.0</v>
      </c>
      <c r="B488" s="2" t="s">
        <v>12</v>
      </c>
      <c r="C488" s="2" t="s">
        <v>58</v>
      </c>
      <c r="D488" s="13"/>
      <c r="E488" s="13"/>
      <c r="F488" s="45"/>
      <c r="G488" s="42"/>
      <c r="H488" s="42"/>
      <c r="I488" s="42"/>
      <c r="J488" s="27" t="s">
        <v>1161</v>
      </c>
      <c r="K488" s="43"/>
      <c r="L488" s="15" t="s">
        <v>328</v>
      </c>
    </row>
    <row r="489" ht="39.75" hidden="1" customHeight="1">
      <c r="A489" s="1">
        <v>488.0</v>
      </c>
      <c r="B489" s="2" t="s">
        <v>16</v>
      </c>
      <c r="C489" s="2" t="s">
        <v>58</v>
      </c>
      <c r="D489" s="13"/>
      <c r="E489" s="13"/>
      <c r="F489" s="45"/>
      <c r="G489" s="42"/>
      <c r="H489" s="42"/>
      <c r="I489" s="42"/>
      <c r="J489" s="27" t="s">
        <v>328</v>
      </c>
      <c r="K489" s="43"/>
    </row>
    <row r="490" ht="39.75" customHeight="1">
      <c r="A490" s="1">
        <v>489.0</v>
      </c>
      <c r="B490" s="2" t="s">
        <v>17</v>
      </c>
      <c r="C490" s="2" t="s">
        <v>69</v>
      </c>
      <c r="D490" s="13"/>
      <c r="E490" s="13"/>
      <c r="F490" s="44" t="s">
        <v>1393</v>
      </c>
      <c r="G490" s="43">
        <v>1.0</v>
      </c>
      <c r="H490" s="42"/>
      <c r="I490" s="42"/>
      <c r="J490" s="27" t="s">
        <v>95</v>
      </c>
      <c r="K490" s="43"/>
    </row>
    <row r="491" ht="39.75" hidden="1" customHeight="1">
      <c r="A491" s="1">
        <v>490.0</v>
      </c>
      <c r="B491" s="2" t="s">
        <v>331</v>
      </c>
      <c r="C491" s="2" t="s">
        <v>58</v>
      </c>
      <c r="D491" s="13"/>
      <c r="E491" s="13"/>
      <c r="F491" s="45"/>
      <c r="G491" s="42"/>
      <c r="H491" s="42"/>
      <c r="I491" s="42"/>
      <c r="J491" s="22"/>
      <c r="K491" s="42"/>
    </row>
    <row r="492" ht="39.75" customHeight="1">
      <c r="A492" s="1">
        <v>491.0</v>
      </c>
      <c r="B492" s="2" t="s">
        <v>21</v>
      </c>
      <c r="C492" s="2" t="s">
        <v>277</v>
      </c>
      <c r="D492" s="13"/>
      <c r="E492" s="13"/>
      <c r="F492" s="45"/>
      <c r="G492" s="42"/>
      <c r="H492" s="42"/>
      <c r="I492" s="42"/>
      <c r="J492" s="22"/>
      <c r="K492" s="42"/>
    </row>
    <row r="493" ht="39.75" customHeight="1">
      <c r="A493" s="1">
        <v>492.0</v>
      </c>
      <c r="B493" s="2" t="s">
        <v>22</v>
      </c>
      <c r="C493" s="2" t="s">
        <v>27</v>
      </c>
      <c r="D493" s="13"/>
      <c r="E493" s="13"/>
      <c r="F493" s="44" t="s">
        <v>1394</v>
      </c>
      <c r="G493" s="43">
        <v>1.0</v>
      </c>
      <c r="H493" s="42"/>
      <c r="I493" s="42"/>
      <c r="J493" s="22"/>
      <c r="K493" s="42"/>
    </row>
    <row r="494" ht="39.75" customHeight="1">
      <c r="A494" s="1">
        <v>493.0</v>
      </c>
      <c r="B494" s="2" t="s">
        <v>23</v>
      </c>
      <c r="C494" s="2" t="s">
        <v>54</v>
      </c>
      <c r="D494" s="13"/>
      <c r="E494" s="13"/>
      <c r="F494" s="44" t="s">
        <v>1395</v>
      </c>
      <c r="G494" s="43">
        <v>2.0</v>
      </c>
      <c r="H494" s="42"/>
      <c r="I494" s="42"/>
      <c r="J494" s="22"/>
      <c r="K494" s="42"/>
    </row>
    <row r="495" ht="39.75" customHeight="1">
      <c r="A495" s="1">
        <v>494.0</v>
      </c>
      <c r="B495" s="2" t="s">
        <v>24</v>
      </c>
      <c r="C495" s="2" t="s">
        <v>1378</v>
      </c>
      <c r="D495" s="13"/>
      <c r="E495" s="13"/>
      <c r="F495" s="44" t="s">
        <v>1396</v>
      </c>
      <c r="G495" s="42"/>
      <c r="H495" s="42"/>
      <c r="I495" s="42"/>
      <c r="J495" s="22"/>
      <c r="K495" s="42"/>
    </row>
    <row r="496" ht="39.75" hidden="1" customHeight="1">
      <c r="A496" s="1">
        <v>495.0</v>
      </c>
      <c r="B496" s="2" t="s">
        <v>25</v>
      </c>
      <c r="C496" s="2" t="s">
        <v>58</v>
      </c>
      <c r="D496" s="13"/>
      <c r="E496" s="13"/>
      <c r="F496" s="45"/>
      <c r="G496" s="42"/>
      <c r="H496" s="42"/>
      <c r="I496" s="42"/>
      <c r="J496" s="22"/>
      <c r="K496" s="42"/>
    </row>
    <row r="497" ht="39.75" customHeight="1">
      <c r="A497" s="1">
        <v>496.0</v>
      </c>
      <c r="B497" s="2" t="s">
        <v>26</v>
      </c>
      <c r="C497" s="2" t="s">
        <v>39</v>
      </c>
      <c r="D497" s="13"/>
      <c r="E497" s="13"/>
      <c r="F497" s="44" t="s">
        <v>1397</v>
      </c>
      <c r="G497" s="43">
        <v>1.0</v>
      </c>
      <c r="H497" s="42"/>
      <c r="I497" s="43">
        <v>1.0</v>
      </c>
      <c r="J497" s="22"/>
      <c r="K497" s="42"/>
    </row>
    <row r="498" ht="39.75" customHeight="1">
      <c r="A498" s="1">
        <v>497.0</v>
      </c>
      <c r="B498" s="2" t="s">
        <v>29</v>
      </c>
      <c r="C498" s="2" t="s">
        <v>69</v>
      </c>
      <c r="D498" s="13"/>
      <c r="E498" s="40">
        <v>0.8402777777777778</v>
      </c>
      <c r="F498" s="44" t="s">
        <v>1398</v>
      </c>
      <c r="G498" s="43">
        <v>1.0</v>
      </c>
      <c r="H498" s="42"/>
      <c r="I498" s="42"/>
      <c r="J498" s="22"/>
      <c r="K498" s="42"/>
    </row>
    <row r="499" ht="39.75" customHeight="1">
      <c r="A499" s="1">
        <v>498.0</v>
      </c>
      <c r="B499" s="2" t="s">
        <v>30</v>
      </c>
      <c r="C499" s="2" t="s">
        <v>64</v>
      </c>
      <c r="D499" s="13"/>
      <c r="E499" s="13"/>
      <c r="F499" s="45"/>
      <c r="G499" s="42"/>
      <c r="H499" s="42"/>
      <c r="I499" s="42"/>
      <c r="J499" s="22"/>
      <c r="K499" s="42"/>
    </row>
    <row r="500" ht="39.75" customHeight="1">
      <c r="A500" s="1">
        <v>499.0</v>
      </c>
      <c r="B500" s="2" t="s">
        <v>31</v>
      </c>
      <c r="C500" s="2"/>
      <c r="D500" s="13"/>
      <c r="E500" s="13"/>
      <c r="F500" s="44" t="s">
        <v>1399</v>
      </c>
      <c r="G500" s="43">
        <v>2.0</v>
      </c>
      <c r="H500" s="42"/>
      <c r="I500" s="43">
        <v>1.0</v>
      </c>
      <c r="J500" s="22"/>
      <c r="K500" s="42"/>
    </row>
    <row r="501" ht="39.75" customHeight="1">
      <c r="A501" s="1">
        <v>500.0</v>
      </c>
      <c r="B501" s="2" t="s">
        <v>32</v>
      </c>
      <c r="C501" s="2" t="s">
        <v>69</v>
      </c>
      <c r="D501" s="13"/>
      <c r="E501" s="40">
        <v>0.8958333333333334</v>
      </c>
      <c r="F501" s="44" t="s">
        <v>1400</v>
      </c>
      <c r="G501" s="43">
        <v>1.0</v>
      </c>
      <c r="H501" s="42"/>
      <c r="I501" s="42"/>
      <c r="J501" s="22"/>
      <c r="K501" s="42"/>
    </row>
    <row r="502" ht="39.75" hidden="1" customHeight="1">
      <c r="A502" s="1">
        <v>501.0</v>
      </c>
      <c r="B502" s="2" t="s">
        <v>67</v>
      </c>
      <c r="C502" s="2" t="s">
        <v>58</v>
      </c>
      <c r="D502" s="13"/>
      <c r="E502" s="13"/>
      <c r="F502" s="45"/>
      <c r="G502" s="42"/>
      <c r="H502" s="42"/>
      <c r="I502" s="42"/>
      <c r="J502" s="22"/>
      <c r="K502" s="42"/>
    </row>
    <row r="503" ht="39.75" customHeight="1">
      <c r="A503" s="1">
        <v>502.0</v>
      </c>
      <c r="B503" s="2" t="s">
        <v>34</v>
      </c>
      <c r="C503" s="2" t="s">
        <v>54</v>
      </c>
      <c r="D503" s="53">
        <v>0.25</v>
      </c>
      <c r="E503" s="13"/>
      <c r="F503" s="44" t="s">
        <v>1401</v>
      </c>
      <c r="G503" s="43">
        <v>1.0</v>
      </c>
      <c r="H503" s="43">
        <v>1.0</v>
      </c>
      <c r="I503" s="42"/>
      <c r="J503" s="22"/>
      <c r="K503" s="42"/>
    </row>
    <row r="504" ht="39.75" customHeight="1">
      <c r="A504" s="1">
        <v>503.0</v>
      </c>
      <c r="B504" s="2" t="s">
        <v>35</v>
      </c>
      <c r="C504" s="2" t="s">
        <v>39</v>
      </c>
      <c r="D504" s="53">
        <v>0.2604166666666667</v>
      </c>
      <c r="E504" s="13"/>
      <c r="F504" s="44" t="s">
        <v>1402</v>
      </c>
      <c r="G504" s="43">
        <v>1.0</v>
      </c>
      <c r="H504" s="42"/>
      <c r="I504" s="42"/>
      <c r="J504" s="22"/>
      <c r="K504" s="42"/>
    </row>
    <row r="505" ht="39.75" customHeight="1">
      <c r="A505" s="1">
        <v>504.0</v>
      </c>
      <c r="B505" s="2" t="s">
        <v>36</v>
      </c>
      <c r="C505" s="2"/>
      <c r="D505" s="13"/>
      <c r="E505" s="13"/>
      <c r="F505" s="44" t="s">
        <v>1403</v>
      </c>
      <c r="G505" s="43">
        <v>2.0</v>
      </c>
      <c r="H505" s="42"/>
      <c r="I505" s="43">
        <v>1.0</v>
      </c>
      <c r="J505" s="22"/>
      <c r="K505" s="42"/>
    </row>
    <row r="506" ht="39.75" customHeight="1">
      <c r="A506" s="1">
        <v>505.0</v>
      </c>
      <c r="B506" s="2" t="s">
        <v>38</v>
      </c>
      <c r="C506" s="2" t="s">
        <v>54</v>
      </c>
      <c r="D506" s="13"/>
      <c r="E506" s="13"/>
      <c r="F506" s="44" t="s">
        <v>1404</v>
      </c>
      <c r="G506" s="43">
        <v>1.0</v>
      </c>
      <c r="H506" s="42"/>
      <c r="I506" s="42"/>
      <c r="J506" s="22"/>
      <c r="K506" s="42"/>
    </row>
    <row r="507" ht="39.75" hidden="1" customHeight="1">
      <c r="A507" s="1">
        <v>506.0</v>
      </c>
      <c r="B507" s="2" t="s">
        <v>41</v>
      </c>
      <c r="C507" s="2" t="s">
        <v>58</v>
      </c>
      <c r="D507" s="13"/>
      <c r="E507" s="13"/>
      <c r="F507" s="45"/>
      <c r="G507" s="42"/>
      <c r="H507" s="42"/>
      <c r="I507" s="42"/>
      <c r="J507" s="22"/>
      <c r="K507" s="42"/>
    </row>
    <row r="508" ht="39.75" hidden="1" customHeight="1">
      <c r="A508" s="1">
        <v>507.0</v>
      </c>
      <c r="B508" s="2" t="s">
        <v>42</v>
      </c>
      <c r="C508" s="2" t="s">
        <v>66</v>
      </c>
      <c r="D508" s="13"/>
      <c r="E508" s="13"/>
      <c r="F508" s="45"/>
      <c r="G508" s="42"/>
      <c r="H508" s="42"/>
      <c r="I508" s="42"/>
      <c r="J508" s="22"/>
      <c r="K508" s="42"/>
    </row>
    <row r="509" ht="39.75" customHeight="1">
      <c r="A509" s="1">
        <v>508.0</v>
      </c>
      <c r="B509" s="2" t="s">
        <v>43</v>
      </c>
      <c r="C509" s="2"/>
      <c r="D509" s="13"/>
      <c r="E509" s="13"/>
      <c r="F509" s="44" t="s">
        <v>1405</v>
      </c>
      <c r="G509" s="43">
        <v>2.0</v>
      </c>
      <c r="H509" s="42"/>
      <c r="I509" s="43">
        <v>1.0</v>
      </c>
      <c r="J509" s="22"/>
      <c r="K509" s="42"/>
    </row>
    <row r="510" ht="39.75" customHeight="1">
      <c r="A510" s="1">
        <v>509.0</v>
      </c>
      <c r="B510" s="2" t="s">
        <v>45</v>
      </c>
      <c r="C510" s="2"/>
      <c r="D510" s="13"/>
      <c r="E510" s="13"/>
      <c r="F510" s="44" t="s">
        <v>1406</v>
      </c>
      <c r="G510" s="43">
        <v>1.0</v>
      </c>
      <c r="H510" s="42"/>
      <c r="I510" s="42"/>
      <c r="J510" s="22"/>
      <c r="K510" s="42"/>
    </row>
    <row r="511" ht="39.75" customHeight="1">
      <c r="A511" s="1">
        <v>510.0</v>
      </c>
      <c r="B511" s="2" t="s">
        <v>46</v>
      </c>
      <c r="C511" s="2" t="s">
        <v>44</v>
      </c>
      <c r="D511" s="13"/>
      <c r="E511" s="13"/>
      <c r="F511" s="45"/>
      <c r="G511" s="42"/>
      <c r="H511" s="42"/>
      <c r="I511" s="42"/>
      <c r="J511" s="22"/>
      <c r="K511" s="42"/>
    </row>
    <row r="512" ht="39.75" customHeight="1">
      <c r="A512" s="1">
        <v>511.0</v>
      </c>
      <c r="B512" s="2" t="s">
        <v>47</v>
      </c>
      <c r="C512" s="2" t="s">
        <v>54</v>
      </c>
      <c r="D512" s="13"/>
      <c r="E512" s="13"/>
      <c r="F512" s="44" t="s">
        <v>1407</v>
      </c>
      <c r="G512" s="43">
        <v>1.0</v>
      </c>
      <c r="H512" s="42"/>
      <c r="I512" s="42"/>
      <c r="J512" s="22"/>
      <c r="K512" s="42"/>
    </row>
    <row r="513" ht="39.75" customHeight="1">
      <c r="A513" s="1">
        <v>512.0</v>
      </c>
      <c r="B513" s="2" t="s">
        <v>48</v>
      </c>
      <c r="C513" s="2"/>
      <c r="D513" s="13"/>
      <c r="E513" s="13"/>
      <c r="F513" s="44" t="s">
        <v>1408</v>
      </c>
      <c r="G513" s="43">
        <v>1.0</v>
      </c>
      <c r="H513" s="42"/>
      <c r="I513" s="42"/>
      <c r="J513" s="22"/>
      <c r="K513" s="42"/>
    </row>
    <row r="514" ht="39.75" customHeight="1">
      <c r="A514" s="1">
        <v>513.0</v>
      </c>
      <c r="B514" s="21"/>
      <c r="C514" s="21"/>
      <c r="D514" s="21"/>
      <c r="E514" s="21"/>
      <c r="F514" s="46"/>
      <c r="G514" s="47"/>
      <c r="H514" s="47"/>
      <c r="I514" s="47"/>
      <c r="J514" s="48"/>
      <c r="K514" s="47"/>
      <c r="L514" s="49"/>
      <c r="M514" s="49"/>
      <c r="N514" s="49"/>
    </row>
    <row r="515" ht="39.75" customHeight="1">
      <c r="A515" s="1">
        <v>514.0</v>
      </c>
      <c r="B515" s="2" t="s">
        <v>12</v>
      </c>
      <c r="C515" s="2" t="s">
        <v>62</v>
      </c>
      <c r="D515" s="13"/>
      <c r="E515" s="13"/>
      <c r="F515" s="44" t="s">
        <v>1409</v>
      </c>
      <c r="G515" s="43">
        <v>2.0</v>
      </c>
      <c r="H515" s="42"/>
      <c r="I515" s="43">
        <v>2.0</v>
      </c>
      <c r="J515" s="27" t="s">
        <v>1161</v>
      </c>
      <c r="K515" s="43"/>
      <c r="L515" s="15" t="s">
        <v>347</v>
      </c>
    </row>
    <row r="516" ht="39.75" hidden="1" customHeight="1">
      <c r="A516" s="1">
        <v>515.0</v>
      </c>
      <c r="B516" s="2" t="s">
        <v>16</v>
      </c>
      <c r="C516" s="2" t="s">
        <v>58</v>
      </c>
      <c r="D516" s="13"/>
      <c r="E516" s="13"/>
      <c r="F516" s="45"/>
      <c r="G516" s="42"/>
      <c r="H516" s="42"/>
      <c r="I516" s="42"/>
      <c r="J516" s="27" t="s">
        <v>347</v>
      </c>
      <c r="K516" s="43"/>
    </row>
    <row r="517" ht="39.75" customHeight="1">
      <c r="A517" s="1">
        <v>516.0</v>
      </c>
      <c r="B517" s="2" t="s">
        <v>17</v>
      </c>
      <c r="C517" s="2" t="s">
        <v>39</v>
      </c>
      <c r="D517" s="40"/>
      <c r="E517" s="13"/>
      <c r="F517" s="44" t="s">
        <v>1410</v>
      </c>
      <c r="G517" s="43">
        <v>2.0</v>
      </c>
      <c r="H517" s="42"/>
      <c r="I517" s="42"/>
      <c r="J517" s="27" t="s">
        <v>111</v>
      </c>
      <c r="K517" s="43"/>
    </row>
    <row r="518" ht="39.75" customHeight="1">
      <c r="A518" s="1">
        <v>517.0</v>
      </c>
      <c r="B518" s="2" t="s">
        <v>331</v>
      </c>
      <c r="C518" s="2" t="s">
        <v>542</v>
      </c>
      <c r="D518" s="13"/>
      <c r="E518" s="13"/>
      <c r="F518" s="44" t="s">
        <v>1411</v>
      </c>
      <c r="G518" s="43">
        <v>1.0</v>
      </c>
      <c r="H518" s="42"/>
      <c r="I518" s="42"/>
      <c r="J518" s="22"/>
      <c r="K518" s="42"/>
    </row>
    <row r="519" ht="39.75" customHeight="1">
      <c r="A519" s="1">
        <v>518.0</v>
      </c>
      <c r="B519" s="2" t="s">
        <v>21</v>
      </c>
      <c r="C519" s="2" t="s">
        <v>277</v>
      </c>
      <c r="D519" s="13"/>
      <c r="E519" s="13"/>
      <c r="F519" s="45"/>
      <c r="G519" s="42"/>
      <c r="H519" s="42"/>
      <c r="I519" s="42"/>
      <c r="J519" s="22"/>
      <c r="K519" s="42"/>
    </row>
    <row r="520" ht="39.75" customHeight="1">
      <c r="A520" s="1">
        <v>519.0</v>
      </c>
      <c r="B520" s="2" t="s">
        <v>22</v>
      </c>
      <c r="C520" s="2" t="s">
        <v>44</v>
      </c>
      <c r="D520" s="13"/>
      <c r="E520" s="13"/>
      <c r="F520" s="45"/>
      <c r="G520" s="42"/>
      <c r="H520" s="42"/>
      <c r="I520" s="42"/>
      <c r="J520" s="22"/>
      <c r="K520" s="42"/>
    </row>
    <row r="521" ht="39.75" customHeight="1">
      <c r="A521" s="1">
        <v>520.0</v>
      </c>
      <c r="B521" s="2" t="s">
        <v>23</v>
      </c>
      <c r="C521" s="2" t="s">
        <v>54</v>
      </c>
      <c r="D521" s="13"/>
      <c r="E521" s="13"/>
      <c r="F521" s="44" t="s">
        <v>1412</v>
      </c>
      <c r="G521" s="43">
        <v>1.0</v>
      </c>
      <c r="H521" s="42"/>
      <c r="I521" s="42"/>
      <c r="J521" s="22"/>
      <c r="K521" s="42"/>
    </row>
    <row r="522" ht="39.75" customHeight="1">
      <c r="A522" s="1">
        <v>521.0</v>
      </c>
      <c r="B522" s="2" t="s">
        <v>24</v>
      </c>
      <c r="C522" s="2"/>
      <c r="D522" s="13"/>
      <c r="E522" s="13"/>
      <c r="F522" s="44" t="s">
        <v>1413</v>
      </c>
      <c r="G522" s="43">
        <v>1.0</v>
      </c>
      <c r="H522" s="42"/>
      <c r="I522" s="43">
        <v>1.0</v>
      </c>
      <c r="J522" s="22"/>
      <c r="K522" s="42"/>
    </row>
    <row r="523" ht="39.75" hidden="1" customHeight="1">
      <c r="A523" s="1">
        <v>522.0</v>
      </c>
      <c r="B523" s="2" t="s">
        <v>25</v>
      </c>
      <c r="C523" s="2" t="s">
        <v>66</v>
      </c>
      <c r="D523" s="13"/>
      <c r="E523" s="13"/>
      <c r="F523" s="45"/>
      <c r="G523" s="42"/>
      <c r="H523" s="42"/>
      <c r="I523" s="42"/>
      <c r="J523" s="22"/>
      <c r="K523" s="42"/>
    </row>
    <row r="524" ht="39.75" customHeight="1">
      <c r="A524" s="1">
        <v>523.0</v>
      </c>
      <c r="B524" s="2" t="s">
        <v>26</v>
      </c>
      <c r="C524" s="2" t="s">
        <v>69</v>
      </c>
      <c r="D524" s="13"/>
      <c r="E524" s="13"/>
      <c r="F524" s="44" t="s">
        <v>1414</v>
      </c>
      <c r="G524" s="43">
        <v>2.0</v>
      </c>
      <c r="H524" s="42"/>
      <c r="I524" s="42"/>
      <c r="J524" s="22"/>
      <c r="K524" s="42"/>
    </row>
    <row r="525" ht="39.75" customHeight="1">
      <c r="A525" s="1">
        <v>524.0</v>
      </c>
      <c r="B525" s="2" t="s">
        <v>29</v>
      </c>
      <c r="C525" s="2" t="s">
        <v>69</v>
      </c>
      <c r="D525" s="13"/>
      <c r="E525" s="13"/>
      <c r="F525" s="44" t="s">
        <v>1415</v>
      </c>
      <c r="G525" s="43">
        <v>2.0</v>
      </c>
      <c r="H525" s="42"/>
      <c r="I525" s="43">
        <v>1.0</v>
      </c>
      <c r="J525" s="22"/>
      <c r="K525" s="42"/>
    </row>
    <row r="526" ht="39.75" customHeight="1">
      <c r="A526" s="1">
        <v>525.0</v>
      </c>
      <c r="B526" s="2" t="s">
        <v>30</v>
      </c>
      <c r="C526" s="2" t="s">
        <v>64</v>
      </c>
      <c r="D526" s="13"/>
      <c r="E526" s="13"/>
      <c r="F526" s="45"/>
      <c r="G526" s="42"/>
      <c r="H526" s="42"/>
      <c r="I526" s="42"/>
      <c r="J526" s="22"/>
      <c r="K526" s="42"/>
    </row>
    <row r="527" ht="39.75" hidden="1" customHeight="1">
      <c r="A527" s="1">
        <v>526.0</v>
      </c>
      <c r="B527" s="2" t="s">
        <v>31</v>
      </c>
      <c r="C527" s="2" t="s">
        <v>58</v>
      </c>
      <c r="D527" s="13"/>
      <c r="E527" s="13"/>
      <c r="F527" s="45"/>
      <c r="G527" s="42"/>
      <c r="H527" s="42"/>
      <c r="I527" s="42"/>
      <c r="J527" s="22"/>
      <c r="K527" s="42"/>
    </row>
    <row r="528" ht="39.75" customHeight="1">
      <c r="A528" s="1">
        <v>527.0</v>
      </c>
      <c r="B528" s="2" t="s">
        <v>32</v>
      </c>
      <c r="C528" s="2"/>
      <c r="D528" s="13"/>
      <c r="E528" s="13"/>
      <c r="F528" s="44" t="s">
        <v>1331</v>
      </c>
      <c r="G528" s="42"/>
      <c r="H528" s="42"/>
      <c r="I528" s="42"/>
      <c r="J528" s="22"/>
      <c r="K528" s="42"/>
    </row>
    <row r="529" ht="39.75" customHeight="1">
      <c r="A529" s="1">
        <v>528.0</v>
      </c>
      <c r="B529" s="2" t="s">
        <v>67</v>
      </c>
      <c r="C529" s="2"/>
      <c r="D529" s="13"/>
      <c r="E529" s="13"/>
      <c r="F529" s="44" t="s">
        <v>1416</v>
      </c>
      <c r="G529" s="43">
        <v>1.0</v>
      </c>
      <c r="H529" s="42"/>
      <c r="I529" s="42"/>
      <c r="J529" s="22"/>
      <c r="K529" s="42"/>
    </row>
    <row r="530" ht="39.75" customHeight="1">
      <c r="A530" s="1">
        <v>529.0</v>
      </c>
      <c r="B530" s="2" t="s">
        <v>34</v>
      </c>
      <c r="C530" s="2" t="s">
        <v>54</v>
      </c>
      <c r="D530" s="13"/>
      <c r="E530" s="13"/>
      <c r="F530" s="44" t="s">
        <v>1401</v>
      </c>
      <c r="G530" s="43">
        <v>1.0</v>
      </c>
      <c r="H530" s="43">
        <v>1.0</v>
      </c>
      <c r="I530" s="42"/>
      <c r="J530" s="22"/>
      <c r="K530" s="42"/>
    </row>
    <row r="531" ht="39.75" hidden="1" customHeight="1">
      <c r="A531" s="1">
        <v>530.0</v>
      </c>
      <c r="B531" s="2" t="s">
        <v>35</v>
      </c>
      <c r="C531" s="2" t="s">
        <v>58</v>
      </c>
      <c r="D531" s="13"/>
      <c r="E531" s="13"/>
      <c r="F531" s="45"/>
      <c r="G531" s="42"/>
      <c r="H531" s="42"/>
      <c r="I531" s="42"/>
      <c r="J531" s="22"/>
      <c r="K531" s="42"/>
    </row>
    <row r="532" ht="39.75" hidden="1" customHeight="1">
      <c r="A532" s="1">
        <v>531.0</v>
      </c>
      <c r="B532" s="2" t="s">
        <v>36</v>
      </c>
      <c r="C532" s="2" t="s">
        <v>66</v>
      </c>
      <c r="D532" s="13"/>
      <c r="E532" s="13"/>
      <c r="F532" s="45"/>
      <c r="G532" s="42"/>
      <c r="H532" s="42"/>
      <c r="I532" s="42"/>
      <c r="J532" s="22"/>
      <c r="K532" s="42"/>
    </row>
    <row r="533" ht="39.75" customHeight="1">
      <c r="A533" s="1">
        <v>532.0</v>
      </c>
      <c r="B533" s="2" t="s">
        <v>38</v>
      </c>
      <c r="C533" s="2" t="s">
        <v>54</v>
      </c>
      <c r="D533" s="53">
        <v>0.4027777777777778</v>
      </c>
      <c r="E533" s="13"/>
      <c r="F533" s="44" t="s">
        <v>1417</v>
      </c>
      <c r="G533" s="43">
        <v>2.0</v>
      </c>
      <c r="H533" s="42"/>
      <c r="I533" s="42"/>
      <c r="J533" s="22"/>
      <c r="K533" s="42"/>
    </row>
    <row r="534" ht="39.75" hidden="1" customHeight="1">
      <c r="A534" s="1">
        <v>533.0</v>
      </c>
      <c r="B534" s="2" t="s">
        <v>41</v>
      </c>
      <c r="C534" s="2" t="s">
        <v>58</v>
      </c>
      <c r="D534" s="13"/>
      <c r="E534" s="13"/>
      <c r="F534" s="45"/>
      <c r="G534" s="42"/>
      <c r="H534" s="42"/>
      <c r="I534" s="42"/>
      <c r="J534" s="22"/>
      <c r="K534" s="42"/>
    </row>
    <row r="535" ht="39.75" customHeight="1">
      <c r="A535" s="1">
        <v>534.0</v>
      </c>
      <c r="B535" s="2" t="s">
        <v>42</v>
      </c>
      <c r="C535" s="2" t="s">
        <v>27</v>
      </c>
      <c r="D535" s="13"/>
      <c r="E535" s="13"/>
      <c r="F535" s="44" t="s">
        <v>1418</v>
      </c>
      <c r="G535" s="43">
        <v>1.0</v>
      </c>
      <c r="H535" s="42"/>
      <c r="I535" s="42"/>
      <c r="J535" s="22"/>
      <c r="K535" s="42"/>
    </row>
    <row r="536" ht="39.75" customHeight="1">
      <c r="A536" s="1">
        <v>535.0</v>
      </c>
      <c r="B536" s="2" t="s">
        <v>43</v>
      </c>
      <c r="C536" s="2"/>
      <c r="D536" s="13"/>
      <c r="E536" s="13"/>
      <c r="F536" s="44" t="s">
        <v>1419</v>
      </c>
      <c r="G536" s="43">
        <v>1.0</v>
      </c>
      <c r="H536" s="42"/>
      <c r="I536" s="42"/>
      <c r="J536" s="22"/>
      <c r="K536" s="42"/>
    </row>
    <row r="537" ht="39.75" customHeight="1">
      <c r="A537" s="1">
        <v>536.0</v>
      </c>
      <c r="B537" s="2" t="s">
        <v>45</v>
      </c>
      <c r="C537" s="2" t="s">
        <v>39</v>
      </c>
      <c r="D537" s="13"/>
      <c r="E537" s="13"/>
      <c r="F537" s="44" t="s">
        <v>1420</v>
      </c>
      <c r="G537" s="43">
        <v>1.0</v>
      </c>
      <c r="H537" s="42"/>
      <c r="I537" s="42"/>
      <c r="J537" s="22"/>
      <c r="K537" s="42"/>
    </row>
    <row r="538" ht="39.75" customHeight="1">
      <c r="A538" s="1">
        <v>537.0</v>
      </c>
      <c r="B538" s="2" t="s">
        <v>46</v>
      </c>
      <c r="C538" s="2" t="s">
        <v>69</v>
      </c>
      <c r="D538" s="13"/>
      <c r="E538" s="51">
        <v>0.9722222222222222</v>
      </c>
      <c r="F538" s="44" t="s">
        <v>1421</v>
      </c>
      <c r="G538" s="43">
        <v>2.0</v>
      </c>
      <c r="H538" s="42"/>
      <c r="I538" s="42"/>
      <c r="J538" s="22"/>
      <c r="K538" s="42"/>
    </row>
    <row r="539" ht="39.75" customHeight="1">
      <c r="A539" s="1">
        <v>538.0</v>
      </c>
      <c r="B539" s="2" t="s">
        <v>47</v>
      </c>
      <c r="C539" s="2" t="s">
        <v>54</v>
      </c>
      <c r="D539" s="53">
        <v>0.4027777777777778</v>
      </c>
      <c r="E539" s="51">
        <v>0.8055555555555556</v>
      </c>
      <c r="F539" s="44" t="s">
        <v>1422</v>
      </c>
      <c r="G539" s="43">
        <v>2.0</v>
      </c>
      <c r="H539" s="42"/>
      <c r="I539" s="43">
        <v>1.0</v>
      </c>
      <c r="J539" s="22"/>
      <c r="K539" s="42"/>
    </row>
    <row r="540" ht="39.75" customHeight="1">
      <c r="A540" s="1">
        <v>539.0</v>
      </c>
      <c r="B540" s="2" t="s">
        <v>48</v>
      </c>
      <c r="C540" s="13"/>
      <c r="D540" s="53">
        <v>0.36319444444444443</v>
      </c>
      <c r="E540" s="13"/>
      <c r="F540" s="44" t="s">
        <v>1423</v>
      </c>
      <c r="G540" s="43">
        <v>2.0</v>
      </c>
      <c r="H540" s="42"/>
      <c r="I540" s="43">
        <v>1.0</v>
      </c>
      <c r="J540" s="22"/>
      <c r="K540" s="42"/>
    </row>
    <row r="541" ht="39.75" customHeight="1">
      <c r="A541" s="1">
        <v>540.0</v>
      </c>
      <c r="B541" s="21"/>
      <c r="C541" s="21"/>
      <c r="D541" s="21"/>
      <c r="E541" s="21"/>
      <c r="F541" s="46"/>
      <c r="G541" s="47"/>
      <c r="H541" s="47"/>
      <c r="I541" s="47"/>
      <c r="J541" s="48"/>
      <c r="K541" s="47"/>
      <c r="L541" s="49"/>
      <c r="M541" s="49"/>
      <c r="N541" s="49"/>
    </row>
    <row r="542" ht="39.75" customHeight="1">
      <c r="A542" s="1">
        <v>541.0</v>
      </c>
      <c r="B542" s="2" t="s">
        <v>12</v>
      </c>
      <c r="C542" s="2" t="s">
        <v>62</v>
      </c>
      <c r="D542" s="13"/>
      <c r="E542" s="13"/>
      <c r="F542" s="44" t="s">
        <v>1424</v>
      </c>
      <c r="G542" s="43">
        <v>1.0</v>
      </c>
      <c r="H542" s="42"/>
      <c r="I542" s="43">
        <v>1.0</v>
      </c>
      <c r="J542" s="27" t="s">
        <v>1161</v>
      </c>
      <c r="K542" s="43"/>
      <c r="L542" s="15" t="s">
        <v>362</v>
      </c>
    </row>
    <row r="543" ht="39.75" customHeight="1">
      <c r="A543" s="1">
        <v>542.0</v>
      </c>
      <c r="B543" s="2" t="s">
        <v>16</v>
      </c>
      <c r="C543" s="2" t="s">
        <v>39</v>
      </c>
      <c r="D543" s="13"/>
      <c r="E543" s="13"/>
      <c r="F543" s="44" t="s">
        <v>1425</v>
      </c>
      <c r="G543" s="43">
        <v>1.0</v>
      </c>
      <c r="H543" s="42"/>
      <c r="I543" s="43">
        <v>1.0</v>
      </c>
      <c r="J543" s="27" t="s">
        <v>362</v>
      </c>
      <c r="K543" s="43"/>
    </row>
    <row r="544" ht="39.75" customHeight="1">
      <c r="A544" s="1">
        <v>543.0</v>
      </c>
      <c r="B544" s="2" t="s">
        <v>17</v>
      </c>
      <c r="C544" s="2"/>
      <c r="D544" s="53">
        <v>0.2986111111111111</v>
      </c>
      <c r="E544" s="13"/>
      <c r="F544" s="44" t="s">
        <v>1218</v>
      </c>
      <c r="G544" s="42"/>
      <c r="H544" s="42"/>
      <c r="I544" s="42"/>
      <c r="J544" s="27" t="s">
        <v>131</v>
      </c>
      <c r="K544" s="43"/>
    </row>
    <row r="545" ht="39.75" customHeight="1">
      <c r="A545" s="1">
        <v>544.0</v>
      </c>
      <c r="B545" s="2" t="s">
        <v>331</v>
      </c>
      <c r="C545" s="2" t="s">
        <v>542</v>
      </c>
      <c r="D545" s="13"/>
      <c r="E545" s="13"/>
      <c r="F545" s="44" t="s">
        <v>1426</v>
      </c>
      <c r="G545" s="43">
        <v>1.0</v>
      </c>
      <c r="H545" s="42"/>
      <c r="I545" s="43">
        <v>1.0</v>
      </c>
      <c r="J545" s="22"/>
      <c r="K545" s="42"/>
    </row>
    <row r="546" ht="39.75" customHeight="1">
      <c r="A546" s="1">
        <v>545.0</v>
      </c>
      <c r="B546" s="2" t="s">
        <v>21</v>
      </c>
      <c r="C546" s="2" t="s">
        <v>277</v>
      </c>
      <c r="D546" s="13"/>
      <c r="E546" s="13"/>
      <c r="F546" s="45"/>
      <c r="G546" s="42"/>
      <c r="H546" s="42"/>
      <c r="I546" s="42"/>
      <c r="J546" s="22"/>
      <c r="K546" s="42"/>
    </row>
    <row r="547" ht="39.75" customHeight="1">
      <c r="A547" s="1">
        <v>546.0</v>
      </c>
      <c r="B547" s="2" t="s">
        <v>22</v>
      </c>
      <c r="C547" s="2"/>
      <c r="D547" s="13"/>
      <c r="E547" s="13"/>
      <c r="F547" s="44" t="s">
        <v>1427</v>
      </c>
      <c r="G547" s="43">
        <v>1.0</v>
      </c>
      <c r="H547" s="42"/>
      <c r="I547" s="42"/>
      <c r="J547" s="22"/>
      <c r="K547" s="42"/>
    </row>
    <row r="548" ht="39.75" customHeight="1">
      <c r="A548" s="1">
        <v>547.0</v>
      </c>
      <c r="B548" s="2" t="s">
        <v>23</v>
      </c>
      <c r="C548" s="2" t="s">
        <v>54</v>
      </c>
      <c r="D548" s="53">
        <v>0.3055555555555556</v>
      </c>
      <c r="E548" s="13"/>
      <c r="F548" s="44" t="s">
        <v>1428</v>
      </c>
      <c r="G548" s="43">
        <v>1.0</v>
      </c>
      <c r="H548" s="42"/>
      <c r="I548" s="42"/>
      <c r="J548" s="22"/>
      <c r="K548" s="42"/>
    </row>
    <row r="549" ht="39.75" customHeight="1">
      <c r="A549" s="1">
        <v>548.0</v>
      </c>
      <c r="B549" s="2" t="s">
        <v>24</v>
      </c>
      <c r="C549" s="2"/>
      <c r="D549" s="13"/>
      <c r="E549" s="13"/>
      <c r="F549" s="44" t="s">
        <v>1429</v>
      </c>
      <c r="G549" s="43">
        <v>1.0</v>
      </c>
      <c r="H549" s="42"/>
      <c r="I549" s="43">
        <v>1.0</v>
      </c>
      <c r="J549" s="22"/>
      <c r="K549" s="42"/>
    </row>
    <row r="550" ht="39.75" hidden="1" customHeight="1">
      <c r="A550" s="1">
        <v>549.0</v>
      </c>
      <c r="B550" s="2" t="s">
        <v>25</v>
      </c>
      <c r="C550" s="2" t="s">
        <v>66</v>
      </c>
      <c r="D550" s="13"/>
      <c r="E550" s="13"/>
      <c r="F550" s="45"/>
      <c r="G550" s="42"/>
      <c r="H550" s="42"/>
      <c r="I550" s="42"/>
      <c r="J550" s="22"/>
      <c r="K550" s="42"/>
    </row>
    <row r="551" ht="39.75" hidden="1" customHeight="1">
      <c r="A551" s="1">
        <v>550.0</v>
      </c>
      <c r="B551" s="2" t="s">
        <v>26</v>
      </c>
      <c r="C551" s="2" t="s">
        <v>58</v>
      </c>
      <c r="D551" s="13"/>
      <c r="E551" s="13"/>
      <c r="F551" s="45"/>
      <c r="G551" s="42"/>
      <c r="H551" s="42"/>
      <c r="I551" s="42"/>
      <c r="J551" s="22"/>
      <c r="K551" s="42"/>
    </row>
    <row r="552" ht="39.75" hidden="1" customHeight="1">
      <c r="A552" s="1">
        <v>551.0</v>
      </c>
      <c r="B552" s="2" t="s">
        <v>29</v>
      </c>
      <c r="C552" s="2" t="s">
        <v>58</v>
      </c>
      <c r="D552" s="13"/>
      <c r="E552" s="13"/>
      <c r="F552" s="45"/>
      <c r="G552" s="42"/>
      <c r="H552" s="42"/>
      <c r="I552" s="42"/>
      <c r="J552" s="22"/>
      <c r="K552" s="42"/>
    </row>
    <row r="553" ht="39.75" hidden="1" customHeight="1">
      <c r="A553" s="1">
        <v>552.0</v>
      </c>
      <c r="B553" s="2" t="s">
        <v>30</v>
      </c>
      <c r="C553" s="2" t="s">
        <v>66</v>
      </c>
      <c r="D553" s="13"/>
      <c r="E553" s="13"/>
      <c r="F553" s="45"/>
      <c r="G553" s="42"/>
      <c r="H553" s="42"/>
      <c r="I553" s="42"/>
      <c r="J553" s="22"/>
      <c r="K553" s="42"/>
    </row>
    <row r="554" ht="39.75" hidden="1" customHeight="1">
      <c r="A554" s="1">
        <v>553.0</v>
      </c>
      <c r="B554" s="2" t="s">
        <v>31</v>
      </c>
      <c r="C554" s="2" t="s">
        <v>58</v>
      </c>
      <c r="D554" s="13"/>
      <c r="E554" s="13"/>
      <c r="F554" s="45"/>
      <c r="G554" s="42"/>
      <c r="H554" s="42"/>
      <c r="I554" s="42"/>
      <c r="J554" s="22"/>
      <c r="K554" s="42"/>
    </row>
    <row r="555" ht="39.75" customHeight="1">
      <c r="A555" s="1">
        <v>554.0</v>
      </c>
      <c r="B555" s="2" t="s">
        <v>32</v>
      </c>
      <c r="C555" s="2" t="s">
        <v>69</v>
      </c>
      <c r="D555" s="13"/>
      <c r="E555" s="40">
        <v>0.8680555555555556</v>
      </c>
      <c r="F555" s="44" t="s">
        <v>1430</v>
      </c>
      <c r="G555" s="43">
        <v>1.0</v>
      </c>
      <c r="H555" s="42"/>
      <c r="I555" s="42"/>
      <c r="J555" s="22"/>
      <c r="K555" s="42"/>
    </row>
    <row r="556" ht="39.75" customHeight="1">
      <c r="A556" s="1">
        <v>555.0</v>
      </c>
      <c r="B556" s="2" t="s">
        <v>67</v>
      </c>
      <c r="C556" s="2" t="s">
        <v>39</v>
      </c>
      <c r="D556" s="13"/>
      <c r="E556" s="13"/>
      <c r="F556" s="44" t="s">
        <v>1431</v>
      </c>
      <c r="G556" s="43">
        <v>1.0</v>
      </c>
      <c r="H556" s="42"/>
      <c r="I556" s="42"/>
      <c r="J556" s="22"/>
      <c r="K556" s="42"/>
    </row>
    <row r="557" ht="39.75" customHeight="1">
      <c r="A557" s="1">
        <v>556.0</v>
      </c>
      <c r="B557" s="2" t="s">
        <v>34</v>
      </c>
      <c r="C557" s="2" t="s">
        <v>54</v>
      </c>
      <c r="D557" s="13"/>
      <c r="E557" s="13"/>
      <c r="F557" s="44" t="s">
        <v>1432</v>
      </c>
      <c r="G557" s="43">
        <v>1.0</v>
      </c>
      <c r="H557" s="42"/>
      <c r="I557" s="42"/>
      <c r="J557" s="22"/>
      <c r="K557" s="42"/>
    </row>
    <row r="558" ht="39.75" customHeight="1">
      <c r="A558" s="1">
        <v>557.0</v>
      </c>
      <c r="B558" s="2" t="s">
        <v>35</v>
      </c>
      <c r="C558" s="2" t="s">
        <v>69</v>
      </c>
      <c r="D558" s="13"/>
      <c r="E558" s="40">
        <v>0.8472222222222222</v>
      </c>
      <c r="F558" s="44" t="s">
        <v>1433</v>
      </c>
      <c r="G558" s="43">
        <v>2.0</v>
      </c>
      <c r="H558" s="42"/>
      <c r="I558" s="43">
        <v>1.0</v>
      </c>
      <c r="J558" s="22"/>
      <c r="K558" s="42"/>
    </row>
    <row r="559" ht="39.75" customHeight="1">
      <c r="A559" s="1">
        <v>558.0</v>
      </c>
      <c r="B559" s="2" t="s">
        <v>36</v>
      </c>
      <c r="C559" s="13"/>
      <c r="D559" s="13"/>
      <c r="E559" s="13"/>
      <c r="F559" s="44" t="s">
        <v>1434</v>
      </c>
      <c r="G559" s="43">
        <v>1.0</v>
      </c>
      <c r="H559" s="42"/>
      <c r="I559" s="42"/>
      <c r="J559" s="22"/>
      <c r="K559" s="42"/>
    </row>
    <row r="560" ht="39.75" customHeight="1">
      <c r="A560" s="1">
        <v>559.0</v>
      </c>
      <c r="B560" s="2" t="s">
        <v>38</v>
      </c>
      <c r="C560" s="2" t="s">
        <v>54</v>
      </c>
      <c r="D560" s="53">
        <v>0.25</v>
      </c>
      <c r="E560" s="51">
        <v>0.875</v>
      </c>
      <c r="F560" s="44" t="s">
        <v>1435</v>
      </c>
      <c r="G560" s="43">
        <v>1.0</v>
      </c>
      <c r="H560" s="42"/>
      <c r="I560" s="42"/>
      <c r="J560" s="22"/>
      <c r="K560" s="42"/>
    </row>
    <row r="561" ht="39.75" hidden="1" customHeight="1">
      <c r="A561" s="1">
        <v>560.0</v>
      </c>
      <c r="B561" s="2" t="s">
        <v>41</v>
      </c>
      <c r="C561" s="2" t="s">
        <v>58</v>
      </c>
      <c r="D561" s="13"/>
      <c r="E561" s="13"/>
      <c r="F561" s="45"/>
      <c r="G561" s="42"/>
      <c r="H561" s="42"/>
      <c r="I561" s="42"/>
      <c r="J561" s="22"/>
      <c r="K561" s="42"/>
    </row>
    <row r="562" ht="39.75" customHeight="1">
      <c r="A562" s="1">
        <v>561.0</v>
      </c>
      <c r="B562" s="2" t="s">
        <v>42</v>
      </c>
      <c r="C562" s="2" t="s">
        <v>44</v>
      </c>
      <c r="D562" s="13"/>
      <c r="E562" s="13"/>
      <c r="F562" s="45"/>
      <c r="G562" s="42"/>
      <c r="H562" s="42"/>
      <c r="I562" s="42"/>
      <c r="J562" s="22"/>
      <c r="K562" s="42"/>
    </row>
    <row r="563" ht="39.75" customHeight="1">
      <c r="A563" s="1">
        <v>562.0</v>
      </c>
      <c r="B563" s="2" t="s">
        <v>43</v>
      </c>
      <c r="C563" s="2" t="s">
        <v>27</v>
      </c>
      <c r="D563" s="13"/>
      <c r="E563" s="13"/>
      <c r="F563" s="44" t="s">
        <v>1436</v>
      </c>
      <c r="G563" s="43">
        <v>2.0</v>
      </c>
      <c r="H563" s="42"/>
      <c r="I563" s="43">
        <v>2.0</v>
      </c>
      <c r="J563" s="22"/>
      <c r="K563" s="42"/>
    </row>
    <row r="564" ht="39.75" customHeight="1">
      <c r="A564" s="1">
        <v>563.0</v>
      </c>
      <c r="B564" s="2" t="s">
        <v>45</v>
      </c>
      <c r="C564" s="2"/>
      <c r="D564" s="13"/>
      <c r="E564" s="13"/>
      <c r="F564" s="44" t="s">
        <v>1437</v>
      </c>
      <c r="G564" s="43">
        <v>1.0</v>
      </c>
      <c r="H564" s="42"/>
      <c r="I564" s="43">
        <v>1.0</v>
      </c>
      <c r="J564" s="22"/>
      <c r="K564" s="42"/>
    </row>
    <row r="565" ht="39.75" customHeight="1">
      <c r="A565" s="1">
        <v>564.0</v>
      </c>
      <c r="B565" s="2" t="s">
        <v>46</v>
      </c>
      <c r="C565" s="13"/>
      <c r="D565" s="13"/>
      <c r="E565" s="13"/>
      <c r="F565" s="44" t="s">
        <v>1285</v>
      </c>
      <c r="G565" s="42"/>
      <c r="H565" s="42"/>
      <c r="I565" s="42"/>
      <c r="J565" s="22"/>
      <c r="K565" s="42"/>
    </row>
    <row r="566" ht="39.75" customHeight="1">
      <c r="A566" s="1">
        <v>565.0</v>
      </c>
      <c r="B566" s="2" t="s">
        <v>47</v>
      </c>
      <c r="C566" s="2" t="s">
        <v>54</v>
      </c>
      <c r="D566" s="13"/>
      <c r="E566" s="51">
        <v>0.8611111111111112</v>
      </c>
      <c r="F566" s="44" t="s">
        <v>1438</v>
      </c>
      <c r="G566" s="43">
        <v>1.0</v>
      </c>
      <c r="H566" s="42"/>
      <c r="I566" s="42"/>
      <c r="J566" s="22"/>
      <c r="K566" s="42"/>
    </row>
    <row r="567" ht="39.75" customHeight="1">
      <c r="A567" s="1">
        <v>566.0</v>
      </c>
      <c r="B567" s="2" t="s">
        <v>48</v>
      </c>
      <c r="C567" s="2" t="s">
        <v>69</v>
      </c>
      <c r="D567" s="13"/>
      <c r="E567" s="40">
        <v>0.8402777777777778</v>
      </c>
      <c r="F567" s="44" t="s">
        <v>1439</v>
      </c>
      <c r="G567" s="43">
        <v>1.0</v>
      </c>
      <c r="H567" s="42"/>
      <c r="I567" s="42"/>
      <c r="J567" s="22"/>
      <c r="K567" s="42"/>
    </row>
    <row r="568" ht="39.75" customHeight="1">
      <c r="A568" s="1">
        <v>567.0</v>
      </c>
      <c r="B568" s="21"/>
      <c r="C568" s="21"/>
      <c r="D568" s="21"/>
      <c r="E568" s="21"/>
      <c r="F568" s="46"/>
      <c r="G568" s="47"/>
      <c r="H568" s="47"/>
      <c r="I568" s="47"/>
      <c r="J568" s="48"/>
      <c r="K568" s="47"/>
      <c r="L568" s="49"/>
      <c r="M568" s="49"/>
      <c r="N568" s="49"/>
    </row>
    <row r="569" ht="39.75" hidden="1" customHeight="1">
      <c r="A569" s="1">
        <v>568.0</v>
      </c>
      <c r="B569" s="2" t="s">
        <v>12</v>
      </c>
      <c r="C569" s="2" t="s">
        <v>13</v>
      </c>
      <c r="D569" s="13"/>
      <c r="E569" s="13"/>
      <c r="F569" s="45"/>
      <c r="G569" s="42"/>
      <c r="H569" s="42"/>
      <c r="I569" s="42"/>
      <c r="J569" s="27" t="s">
        <v>1161</v>
      </c>
      <c r="K569" s="43"/>
      <c r="L569" s="15" t="s">
        <v>369</v>
      </c>
    </row>
    <row r="570" ht="39.75" hidden="1" customHeight="1">
      <c r="A570" s="1">
        <v>569.0</v>
      </c>
      <c r="B570" s="2" t="s">
        <v>16</v>
      </c>
      <c r="C570" s="2" t="s">
        <v>13</v>
      </c>
      <c r="D570" s="13"/>
      <c r="E570" s="13"/>
      <c r="F570" s="45"/>
      <c r="G570" s="42"/>
      <c r="H570" s="42"/>
      <c r="I570" s="42"/>
      <c r="J570" s="27" t="s">
        <v>369</v>
      </c>
      <c r="K570" s="43"/>
    </row>
    <row r="571" ht="39.75" hidden="1" customHeight="1">
      <c r="A571" s="1">
        <v>570.0</v>
      </c>
      <c r="B571" s="2" t="s">
        <v>17</v>
      </c>
      <c r="C571" s="2" t="s">
        <v>13</v>
      </c>
      <c r="D571" s="13"/>
      <c r="E571" s="13"/>
      <c r="F571" s="45"/>
      <c r="G571" s="42"/>
      <c r="H571" s="42"/>
      <c r="I571" s="42"/>
      <c r="J571" s="27" t="s">
        <v>149</v>
      </c>
      <c r="K571" s="43"/>
    </row>
    <row r="572" ht="39.75" hidden="1" customHeight="1">
      <c r="A572" s="1">
        <v>571.0</v>
      </c>
      <c r="B572" s="2" t="s">
        <v>331</v>
      </c>
      <c r="C572" s="2" t="s">
        <v>13</v>
      </c>
      <c r="D572" s="13"/>
      <c r="E572" s="13"/>
      <c r="F572" s="44"/>
      <c r="G572" s="42"/>
      <c r="H572" s="42"/>
      <c r="I572" s="42"/>
      <c r="J572" s="27" t="s">
        <v>410</v>
      </c>
      <c r="K572" s="42"/>
    </row>
    <row r="573" ht="39.75" customHeight="1">
      <c r="A573" s="1">
        <v>572.0</v>
      </c>
      <c r="B573" s="2" t="s">
        <v>268</v>
      </c>
      <c r="C573" s="2" t="s">
        <v>63</v>
      </c>
      <c r="D573" s="13"/>
      <c r="E573" s="13"/>
      <c r="F573" s="44" t="s">
        <v>1440</v>
      </c>
      <c r="G573" s="42"/>
      <c r="H573" s="42"/>
      <c r="I573" s="42"/>
      <c r="J573" s="27" t="s">
        <v>412</v>
      </c>
      <c r="K573" s="42"/>
    </row>
    <row r="574" ht="39.75" hidden="1" customHeight="1">
      <c r="A574" s="1">
        <v>573.0</v>
      </c>
      <c r="B574" s="2" t="s">
        <v>22</v>
      </c>
      <c r="C574" s="2" t="s">
        <v>13</v>
      </c>
      <c r="D574" s="13"/>
      <c r="E574" s="13"/>
      <c r="F574" s="45"/>
      <c r="G574" s="42"/>
      <c r="H574" s="42"/>
      <c r="I574" s="42"/>
      <c r="J574" s="27" t="s">
        <v>413</v>
      </c>
      <c r="K574" s="42"/>
    </row>
    <row r="575" ht="39.75" hidden="1" customHeight="1">
      <c r="A575" s="1">
        <v>574.0</v>
      </c>
      <c r="B575" s="2" t="s">
        <v>23</v>
      </c>
      <c r="C575" s="2" t="s">
        <v>13</v>
      </c>
      <c r="D575" s="13"/>
      <c r="E575" s="13"/>
      <c r="F575" s="45"/>
      <c r="G575" s="42"/>
      <c r="H575" s="42"/>
      <c r="I575" s="42"/>
      <c r="J575" s="22"/>
      <c r="K575" s="42"/>
    </row>
    <row r="576" ht="39.75" hidden="1" customHeight="1">
      <c r="A576" s="1">
        <v>575.0</v>
      </c>
      <c r="B576" s="2" t="s">
        <v>24</v>
      </c>
      <c r="C576" s="2" t="s">
        <v>13</v>
      </c>
      <c r="D576" s="13"/>
      <c r="E576" s="13"/>
      <c r="F576" s="45"/>
      <c r="G576" s="42"/>
      <c r="H576" s="42"/>
      <c r="I576" s="42"/>
      <c r="J576" s="22"/>
      <c r="K576" s="42"/>
    </row>
    <row r="577" ht="39.75" customHeight="1">
      <c r="A577" s="1">
        <v>576.0</v>
      </c>
      <c r="B577" s="2" t="s">
        <v>25</v>
      </c>
      <c r="C577" s="2" t="s">
        <v>49</v>
      </c>
      <c r="D577" s="13"/>
      <c r="E577" s="40">
        <v>0.8194444444444444</v>
      </c>
      <c r="F577" s="44" t="s">
        <v>1441</v>
      </c>
      <c r="G577" s="43">
        <v>1.0</v>
      </c>
      <c r="H577" s="42"/>
      <c r="I577" s="42"/>
      <c r="J577" s="22"/>
      <c r="K577" s="42"/>
    </row>
    <row r="578" ht="39.75" hidden="1" customHeight="1">
      <c r="A578" s="1">
        <v>577.0</v>
      </c>
      <c r="B578" s="2" t="s">
        <v>26</v>
      </c>
      <c r="C578" s="2" t="s">
        <v>13</v>
      </c>
      <c r="D578" s="13"/>
      <c r="E578" s="13"/>
      <c r="F578" s="45"/>
      <c r="G578" s="42"/>
      <c r="H578" s="42"/>
      <c r="I578" s="42"/>
      <c r="J578" s="22"/>
      <c r="K578" s="42"/>
    </row>
    <row r="579" ht="39.75" customHeight="1">
      <c r="A579" s="1">
        <v>578.0</v>
      </c>
      <c r="B579" s="2" t="s">
        <v>29</v>
      </c>
      <c r="C579" s="2"/>
      <c r="D579" s="40">
        <v>0.375</v>
      </c>
      <c r="E579" s="13"/>
      <c r="F579" s="45"/>
      <c r="G579" s="42"/>
      <c r="H579" s="42"/>
      <c r="I579" s="42"/>
      <c r="J579" s="22"/>
      <c r="K579" s="42"/>
    </row>
    <row r="580" ht="39.75" hidden="1" customHeight="1">
      <c r="A580" s="1">
        <v>579.0</v>
      </c>
      <c r="B580" s="2" t="s">
        <v>30</v>
      </c>
      <c r="C580" s="2" t="s">
        <v>13</v>
      </c>
      <c r="D580" s="13"/>
      <c r="E580" s="13"/>
      <c r="F580" s="45"/>
      <c r="G580" s="42"/>
      <c r="H580" s="42"/>
      <c r="I580" s="42"/>
      <c r="J580" s="22"/>
      <c r="K580" s="42"/>
    </row>
    <row r="581" ht="39.75" hidden="1" customHeight="1">
      <c r="A581" s="1">
        <v>580.0</v>
      </c>
      <c r="B581" s="2" t="s">
        <v>31</v>
      </c>
      <c r="C581" s="2" t="s">
        <v>13</v>
      </c>
      <c r="D581" s="13"/>
      <c r="E581" s="13"/>
      <c r="F581" s="45"/>
      <c r="G581" s="42"/>
      <c r="H581" s="42"/>
      <c r="I581" s="42"/>
      <c r="J581" s="22"/>
      <c r="K581" s="42"/>
    </row>
    <row r="582" ht="39.75" customHeight="1">
      <c r="A582" s="1">
        <v>581.0</v>
      </c>
      <c r="B582" s="2" t="s">
        <v>33</v>
      </c>
      <c r="C582" s="2" t="s">
        <v>272</v>
      </c>
      <c r="D582" s="13"/>
      <c r="E582" s="13"/>
      <c r="F582" s="44" t="s">
        <v>1442</v>
      </c>
      <c r="G582" s="42"/>
      <c r="H582" s="42"/>
      <c r="I582" s="42"/>
      <c r="J582" s="22"/>
      <c r="K582" s="42"/>
    </row>
    <row r="583" ht="39.75" hidden="1" customHeight="1">
      <c r="A583" s="1">
        <v>582.0</v>
      </c>
      <c r="B583" s="2" t="s">
        <v>67</v>
      </c>
      <c r="C583" s="2" t="s">
        <v>13</v>
      </c>
      <c r="D583" s="13"/>
      <c r="E583" s="13"/>
      <c r="F583" s="45"/>
      <c r="G583" s="42"/>
      <c r="H583" s="42"/>
      <c r="I583" s="42"/>
      <c r="J583" s="22"/>
      <c r="K583" s="42"/>
    </row>
    <row r="584" ht="39.75" customHeight="1">
      <c r="A584" s="1">
        <v>583.0</v>
      </c>
      <c r="B584" s="2" t="s">
        <v>34</v>
      </c>
      <c r="C584" s="2" t="s">
        <v>39</v>
      </c>
      <c r="D584" s="13"/>
      <c r="E584" s="51">
        <v>0.7777777777777778</v>
      </c>
      <c r="F584" s="44" t="s">
        <v>1443</v>
      </c>
      <c r="G584" s="43">
        <v>2.0</v>
      </c>
      <c r="H584" s="42"/>
      <c r="I584" s="43">
        <v>1.0</v>
      </c>
      <c r="J584" s="22"/>
      <c r="K584" s="42"/>
    </row>
    <row r="585" ht="39.75" customHeight="1">
      <c r="A585" s="1">
        <v>584.0</v>
      </c>
      <c r="B585" s="2" t="s">
        <v>35</v>
      </c>
      <c r="C585" s="2" t="s">
        <v>27</v>
      </c>
      <c r="D585" s="13"/>
      <c r="E585" s="13"/>
      <c r="F585" s="44" t="s">
        <v>1444</v>
      </c>
      <c r="G585" s="43">
        <v>1.0</v>
      </c>
      <c r="H585" s="42"/>
      <c r="I585" s="43">
        <v>1.0</v>
      </c>
      <c r="J585" s="22"/>
      <c r="K585" s="42"/>
    </row>
    <row r="586" ht="39.75" hidden="1" customHeight="1">
      <c r="A586" s="1">
        <v>585.0</v>
      </c>
      <c r="B586" s="2" t="s">
        <v>36</v>
      </c>
      <c r="C586" s="2" t="s">
        <v>13</v>
      </c>
      <c r="D586" s="13"/>
      <c r="E586" s="13"/>
      <c r="F586" s="45"/>
      <c r="G586" s="42"/>
      <c r="H586" s="42"/>
      <c r="I586" s="42"/>
      <c r="J586" s="22"/>
      <c r="K586" s="42"/>
    </row>
    <row r="587" ht="39.75" hidden="1" customHeight="1">
      <c r="A587" s="1">
        <v>586.0</v>
      </c>
      <c r="B587" s="2" t="s">
        <v>38</v>
      </c>
      <c r="C587" s="2" t="s">
        <v>13</v>
      </c>
      <c r="D587" s="13"/>
      <c r="E587" s="13"/>
      <c r="F587" s="45"/>
      <c r="G587" s="42"/>
      <c r="H587" s="42"/>
      <c r="I587" s="42"/>
      <c r="J587" s="22"/>
      <c r="K587" s="42"/>
    </row>
    <row r="588" ht="39.75" hidden="1" customHeight="1">
      <c r="A588" s="1">
        <v>587.0</v>
      </c>
      <c r="B588" s="2" t="s">
        <v>41</v>
      </c>
      <c r="C588" s="2" t="s">
        <v>13</v>
      </c>
      <c r="D588" s="13"/>
      <c r="E588" s="13"/>
      <c r="F588" s="45"/>
      <c r="G588" s="42"/>
      <c r="H588" s="42"/>
      <c r="I588" s="42"/>
      <c r="J588" s="22"/>
      <c r="K588" s="42"/>
    </row>
    <row r="589" ht="39.75" hidden="1" customHeight="1">
      <c r="A589" s="1">
        <v>588.0</v>
      </c>
      <c r="B589" s="2" t="s">
        <v>42</v>
      </c>
      <c r="C589" s="2" t="s">
        <v>13</v>
      </c>
      <c r="D589" s="13"/>
      <c r="E589" s="13"/>
      <c r="F589" s="45"/>
      <c r="G589" s="42"/>
      <c r="H589" s="42"/>
      <c r="I589" s="42"/>
      <c r="J589" s="22"/>
      <c r="K589" s="42"/>
    </row>
    <row r="590" ht="39.75" customHeight="1">
      <c r="A590" s="1">
        <v>589.0</v>
      </c>
      <c r="B590" s="2" t="s">
        <v>43</v>
      </c>
      <c r="C590" s="2" t="s">
        <v>44</v>
      </c>
      <c r="D590" s="13"/>
      <c r="E590" s="13"/>
      <c r="F590" s="45"/>
      <c r="G590" s="42"/>
      <c r="H590" s="42"/>
      <c r="I590" s="42"/>
      <c r="J590" s="22"/>
      <c r="K590" s="42"/>
    </row>
    <row r="591" ht="39.75" hidden="1" customHeight="1">
      <c r="A591" s="1">
        <v>590.0</v>
      </c>
      <c r="B591" s="2" t="s">
        <v>45</v>
      </c>
      <c r="C591" s="2" t="s">
        <v>13</v>
      </c>
      <c r="D591" s="13"/>
      <c r="E591" s="13"/>
      <c r="F591" s="45"/>
      <c r="G591" s="42"/>
      <c r="H591" s="42"/>
      <c r="I591" s="42"/>
      <c r="J591" s="22"/>
      <c r="K591" s="42"/>
    </row>
    <row r="592" ht="39.75" hidden="1" customHeight="1">
      <c r="A592" s="1">
        <v>591.0</v>
      </c>
      <c r="B592" s="2" t="s">
        <v>46</v>
      </c>
      <c r="C592" s="2" t="s">
        <v>13</v>
      </c>
      <c r="D592" s="13"/>
      <c r="E592" s="13"/>
      <c r="F592" s="45"/>
      <c r="G592" s="42"/>
      <c r="H592" s="42"/>
      <c r="I592" s="42"/>
      <c r="J592" s="22"/>
      <c r="K592" s="42"/>
    </row>
    <row r="593" ht="39.75" customHeight="1">
      <c r="A593" s="1">
        <v>592.0</v>
      </c>
      <c r="B593" s="2" t="s">
        <v>47</v>
      </c>
      <c r="C593" s="13"/>
      <c r="D593" s="40">
        <v>0.375</v>
      </c>
      <c r="E593" s="13"/>
      <c r="F593" s="44" t="s">
        <v>1445</v>
      </c>
      <c r="G593" s="42"/>
      <c r="H593" s="42"/>
      <c r="I593" s="42"/>
      <c r="J593" s="22"/>
      <c r="K593" s="42"/>
    </row>
    <row r="594" ht="39.75" hidden="1" customHeight="1">
      <c r="A594" s="1">
        <v>593.0</v>
      </c>
      <c r="B594" s="2" t="s">
        <v>48</v>
      </c>
      <c r="C594" s="2" t="s">
        <v>13</v>
      </c>
      <c r="D594" s="13"/>
      <c r="E594" s="13"/>
      <c r="F594" s="45"/>
      <c r="G594" s="42"/>
      <c r="H594" s="42"/>
      <c r="I594" s="42"/>
      <c r="J594" s="22"/>
      <c r="K594" s="42"/>
    </row>
    <row r="595" ht="39.75" customHeight="1">
      <c r="A595" s="1">
        <v>594.0</v>
      </c>
      <c r="B595" s="21"/>
      <c r="C595" s="21"/>
      <c r="D595" s="21"/>
      <c r="E595" s="21"/>
      <c r="F595" s="46"/>
      <c r="G595" s="47"/>
      <c r="H595" s="47"/>
      <c r="I595" s="47"/>
      <c r="J595" s="48"/>
      <c r="K595" s="47"/>
      <c r="L595" s="49"/>
      <c r="M595" s="49"/>
      <c r="N595" s="49"/>
    </row>
    <row r="596" ht="39.75" hidden="1" customHeight="1">
      <c r="A596" s="1">
        <v>595.0</v>
      </c>
      <c r="B596" s="2" t="s">
        <v>12</v>
      </c>
      <c r="C596" s="2" t="s">
        <v>13</v>
      </c>
      <c r="D596" s="13"/>
      <c r="E596" s="13"/>
      <c r="F596" s="45"/>
      <c r="G596" s="42"/>
      <c r="H596" s="42"/>
      <c r="I596" s="42"/>
      <c r="J596" s="27" t="s">
        <v>1161</v>
      </c>
      <c r="K596" s="43"/>
      <c r="L596" s="15" t="s">
        <v>376</v>
      </c>
    </row>
    <row r="597" ht="39.75" customHeight="1">
      <c r="A597" s="1">
        <v>596.0</v>
      </c>
      <c r="B597" s="2" t="s">
        <v>20</v>
      </c>
      <c r="C597" s="2" t="s">
        <v>271</v>
      </c>
      <c r="D597" s="13"/>
      <c r="E597" s="13"/>
      <c r="F597" s="45"/>
      <c r="G597" s="42"/>
      <c r="H597" s="42"/>
      <c r="I597" s="42"/>
      <c r="J597" s="27" t="s">
        <v>376</v>
      </c>
      <c r="K597" s="43"/>
    </row>
    <row r="598" ht="39.75" customHeight="1">
      <c r="A598" s="1">
        <v>597.0</v>
      </c>
      <c r="B598" s="2" t="s">
        <v>263</v>
      </c>
      <c r="C598" s="2" t="s">
        <v>272</v>
      </c>
      <c r="D598" s="13"/>
      <c r="E598" s="13"/>
      <c r="F598" s="45"/>
      <c r="G598" s="42"/>
      <c r="H598" s="42"/>
      <c r="I598" s="42"/>
      <c r="J598" s="27" t="s">
        <v>19</v>
      </c>
      <c r="K598" s="43"/>
    </row>
    <row r="599" ht="39.75" hidden="1" customHeight="1">
      <c r="A599" s="1">
        <v>598.0</v>
      </c>
      <c r="B599" s="2" t="s">
        <v>331</v>
      </c>
      <c r="C599" s="2" t="s">
        <v>13</v>
      </c>
      <c r="D599" s="13"/>
      <c r="E599" s="13"/>
      <c r="F599" s="44"/>
      <c r="G599" s="42"/>
      <c r="H599" s="42"/>
      <c r="I599" s="42"/>
      <c r="J599" s="27" t="s">
        <v>165</v>
      </c>
      <c r="K599" s="42"/>
    </row>
    <row r="600" ht="39.75" customHeight="1">
      <c r="A600" s="1">
        <v>599.0</v>
      </c>
      <c r="B600" s="2" t="s">
        <v>268</v>
      </c>
      <c r="C600" s="2" t="s">
        <v>63</v>
      </c>
      <c r="D600" s="13"/>
      <c r="E600" s="13"/>
      <c r="F600" s="44" t="s">
        <v>1440</v>
      </c>
      <c r="G600" s="42"/>
      <c r="H600" s="42"/>
      <c r="I600" s="42"/>
      <c r="J600" s="27" t="s">
        <v>166</v>
      </c>
      <c r="K600" s="42"/>
    </row>
    <row r="601" ht="39.75" hidden="1" customHeight="1">
      <c r="A601" s="1">
        <v>600.0</v>
      </c>
      <c r="B601" s="2" t="s">
        <v>22</v>
      </c>
      <c r="C601" s="2" t="s">
        <v>13</v>
      </c>
      <c r="D601" s="13"/>
      <c r="E601" s="13"/>
      <c r="F601" s="45"/>
      <c r="G601" s="42"/>
      <c r="H601" s="42"/>
      <c r="I601" s="42"/>
      <c r="J601" s="27" t="s">
        <v>167</v>
      </c>
      <c r="K601" s="42"/>
    </row>
    <row r="602" ht="39.75" customHeight="1">
      <c r="A602" s="1">
        <v>601.0</v>
      </c>
      <c r="B602" s="2" t="s">
        <v>23</v>
      </c>
      <c r="C602" s="2" t="s">
        <v>39</v>
      </c>
      <c r="D602" s="13"/>
      <c r="E602" s="13"/>
      <c r="F602" s="44" t="s">
        <v>1446</v>
      </c>
      <c r="G602" s="43">
        <v>1.0</v>
      </c>
      <c r="H602" s="42"/>
      <c r="I602" s="42"/>
      <c r="J602" s="22"/>
      <c r="K602" s="42"/>
    </row>
    <row r="603" ht="39.75" hidden="1" customHeight="1">
      <c r="A603" s="1">
        <v>602.0</v>
      </c>
      <c r="B603" s="2" t="s">
        <v>24</v>
      </c>
      <c r="C603" s="2" t="s">
        <v>13</v>
      </c>
      <c r="D603" s="13"/>
      <c r="E603" s="13"/>
      <c r="F603" s="45"/>
      <c r="G603" s="42"/>
      <c r="H603" s="42"/>
      <c r="I603" s="42"/>
      <c r="J603" s="22"/>
      <c r="K603" s="42"/>
    </row>
    <row r="604" ht="39.75" hidden="1" customHeight="1">
      <c r="A604" s="1">
        <v>603.0</v>
      </c>
      <c r="B604" s="2" t="s">
        <v>25</v>
      </c>
      <c r="C604" s="2" t="s">
        <v>13</v>
      </c>
      <c r="D604" s="13"/>
      <c r="E604" s="13"/>
      <c r="F604" s="45"/>
      <c r="G604" s="42"/>
      <c r="H604" s="42"/>
      <c r="I604" s="42"/>
      <c r="J604" s="22"/>
      <c r="K604" s="42"/>
    </row>
    <row r="605" ht="39.75" customHeight="1">
      <c r="A605" s="1">
        <v>604.0</v>
      </c>
      <c r="B605" s="2" t="s">
        <v>26</v>
      </c>
      <c r="C605" s="2" t="s">
        <v>27</v>
      </c>
      <c r="D605" s="13"/>
      <c r="E605" s="13"/>
      <c r="F605" s="44" t="s">
        <v>1447</v>
      </c>
      <c r="G605" s="43">
        <v>1.0</v>
      </c>
      <c r="H605" s="42"/>
      <c r="I605" s="42"/>
      <c r="J605" s="22"/>
      <c r="K605" s="42"/>
    </row>
    <row r="606" ht="39.75" hidden="1" customHeight="1">
      <c r="A606" s="1">
        <v>605.0</v>
      </c>
      <c r="B606" s="2" t="s">
        <v>29</v>
      </c>
      <c r="C606" s="2" t="s">
        <v>13</v>
      </c>
      <c r="D606" s="13"/>
      <c r="E606" s="13"/>
      <c r="F606" s="45"/>
      <c r="G606" s="42"/>
      <c r="H606" s="42"/>
      <c r="I606" s="42"/>
      <c r="J606" s="22"/>
      <c r="K606" s="42"/>
    </row>
    <row r="607" ht="39.75" hidden="1" customHeight="1">
      <c r="A607" s="1">
        <v>606.0</v>
      </c>
      <c r="B607" s="2" t="s">
        <v>30</v>
      </c>
      <c r="C607" s="2" t="s">
        <v>13</v>
      </c>
      <c r="D607" s="13"/>
      <c r="E607" s="13"/>
      <c r="F607" s="45"/>
      <c r="G607" s="42"/>
      <c r="H607" s="42"/>
      <c r="I607" s="42"/>
      <c r="J607" s="22"/>
      <c r="K607" s="42"/>
    </row>
    <row r="608" ht="39.75" hidden="1" customHeight="1">
      <c r="A608" s="1">
        <v>607.0</v>
      </c>
      <c r="B608" s="2" t="s">
        <v>31</v>
      </c>
      <c r="C608" s="2" t="s">
        <v>13</v>
      </c>
      <c r="D608" s="13"/>
      <c r="E608" s="13"/>
      <c r="F608" s="45"/>
      <c r="G608" s="42"/>
      <c r="H608" s="42"/>
      <c r="I608" s="42"/>
      <c r="J608" s="22"/>
      <c r="K608" s="42"/>
    </row>
    <row r="609" ht="39.75" hidden="1" customHeight="1">
      <c r="A609" s="1">
        <v>608.0</v>
      </c>
      <c r="B609" s="2" t="s">
        <v>32</v>
      </c>
      <c r="C609" s="2" t="s">
        <v>13</v>
      </c>
      <c r="D609" s="13"/>
      <c r="E609" s="13"/>
      <c r="F609" s="45"/>
      <c r="G609" s="42"/>
      <c r="H609" s="42"/>
      <c r="I609" s="42"/>
      <c r="J609" s="22"/>
      <c r="K609" s="42"/>
    </row>
    <row r="610" ht="39.75" hidden="1" customHeight="1">
      <c r="A610" s="1">
        <v>609.0</v>
      </c>
      <c r="B610" s="2" t="s">
        <v>67</v>
      </c>
      <c r="C610" s="2" t="s">
        <v>13</v>
      </c>
      <c r="D610" s="13"/>
      <c r="E610" s="13"/>
      <c r="F610" s="45"/>
      <c r="G610" s="42"/>
      <c r="H610" s="42"/>
      <c r="I610" s="42"/>
      <c r="J610" s="22"/>
      <c r="K610" s="42"/>
    </row>
    <row r="611" ht="39.75" hidden="1" customHeight="1">
      <c r="A611" s="1">
        <v>610.0</v>
      </c>
      <c r="B611" s="2" t="s">
        <v>34</v>
      </c>
      <c r="C611" s="2" t="s">
        <v>13</v>
      </c>
      <c r="D611" s="13"/>
      <c r="E611" s="13"/>
      <c r="F611" s="45"/>
      <c r="G611" s="42"/>
      <c r="H611" s="42"/>
      <c r="I611" s="42"/>
      <c r="J611" s="22"/>
      <c r="K611" s="42"/>
    </row>
    <row r="612" ht="39.75" customHeight="1">
      <c r="A612" s="1">
        <v>611.0</v>
      </c>
      <c r="B612" s="2" t="s">
        <v>35</v>
      </c>
      <c r="C612" s="2" t="s">
        <v>44</v>
      </c>
      <c r="D612" s="13"/>
      <c r="E612" s="13"/>
      <c r="F612" s="45"/>
      <c r="G612" s="42"/>
      <c r="H612" s="42"/>
      <c r="I612" s="42"/>
      <c r="J612" s="22"/>
      <c r="K612" s="42"/>
    </row>
    <row r="613" ht="39.75" customHeight="1">
      <c r="A613" s="1">
        <v>612.0</v>
      </c>
      <c r="B613" s="2" t="s">
        <v>32</v>
      </c>
      <c r="C613" s="13"/>
      <c r="D613" s="40">
        <v>0.375</v>
      </c>
      <c r="E613" s="13"/>
      <c r="F613" s="44" t="s">
        <v>1448</v>
      </c>
      <c r="G613" s="43">
        <v>1.0</v>
      </c>
      <c r="H613" s="42"/>
      <c r="I613" s="42"/>
      <c r="J613" s="22"/>
      <c r="K613" s="42"/>
    </row>
    <row r="614" ht="39.75" hidden="1" customHeight="1">
      <c r="A614" s="1">
        <v>613.0</v>
      </c>
      <c r="B614" s="2" t="s">
        <v>38</v>
      </c>
      <c r="C614" s="2" t="s">
        <v>13</v>
      </c>
      <c r="D614" s="13"/>
      <c r="E614" s="13"/>
      <c r="F614" s="45"/>
      <c r="G614" s="42"/>
      <c r="H614" s="42"/>
      <c r="I614" s="42"/>
      <c r="J614" s="22"/>
      <c r="K614" s="42"/>
    </row>
    <row r="615" ht="39.75" hidden="1" customHeight="1">
      <c r="A615" s="1">
        <v>614.0</v>
      </c>
      <c r="B615" s="2" t="s">
        <v>41</v>
      </c>
      <c r="C615" s="2" t="s">
        <v>13</v>
      </c>
      <c r="D615" s="13"/>
      <c r="E615" s="13"/>
      <c r="F615" s="45"/>
      <c r="G615" s="42"/>
      <c r="H615" s="42"/>
      <c r="I615" s="42"/>
      <c r="J615" s="22"/>
      <c r="K615" s="42"/>
    </row>
    <row r="616" ht="39.75" hidden="1" customHeight="1">
      <c r="A616" s="1">
        <v>615.0</v>
      </c>
      <c r="B616" s="2" t="s">
        <v>42</v>
      </c>
      <c r="C616" s="2" t="s">
        <v>13</v>
      </c>
      <c r="D616" s="13"/>
      <c r="E616" s="13"/>
      <c r="F616" s="45"/>
      <c r="G616" s="42"/>
      <c r="H616" s="42"/>
      <c r="I616" s="42"/>
      <c r="J616" s="22"/>
      <c r="K616" s="42"/>
    </row>
    <row r="617" ht="39.75" customHeight="1">
      <c r="A617" s="1">
        <v>616.0</v>
      </c>
      <c r="B617" s="2" t="s">
        <v>43</v>
      </c>
      <c r="C617" s="2"/>
      <c r="D617" s="40">
        <v>0.375</v>
      </c>
      <c r="E617" s="13"/>
      <c r="F617" s="44" t="s">
        <v>1449</v>
      </c>
      <c r="G617" s="43">
        <v>2.0</v>
      </c>
      <c r="H617" s="42"/>
      <c r="I617" s="43">
        <v>1.0</v>
      </c>
      <c r="J617" s="22"/>
      <c r="K617" s="42"/>
    </row>
    <row r="618" ht="39.75" customHeight="1">
      <c r="A618" s="1">
        <v>617.0</v>
      </c>
      <c r="B618" s="2" t="s">
        <v>45</v>
      </c>
      <c r="C618" s="2" t="s">
        <v>49</v>
      </c>
      <c r="D618" s="53">
        <v>0.2916666666666667</v>
      </c>
      <c r="E618" s="40">
        <v>0.8125</v>
      </c>
      <c r="F618" s="44" t="s">
        <v>1450</v>
      </c>
      <c r="G618" s="43">
        <v>1.0</v>
      </c>
      <c r="H618" s="43">
        <v>1.0</v>
      </c>
      <c r="I618" s="42"/>
      <c r="J618" s="22"/>
      <c r="K618" s="42"/>
    </row>
    <row r="619" ht="39.75" hidden="1" customHeight="1">
      <c r="A619" s="1">
        <v>618.0</v>
      </c>
      <c r="B619" s="2" t="s">
        <v>46</v>
      </c>
      <c r="C619" s="2" t="s">
        <v>13</v>
      </c>
      <c r="D619" s="13"/>
      <c r="E619" s="13"/>
      <c r="F619" s="45"/>
      <c r="G619" s="42"/>
      <c r="H619" s="42"/>
      <c r="I619" s="42"/>
      <c r="J619" s="22"/>
      <c r="K619" s="42"/>
    </row>
    <row r="620" ht="39.75" hidden="1" customHeight="1">
      <c r="A620" s="1">
        <v>619.0</v>
      </c>
      <c r="B620" s="2" t="s">
        <v>47</v>
      </c>
      <c r="C620" s="2" t="s">
        <v>13</v>
      </c>
      <c r="D620" s="13"/>
      <c r="E620" s="13"/>
      <c r="F620" s="45"/>
      <c r="G620" s="42"/>
      <c r="H620" s="42"/>
      <c r="I620" s="42"/>
      <c r="J620" s="22"/>
      <c r="K620" s="42"/>
    </row>
    <row r="621" ht="39.75" hidden="1" customHeight="1">
      <c r="A621" s="1">
        <v>620.0</v>
      </c>
      <c r="B621" s="2" t="s">
        <v>48</v>
      </c>
      <c r="C621" s="2" t="s">
        <v>13</v>
      </c>
      <c r="D621" s="13"/>
      <c r="E621" s="13"/>
      <c r="F621" s="45"/>
      <c r="G621" s="42"/>
      <c r="H621" s="42"/>
      <c r="I621" s="42"/>
      <c r="J621" s="22"/>
      <c r="K621" s="42"/>
    </row>
    <row r="622" ht="39.75" customHeight="1">
      <c r="A622" s="1">
        <v>621.0</v>
      </c>
      <c r="B622" s="21"/>
      <c r="C622" s="21"/>
      <c r="D622" s="21"/>
      <c r="E622" s="21"/>
      <c r="F622" s="46"/>
      <c r="G622" s="47"/>
      <c r="H622" s="47"/>
      <c r="I622" s="47"/>
      <c r="J622" s="48"/>
      <c r="K622" s="47"/>
      <c r="L622" s="49"/>
      <c r="M622" s="49"/>
      <c r="N622" s="49"/>
    </row>
    <row r="623" ht="39.75" customHeight="1">
      <c r="A623" s="1">
        <v>622.0</v>
      </c>
      <c r="B623" s="2" t="s">
        <v>12</v>
      </c>
      <c r="C623" s="2" t="s">
        <v>62</v>
      </c>
      <c r="D623" s="13"/>
      <c r="E623" s="13"/>
      <c r="F623" s="57" t="s">
        <v>1451</v>
      </c>
      <c r="G623" s="43">
        <v>1.0</v>
      </c>
      <c r="H623" s="42"/>
      <c r="I623" s="43">
        <v>1.0</v>
      </c>
      <c r="J623" s="27" t="s">
        <v>1161</v>
      </c>
      <c r="K623" s="43"/>
      <c r="L623" s="15" t="s">
        <v>389</v>
      </c>
    </row>
    <row r="624" ht="39.75" customHeight="1">
      <c r="A624" s="1">
        <v>623.0</v>
      </c>
      <c r="B624" s="2" t="s">
        <v>16</v>
      </c>
      <c r="C624" s="2" t="s">
        <v>69</v>
      </c>
      <c r="D624" s="13"/>
      <c r="E624" s="40">
        <v>0.9097222222222222</v>
      </c>
      <c r="F624" s="44" t="s">
        <v>1452</v>
      </c>
      <c r="G624" s="43">
        <v>1.0</v>
      </c>
      <c r="H624" s="42"/>
      <c r="I624" s="42"/>
      <c r="J624" s="27" t="s">
        <v>389</v>
      </c>
      <c r="K624" s="43"/>
    </row>
    <row r="625" ht="39.75" customHeight="1">
      <c r="A625" s="1">
        <v>624.0</v>
      </c>
      <c r="B625" s="2" t="s">
        <v>17</v>
      </c>
      <c r="C625" s="2"/>
      <c r="D625" s="13"/>
      <c r="E625" s="13"/>
      <c r="F625" s="45"/>
      <c r="G625" s="42"/>
      <c r="H625" s="42"/>
      <c r="I625" s="42"/>
      <c r="J625" s="27" t="s">
        <v>56</v>
      </c>
      <c r="K625" s="43"/>
    </row>
    <row r="626" ht="39.75" customHeight="1">
      <c r="A626" s="1">
        <v>625.0</v>
      </c>
      <c r="B626" s="2" t="s">
        <v>20</v>
      </c>
      <c r="C626" s="2" t="s">
        <v>271</v>
      </c>
      <c r="D626" s="13"/>
      <c r="E626" s="13"/>
      <c r="F626" s="44" t="s">
        <v>1453</v>
      </c>
      <c r="G626" s="43">
        <v>1.0</v>
      </c>
      <c r="H626" s="42"/>
      <c r="I626" s="42"/>
      <c r="J626" s="22"/>
      <c r="K626" s="42"/>
    </row>
    <row r="627" ht="39.75" customHeight="1">
      <c r="A627" s="1">
        <v>626.0</v>
      </c>
      <c r="B627" s="2" t="s">
        <v>21</v>
      </c>
      <c r="C627" s="2"/>
      <c r="D627" s="13"/>
      <c r="E627" s="13"/>
      <c r="F627" s="45"/>
      <c r="G627" s="42"/>
      <c r="H627" s="42"/>
      <c r="I627" s="42"/>
      <c r="J627" s="22"/>
      <c r="K627" s="42"/>
    </row>
    <row r="628" ht="39.75" hidden="1" customHeight="1">
      <c r="A628" s="1">
        <v>627.0</v>
      </c>
      <c r="B628" s="2" t="s">
        <v>22</v>
      </c>
      <c r="C628" s="2" t="s">
        <v>58</v>
      </c>
      <c r="D628" s="13"/>
      <c r="E628" s="13"/>
      <c r="F628" s="45"/>
      <c r="G628" s="42"/>
      <c r="H628" s="42"/>
      <c r="I628" s="42"/>
      <c r="J628" s="22"/>
      <c r="K628" s="42"/>
    </row>
    <row r="629" ht="39.75" customHeight="1">
      <c r="A629" s="1">
        <v>628.0</v>
      </c>
      <c r="B629" s="2" t="s">
        <v>23</v>
      </c>
      <c r="C629" s="2" t="s">
        <v>39</v>
      </c>
      <c r="D629" s="13"/>
      <c r="E629" s="13"/>
      <c r="F629" s="44" t="s">
        <v>1454</v>
      </c>
      <c r="G629" s="43">
        <v>1.0</v>
      </c>
      <c r="H629" s="42"/>
      <c r="I629" s="43">
        <v>1.0</v>
      </c>
      <c r="J629" s="22"/>
      <c r="K629" s="42"/>
    </row>
    <row r="630" ht="39.75" customHeight="1">
      <c r="A630" s="1">
        <v>629.0</v>
      </c>
      <c r="B630" s="2" t="s">
        <v>24</v>
      </c>
      <c r="C630" s="2" t="s">
        <v>277</v>
      </c>
      <c r="D630" s="13"/>
      <c r="E630" s="13"/>
      <c r="F630" s="45"/>
      <c r="G630" s="42"/>
      <c r="H630" s="42"/>
      <c r="I630" s="42"/>
      <c r="J630" s="22"/>
      <c r="K630" s="42"/>
    </row>
    <row r="631" ht="39.75" customHeight="1">
      <c r="A631" s="1">
        <v>630.0</v>
      </c>
      <c r="B631" s="2" t="s">
        <v>25</v>
      </c>
      <c r="C631" s="2" t="s">
        <v>54</v>
      </c>
      <c r="D631" s="53">
        <v>0.3333333333333333</v>
      </c>
      <c r="E631" s="13"/>
      <c r="F631" s="44" t="s">
        <v>1455</v>
      </c>
      <c r="G631" s="43">
        <v>1.0</v>
      </c>
      <c r="H631" s="42"/>
      <c r="I631" s="43">
        <v>1.0</v>
      </c>
      <c r="J631" s="22"/>
      <c r="K631" s="42"/>
    </row>
    <row r="632" ht="39.75" customHeight="1">
      <c r="A632" s="1">
        <v>631.0</v>
      </c>
      <c r="B632" s="2" t="s">
        <v>26</v>
      </c>
      <c r="C632" s="2" t="s">
        <v>44</v>
      </c>
      <c r="D632" s="13"/>
      <c r="E632" s="13"/>
      <c r="F632" s="45"/>
      <c r="G632" s="42"/>
      <c r="H632" s="42"/>
      <c r="I632" s="42"/>
      <c r="J632" s="22"/>
      <c r="K632" s="42"/>
    </row>
    <row r="633" ht="39.75" customHeight="1">
      <c r="A633" s="1">
        <v>632.0</v>
      </c>
      <c r="B633" s="2" t="s">
        <v>29</v>
      </c>
      <c r="C633" s="2"/>
      <c r="D633" s="13"/>
      <c r="E633" s="13"/>
      <c r="F633" s="44"/>
      <c r="G633" s="43"/>
      <c r="H633" s="42"/>
      <c r="I633" s="42"/>
      <c r="J633" s="22"/>
      <c r="K633" s="42"/>
    </row>
    <row r="634" ht="39.75" customHeight="1">
      <c r="A634" s="1">
        <v>633.0</v>
      </c>
      <c r="B634" s="2" t="s">
        <v>30</v>
      </c>
      <c r="C634" s="2" t="s">
        <v>64</v>
      </c>
      <c r="D634" s="13"/>
      <c r="E634" s="13"/>
      <c r="F634" s="44" t="s">
        <v>1456</v>
      </c>
      <c r="G634" s="42"/>
      <c r="H634" s="42"/>
      <c r="I634" s="42"/>
      <c r="J634" s="22"/>
      <c r="K634" s="42"/>
    </row>
    <row r="635" ht="39.75" hidden="1" customHeight="1">
      <c r="A635" s="1">
        <v>634.0</v>
      </c>
      <c r="B635" s="2" t="s">
        <v>31</v>
      </c>
      <c r="C635" s="2" t="s">
        <v>66</v>
      </c>
      <c r="D635" s="13"/>
      <c r="E635" s="13"/>
      <c r="F635" s="45"/>
      <c r="G635" s="42"/>
      <c r="H635" s="42"/>
      <c r="I635" s="42"/>
      <c r="J635" s="22"/>
      <c r="K635" s="42"/>
    </row>
    <row r="636" ht="39.75" customHeight="1">
      <c r="A636" s="1">
        <v>635.0</v>
      </c>
      <c r="B636" s="2" t="s">
        <v>32</v>
      </c>
      <c r="C636" s="2" t="s">
        <v>27</v>
      </c>
      <c r="D636" s="13"/>
      <c r="E636" s="13"/>
      <c r="F636" s="44" t="s">
        <v>1457</v>
      </c>
      <c r="G636" s="43">
        <v>1.0</v>
      </c>
      <c r="H636" s="42"/>
      <c r="I636" s="42"/>
      <c r="J636" s="22"/>
      <c r="K636" s="42"/>
    </row>
    <row r="637" ht="39.75" customHeight="1">
      <c r="A637" s="1">
        <v>636.0</v>
      </c>
      <c r="B637" s="2" t="s">
        <v>67</v>
      </c>
      <c r="C637" s="2" t="s">
        <v>54</v>
      </c>
      <c r="D637" s="13"/>
      <c r="E637" s="51">
        <v>0.8541666666666666</v>
      </c>
      <c r="F637" s="44" t="s">
        <v>1458</v>
      </c>
      <c r="G637" s="43">
        <v>1.0</v>
      </c>
      <c r="H637" s="42"/>
      <c r="I637" s="42"/>
      <c r="J637" s="22"/>
      <c r="K637" s="42"/>
    </row>
    <row r="638" ht="39.75" customHeight="1">
      <c r="A638" s="1">
        <v>637.0</v>
      </c>
      <c r="B638" s="2" t="s">
        <v>34</v>
      </c>
      <c r="C638" s="2"/>
      <c r="D638" s="13"/>
      <c r="E638" s="13"/>
      <c r="F638" s="45"/>
      <c r="G638" s="42"/>
      <c r="H638" s="42"/>
      <c r="I638" s="42"/>
      <c r="J638" s="22"/>
      <c r="K638" s="42"/>
    </row>
    <row r="639" ht="39.75" customHeight="1">
      <c r="A639" s="1">
        <v>638.0</v>
      </c>
      <c r="B639" s="2" t="s">
        <v>35</v>
      </c>
      <c r="C639" s="2"/>
      <c r="D639" s="13"/>
      <c r="E639" s="13"/>
      <c r="F639" s="44" t="s">
        <v>1459</v>
      </c>
      <c r="G639" s="43">
        <v>1.0</v>
      </c>
      <c r="H639" s="42"/>
      <c r="I639" s="42"/>
      <c r="J639" s="22"/>
      <c r="K639" s="42"/>
    </row>
    <row r="640" ht="39.75" customHeight="1">
      <c r="A640" s="1">
        <v>639.0</v>
      </c>
      <c r="B640" s="2" t="s">
        <v>36</v>
      </c>
      <c r="C640" s="2" t="s">
        <v>54</v>
      </c>
      <c r="D640" s="53">
        <v>0.3333333333333333</v>
      </c>
      <c r="E640" s="13"/>
      <c r="F640" s="44" t="s">
        <v>1460</v>
      </c>
      <c r="G640" s="43">
        <v>1.0</v>
      </c>
      <c r="H640" s="42"/>
      <c r="I640" s="43">
        <v>1.0</v>
      </c>
      <c r="J640" s="22"/>
      <c r="K640" s="42"/>
    </row>
    <row r="641" ht="39.75" hidden="1" customHeight="1">
      <c r="A641" s="1">
        <v>640.0</v>
      </c>
      <c r="B641" s="2" t="s">
        <v>38</v>
      </c>
      <c r="C641" s="2" t="s">
        <v>58</v>
      </c>
      <c r="D641" s="13"/>
      <c r="E641" s="13"/>
      <c r="F641" s="45"/>
      <c r="G641" s="42"/>
      <c r="H641" s="42"/>
      <c r="I641" s="42"/>
      <c r="J641" s="22"/>
      <c r="K641" s="42"/>
    </row>
    <row r="642" ht="39.75" hidden="1" customHeight="1">
      <c r="A642" s="1">
        <v>641.0</v>
      </c>
      <c r="B642" s="2" t="s">
        <v>41</v>
      </c>
      <c r="C642" s="2" t="s">
        <v>58</v>
      </c>
      <c r="D642" s="13"/>
      <c r="E642" s="13"/>
      <c r="F642" s="45"/>
      <c r="G642" s="42"/>
      <c r="H642" s="42"/>
      <c r="I642" s="42"/>
      <c r="J642" s="22"/>
      <c r="K642" s="42"/>
    </row>
    <row r="643" ht="39.75" customHeight="1">
      <c r="A643" s="1">
        <v>642.0</v>
      </c>
      <c r="B643" s="2" t="s">
        <v>42</v>
      </c>
      <c r="C643" s="2" t="s">
        <v>69</v>
      </c>
      <c r="D643" s="13"/>
      <c r="E643" s="40">
        <v>0.8263888888888888</v>
      </c>
      <c r="F643" s="44" t="s">
        <v>1461</v>
      </c>
      <c r="G643" s="43">
        <v>2.0</v>
      </c>
      <c r="H643" s="42"/>
      <c r="I643" s="43">
        <v>1.0</v>
      </c>
      <c r="J643" s="22"/>
      <c r="K643" s="42"/>
    </row>
    <row r="644" ht="39.75" customHeight="1">
      <c r="A644" s="1">
        <v>643.0</v>
      </c>
      <c r="B644" s="2" t="s">
        <v>43</v>
      </c>
      <c r="C644" s="2" t="s">
        <v>69</v>
      </c>
      <c r="D644" s="13"/>
      <c r="E644" s="40">
        <v>0.8263888888888888</v>
      </c>
      <c r="F644" s="44" t="s">
        <v>1462</v>
      </c>
      <c r="G644" s="43">
        <v>1.0</v>
      </c>
      <c r="H644" s="42"/>
      <c r="I644" s="42"/>
      <c r="J644" s="22"/>
      <c r="K644" s="42"/>
    </row>
    <row r="645" ht="39.75" customHeight="1">
      <c r="A645" s="1">
        <v>644.0</v>
      </c>
      <c r="B645" s="2" t="s">
        <v>45</v>
      </c>
      <c r="C645" s="2" t="s">
        <v>54</v>
      </c>
      <c r="D645" s="13"/>
      <c r="E645" s="40">
        <v>0.7708333333333334</v>
      </c>
      <c r="F645" s="44" t="s">
        <v>1463</v>
      </c>
      <c r="G645" s="43">
        <v>1.0</v>
      </c>
      <c r="H645" s="43">
        <v>1.0</v>
      </c>
      <c r="I645" s="42"/>
      <c r="J645" s="22"/>
      <c r="K645" s="42"/>
    </row>
    <row r="646" ht="39.75" hidden="1" customHeight="1">
      <c r="A646" s="1">
        <v>645.0</v>
      </c>
      <c r="B646" s="2" t="s">
        <v>46</v>
      </c>
      <c r="C646" s="2" t="s">
        <v>58</v>
      </c>
      <c r="D646" s="13"/>
      <c r="E646" s="13"/>
      <c r="F646" s="45"/>
      <c r="G646" s="42"/>
      <c r="H646" s="42"/>
      <c r="I646" s="42"/>
      <c r="J646" s="22"/>
      <c r="K646" s="42"/>
    </row>
    <row r="647" ht="39.75" customHeight="1">
      <c r="A647" s="1">
        <v>646.0</v>
      </c>
      <c r="B647" s="2" t="s">
        <v>47</v>
      </c>
      <c r="C647" s="2" t="s">
        <v>39</v>
      </c>
      <c r="D647" s="13"/>
      <c r="E647" s="13"/>
      <c r="F647" s="44" t="s">
        <v>1464</v>
      </c>
      <c r="G647" s="43">
        <v>1.0</v>
      </c>
      <c r="H647" s="42"/>
      <c r="I647" s="43">
        <v>1.0</v>
      </c>
      <c r="J647" s="22"/>
      <c r="K647" s="42"/>
    </row>
    <row r="648" ht="39.75" hidden="1" customHeight="1">
      <c r="A648" s="1">
        <v>647.0</v>
      </c>
      <c r="B648" s="2" t="s">
        <v>48</v>
      </c>
      <c r="C648" s="2" t="s">
        <v>66</v>
      </c>
      <c r="D648" s="13"/>
      <c r="E648" s="13"/>
      <c r="F648" s="45"/>
      <c r="G648" s="42"/>
      <c r="H648" s="42"/>
      <c r="I648" s="42"/>
      <c r="J648" s="22"/>
      <c r="K648" s="42"/>
    </row>
    <row r="649" ht="39.75" customHeight="1">
      <c r="A649" s="1">
        <v>648.0</v>
      </c>
      <c r="B649" s="21"/>
      <c r="C649" s="21"/>
      <c r="D649" s="21"/>
      <c r="E649" s="21"/>
      <c r="F649" s="46"/>
      <c r="G649" s="47"/>
      <c r="H649" s="47"/>
      <c r="I649" s="47"/>
      <c r="J649" s="48"/>
      <c r="K649" s="47"/>
      <c r="L649" s="49"/>
      <c r="M649" s="49"/>
      <c r="N649" s="49"/>
    </row>
    <row r="650" ht="39.75" customHeight="1">
      <c r="A650" s="1">
        <v>649.0</v>
      </c>
      <c r="B650" s="2" t="s">
        <v>12</v>
      </c>
      <c r="C650" s="2" t="s">
        <v>62</v>
      </c>
      <c r="D650" s="13"/>
      <c r="E650" s="13"/>
      <c r="F650" s="44" t="s">
        <v>1465</v>
      </c>
      <c r="G650" s="43">
        <v>1.0</v>
      </c>
      <c r="H650" s="42"/>
      <c r="I650" s="43">
        <v>1.0</v>
      </c>
      <c r="J650" s="27" t="s">
        <v>1161</v>
      </c>
      <c r="K650" s="43"/>
      <c r="L650" s="15" t="s">
        <v>406</v>
      </c>
    </row>
    <row r="651" ht="39.75" customHeight="1">
      <c r="A651" s="1">
        <v>650.0</v>
      </c>
      <c r="B651" s="2" t="s">
        <v>116</v>
      </c>
      <c r="C651" s="2" t="s">
        <v>1466</v>
      </c>
      <c r="D651" s="13"/>
      <c r="E651" s="51">
        <v>0.9409722222222222</v>
      </c>
      <c r="F651" s="44" t="s">
        <v>1467</v>
      </c>
      <c r="G651" s="43">
        <v>1.0</v>
      </c>
      <c r="H651" s="42"/>
      <c r="I651" s="42"/>
      <c r="J651" s="27" t="s">
        <v>406</v>
      </c>
      <c r="K651" s="43"/>
    </row>
    <row r="652" ht="39.75" customHeight="1">
      <c r="A652" s="1">
        <v>651.0</v>
      </c>
      <c r="B652" s="2" t="s">
        <v>17</v>
      </c>
      <c r="C652" s="2"/>
      <c r="D652" s="13"/>
      <c r="E652" s="13"/>
      <c r="F652" s="44" t="s">
        <v>1468</v>
      </c>
      <c r="G652" s="43">
        <v>1.0</v>
      </c>
      <c r="H652" s="42"/>
      <c r="I652" s="43">
        <v>1.0</v>
      </c>
      <c r="J652" s="27" t="s">
        <v>77</v>
      </c>
      <c r="K652" s="43"/>
    </row>
    <row r="653" ht="39.75" hidden="1" customHeight="1">
      <c r="A653" s="1">
        <v>652.0</v>
      </c>
      <c r="B653" s="2" t="s">
        <v>331</v>
      </c>
      <c r="C653" s="2" t="s">
        <v>58</v>
      </c>
      <c r="D653" s="13"/>
      <c r="E653" s="13"/>
      <c r="F653" s="44"/>
      <c r="G653" s="42"/>
      <c r="H653" s="42"/>
      <c r="I653" s="42"/>
      <c r="J653" s="22"/>
      <c r="K653" s="42"/>
    </row>
    <row r="654" ht="39.75" customHeight="1">
      <c r="A654" s="1">
        <v>653.0</v>
      </c>
      <c r="B654" s="2" t="s">
        <v>21</v>
      </c>
      <c r="C654" s="2"/>
      <c r="D654" s="13"/>
      <c r="E654" s="13"/>
      <c r="F654" s="44" t="s">
        <v>1469</v>
      </c>
      <c r="G654" s="43">
        <v>1.0</v>
      </c>
      <c r="H654" s="42"/>
      <c r="I654" s="42"/>
      <c r="J654" s="22"/>
      <c r="K654" s="42"/>
    </row>
    <row r="655" ht="39.75" hidden="1" customHeight="1">
      <c r="A655" s="1">
        <v>654.0</v>
      </c>
      <c r="B655" s="2" t="s">
        <v>22</v>
      </c>
      <c r="C655" s="2" t="s">
        <v>66</v>
      </c>
      <c r="D655" s="13"/>
      <c r="E655" s="13"/>
      <c r="F655" s="45"/>
      <c r="G655" s="42"/>
      <c r="H655" s="42"/>
      <c r="I655" s="42"/>
      <c r="J655" s="22"/>
      <c r="K655" s="42"/>
    </row>
    <row r="656" ht="39.75" customHeight="1">
      <c r="A656" s="1">
        <v>655.0</v>
      </c>
      <c r="B656" s="2" t="s">
        <v>23</v>
      </c>
      <c r="C656" s="2" t="s">
        <v>69</v>
      </c>
      <c r="D656" s="13"/>
      <c r="E656" s="13"/>
      <c r="F656" s="44" t="s">
        <v>1470</v>
      </c>
      <c r="G656" s="43">
        <v>1.0</v>
      </c>
      <c r="H656" s="42"/>
      <c r="I656" s="42"/>
      <c r="J656" s="22"/>
      <c r="K656" s="42"/>
    </row>
    <row r="657" ht="39.75" customHeight="1">
      <c r="A657" s="1">
        <v>656.0</v>
      </c>
      <c r="B657" s="2" t="s">
        <v>24</v>
      </c>
      <c r="C657" s="2" t="s">
        <v>277</v>
      </c>
      <c r="D657" s="13"/>
      <c r="E657" s="13"/>
      <c r="F657" s="45"/>
      <c r="G657" s="42"/>
      <c r="H657" s="42"/>
      <c r="I657" s="42"/>
      <c r="J657" s="22"/>
      <c r="K657" s="42"/>
    </row>
    <row r="658" ht="39.75" customHeight="1">
      <c r="A658" s="1">
        <v>657.0</v>
      </c>
      <c r="B658" s="2" t="s">
        <v>25</v>
      </c>
      <c r="C658" s="2" t="s">
        <v>54</v>
      </c>
      <c r="D658" s="13"/>
      <c r="E658" s="13"/>
      <c r="F658" s="44" t="s">
        <v>1471</v>
      </c>
      <c r="G658" s="43">
        <v>1.0</v>
      </c>
      <c r="H658" s="42"/>
      <c r="I658" s="43">
        <v>1.0</v>
      </c>
      <c r="J658" s="22"/>
      <c r="K658" s="42"/>
    </row>
    <row r="659" ht="39.75" customHeight="1">
      <c r="A659" s="1">
        <v>658.0</v>
      </c>
      <c r="B659" s="2" t="s">
        <v>26</v>
      </c>
      <c r="C659" s="2" t="s">
        <v>54</v>
      </c>
      <c r="D659" s="13"/>
      <c r="E659" s="13"/>
      <c r="F659" s="44" t="s">
        <v>1472</v>
      </c>
      <c r="G659" s="43">
        <v>1.0</v>
      </c>
      <c r="H659" s="43"/>
      <c r="I659" s="42"/>
      <c r="J659" s="22"/>
      <c r="K659" s="42"/>
    </row>
    <row r="660" ht="39.75" customHeight="1">
      <c r="A660" s="1">
        <v>659.0</v>
      </c>
      <c r="B660" s="2" t="s">
        <v>29</v>
      </c>
      <c r="C660" s="2" t="s">
        <v>39</v>
      </c>
      <c r="D660" s="40">
        <v>0.2916666666666667</v>
      </c>
      <c r="E660" s="13"/>
      <c r="F660" s="44" t="s">
        <v>1473</v>
      </c>
      <c r="G660" s="43">
        <v>1.0</v>
      </c>
      <c r="H660" s="42"/>
      <c r="I660" s="42"/>
      <c r="J660" s="22"/>
      <c r="K660" s="42"/>
    </row>
    <row r="661" ht="39.75" customHeight="1">
      <c r="A661" s="1">
        <v>660.0</v>
      </c>
      <c r="B661" s="2" t="s">
        <v>30</v>
      </c>
      <c r="C661" s="2" t="s">
        <v>64</v>
      </c>
      <c r="D661" s="13"/>
      <c r="E661" s="13"/>
      <c r="F661" s="45"/>
      <c r="G661" s="42"/>
      <c r="H661" s="42"/>
      <c r="I661" s="42"/>
      <c r="J661" s="22"/>
      <c r="K661" s="42"/>
    </row>
    <row r="662" ht="39.75" customHeight="1">
      <c r="A662" s="1">
        <v>661.0</v>
      </c>
      <c r="B662" s="2" t="s">
        <v>31</v>
      </c>
      <c r="C662" s="2"/>
      <c r="D662" s="13"/>
      <c r="E662" s="51">
        <v>0.7569444444444444</v>
      </c>
      <c r="F662" s="44" t="s">
        <v>1474</v>
      </c>
      <c r="G662" s="43">
        <v>1.0</v>
      </c>
      <c r="H662" s="42"/>
      <c r="I662" s="43">
        <v>1.0</v>
      </c>
      <c r="J662" s="22"/>
      <c r="K662" s="42"/>
    </row>
    <row r="663" ht="39.75" customHeight="1">
      <c r="A663" s="1">
        <v>662.0</v>
      </c>
      <c r="B663" s="2" t="s">
        <v>32</v>
      </c>
      <c r="C663" s="2" t="s">
        <v>44</v>
      </c>
      <c r="D663" s="13"/>
      <c r="E663" s="13"/>
      <c r="F663" s="44" t="s">
        <v>1475</v>
      </c>
      <c r="G663" s="56">
        <v>1.0</v>
      </c>
      <c r="H663" s="42"/>
      <c r="I663" s="42"/>
      <c r="J663" s="22"/>
      <c r="K663" s="42"/>
    </row>
    <row r="664" ht="39.75" customHeight="1">
      <c r="A664" s="1">
        <v>663.0</v>
      </c>
      <c r="B664" s="2" t="s">
        <v>67</v>
      </c>
      <c r="C664" s="2"/>
      <c r="D664" s="13"/>
      <c r="E664" s="13"/>
      <c r="F664" s="44" t="s">
        <v>1476</v>
      </c>
      <c r="G664" s="43">
        <v>1.0</v>
      </c>
      <c r="H664" s="42"/>
      <c r="I664" s="42"/>
      <c r="J664" s="22"/>
      <c r="K664" s="42"/>
    </row>
    <row r="665" ht="39.75" hidden="1" customHeight="1">
      <c r="A665" s="1">
        <v>664.0</v>
      </c>
      <c r="B665" s="2" t="s">
        <v>34</v>
      </c>
      <c r="C665" s="2" t="s">
        <v>58</v>
      </c>
      <c r="D665" s="13"/>
      <c r="E665" s="13"/>
      <c r="F665" s="45"/>
      <c r="G665" s="42"/>
      <c r="H665" s="42"/>
      <c r="I665" s="42"/>
      <c r="J665" s="22"/>
      <c r="K665" s="42"/>
    </row>
    <row r="666" ht="39.75" customHeight="1">
      <c r="A666" s="1">
        <v>665.0</v>
      </c>
      <c r="B666" s="2" t="s">
        <v>35</v>
      </c>
      <c r="C666" s="2" t="s">
        <v>27</v>
      </c>
      <c r="D666" s="13"/>
      <c r="E666" s="13"/>
      <c r="F666" s="44" t="s">
        <v>1477</v>
      </c>
      <c r="G666" s="43">
        <v>1.0</v>
      </c>
      <c r="H666" s="42"/>
      <c r="I666" s="42"/>
      <c r="J666" s="22"/>
      <c r="K666" s="42"/>
    </row>
    <row r="667" ht="39.75" customHeight="1">
      <c r="A667" s="1">
        <v>666.0</v>
      </c>
      <c r="B667" s="2" t="s">
        <v>36</v>
      </c>
      <c r="C667" s="2" t="s">
        <v>54</v>
      </c>
      <c r="D667" s="13"/>
      <c r="E667" s="13"/>
      <c r="F667" s="44" t="s">
        <v>1478</v>
      </c>
      <c r="G667" s="43">
        <v>3.0</v>
      </c>
      <c r="H667" s="42"/>
      <c r="I667" s="43">
        <v>2.0</v>
      </c>
      <c r="J667" s="22"/>
      <c r="K667" s="42"/>
    </row>
    <row r="668" ht="39.75" hidden="1" customHeight="1">
      <c r="A668" s="1">
        <v>667.0</v>
      </c>
      <c r="B668" s="2" t="s">
        <v>38</v>
      </c>
      <c r="C668" s="2" t="s">
        <v>58</v>
      </c>
      <c r="D668" s="13"/>
      <c r="E668" s="13"/>
      <c r="F668" s="45"/>
      <c r="G668" s="42"/>
      <c r="H668" s="42"/>
      <c r="I668" s="42"/>
      <c r="J668" s="22"/>
      <c r="K668" s="42"/>
    </row>
    <row r="669" ht="39.75" hidden="1" customHeight="1">
      <c r="A669" s="1">
        <v>668.0</v>
      </c>
      <c r="B669" s="2" t="s">
        <v>41</v>
      </c>
      <c r="C669" s="2" t="s">
        <v>58</v>
      </c>
      <c r="D669" s="13"/>
      <c r="E669" s="13"/>
      <c r="F669" s="45"/>
      <c r="G669" s="42"/>
      <c r="H669" s="42"/>
      <c r="I669" s="42"/>
      <c r="J669" s="22"/>
      <c r="K669" s="42"/>
    </row>
    <row r="670" ht="39.75" customHeight="1">
      <c r="A670" s="1">
        <v>669.0</v>
      </c>
      <c r="B670" s="2" t="s">
        <v>42</v>
      </c>
      <c r="C670" s="2"/>
      <c r="D670" s="53">
        <v>0.3611111111111111</v>
      </c>
      <c r="E670" s="13"/>
      <c r="F670" s="44" t="s">
        <v>1479</v>
      </c>
      <c r="G670" s="43">
        <v>1.0</v>
      </c>
      <c r="H670" s="42"/>
      <c r="I670" s="42"/>
      <c r="J670" s="22"/>
      <c r="K670" s="42"/>
    </row>
    <row r="671" ht="39.75" customHeight="1">
      <c r="A671" s="1">
        <v>670.0</v>
      </c>
      <c r="B671" s="2" t="s">
        <v>43</v>
      </c>
      <c r="C671" s="2"/>
      <c r="D671" s="13"/>
      <c r="E671" s="13"/>
      <c r="F671" s="44" t="s">
        <v>1480</v>
      </c>
      <c r="G671" s="43">
        <v>1.0</v>
      </c>
      <c r="H671" s="42"/>
      <c r="I671" s="42"/>
      <c r="J671" s="22"/>
      <c r="K671" s="42"/>
    </row>
    <row r="672" ht="39.75" customHeight="1">
      <c r="A672" s="1">
        <v>671.0</v>
      </c>
      <c r="B672" s="2" t="s">
        <v>45</v>
      </c>
      <c r="C672" s="2" t="s">
        <v>54</v>
      </c>
      <c r="D672" s="59">
        <v>0.4236111111111111</v>
      </c>
      <c r="E672" s="51">
        <v>0.8194444444444444</v>
      </c>
      <c r="F672" s="44" t="s">
        <v>1481</v>
      </c>
      <c r="G672" s="43">
        <v>1.0</v>
      </c>
      <c r="H672" s="42"/>
      <c r="I672" s="42"/>
      <c r="J672" s="22"/>
      <c r="K672" s="42"/>
    </row>
    <row r="673" ht="39.75" customHeight="1">
      <c r="A673" s="1">
        <v>672.0</v>
      </c>
      <c r="B673" s="2" t="s">
        <v>46</v>
      </c>
      <c r="C673" s="2" t="s">
        <v>69</v>
      </c>
      <c r="D673" s="13"/>
      <c r="E673" s="40">
        <v>0.8402777777777778</v>
      </c>
      <c r="F673" s="44" t="s">
        <v>1482</v>
      </c>
      <c r="G673" s="43">
        <v>2.0</v>
      </c>
      <c r="H673" s="42"/>
      <c r="I673" s="43">
        <v>1.0</v>
      </c>
      <c r="J673" s="22"/>
      <c r="K673" s="42"/>
    </row>
    <row r="674" ht="39.75" customHeight="1">
      <c r="A674" s="1">
        <v>673.0</v>
      </c>
      <c r="B674" s="2" t="s">
        <v>47</v>
      </c>
      <c r="C674" s="2" t="s">
        <v>69</v>
      </c>
      <c r="D674" s="13"/>
      <c r="E674" s="40">
        <v>0.8680555555555556</v>
      </c>
      <c r="F674" s="44" t="s">
        <v>1483</v>
      </c>
      <c r="G674" s="43">
        <v>1.0</v>
      </c>
      <c r="H674" s="42"/>
      <c r="I674" s="42"/>
      <c r="J674" s="22"/>
      <c r="K674" s="42"/>
    </row>
    <row r="675" ht="39.75" customHeight="1">
      <c r="A675" s="1">
        <v>674.0</v>
      </c>
      <c r="B675" s="2" t="s">
        <v>48</v>
      </c>
      <c r="C675" s="2" t="s">
        <v>39</v>
      </c>
      <c r="D675" s="53">
        <v>0.25</v>
      </c>
      <c r="E675" s="13"/>
      <c r="F675" s="44" t="s">
        <v>1484</v>
      </c>
      <c r="G675" s="43">
        <v>2.0</v>
      </c>
      <c r="H675" s="42"/>
      <c r="I675" s="43">
        <v>1.0</v>
      </c>
      <c r="J675" s="22"/>
      <c r="K675" s="42"/>
    </row>
    <row r="676" ht="39.75" customHeight="1">
      <c r="A676" s="1">
        <v>675.0</v>
      </c>
      <c r="B676" s="21"/>
      <c r="C676" s="21"/>
      <c r="D676" s="21"/>
      <c r="E676" s="21"/>
      <c r="F676" s="46"/>
      <c r="G676" s="47"/>
      <c r="H676" s="47"/>
      <c r="I676" s="47"/>
      <c r="J676" s="48"/>
      <c r="K676" s="47"/>
      <c r="L676" s="49"/>
      <c r="M676" s="49"/>
      <c r="N676" s="49"/>
    </row>
    <row r="677" ht="39.75" customHeight="1">
      <c r="A677" s="1">
        <v>676.0</v>
      </c>
      <c r="B677" s="2" t="s">
        <v>12</v>
      </c>
      <c r="C677" s="2" t="s">
        <v>62</v>
      </c>
      <c r="D677" s="13"/>
      <c r="E677" s="13"/>
      <c r="F677" s="44" t="s">
        <v>1485</v>
      </c>
      <c r="G677" s="43">
        <v>1.0</v>
      </c>
      <c r="H677" s="42"/>
      <c r="I677" s="43">
        <v>1.0</v>
      </c>
      <c r="J677" s="27" t="s">
        <v>1161</v>
      </c>
      <c r="K677" s="43"/>
      <c r="L677" s="15" t="s">
        <v>423</v>
      </c>
    </row>
    <row r="678" ht="39.75" hidden="1" customHeight="1">
      <c r="A678" s="1">
        <v>677.0</v>
      </c>
      <c r="B678" s="2" t="s">
        <v>16</v>
      </c>
      <c r="C678" s="2" t="s">
        <v>66</v>
      </c>
      <c r="D678" s="13"/>
      <c r="E678" s="13"/>
      <c r="F678" s="45"/>
      <c r="G678" s="42"/>
      <c r="H678" s="42"/>
      <c r="I678" s="42"/>
      <c r="J678" s="27" t="s">
        <v>423</v>
      </c>
      <c r="K678" s="43"/>
    </row>
    <row r="679" ht="39.75" customHeight="1">
      <c r="A679" s="1">
        <v>678.0</v>
      </c>
      <c r="B679" s="2" t="s">
        <v>17</v>
      </c>
      <c r="C679" s="2"/>
      <c r="D679" s="13"/>
      <c r="E679" s="13"/>
      <c r="F679" s="44" t="s">
        <v>1486</v>
      </c>
      <c r="G679" s="43">
        <v>1.0</v>
      </c>
      <c r="H679" s="42"/>
      <c r="I679" s="42"/>
      <c r="J679" s="27" t="s">
        <v>95</v>
      </c>
      <c r="K679" s="43"/>
    </row>
    <row r="680" ht="39.75" customHeight="1">
      <c r="A680" s="1">
        <v>679.0</v>
      </c>
      <c r="B680" s="2" t="s">
        <v>331</v>
      </c>
      <c r="C680" s="2" t="s">
        <v>542</v>
      </c>
      <c r="D680" s="53">
        <v>0.2708333333333333</v>
      </c>
      <c r="E680" s="13"/>
      <c r="F680" s="44" t="s">
        <v>1487</v>
      </c>
      <c r="G680" s="43">
        <v>1.0</v>
      </c>
      <c r="H680" s="43">
        <v>1.0</v>
      </c>
      <c r="I680" s="42"/>
      <c r="J680" s="22"/>
      <c r="K680" s="42"/>
    </row>
    <row r="681" ht="39.75" hidden="1" customHeight="1">
      <c r="A681" s="1">
        <v>680.0</v>
      </c>
      <c r="B681" s="2" t="s">
        <v>21</v>
      </c>
      <c r="C681" s="2" t="s">
        <v>58</v>
      </c>
      <c r="D681" s="13"/>
      <c r="E681" s="13"/>
      <c r="F681" s="45"/>
      <c r="G681" s="42"/>
      <c r="H681" s="42"/>
      <c r="I681" s="42"/>
      <c r="J681" s="22"/>
      <c r="K681" s="42"/>
    </row>
    <row r="682" ht="39.75" hidden="1" customHeight="1">
      <c r="A682" s="1">
        <v>681.0</v>
      </c>
      <c r="B682" s="2" t="s">
        <v>22</v>
      </c>
      <c r="C682" s="2" t="s">
        <v>58</v>
      </c>
      <c r="D682" s="13"/>
      <c r="E682" s="13"/>
      <c r="F682" s="45"/>
      <c r="G682" s="42"/>
      <c r="H682" s="42"/>
      <c r="I682" s="42"/>
      <c r="J682" s="22"/>
      <c r="K682" s="42"/>
    </row>
    <row r="683" ht="39.75" customHeight="1">
      <c r="A683" s="1">
        <v>682.0</v>
      </c>
      <c r="B683" s="2" t="s">
        <v>23</v>
      </c>
      <c r="C683" s="2" t="s">
        <v>27</v>
      </c>
      <c r="D683" s="13"/>
      <c r="E683" s="13"/>
      <c r="F683" s="45"/>
      <c r="G683" s="42"/>
      <c r="H683" s="42"/>
      <c r="I683" s="42"/>
      <c r="J683" s="22"/>
      <c r="K683" s="42"/>
    </row>
    <row r="684" ht="39.75" customHeight="1">
      <c r="A684" s="1">
        <v>683.0</v>
      </c>
      <c r="B684" s="2" t="s">
        <v>24</v>
      </c>
      <c r="C684" s="2" t="s">
        <v>277</v>
      </c>
      <c r="D684" s="13"/>
      <c r="E684" s="13"/>
      <c r="F684" s="45"/>
      <c r="G684" s="42"/>
      <c r="H684" s="42"/>
      <c r="I684" s="42"/>
      <c r="J684" s="22"/>
      <c r="K684" s="42"/>
    </row>
    <row r="685" ht="39.75" customHeight="1">
      <c r="A685" s="1">
        <v>684.0</v>
      </c>
      <c r="B685" s="2" t="s">
        <v>25</v>
      </c>
      <c r="C685" s="2" t="s">
        <v>54</v>
      </c>
      <c r="D685" s="13"/>
      <c r="E685" s="13"/>
      <c r="F685" s="44"/>
      <c r="G685" s="43"/>
      <c r="H685" s="42"/>
      <c r="I685" s="42"/>
      <c r="J685" s="22"/>
      <c r="K685" s="42"/>
    </row>
    <row r="686" ht="39.75" customHeight="1">
      <c r="A686" s="1">
        <v>685.0</v>
      </c>
      <c r="B686" s="2" t="s">
        <v>26</v>
      </c>
      <c r="C686" s="2" t="s">
        <v>54</v>
      </c>
      <c r="D686" s="53">
        <v>0.25</v>
      </c>
      <c r="E686" s="51">
        <v>0.8541666666666666</v>
      </c>
      <c r="F686" s="74" t="s">
        <v>1488</v>
      </c>
      <c r="G686" s="43">
        <v>1.0</v>
      </c>
      <c r="H686" s="43">
        <v>1.0</v>
      </c>
      <c r="I686" s="42"/>
      <c r="J686" s="22"/>
      <c r="K686" s="42"/>
    </row>
    <row r="687" ht="39.75" customHeight="1">
      <c r="A687" s="1">
        <v>686.0</v>
      </c>
      <c r="B687" s="2" t="s">
        <v>29</v>
      </c>
      <c r="C687" s="2"/>
      <c r="D687" s="13"/>
      <c r="E687" s="13"/>
      <c r="F687" s="44" t="s">
        <v>1489</v>
      </c>
      <c r="G687" s="43">
        <v>1.0</v>
      </c>
      <c r="H687" s="42"/>
      <c r="I687" s="43">
        <v>1.0</v>
      </c>
      <c r="J687" s="22"/>
      <c r="K687" s="42"/>
    </row>
    <row r="688" ht="39.75" customHeight="1">
      <c r="A688" s="1">
        <v>687.0</v>
      </c>
      <c r="B688" s="2" t="s">
        <v>30</v>
      </c>
      <c r="C688" s="2" t="s">
        <v>64</v>
      </c>
      <c r="D688" s="13"/>
      <c r="E688" s="13"/>
      <c r="F688" s="45"/>
      <c r="G688" s="42"/>
      <c r="H688" s="42"/>
      <c r="I688" s="42"/>
      <c r="J688" s="22"/>
      <c r="K688" s="42"/>
    </row>
    <row r="689" ht="39.75" customHeight="1">
      <c r="A689" s="1">
        <v>688.0</v>
      </c>
      <c r="B689" s="2" t="s">
        <v>31</v>
      </c>
      <c r="C689" s="2" t="s">
        <v>69</v>
      </c>
      <c r="D689" s="13"/>
      <c r="E689" s="13"/>
      <c r="F689" s="44" t="s">
        <v>1490</v>
      </c>
      <c r="G689" s="43">
        <v>1.0</v>
      </c>
      <c r="H689" s="42"/>
      <c r="I689" s="42"/>
      <c r="J689" s="22"/>
      <c r="K689" s="42"/>
    </row>
    <row r="690" ht="39.75" customHeight="1">
      <c r="A690" s="1">
        <v>689.0</v>
      </c>
      <c r="B690" s="2" t="s">
        <v>32</v>
      </c>
      <c r="C690" s="2" t="s">
        <v>39</v>
      </c>
      <c r="D690" s="13"/>
      <c r="E690" s="40"/>
      <c r="F690" s="44" t="s">
        <v>1491</v>
      </c>
      <c r="G690" s="43">
        <v>1.0</v>
      </c>
      <c r="H690" s="42"/>
      <c r="I690" s="42"/>
      <c r="J690" s="22"/>
      <c r="K690" s="42"/>
    </row>
    <row r="691" ht="39.75" hidden="1" customHeight="1">
      <c r="A691" s="1">
        <v>690.0</v>
      </c>
      <c r="B691" s="2" t="s">
        <v>67</v>
      </c>
      <c r="C691" s="2" t="s">
        <v>58</v>
      </c>
      <c r="D691" s="13"/>
      <c r="E691" s="13"/>
      <c r="F691" s="45"/>
      <c r="G691" s="42"/>
      <c r="H691" s="42"/>
      <c r="I691" s="42"/>
      <c r="J691" s="22"/>
      <c r="K691" s="42"/>
    </row>
    <row r="692" ht="39.75" customHeight="1">
      <c r="A692" s="1">
        <v>691.0</v>
      </c>
      <c r="B692" s="2" t="s">
        <v>34</v>
      </c>
      <c r="C692" s="2" t="s">
        <v>39</v>
      </c>
      <c r="D692" s="13"/>
      <c r="E692" s="13"/>
      <c r="F692" s="44" t="s">
        <v>1492</v>
      </c>
      <c r="G692" s="43">
        <v>2.0</v>
      </c>
      <c r="H692" s="42"/>
      <c r="I692" s="43">
        <v>1.0</v>
      </c>
      <c r="J692" s="22"/>
      <c r="K692" s="42"/>
    </row>
    <row r="693" ht="39.75" customHeight="1">
      <c r="A693" s="1">
        <v>692.0</v>
      </c>
      <c r="B693" s="2" t="s">
        <v>35</v>
      </c>
      <c r="C693" s="2" t="s">
        <v>44</v>
      </c>
      <c r="D693" s="13"/>
      <c r="E693" s="13"/>
      <c r="F693" s="45"/>
      <c r="G693" s="42"/>
      <c r="H693" s="42"/>
      <c r="I693" s="42"/>
      <c r="J693" s="22"/>
      <c r="K693" s="42"/>
    </row>
    <row r="694" ht="39.75" customHeight="1">
      <c r="A694" s="1">
        <v>693.0</v>
      </c>
      <c r="B694" s="2" t="s">
        <v>36</v>
      </c>
      <c r="C694" s="2" t="s">
        <v>54</v>
      </c>
      <c r="D694" s="13"/>
      <c r="E694" s="13"/>
      <c r="F694" s="44" t="s">
        <v>1493</v>
      </c>
      <c r="G694" s="43">
        <v>1.0</v>
      </c>
      <c r="H694" s="42"/>
      <c r="I694" s="42"/>
      <c r="J694" s="22"/>
      <c r="K694" s="42"/>
    </row>
    <row r="695" ht="39.75" hidden="1" customHeight="1">
      <c r="A695" s="1">
        <v>694.0</v>
      </c>
      <c r="B695" s="2" t="s">
        <v>38</v>
      </c>
      <c r="C695" s="2" t="s">
        <v>58</v>
      </c>
      <c r="D695" s="13"/>
      <c r="E695" s="13"/>
      <c r="F695" s="45"/>
      <c r="G695" s="42"/>
      <c r="H695" s="42"/>
      <c r="I695" s="42"/>
      <c r="J695" s="22"/>
      <c r="K695" s="42"/>
    </row>
    <row r="696" ht="39.75" hidden="1" customHeight="1">
      <c r="A696" s="1">
        <v>695.0</v>
      </c>
      <c r="B696" s="2" t="s">
        <v>41</v>
      </c>
      <c r="C696" s="2" t="s">
        <v>58</v>
      </c>
      <c r="D696" s="13"/>
      <c r="E696" s="13"/>
      <c r="F696" s="45"/>
      <c r="G696" s="42"/>
      <c r="H696" s="42"/>
      <c r="I696" s="42"/>
      <c r="J696" s="22"/>
      <c r="K696" s="42"/>
    </row>
    <row r="697" ht="39.75" customHeight="1">
      <c r="A697" s="1">
        <v>696.0</v>
      </c>
      <c r="B697" s="2" t="s">
        <v>42</v>
      </c>
      <c r="C697" s="2"/>
      <c r="D697" s="13"/>
      <c r="E697" s="58" t="s">
        <v>1494</v>
      </c>
      <c r="F697" s="44" t="s">
        <v>1495</v>
      </c>
      <c r="G697" s="43">
        <v>1.0</v>
      </c>
      <c r="H697" s="43">
        <v>1.0</v>
      </c>
      <c r="I697" s="42"/>
      <c r="J697" s="22"/>
      <c r="K697" s="42"/>
    </row>
    <row r="698" ht="39.75" customHeight="1">
      <c r="A698" s="1">
        <v>697.0</v>
      </c>
      <c r="B698" s="2" t="s">
        <v>43</v>
      </c>
      <c r="C698" s="2"/>
      <c r="D698" s="13"/>
      <c r="E698" s="13"/>
      <c r="F698" s="45"/>
      <c r="G698" s="42"/>
      <c r="H698" s="42"/>
      <c r="I698" s="42"/>
      <c r="J698" s="22"/>
      <c r="K698" s="42"/>
    </row>
    <row r="699" ht="39.75" customHeight="1">
      <c r="A699" s="1">
        <v>698.0</v>
      </c>
      <c r="B699" s="2" t="s">
        <v>45</v>
      </c>
      <c r="C699" s="2" t="s">
        <v>54</v>
      </c>
      <c r="D699" s="13"/>
      <c r="E699" s="13"/>
      <c r="F699" s="45"/>
      <c r="G699" s="42"/>
      <c r="H699" s="42"/>
      <c r="I699" s="42"/>
      <c r="J699" s="22"/>
      <c r="K699" s="42"/>
    </row>
    <row r="700" ht="39.75" hidden="1" customHeight="1">
      <c r="A700" s="1">
        <v>699.0</v>
      </c>
      <c r="B700" s="2" t="s">
        <v>46</v>
      </c>
      <c r="C700" s="2" t="s">
        <v>66</v>
      </c>
      <c r="D700" s="13"/>
      <c r="E700" s="13"/>
      <c r="F700" s="45"/>
      <c r="G700" s="42"/>
      <c r="H700" s="42"/>
      <c r="I700" s="42"/>
      <c r="J700" s="22"/>
      <c r="K700" s="42"/>
    </row>
    <row r="701" ht="39.75" customHeight="1">
      <c r="A701" s="1">
        <v>700.0</v>
      </c>
      <c r="B701" s="2" t="s">
        <v>47</v>
      </c>
      <c r="C701" s="2" t="s">
        <v>69</v>
      </c>
      <c r="D701" s="13"/>
      <c r="E701" s="13"/>
      <c r="F701" s="44" t="s">
        <v>1496</v>
      </c>
      <c r="G701" s="42"/>
      <c r="H701" s="42"/>
      <c r="I701" s="42"/>
      <c r="J701" s="22"/>
      <c r="K701" s="42"/>
    </row>
    <row r="702" ht="39.75" customHeight="1">
      <c r="A702" s="1">
        <v>701.0</v>
      </c>
      <c r="B702" s="2" t="s">
        <v>48</v>
      </c>
      <c r="C702" s="2" t="s">
        <v>69</v>
      </c>
      <c r="D702" s="13"/>
      <c r="E702" s="40">
        <v>0.8333333333333334</v>
      </c>
      <c r="F702" s="44" t="s">
        <v>1497</v>
      </c>
      <c r="G702" s="43">
        <v>1.0</v>
      </c>
      <c r="H702" s="42"/>
      <c r="I702" s="42"/>
      <c r="J702" s="22"/>
      <c r="K702" s="42"/>
    </row>
    <row r="703" ht="39.75" customHeight="1">
      <c r="A703" s="1">
        <v>702.0</v>
      </c>
      <c r="B703" s="21"/>
      <c r="C703" s="21"/>
      <c r="D703" s="21"/>
      <c r="E703" s="21"/>
      <c r="F703" s="46"/>
      <c r="G703" s="47"/>
      <c r="H703" s="47"/>
      <c r="I703" s="47"/>
      <c r="J703" s="48"/>
      <c r="K703" s="47"/>
      <c r="L703" s="49"/>
      <c r="M703" s="49"/>
      <c r="N703" s="49"/>
    </row>
    <row r="704" ht="39.75" customHeight="1">
      <c r="A704" s="1">
        <v>703.0</v>
      </c>
      <c r="B704" s="2" t="s">
        <v>12</v>
      </c>
      <c r="C704" s="2" t="s">
        <v>62</v>
      </c>
      <c r="D704" s="13"/>
      <c r="E704" s="13"/>
      <c r="F704" s="45"/>
      <c r="G704" s="42"/>
      <c r="H704" s="42"/>
      <c r="I704" s="42"/>
      <c r="J704" s="27" t="s">
        <v>1161</v>
      </c>
      <c r="K704" s="43"/>
      <c r="L704" s="15" t="s">
        <v>438</v>
      </c>
    </row>
    <row r="705" ht="39.75" customHeight="1">
      <c r="A705" s="1">
        <v>704.0</v>
      </c>
      <c r="B705" s="2" t="s">
        <v>16</v>
      </c>
      <c r="C705" s="2" t="s">
        <v>27</v>
      </c>
      <c r="D705" s="13"/>
      <c r="E705" s="13"/>
      <c r="F705" s="45"/>
      <c r="G705" s="42"/>
      <c r="H705" s="42"/>
      <c r="I705" s="42"/>
      <c r="J705" s="27" t="s">
        <v>438</v>
      </c>
      <c r="K705" s="43"/>
    </row>
    <row r="706" ht="39.75" customHeight="1">
      <c r="A706" s="1">
        <v>705.0</v>
      </c>
      <c r="B706" s="2" t="s">
        <v>17</v>
      </c>
      <c r="C706" s="2" t="s">
        <v>69</v>
      </c>
      <c r="D706" s="13"/>
      <c r="E706" s="13"/>
      <c r="F706" s="44" t="s">
        <v>1498</v>
      </c>
      <c r="G706" s="43">
        <v>1.0</v>
      </c>
      <c r="H706" s="42"/>
      <c r="I706" s="42"/>
      <c r="J706" s="27" t="s">
        <v>111</v>
      </c>
      <c r="K706" s="43"/>
    </row>
    <row r="707" ht="39.75" customHeight="1">
      <c r="A707" s="1">
        <v>706.0</v>
      </c>
      <c r="B707" s="2" t="s">
        <v>331</v>
      </c>
      <c r="C707" s="2"/>
      <c r="D707" s="13"/>
      <c r="E707" s="13"/>
      <c r="F707" s="44" t="s">
        <v>1487</v>
      </c>
      <c r="G707" s="43">
        <v>1.0</v>
      </c>
      <c r="H707" s="43">
        <v>1.0</v>
      </c>
      <c r="I707" s="42"/>
      <c r="J707" s="22"/>
      <c r="K707" s="42"/>
    </row>
    <row r="708" ht="39.75" hidden="1" customHeight="1">
      <c r="A708" s="1">
        <v>707.0</v>
      </c>
      <c r="B708" s="2" t="s">
        <v>21</v>
      </c>
      <c r="C708" s="2" t="s">
        <v>66</v>
      </c>
      <c r="D708" s="13"/>
      <c r="E708" s="13"/>
      <c r="F708" s="45"/>
      <c r="G708" s="42"/>
      <c r="H708" s="42"/>
      <c r="I708" s="42"/>
      <c r="J708" s="22"/>
      <c r="K708" s="42"/>
    </row>
    <row r="709" ht="39.75" hidden="1" customHeight="1">
      <c r="A709" s="1">
        <v>708.0</v>
      </c>
      <c r="B709" s="2" t="s">
        <v>22</v>
      </c>
      <c r="C709" s="2" t="s">
        <v>58</v>
      </c>
      <c r="D709" s="13"/>
      <c r="E709" s="13"/>
      <c r="F709" s="45"/>
      <c r="G709" s="42"/>
      <c r="H709" s="42"/>
      <c r="I709" s="42"/>
      <c r="J709" s="22"/>
      <c r="K709" s="42"/>
    </row>
    <row r="710" ht="39.75" customHeight="1">
      <c r="A710" s="1">
        <v>709.0</v>
      </c>
      <c r="B710" s="2" t="s">
        <v>23</v>
      </c>
      <c r="C710" s="2" t="s">
        <v>44</v>
      </c>
      <c r="D710" s="13"/>
      <c r="E710" s="13"/>
      <c r="F710" s="45"/>
      <c r="G710" s="42"/>
      <c r="H710" s="42"/>
      <c r="I710" s="42"/>
      <c r="J710" s="22"/>
      <c r="K710" s="42"/>
    </row>
    <row r="711" ht="39.75" customHeight="1">
      <c r="A711" s="1">
        <v>710.0</v>
      </c>
      <c r="B711" s="2" t="s">
        <v>24</v>
      </c>
      <c r="C711" s="2" t="s">
        <v>277</v>
      </c>
      <c r="D711" s="13"/>
      <c r="E711" s="13"/>
      <c r="F711" s="45"/>
      <c r="G711" s="42"/>
      <c r="H711" s="42"/>
      <c r="I711" s="42"/>
      <c r="J711" s="22"/>
      <c r="K711" s="42"/>
    </row>
    <row r="712" ht="39.75" customHeight="1">
      <c r="A712" s="1">
        <v>711.0</v>
      </c>
      <c r="B712" s="2" t="s">
        <v>25</v>
      </c>
      <c r="C712" s="2" t="s">
        <v>54</v>
      </c>
      <c r="D712" s="13"/>
      <c r="E712" s="13"/>
      <c r="F712" s="44" t="s">
        <v>1499</v>
      </c>
      <c r="G712" s="43">
        <v>1.0</v>
      </c>
      <c r="H712" s="42"/>
      <c r="I712" s="43">
        <v>1.0</v>
      </c>
      <c r="J712" s="22"/>
      <c r="K712" s="42"/>
    </row>
    <row r="713" ht="39.75" customHeight="1">
      <c r="A713" s="1">
        <v>712.0</v>
      </c>
      <c r="B713" s="2" t="s">
        <v>26</v>
      </c>
      <c r="C713" s="2" t="s">
        <v>54</v>
      </c>
      <c r="D713" s="13"/>
      <c r="E713" s="13"/>
      <c r="F713" s="44" t="s">
        <v>1500</v>
      </c>
      <c r="G713" s="43">
        <v>1.0</v>
      </c>
      <c r="H713" s="43">
        <v>1.0</v>
      </c>
      <c r="I713" s="42"/>
      <c r="J713" s="22"/>
      <c r="K713" s="42"/>
    </row>
    <row r="714" ht="39.75" customHeight="1">
      <c r="A714" s="1">
        <v>713.0</v>
      </c>
      <c r="B714" s="2" t="s">
        <v>29</v>
      </c>
      <c r="C714" s="2"/>
      <c r="D714" s="13"/>
      <c r="E714" s="13"/>
      <c r="F714" s="44" t="s">
        <v>1218</v>
      </c>
      <c r="G714" s="42"/>
      <c r="H714" s="42"/>
      <c r="I714" s="42"/>
      <c r="J714" s="22"/>
      <c r="K714" s="42"/>
    </row>
    <row r="715" ht="39.75" customHeight="1">
      <c r="A715" s="1">
        <v>714.0</v>
      </c>
      <c r="B715" s="2" t="s">
        <v>30</v>
      </c>
      <c r="C715" s="2" t="s">
        <v>64</v>
      </c>
      <c r="D715" s="13"/>
      <c r="E715" s="13"/>
      <c r="F715" s="45"/>
      <c r="G715" s="42"/>
      <c r="H715" s="42"/>
      <c r="I715" s="42"/>
      <c r="J715" s="22"/>
      <c r="K715" s="42"/>
    </row>
    <row r="716" ht="39.75" customHeight="1">
      <c r="A716" s="1">
        <v>715.0</v>
      </c>
      <c r="B716" s="2" t="s">
        <v>31</v>
      </c>
      <c r="C716" s="2"/>
      <c r="D716" s="13"/>
      <c r="E716" s="13"/>
      <c r="F716" s="44" t="s">
        <v>472</v>
      </c>
      <c r="G716" s="42"/>
      <c r="H716" s="42"/>
      <c r="I716" s="42"/>
      <c r="J716" s="22"/>
      <c r="K716" s="42"/>
    </row>
    <row r="717" ht="39.75" customHeight="1">
      <c r="A717" s="1">
        <v>716.0</v>
      </c>
      <c r="B717" s="2" t="s">
        <v>32</v>
      </c>
      <c r="C717" s="2"/>
      <c r="D717" s="53">
        <v>0.2777777777777778</v>
      </c>
      <c r="E717" s="51">
        <v>0.8125</v>
      </c>
      <c r="F717" s="44" t="s">
        <v>1501</v>
      </c>
      <c r="G717" s="43">
        <v>1.0</v>
      </c>
      <c r="H717" s="43">
        <v>1.0</v>
      </c>
      <c r="I717" s="42"/>
      <c r="J717" s="22"/>
      <c r="K717" s="42"/>
    </row>
    <row r="718" ht="39.75" hidden="1" customHeight="1">
      <c r="A718" s="1">
        <v>717.0</v>
      </c>
      <c r="B718" s="2" t="s">
        <v>67</v>
      </c>
      <c r="C718" s="2" t="s">
        <v>58</v>
      </c>
      <c r="D718" s="13"/>
      <c r="E718" s="13"/>
      <c r="F718" s="45"/>
      <c r="G718" s="42"/>
      <c r="H718" s="42"/>
      <c r="I718" s="42"/>
      <c r="J718" s="22"/>
      <c r="K718" s="42"/>
    </row>
    <row r="719" ht="39.75" customHeight="1">
      <c r="A719" s="1">
        <v>718.0</v>
      </c>
      <c r="B719" s="2" t="s">
        <v>34</v>
      </c>
      <c r="C719" s="2" t="s">
        <v>69</v>
      </c>
      <c r="D719" s="13"/>
      <c r="E719" s="13"/>
      <c r="F719" s="45"/>
      <c r="G719" s="42"/>
      <c r="H719" s="42"/>
      <c r="I719" s="42"/>
      <c r="J719" s="22"/>
      <c r="K719" s="42"/>
    </row>
    <row r="720" ht="39.75" customHeight="1">
      <c r="A720" s="1">
        <v>719.0</v>
      </c>
      <c r="B720" s="2" t="s">
        <v>35</v>
      </c>
      <c r="C720" s="2" t="s">
        <v>69</v>
      </c>
      <c r="D720" s="13"/>
      <c r="E720" s="13"/>
      <c r="F720" s="44" t="s">
        <v>1502</v>
      </c>
      <c r="G720" s="43">
        <v>1.0</v>
      </c>
      <c r="H720" s="42"/>
      <c r="I720" s="42"/>
      <c r="J720" s="22"/>
      <c r="K720" s="42"/>
    </row>
    <row r="721" ht="39.75" customHeight="1">
      <c r="A721" s="1">
        <v>720.0</v>
      </c>
      <c r="B721" s="2" t="s">
        <v>36</v>
      </c>
      <c r="C721" s="2" t="s">
        <v>54</v>
      </c>
      <c r="D721" s="13"/>
      <c r="E721" s="13"/>
      <c r="F721" s="44" t="s">
        <v>1503</v>
      </c>
      <c r="G721" s="43">
        <v>1.0</v>
      </c>
      <c r="H721" s="42"/>
      <c r="I721" s="43">
        <v>1.0</v>
      </c>
      <c r="J721" s="22"/>
      <c r="K721" s="42"/>
    </row>
    <row r="722" ht="39.75" customHeight="1">
      <c r="A722" s="1">
        <v>721.0</v>
      </c>
      <c r="B722" s="2" t="s">
        <v>38</v>
      </c>
      <c r="C722" s="2" t="s">
        <v>39</v>
      </c>
      <c r="D722" s="13"/>
      <c r="E722" s="13"/>
      <c r="F722" s="44" t="s">
        <v>1504</v>
      </c>
      <c r="G722" s="43">
        <v>1.0</v>
      </c>
      <c r="H722" s="42"/>
      <c r="I722" s="42"/>
      <c r="J722" s="22"/>
      <c r="K722" s="42"/>
    </row>
    <row r="723" ht="39.75" hidden="1" customHeight="1">
      <c r="A723" s="1">
        <v>722.0</v>
      </c>
      <c r="B723" s="2" t="s">
        <v>41</v>
      </c>
      <c r="C723" s="2" t="s">
        <v>58</v>
      </c>
      <c r="D723" s="13"/>
      <c r="E723" s="13"/>
      <c r="F723" s="45"/>
      <c r="G723" s="42"/>
      <c r="H723" s="42"/>
      <c r="I723" s="42"/>
      <c r="J723" s="22"/>
      <c r="K723" s="42"/>
    </row>
    <row r="724" ht="39.75" customHeight="1">
      <c r="A724" s="1">
        <v>723.0</v>
      </c>
      <c r="B724" s="2" t="s">
        <v>42</v>
      </c>
      <c r="C724" s="2"/>
      <c r="D724" s="13"/>
      <c r="E724" s="13"/>
      <c r="F724" s="44" t="s">
        <v>1495</v>
      </c>
      <c r="G724" s="43">
        <v>1.0</v>
      </c>
      <c r="H724" s="43">
        <v>1.0</v>
      </c>
      <c r="I724" s="42"/>
      <c r="J724" s="22"/>
      <c r="K724" s="42"/>
    </row>
    <row r="725" ht="39.75" customHeight="1">
      <c r="A725" s="1">
        <v>724.0</v>
      </c>
      <c r="B725" s="2" t="s">
        <v>43</v>
      </c>
      <c r="C725" s="2"/>
      <c r="D725" s="59">
        <v>0.3770833333333333</v>
      </c>
      <c r="E725" s="13"/>
      <c r="F725" s="44" t="s">
        <v>1505</v>
      </c>
      <c r="G725" s="43">
        <v>1.0</v>
      </c>
      <c r="H725" s="42"/>
      <c r="I725" s="43">
        <v>1.0</v>
      </c>
      <c r="J725" s="22"/>
      <c r="K725" s="42"/>
    </row>
    <row r="726" ht="39.75" customHeight="1">
      <c r="A726" s="1">
        <v>725.0</v>
      </c>
      <c r="B726" s="2" t="s">
        <v>45</v>
      </c>
      <c r="C726" s="2" t="s">
        <v>54</v>
      </c>
      <c r="D726" s="13"/>
      <c r="E726" s="13"/>
      <c r="F726" s="44" t="s">
        <v>1506</v>
      </c>
      <c r="G726" s="43">
        <v>1.0</v>
      </c>
      <c r="H726" s="42"/>
      <c r="I726" s="43">
        <v>1.0</v>
      </c>
      <c r="J726" s="22"/>
      <c r="K726" s="42"/>
    </row>
    <row r="727" ht="39.75" customHeight="1">
      <c r="A727" s="1">
        <v>726.0</v>
      </c>
      <c r="B727" s="2" t="s">
        <v>46</v>
      </c>
      <c r="C727" s="2" t="s">
        <v>39</v>
      </c>
      <c r="D727" s="13"/>
      <c r="E727" s="13"/>
      <c r="F727" s="44" t="s">
        <v>1507</v>
      </c>
      <c r="G727" s="43">
        <v>1.0</v>
      </c>
      <c r="H727" s="42"/>
      <c r="I727" s="43">
        <v>1.0</v>
      </c>
      <c r="J727" s="22"/>
      <c r="K727" s="42"/>
    </row>
    <row r="728" ht="39.75" customHeight="1">
      <c r="A728" s="1">
        <v>727.0</v>
      </c>
      <c r="B728" s="2" t="s">
        <v>47</v>
      </c>
      <c r="C728" s="13"/>
      <c r="D728" s="13"/>
      <c r="E728" s="13"/>
      <c r="F728" s="44" t="s">
        <v>1331</v>
      </c>
      <c r="G728" s="42"/>
      <c r="H728" s="42"/>
      <c r="I728" s="42"/>
      <c r="J728" s="22"/>
      <c r="K728" s="42"/>
    </row>
    <row r="729" ht="39.75" customHeight="1">
      <c r="A729" s="1">
        <v>728.0</v>
      </c>
      <c r="B729" s="2" t="s">
        <v>48</v>
      </c>
      <c r="C729" s="13"/>
      <c r="D729" s="13"/>
      <c r="E729" s="13"/>
      <c r="F729" s="44" t="s">
        <v>1508</v>
      </c>
      <c r="G729" s="43">
        <v>1.0</v>
      </c>
      <c r="H729" s="42"/>
      <c r="I729" s="42"/>
      <c r="J729" s="22"/>
      <c r="K729" s="42"/>
    </row>
    <row r="730" ht="39.75" customHeight="1">
      <c r="A730" s="1">
        <v>729.0</v>
      </c>
      <c r="B730" s="21"/>
      <c r="C730" s="21"/>
      <c r="D730" s="21"/>
      <c r="E730" s="21"/>
      <c r="F730" s="46"/>
      <c r="G730" s="47"/>
      <c r="H730" s="47"/>
      <c r="I730" s="47"/>
      <c r="J730" s="48"/>
      <c r="K730" s="47"/>
      <c r="L730" s="49"/>
      <c r="M730" s="49"/>
      <c r="N730" s="49"/>
    </row>
    <row r="731" ht="39.75" customHeight="1">
      <c r="A731" s="1">
        <v>730.0</v>
      </c>
      <c r="B731" s="2" t="s">
        <v>12</v>
      </c>
      <c r="C731" s="2" t="s">
        <v>62</v>
      </c>
      <c r="D731" s="13"/>
      <c r="E731" s="13"/>
      <c r="F731" s="44" t="s">
        <v>1509</v>
      </c>
      <c r="G731" s="43">
        <v>1.0</v>
      </c>
      <c r="H731" s="42"/>
      <c r="I731" s="43">
        <v>1.0</v>
      </c>
      <c r="J731" s="27" t="s">
        <v>1161</v>
      </c>
      <c r="K731" s="43"/>
      <c r="L731" s="15" t="s">
        <v>452</v>
      </c>
    </row>
    <row r="732" ht="39.75" customHeight="1">
      <c r="A732" s="1">
        <v>731.0</v>
      </c>
      <c r="B732" s="2" t="s">
        <v>16</v>
      </c>
      <c r="C732" s="2" t="s">
        <v>44</v>
      </c>
      <c r="D732" s="13"/>
      <c r="E732" s="13"/>
      <c r="F732" s="45"/>
      <c r="G732" s="42"/>
      <c r="H732" s="42"/>
      <c r="I732" s="42"/>
      <c r="J732" s="27" t="s">
        <v>452</v>
      </c>
      <c r="K732" s="43"/>
    </row>
    <row r="733" ht="39.75" hidden="1" customHeight="1">
      <c r="A733" s="1">
        <v>732.0</v>
      </c>
      <c r="B733" s="2" t="s">
        <v>17</v>
      </c>
      <c r="C733" s="2" t="s">
        <v>58</v>
      </c>
      <c r="D733" s="13"/>
      <c r="E733" s="13"/>
      <c r="F733" s="45"/>
      <c r="G733" s="42"/>
      <c r="H733" s="42"/>
      <c r="I733" s="42"/>
      <c r="J733" s="27" t="s">
        <v>131</v>
      </c>
      <c r="K733" s="43"/>
    </row>
    <row r="734" ht="39.75" customHeight="1">
      <c r="A734" s="1">
        <v>733.0</v>
      </c>
      <c r="B734" s="2" t="s">
        <v>331</v>
      </c>
      <c r="C734" s="2" t="s">
        <v>542</v>
      </c>
      <c r="D734" s="13"/>
      <c r="E734" s="51">
        <v>0.9027777777777778</v>
      </c>
      <c r="F734" s="44" t="s">
        <v>1487</v>
      </c>
      <c r="G734" s="43">
        <v>1.0</v>
      </c>
      <c r="H734" s="43">
        <v>1.0</v>
      </c>
      <c r="I734" s="42"/>
      <c r="J734" s="22"/>
      <c r="K734" s="42"/>
    </row>
    <row r="735" ht="39.75" hidden="1" customHeight="1">
      <c r="A735" s="1">
        <v>734.0</v>
      </c>
      <c r="B735" s="2" t="s">
        <v>21</v>
      </c>
      <c r="C735" s="2" t="s">
        <v>58</v>
      </c>
      <c r="D735" s="13"/>
      <c r="E735" s="13"/>
      <c r="F735" s="45"/>
      <c r="G735" s="42"/>
      <c r="H735" s="42"/>
      <c r="I735" s="42"/>
      <c r="J735" s="22"/>
      <c r="K735" s="42"/>
    </row>
    <row r="736" ht="39.75" customHeight="1">
      <c r="A736" s="1">
        <v>735.0</v>
      </c>
      <c r="B736" s="2" t="s">
        <v>22</v>
      </c>
      <c r="C736" s="2" t="s">
        <v>69</v>
      </c>
      <c r="D736" s="13"/>
      <c r="E736" s="13"/>
      <c r="F736" s="44" t="s">
        <v>1510</v>
      </c>
      <c r="G736" s="43">
        <v>1.0</v>
      </c>
      <c r="H736" s="42"/>
      <c r="I736" s="42"/>
      <c r="J736" s="22"/>
      <c r="K736" s="42"/>
    </row>
    <row r="737" ht="39.75" hidden="1" customHeight="1">
      <c r="A737" s="1">
        <v>736.0</v>
      </c>
      <c r="B737" s="2" t="s">
        <v>23</v>
      </c>
      <c r="C737" s="2" t="s">
        <v>58</v>
      </c>
      <c r="D737" s="13"/>
      <c r="E737" s="13"/>
      <c r="F737" s="45"/>
      <c r="G737" s="42"/>
      <c r="H737" s="42"/>
      <c r="I737" s="42"/>
      <c r="J737" s="22"/>
      <c r="K737" s="42"/>
    </row>
    <row r="738" ht="39.75" customHeight="1">
      <c r="A738" s="1">
        <v>737.0</v>
      </c>
      <c r="B738" s="2" t="s">
        <v>24</v>
      </c>
      <c r="C738" s="2" t="s">
        <v>277</v>
      </c>
      <c r="D738" s="13"/>
      <c r="E738" s="13"/>
      <c r="F738" s="45"/>
      <c r="G738" s="42"/>
      <c r="H738" s="42"/>
      <c r="I738" s="42"/>
      <c r="J738" s="22"/>
      <c r="K738" s="42"/>
    </row>
    <row r="739" ht="39.75" customHeight="1">
      <c r="A739" s="1">
        <v>738.0</v>
      </c>
      <c r="B739" s="2" t="s">
        <v>25</v>
      </c>
      <c r="C739" s="2" t="s">
        <v>54</v>
      </c>
      <c r="D739" s="13"/>
      <c r="E739" s="13"/>
      <c r="F739" s="45"/>
      <c r="G739" s="42"/>
      <c r="H739" s="42"/>
      <c r="I739" s="42"/>
      <c r="J739" s="22"/>
      <c r="K739" s="42"/>
    </row>
    <row r="740" ht="39.75" customHeight="1">
      <c r="A740" s="1">
        <v>739.0</v>
      </c>
      <c r="B740" s="2" t="s">
        <v>26</v>
      </c>
      <c r="C740" s="2" t="s">
        <v>54</v>
      </c>
      <c r="D740" s="13"/>
      <c r="E740" s="51">
        <v>0.9305555555555556</v>
      </c>
      <c r="F740" s="44" t="s">
        <v>1500</v>
      </c>
      <c r="G740" s="43">
        <v>1.0</v>
      </c>
      <c r="H740" s="43">
        <v>1.0</v>
      </c>
      <c r="I740" s="42"/>
      <c r="J740" s="22"/>
      <c r="K740" s="42"/>
    </row>
    <row r="741" ht="39.75" customHeight="1">
      <c r="A741" s="1">
        <v>740.0</v>
      </c>
      <c r="B741" s="2" t="s">
        <v>29</v>
      </c>
      <c r="C741" s="2"/>
      <c r="D741" s="53">
        <v>0.3333333333333333</v>
      </c>
      <c r="E741" s="13"/>
      <c r="F741" s="44" t="s">
        <v>1380</v>
      </c>
      <c r="G741" s="43">
        <v>1.0</v>
      </c>
      <c r="H741" s="42"/>
      <c r="I741" s="43">
        <v>1.0</v>
      </c>
      <c r="J741" s="22"/>
      <c r="K741" s="42"/>
    </row>
    <row r="742" ht="39.75" customHeight="1">
      <c r="A742" s="1">
        <v>741.0</v>
      </c>
      <c r="B742" s="2" t="s">
        <v>30</v>
      </c>
      <c r="C742" s="2" t="s">
        <v>64</v>
      </c>
      <c r="D742" s="13"/>
      <c r="E742" s="13"/>
      <c r="F742" s="45"/>
      <c r="G742" s="42"/>
      <c r="H742" s="42"/>
      <c r="I742" s="42"/>
      <c r="J742" s="22"/>
      <c r="K742" s="42"/>
    </row>
    <row r="743" ht="39.75" customHeight="1">
      <c r="A743" s="1">
        <v>742.0</v>
      </c>
      <c r="B743" s="2" t="s">
        <v>31</v>
      </c>
      <c r="C743" s="2" t="s">
        <v>39</v>
      </c>
      <c r="D743" s="13"/>
      <c r="E743" s="13"/>
      <c r="F743" s="44" t="s">
        <v>1511</v>
      </c>
      <c r="G743" s="43">
        <v>1.0</v>
      </c>
      <c r="H743" s="42"/>
      <c r="I743" s="43">
        <v>1.0</v>
      </c>
      <c r="J743" s="22"/>
      <c r="K743" s="42"/>
    </row>
    <row r="744" ht="39.75" customHeight="1">
      <c r="A744" s="1">
        <v>743.0</v>
      </c>
      <c r="B744" s="2" t="s">
        <v>32</v>
      </c>
      <c r="C744" s="2"/>
      <c r="D744" s="13"/>
      <c r="E744" s="13"/>
      <c r="F744" s="45"/>
      <c r="G744" s="42"/>
      <c r="H744" s="42"/>
      <c r="I744" s="42"/>
      <c r="J744" s="22"/>
      <c r="K744" s="42"/>
    </row>
    <row r="745" ht="39.75" customHeight="1">
      <c r="A745" s="1">
        <v>744.0</v>
      </c>
      <c r="B745" s="2" t="s">
        <v>67</v>
      </c>
      <c r="C745" s="2" t="s">
        <v>39</v>
      </c>
      <c r="D745" s="13"/>
      <c r="E745" s="13"/>
      <c r="F745" s="44" t="s">
        <v>1512</v>
      </c>
      <c r="G745" s="43">
        <v>1.0</v>
      </c>
      <c r="H745" s="42"/>
      <c r="I745" s="42"/>
      <c r="J745" s="22"/>
      <c r="K745" s="42"/>
    </row>
    <row r="746" ht="39.75" hidden="1" customHeight="1">
      <c r="A746" s="1">
        <v>745.0</v>
      </c>
      <c r="B746" s="2" t="s">
        <v>34</v>
      </c>
      <c r="C746" s="2" t="s">
        <v>66</v>
      </c>
      <c r="D746" s="13"/>
      <c r="E746" s="13"/>
      <c r="F746" s="45"/>
      <c r="G746" s="42"/>
      <c r="H746" s="42"/>
      <c r="I746" s="42"/>
      <c r="J746" s="22"/>
      <c r="K746" s="42"/>
    </row>
    <row r="747" ht="39.75" customHeight="1">
      <c r="A747" s="1">
        <v>746.0</v>
      </c>
      <c r="B747" s="2" t="s">
        <v>35</v>
      </c>
      <c r="C747" s="2"/>
      <c r="D747" s="13"/>
      <c r="E747" s="13"/>
      <c r="F747" s="44" t="s">
        <v>1204</v>
      </c>
      <c r="G747" s="42"/>
      <c r="H747" s="42"/>
      <c r="I747" s="42"/>
      <c r="J747" s="22"/>
      <c r="K747" s="42"/>
    </row>
    <row r="748" ht="39.75" customHeight="1">
      <c r="A748" s="1">
        <v>747.0</v>
      </c>
      <c r="B748" s="2" t="s">
        <v>36</v>
      </c>
      <c r="C748" s="2" t="s">
        <v>54</v>
      </c>
      <c r="D748" s="13"/>
      <c r="E748" s="13"/>
      <c r="F748" s="45"/>
      <c r="G748" s="42"/>
      <c r="H748" s="42"/>
      <c r="I748" s="42"/>
      <c r="J748" s="22"/>
      <c r="K748" s="42"/>
    </row>
    <row r="749" ht="39.75" customHeight="1">
      <c r="A749" s="1">
        <v>748.0</v>
      </c>
      <c r="B749" s="2" t="s">
        <v>38</v>
      </c>
      <c r="C749" s="2" t="s">
        <v>69</v>
      </c>
      <c r="D749" s="13"/>
      <c r="E749" s="13"/>
      <c r="F749" s="44" t="s">
        <v>1513</v>
      </c>
      <c r="G749" s="43">
        <v>1.0</v>
      </c>
      <c r="H749" s="42"/>
      <c r="I749" s="42"/>
      <c r="J749" s="22"/>
      <c r="K749" s="42"/>
    </row>
    <row r="750" ht="39.75" hidden="1" customHeight="1">
      <c r="A750" s="1">
        <v>749.0</v>
      </c>
      <c r="B750" s="2" t="s">
        <v>41</v>
      </c>
      <c r="C750" s="2" t="s">
        <v>58</v>
      </c>
      <c r="D750" s="13"/>
      <c r="E750" s="13"/>
      <c r="F750" s="45"/>
      <c r="G750" s="42"/>
      <c r="H750" s="42"/>
      <c r="I750" s="42"/>
      <c r="J750" s="22"/>
      <c r="K750" s="42"/>
    </row>
    <row r="751" ht="39.75" customHeight="1">
      <c r="A751" s="1">
        <v>750.0</v>
      </c>
      <c r="B751" s="2" t="s">
        <v>42</v>
      </c>
      <c r="C751" s="2"/>
      <c r="D751" s="13"/>
      <c r="E751" s="51">
        <v>0.875</v>
      </c>
      <c r="F751" s="44" t="s">
        <v>1495</v>
      </c>
      <c r="G751" s="43">
        <v>1.0</v>
      </c>
      <c r="H751" s="43">
        <v>1.0</v>
      </c>
      <c r="I751" s="42"/>
      <c r="J751" s="22"/>
      <c r="K751" s="42"/>
    </row>
    <row r="752" ht="39.75" hidden="1" customHeight="1">
      <c r="A752" s="1">
        <v>751.0</v>
      </c>
      <c r="B752" s="2" t="s">
        <v>43</v>
      </c>
      <c r="C752" s="2" t="s">
        <v>66</v>
      </c>
      <c r="D752" s="13"/>
      <c r="E752" s="13"/>
      <c r="F752" s="45"/>
      <c r="G752" s="42"/>
      <c r="H752" s="42"/>
      <c r="I752" s="42"/>
      <c r="J752" s="22"/>
      <c r="K752" s="42"/>
    </row>
    <row r="753" ht="39.75" customHeight="1">
      <c r="A753" s="1">
        <v>752.0</v>
      </c>
      <c r="B753" s="2" t="s">
        <v>45</v>
      </c>
      <c r="C753" s="2" t="s">
        <v>54</v>
      </c>
      <c r="D753" s="13"/>
      <c r="E753" s="13"/>
      <c r="F753" s="44" t="s">
        <v>1514</v>
      </c>
      <c r="G753" s="43">
        <v>1.0</v>
      </c>
      <c r="H753" s="42"/>
      <c r="I753" s="43">
        <v>1.0</v>
      </c>
      <c r="J753" s="22"/>
      <c r="K753" s="42"/>
    </row>
    <row r="754" ht="39.75" customHeight="1">
      <c r="A754" s="1">
        <v>753.0</v>
      </c>
      <c r="B754" s="2" t="s">
        <v>46</v>
      </c>
      <c r="C754" s="2" t="s">
        <v>69</v>
      </c>
      <c r="D754" s="13"/>
      <c r="E754" s="13"/>
      <c r="F754" s="75" t="s">
        <v>1515</v>
      </c>
      <c r="G754" s="43">
        <v>1.0</v>
      </c>
      <c r="H754" s="42"/>
      <c r="I754" s="42"/>
      <c r="J754" s="22"/>
      <c r="K754" s="42"/>
    </row>
    <row r="755" ht="39.75" customHeight="1">
      <c r="A755" s="1">
        <v>754.0</v>
      </c>
      <c r="B755" s="2" t="s">
        <v>47</v>
      </c>
      <c r="C755" s="2" t="s">
        <v>27</v>
      </c>
      <c r="D755" s="13"/>
      <c r="E755" s="13"/>
      <c r="F755" s="44" t="s">
        <v>1516</v>
      </c>
      <c r="G755" s="43">
        <v>1.0</v>
      </c>
      <c r="H755" s="42"/>
      <c r="I755" s="42"/>
      <c r="J755" s="22"/>
      <c r="K755" s="42"/>
    </row>
    <row r="756" ht="39.75" customHeight="1">
      <c r="A756" s="1">
        <v>755.0</v>
      </c>
      <c r="B756" s="2" t="s">
        <v>48</v>
      </c>
      <c r="C756" s="13"/>
      <c r="D756" s="53">
        <v>0.3333333333333333</v>
      </c>
      <c r="E756" s="13"/>
      <c r="F756" s="44" t="s">
        <v>1517</v>
      </c>
      <c r="G756" s="43">
        <v>1.0</v>
      </c>
      <c r="H756" s="42"/>
      <c r="I756" s="42"/>
      <c r="J756" s="22"/>
      <c r="K756" s="42"/>
    </row>
    <row r="757" ht="39.75" customHeight="1">
      <c r="A757" s="1">
        <v>756.0</v>
      </c>
      <c r="B757" s="21"/>
      <c r="C757" s="21"/>
      <c r="D757" s="21"/>
      <c r="E757" s="21"/>
      <c r="F757" s="46"/>
      <c r="G757" s="47"/>
      <c r="H757" s="47"/>
      <c r="I757" s="47"/>
      <c r="J757" s="48"/>
      <c r="K757" s="47"/>
      <c r="L757" s="49"/>
      <c r="M757" s="49"/>
      <c r="N757" s="49"/>
    </row>
    <row r="758" ht="39.75" hidden="1" customHeight="1">
      <c r="A758" s="1">
        <v>757.0</v>
      </c>
      <c r="B758" s="2" t="s">
        <v>12</v>
      </c>
      <c r="C758" s="2" t="s">
        <v>13</v>
      </c>
      <c r="D758" s="13"/>
      <c r="E758" s="13"/>
      <c r="F758" s="45"/>
      <c r="G758" s="42"/>
      <c r="H758" s="42"/>
      <c r="I758" s="42"/>
      <c r="J758" s="27" t="s">
        <v>1161</v>
      </c>
      <c r="K758" s="43"/>
      <c r="L758" s="15" t="s">
        <v>460</v>
      </c>
    </row>
    <row r="759" ht="39.75" hidden="1" customHeight="1">
      <c r="A759" s="1">
        <v>758.0</v>
      </c>
      <c r="B759" s="2" t="s">
        <v>16</v>
      </c>
      <c r="C759" s="2" t="s">
        <v>13</v>
      </c>
      <c r="D759" s="13"/>
      <c r="E759" s="13"/>
      <c r="F759" s="45"/>
      <c r="G759" s="42"/>
      <c r="H759" s="42"/>
      <c r="I759" s="42"/>
      <c r="J759" s="27" t="s">
        <v>460</v>
      </c>
      <c r="K759" s="43"/>
    </row>
    <row r="760" ht="39.75" hidden="1" customHeight="1">
      <c r="A760" s="1">
        <v>759.0</v>
      </c>
      <c r="B760" s="2" t="s">
        <v>17</v>
      </c>
      <c r="C760" s="2" t="s">
        <v>13</v>
      </c>
      <c r="D760" s="13"/>
      <c r="E760" s="13"/>
      <c r="F760" s="45"/>
      <c r="G760" s="42"/>
      <c r="H760" s="42"/>
      <c r="I760" s="42"/>
      <c r="J760" s="27" t="s">
        <v>149</v>
      </c>
      <c r="K760" s="43"/>
    </row>
    <row r="761" ht="39.75" hidden="1" customHeight="1">
      <c r="A761" s="1">
        <v>760.0</v>
      </c>
      <c r="B761" s="2" t="s">
        <v>331</v>
      </c>
      <c r="C761" s="2" t="s">
        <v>13</v>
      </c>
      <c r="D761" s="13"/>
      <c r="E761" s="13"/>
      <c r="F761" s="44"/>
      <c r="G761" s="42"/>
      <c r="H761" s="42"/>
      <c r="I761" s="42"/>
      <c r="J761" s="27" t="s">
        <v>262</v>
      </c>
      <c r="K761" s="42"/>
    </row>
    <row r="762" ht="39.75" customHeight="1">
      <c r="A762" s="1">
        <v>761.0</v>
      </c>
      <c r="B762" s="2" t="s">
        <v>21</v>
      </c>
      <c r="C762" s="2" t="s">
        <v>63</v>
      </c>
      <c r="D762" s="13"/>
      <c r="E762" s="13"/>
      <c r="F762" s="45"/>
      <c r="G762" s="42"/>
      <c r="H762" s="42"/>
      <c r="I762" s="42"/>
      <c r="J762" s="27" t="s">
        <v>264</v>
      </c>
      <c r="K762" s="42"/>
    </row>
    <row r="763" ht="39.75" customHeight="1">
      <c r="A763" s="1">
        <v>762.0</v>
      </c>
      <c r="B763" s="2" t="s">
        <v>266</v>
      </c>
      <c r="C763" s="2" t="s">
        <v>272</v>
      </c>
      <c r="D763" s="40">
        <v>0.375</v>
      </c>
      <c r="E763" s="13"/>
      <c r="F763" s="44" t="s">
        <v>1518</v>
      </c>
      <c r="G763" s="42"/>
      <c r="H763" s="42"/>
      <c r="I763" s="42"/>
      <c r="J763" s="27" t="s">
        <v>265</v>
      </c>
      <c r="K763" s="42"/>
    </row>
    <row r="764" ht="39.75" hidden="1" customHeight="1">
      <c r="A764" s="1">
        <v>763.0</v>
      </c>
      <c r="B764" s="2" t="s">
        <v>23</v>
      </c>
      <c r="C764" s="2" t="s">
        <v>13</v>
      </c>
      <c r="D764" s="13"/>
      <c r="E764" s="13"/>
      <c r="F764" s="45"/>
      <c r="G764" s="42"/>
      <c r="H764" s="42"/>
      <c r="I764" s="42"/>
      <c r="J764" s="22"/>
      <c r="K764" s="42"/>
    </row>
    <row r="765" ht="39.75" hidden="1" customHeight="1">
      <c r="A765" s="1">
        <v>764.0</v>
      </c>
      <c r="B765" s="2" t="s">
        <v>24</v>
      </c>
      <c r="C765" s="2" t="s">
        <v>13</v>
      </c>
      <c r="D765" s="13"/>
      <c r="E765" s="13"/>
      <c r="F765" s="45"/>
      <c r="G765" s="42"/>
      <c r="H765" s="42"/>
      <c r="I765" s="42"/>
      <c r="J765" s="22"/>
      <c r="K765" s="42"/>
    </row>
    <row r="766" ht="39.75" hidden="1" customHeight="1">
      <c r="A766" s="1">
        <v>765.0</v>
      </c>
      <c r="B766" s="2" t="s">
        <v>25</v>
      </c>
      <c r="C766" s="2" t="s">
        <v>13</v>
      </c>
      <c r="D766" s="13"/>
      <c r="E766" s="13"/>
      <c r="F766" s="45"/>
      <c r="G766" s="42"/>
      <c r="H766" s="42"/>
      <c r="I766" s="42"/>
      <c r="J766" s="22"/>
      <c r="K766" s="42"/>
    </row>
    <row r="767" ht="39.75" hidden="1" customHeight="1">
      <c r="A767" s="1">
        <v>766.0</v>
      </c>
      <c r="B767" s="2" t="s">
        <v>26</v>
      </c>
      <c r="C767" s="2" t="s">
        <v>13</v>
      </c>
      <c r="D767" s="13"/>
      <c r="E767" s="13"/>
      <c r="F767" s="45"/>
      <c r="G767" s="42"/>
      <c r="H767" s="42"/>
      <c r="I767" s="42"/>
      <c r="J767" s="22"/>
      <c r="K767" s="42"/>
    </row>
    <row r="768" ht="39.75" customHeight="1">
      <c r="A768" s="1">
        <v>767.0</v>
      </c>
      <c r="B768" s="2" t="s">
        <v>29</v>
      </c>
      <c r="C768" s="2" t="s">
        <v>27</v>
      </c>
      <c r="D768" s="13"/>
      <c r="E768" s="13"/>
      <c r="F768" s="44" t="s">
        <v>1519</v>
      </c>
      <c r="G768" s="43">
        <v>1.0</v>
      </c>
      <c r="H768" s="42"/>
      <c r="I768" s="42"/>
      <c r="J768" s="22"/>
      <c r="K768" s="42"/>
    </row>
    <row r="769" ht="39.75" hidden="1" customHeight="1">
      <c r="A769" s="1">
        <v>768.0</v>
      </c>
      <c r="B769" s="2" t="s">
        <v>30</v>
      </c>
      <c r="C769" s="2" t="s">
        <v>13</v>
      </c>
      <c r="D769" s="13"/>
      <c r="E769" s="13"/>
      <c r="F769" s="45"/>
      <c r="G769" s="42"/>
      <c r="H769" s="42"/>
      <c r="I769" s="42"/>
      <c r="J769" s="22"/>
      <c r="K769" s="42"/>
    </row>
    <row r="770" ht="39.75" hidden="1" customHeight="1">
      <c r="A770" s="1">
        <v>769.0</v>
      </c>
      <c r="B770" s="2" t="s">
        <v>31</v>
      </c>
      <c r="C770" s="2" t="s">
        <v>13</v>
      </c>
      <c r="D770" s="13"/>
      <c r="E770" s="13"/>
      <c r="F770" s="45"/>
      <c r="G770" s="42"/>
      <c r="H770" s="42"/>
      <c r="I770" s="42"/>
      <c r="J770" s="22"/>
      <c r="K770" s="42"/>
    </row>
    <row r="771" ht="39.75" customHeight="1">
      <c r="A771" s="1">
        <v>770.0</v>
      </c>
      <c r="B771" s="2" t="s">
        <v>32</v>
      </c>
      <c r="C771" s="2"/>
      <c r="D771" s="53">
        <v>0.25</v>
      </c>
      <c r="E771" s="13"/>
      <c r="F771" s="44" t="s">
        <v>1520</v>
      </c>
      <c r="G771" s="43">
        <v>1.0</v>
      </c>
      <c r="H771" s="43">
        <v>1.0</v>
      </c>
      <c r="I771" s="42"/>
      <c r="J771" s="22"/>
      <c r="K771" s="42"/>
    </row>
    <row r="772" ht="39.75" hidden="1" customHeight="1">
      <c r="A772" s="1">
        <v>771.0</v>
      </c>
      <c r="B772" s="2" t="s">
        <v>67</v>
      </c>
      <c r="C772" s="2" t="s">
        <v>13</v>
      </c>
      <c r="D772" s="13"/>
      <c r="E772" s="13"/>
      <c r="F772" s="45"/>
      <c r="G772" s="42"/>
      <c r="H772" s="42"/>
      <c r="I772" s="42"/>
      <c r="J772" s="22"/>
      <c r="K772" s="42"/>
    </row>
    <row r="773" ht="39.75" hidden="1" customHeight="1">
      <c r="A773" s="1">
        <v>772.0</v>
      </c>
      <c r="B773" s="2" t="s">
        <v>34</v>
      </c>
      <c r="C773" s="2" t="s">
        <v>13</v>
      </c>
      <c r="D773" s="13"/>
      <c r="E773" s="13"/>
      <c r="F773" s="45"/>
      <c r="G773" s="42"/>
      <c r="H773" s="42"/>
      <c r="I773" s="42"/>
      <c r="J773" s="22"/>
      <c r="K773" s="42"/>
    </row>
    <row r="774" ht="39.75" customHeight="1">
      <c r="A774" s="1">
        <v>773.0</v>
      </c>
      <c r="B774" s="2" t="s">
        <v>35</v>
      </c>
      <c r="C774" s="2"/>
      <c r="D774" s="40"/>
      <c r="E774" s="13"/>
      <c r="F774" s="44" t="s">
        <v>1521</v>
      </c>
      <c r="G774" s="43">
        <v>1.0</v>
      </c>
      <c r="H774" s="42"/>
      <c r="I774" s="42"/>
      <c r="J774" s="22"/>
      <c r="K774" s="42"/>
    </row>
    <row r="775" ht="39.75" customHeight="1">
      <c r="A775" s="1">
        <v>774.0</v>
      </c>
      <c r="B775" s="2" t="s">
        <v>36</v>
      </c>
      <c r="C775" s="2" t="s">
        <v>39</v>
      </c>
      <c r="D775" s="13"/>
      <c r="E775" s="13"/>
      <c r="F775" s="44" t="s">
        <v>1522</v>
      </c>
      <c r="G775" s="43">
        <v>1.0</v>
      </c>
      <c r="H775" s="43">
        <v>1.0</v>
      </c>
      <c r="I775" s="42"/>
      <c r="J775" s="22"/>
      <c r="K775" s="42"/>
    </row>
    <row r="776" ht="39.75" customHeight="1">
      <c r="A776" s="1">
        <v>775.0</v>
      </c>
      <c r="B776" s="2" t="s">
        <v>38</v>
      </c>
      <c r="C776" s="2"/>
      <c r="D776" s="40"/>
      <c r="E776" s="13"/>
      <c r="F776" s="44" t="s">
        <v>1523</v>
      </c>
      <c r="G776" s="43">
        <v>2.0</v>
      </c>
      <c r="H776" s="42"/>
      <c r="I776" s="42"/>
      <c r="J776" s="22"/>
      <c r="K776" s="42"/>
    </row>
    <row r="777" ht="39.75" hidden="1" customHeight="1">
      <c r="A777" s="1">
        <v>776.0</v>
      </c>
      <c r="B777" s="2" t="s">
        <v>41</v>
      </c>
      <c r="C777" s="2" t="s">
        <v>13</v>
      </c>
      <c r="D777" s="13"/>
      <c r="E777" s="13"/>
      <c r="F777" s="45"/>
      <c r="G777" s="42"/>
      <c r="H777" s="42"/>
      <c r="I777" s="42"/>
      <c r="J777" s="22"/>
      <c r="K777" s="42"/>
    </row>
    <row r="778" ht="39.75" customHeight="1">
      <c r="A778" s="1">
        <v>777.0</v>
      </c>
      <c r="B778" s="2" t="s">
        <v>42</v>
      </c>
      <c r="C778" s="2" t="s">
        <v>49</v>
      </c>
      <c r="D778" s="13"/>
      <c r="E778" s="13"/>
      <c r="F778" s="44" t="s">
        <v>1524</v>
      </c>
      <c r="G778" s="43">
        <v>1.0</v>
      </c>
      <c r="H778" s="43">
        <v>1.0</v>
      </c>
      <c r="I778" s="42"/>
      <c r="J778" s="22"/>
      <c r="K778" s="42"/>
    </row>
    <row r="779" ht="39.75" hidden="1" customHeight="1">
      <c r="A779" s="1">
        <v>778.0</v>
      </c>
      <c r="B779" s="2" t="s">
        <v>43</v>
      </c>
      <c r="C779" s="2" t="s">
        <v>13</v>
      </c>
      <c r="D779" s="13"/>
      <c r="E779" s="13"/>
      <c r="F779" s="45"/>
      <c r="G779" s="42"/>
      <c r="H779" s="42"/>
      <c r="I779" s="42"/>
      <c r="J779" s="22"/>
      <c r="K779" s="42"/>
    </row>
    <row r="780" ht="39.75" hidden="1" customHeight="1">
      <c r="A780" s="1">
        <v>779.0</v>
      </c>
      <c r="B780" s="2" t="s">
        <v>45</v>
      </c>
      <c r="C780" s="2" t="s">
        <v>13</v>
      </c>
      <c r="D780" s="13"/>
      <c r="E780" s="13"/>
      <c r="F780" s="45"/>
      <c r="G780" s="42"/>
      <c r="H780" s="42"/>
      <c r="I780" s="42"/>
      <c r="J780" s="22"/>
      <c r="K780" s="42"/>
    </row>
    <row r="781" ht="39.75" hidden="1" customHeight="1">
      <c r="A781" s="1">
        <v>780.0</v>
      </c>
      <c r="B781" s="2" t="s">
        <v>46</v>
      </c>
      <c r="C781" s="2" t="s">
        <v>13</v>
      </c>
      <c r="D781" s="13"/>
      <c r="E781" s="13"/>
      <c r="F781" s="45"/>
      <c r="G781" s="42"/>
      <c r="H781" s="42"/>
      <c r="I781" s="42"/>
      <c r="J781" s="22"/>
      <c r="K781" s="42"/>
    </row>
    <row r="782" ht="39.75" customHeight="1">
      <c r="A782" s="1">
        <v>781.0</v>
      </c>
      <c r="B782" s="2" t="s">
        <v>47</v>
      </c>
      <c r="C782" s="2" t="s">
        <v>44</v>
      </c>
      <c r="D782" s="13"/>
      <c r="E782" s="13"/>
      <c r="F782" s="45"/>
      <c r="G782" s="42"/>
      <c r="H782" s="42"/>
      <c r="I782" s="42"/>
      <c r="J782" s="22"/>
      <c r="K782" s="42"/>
    </row>
    <row r="783" ht="39.75" hidden="1" customHeight="1">
      <c r="A783" s="1">
        <v>782.0</v>
      </c>
      <c r="B783" s="2" t="s">
        <v>48</v>
      </c>
      <c r="C783" s="2" t="s">
        <v>13</v>
      </c>
      <c r="D783" s="13"/>
      <c r="E783" s="13"/>
      <c r="F783" s="45"/>
      <c r="G783" s="42"/>
      <c r="H783" s="42"/>
      <c r="I783" s="42"/>
      <c r="J783" s="22"/>
      <c r="K783" s="42"/>
    </row>
    <row r="784" ht="39.75" customHeight="1">
      <c r="A784" s="1">
        <v>783.0</v>
      </c>
      <c r="B784" s="21"/>
      <c r="C784" s="21"/>
      <c r="D784" s="21"/>
      <c r="E784" s="21"/>
      <c r="F784" s="46"/>
      <c r="G784" s="47"/>
      <c r="H784" s="47"/>
      <c r="I784" s="47"/>
      <c r="J784" s="48"/>
      <c r="K784" s="47"/>
      <c r="L784" s="49"/>
      <c r="M784" s="49"/>
      <c r="N784" s="49"/>
    </row>
    <row r="785" ht="39.75" hidden="1" customHeight="1">
      <c r="A785" s="1">
        <v>784.0</v>
      </c>
      <c r="B785" s="2" t="s">
        <v>12</v>
      </c>
      <c r="C785" s="2" t="s">
        <v>13</v>
      </c>
      <c r="D785" s="13"/>
      <c r="E785" s="13"/>
      <c r="F785" s="45"/>
      <c r="G785" s="42"/>
      <c r="H785" s="42"/>
      <c r="I785" s="42"/>
      <c r="J785" s="27" t="s">
        <v>1161</v>
      </c>
      <c r="K785" s="43"/>
      <c r="L785" s="15" t="s">
        <v>467</v>
      </c>
    </row>
    <row r="786" ht="39.75" customHeight="1">
      <c r="A786" s="1">
        <v>785.0</v>
      </c>
      <c r="B786" s="2" t="s">
        <v>16</v>
      </c>
      <c r="C786" s="2"/>
      <c r="D786" s="40">
        <v>0.375</v>
      </c>
      <c r="E786" s="13"/>
      <c r="F786" s="45"/>
      <c r="G786" s="42"/>
      <c r="H786" s="42"/>
      <c r="I786" s="42"/>
      <c r="J786" s="27" t="s">
        <v>467</v>
      </c>
      <c r="K786" s="43"/>
    </row>
    <row r="787" ht="39.75" hidden="1" customHeight="1">
      <c r="A787" s="1">
        <v>786.0</v>
      </c>
      <c r="B787" s="2" t="s">
        <v>17</v>
      </c>
      <c r="C787" s="2" t="s">
        <v>13</v>
      </c>
      <c r="D787" s="13"/>
      <c r="E787" s="13"/>
      <c r="F787" s="45"/>
      <c r="G787" s="42"/>
      <c r="H787" s="42"/>
      <c r="I787" s="42"/>
      <c r="J787" s="27" t="s">
        <v>19</v>
      </c>
      <c r="K787" s="43"/>
    </row>
    <row r="788" ht="39.75" hidden="1" customHeight="1">
      <c r="A788" s="1">
        <v>787.0</v>
      </c>
      <c r="B788" s="2" t="s">
        <v>331</v>
      </c>
      <c r="C788" s="2" t="s">
        <v>13</v>
      </c>
      <c r="D788" s="13"/>
      <c r="E788" s="13"/>
      <c r="F788" s="44"/>
      <c r="G788" s="42"/>
      <c r="H788" s="42"/>
      <c r="I788" s="42"/>
      <c r="J788" s="27" t="s">
        <v>410</v>
      </c>
      <c r="K788" s="42"/>
    </row>
    <row r="789" ht="39.75" customHeight="1">
      <c r="A789" s="1">
        <v>788.0</v>
      </c>
      <c r="B789" s="2" t="s">
        <v>21</v>
      </c>
      <c r="C789" s="2" t="s">
        <v>277</v>
      </c>
      <c r="D789" s="13"/>
      <c r="E789" s="13"/>
      <c r="F789" s="45"/>
      <c r="G789" s="42"/>
      <c r="H789" s="42"/>
      <c r="I789" s="42"/>
      <c r="J789" s="27" t="s">
        <v>412</v>
      </c>
      <c r="K789" s="42"/>
    </row>
    <row r="790" ht="39.75" hidden="1" customHeight="1">
      <c r="A790" s="1">
        <v>789.0</v>
      </c>
      <c r="B790" s="2" t="s">
        <v>22</v>
      </c>
      <c r="C790" s="2" t="s">
        <v>13</v>
      </c>
      <c r="D790" s="13"/>
      <c r="E790" s="13"/>
      <c r="F790" s="45"/>
      <c r="G790" s="42"/>
      <c r="H790" s="42"/>
      <c r="I790" s="42"/>
      <c r="J790" s="27" t="s">
        <v>413</v>
      </c>
      <c r="K790" s="42"/>
    </row>
    <row r="791" ht="39.75" hidden="1" customHeight="1">
      <c r="A791" s="1">
        <v>790.0</v>
      </c>
      <c r="B791" s="2" t="s">
        <v>23</v>
      </c>
      <c r="C791" s="2" t="s">
        <v>13</v>
      </c>
      <c r="D791" s="13"/>
      <c r="E791" s="13"/>
      <c r="F791" s="45"/>
      <c r="G791" s="42"/>
      <c r="H791" s="42"/>
      <c r="I791" s="42"/>
      <c r="J791" s="22"/>
      <c r="K791" s="42"/>
    </row>
    <row r="792" ht="39.75" hidden="1" customHeight="1">
      <c r="A792" s="1">
        <v>791.0</v>
      </c>
      <c r="B792" s="2" t="s">
        <v>24</v>
      </c>
      <c r="C792" s="2" t="s">
        <v>13</v>
      </c>
      <c r="D792" s="13"/>
      <c r="E792" s="13"/>
      <c r="F792" s="45"/>
      <c r="G792" s="42"/>
      <c r="H792" s="42"/>
      <c r="I792" s="42"/>
      <c r="J792" s="22"/>
      <c r="K792" s="42"/>
    </row>
    <row r="793" ht="39.75" customHeight="1">
      <c r="A793" s="1">
        <v>792.0</v>
      </c>
      <c r="B793" s="2" t="s">
        <v>25</v>
      </c>
      <c r="C793" s="2" t="s">
        <v>27</v>
      </c>
      <c r="D793" s="13"/>
      <c r="E793" s="13"/>
      <c r="F793" s="45"/>
      <c r="G793" s="42"/>
      <c r="H793" s="42"/>
      <c r="I793" s="42"/>
      <c r="J793" s="22"/>
      <c r="K793" s="42"/>
    </row>
    <row r="794" ht="39.75" customHeight="1">
      <c r="A794" s="1">
        <v>793.0</v>
      </c>
      <c r="B794" s="2" t="s">
        <v>26</v>
      </c>
      <c r="C794" s="2" t="s">
        <v>49</v>
      </c>
      <c r="D794" s="13"/>
      <c r="E794" s="13"/>
      <c r="F794" s="44" t="s">
        <v>1525</v>
      </c>
      <c r="G794" s="43">
        <v>1.0</v>
      </c>
      <c r="H794" s="42"/>
      <c r="I794" s="42"/>
      <c r="J794" s="22"/>
      <c r="K794" s="42"/>
    </row>
    <row r="795" ht="39.75" customHeight="1">
      <c r="A795" s="1">
        <v>794.0</v>
      </c>
      <c r="B795" s="2" t="s">
        <v>29</v>
      </c>
      <c r="C795" s="2" t="s">
        <v>44</v>
      </c>
      <c r="D795" s="13"/>
      <c r="E795" s="13"/>
      <c r="F795" s="45"/>
      <c r="G795" s="42"/>
      <c r="H795" s="42"/>
      <c r="I795" s="42"/>
      <c r="J795" s="22"/>
      <c r="K795" s="42"/>
    </row>
    <row r="796" ht="39.75" hidden="1" customHeight="1">
      <c r="A796" s="1">
        <v>795.0</v>
      </c>
      <c r="B796" s="2" t="s">
        <v>30</v>
      </c>
      <c r="C796" s="2" t="s">
        <v>13</v>
      </c>
      <c r="D796" s="13"/>
      <c r="E796" s="13"/>
      <c r="F796" s="45"/>
      <c r="G796" s="42"/>
      <c r="H796" s="42"/>
      <c r="I796" s="42"/>
      <c r="J796" s="22"/>
      <c r="K796" s="42"/>
    </row>
    <row r="797" ht="39.75" hidden="1" customHeight="1">
      <c r="A797" s="1">
        <v>796.0</v>
      </c>
      <c r="B797" s="2" t="s">
        <v>31</v>
      </c>
      <c r="C797" s="2" t="s">
        <v>13</v>
      </c>
      <c r="D797" s="13"/>
      <c r="E797" s="13"/>
      <c r="F797" s="45"/>
      <c r="G797" s="42"/>
      <c r="H797" s="42"/>
      <c r="I797" s="42"/>
      <c r="J797" s="22"/>
      <c r="K797" s="42"/>
    </row>
    <row r="798" ht="39.75" customHeight="1">
      <c r="A798" s="1">
        <v>797.0</v>
      </c>
      <c r="B798" s="2" t="s">
        <v>32</v>
      </c>
      <c r="C798" s="2"/>
      <c r="D798" s="40"/>
      <c r="E798" s="13"/>
      <c r="F798" s="44" t="s">
        <v>1526</v>
      </c>
      <c r="G798" s="43">
        <v>1.0</v>
      </c>
      <c r="H798" s="43">
        <v>1.0</v>
      </c>
      <c r="I798" s="42"/>
      <c r="J798" s="22"/>
      <c r="K798" s="42"/>
    </row>
    <row r="799" ht="39.75" customHeight="1">
      <c r="A799" s="1">
        <v>798.0</v>
      </c>
      <c r="B799" s="2" t="s">
        <v>67</v>
      </c>
      <c r="C799" s="2" t="s">
        <v>39</v>
      </c>
      <c r="D799" s="13"/>
      <c r="E799" s="13"/>
      <c r="F799" s="44" t="s">
        <v>535</v>
      </c>
      <c r="G799" s="43">
        <v>1.0</v>
      </c>
      <c r="H799" s="42"/>
      <c r="I799" s="43">
        <v>1.0</v>
      </c>
      <c r="J799" s="22"/>
      <c r="K799" s="42"/>
    </row>
    <row r="800" ht="39.75" hidden="1" customHeight="1">
      <c r="A800" s="1">
        <v>799.0</v>
      </c>
      <c r="B800" s="2" t="s">
        <v>34</v>
      </c>
      <c r="C800" s="2" t="s">
        <v>13</v>
      </c>
      <c r="D800" s="13"/>
      <c r="E800" s="13"/>
      <c r="F800" s="45"/>
      <c r="G800" s="42"/>
      <c r="H800" s="42"/>
      <c r="I800" s="42"/>
      <c r="J800" s="22"/>
      <c r="K800" s="42"/>
    </row>
    <row r="801" ht="39.75" hidden="1" customHeight="1">
      <c r="A801" s="1">
        <v>800.0</v>
      </c>
      <c r="B801" s="2" t="s">
        <v>35</v>
      </c>
      <c r="C801" s="2" t="s">
        <v>13</v>
      </c>
      <c r="D801" s="13"/>
      <c r="E801" s="13"/>
      <c r="F801" s="45"/>
      <c r="G801" s="42"/>
      <c r="H801" s="42"/>
      <c r="I801" s="42"/>
      <c r="J801" s="22"/>
      <c r="K801" s="42"/>
    </row>
    <row r="802" ht="39.75" customHeight="1">
      <c r="A802" s="1">
        <v>801.0</v>
      </c>
      <c r="B802" s="2" t="s">
        <v>36</v>
      </c>
      <c r="C802" s="2"/>
      <c r="D802" s="13"/>
      <c r="E802" s="13"/>
      <c r="F802" s="44" t="s">
        <v>1527</v>
      </c>
      <c r="G802" s="43">
        <v>1.0</v>
      </c>
      <c r="H802" s="43">
        <v>1.0</v>
      </c>
      <c r="I802" s="42"/>
      <c r="J802" s="22"/>
      <c r="K802" s="42"/>
    </row>
    <row r="803" ht="39.75" hidden="1" customHeight="1">
      <c r="A803" s="1">
        <v>802.0</v>
      </c>
      <c r="B803" s="2" t="s">
        <v>38</v>
      </c>
      <c r="C803" s="2" t="s">
        <v>13</v>
      </c>
      <c r="D803" s="13"/>
      <c r="E803" s="13"/>
      <c r="F803" s="45"/>
      <c r="G803" s="42"/>
      <c r="H803" s="42"/>
      <c r="I803" s="42"/>
      <c r="J803" s="22"/>
      <c r="K803" s="42"/>
    </row>
    <row r="804" ht="39.75" hidden="1" customHeight="1">
      <c r="A804" s="1">
        <v>803.0</v>
      </c>
      <c r="B804" s="2" t="s">
        <v>41</v>
      </c>
      <c r="C804" s="2" t="s">
        <v>13</v>
      </c>
      <c r="D804" s="13"/>
      <c r="E804" s="13"/>
      <c r="F804" s="45"/>
      <c r="G804" s="42"/>
      <c r="H804" s="42"/>
      <c r="I804" s="42"/>
      <c r="J804" s="22"/>
      <c r="K804" s="42"/>
    </row>
    <row r="805" ht="39.75" hidden="1" customHeight="1">
      <c r="A805" s="1">
        <v>804.0</v>
      </c>
      <c r="B805" s="2" t="s">
        <v>42</v>
      </c>
      <c r="C805" s="2" t="s">
        <v>13</v>
      </c>
      <c r="D805" s="13"/>
      <c r="E805" s="13"/>
      <c r="F805" s="45"/>
      <c r="G805" s="42"/>
      <c r="H805" s="42"/>
      <c r="I805" s="42"/>
      <c r="J805" s="22"/>
      <c r="K805" s="42"/>
    </row>
    <row r="806" ht="39.75" customHeight="1">
      <c r="A806" s="1">
        <v>805.0</v>
      </c>
      <c r="B806" s="2" t="s">
        <v>267</v>
      </c>
      <c r="C806" s="2" t="s">
        <v>272</v>
      </c>
      <c r="D806" s="13"/>
      <c r="E806" s="13"/>
      <c r="F806" s="44" t="s">
        <v>1528</v>
      </c>
      <c r="G806" s="42"/>
      <c r="H806" s="42"/>
      <c r="I806" s="42"/>
      <c r="J806" s="22"/>
      <c r="K806" s="42"/>
    </row>
    <row r="807" ht="39.75" hidden="1" customHeight="1">
      <c r="A807" s="1">
        <v>806.0</v>
      </c>
      <c r="B807" s="2" t="s">
        <v>45</v>
      </c>
      <c r="C807" s="2" t="s">
        <v>13</v>
      </c>
      <c r="D807" s="13"/>
      <c r="E807" s="13"/>
      <c r="F807" s="45"/>
      <c r="G807" s="42"/>
      <c r="H807" s="42"/>
      <c r="I807" s="42"/>
      <c r="J807" s="22"/>
      <c r="K807" s="42"/>
    </row>
    <row r="808" ht="39.75" hidden="1" customHeight="1">
      <c r="A808" s="1">
        <v>807.0</v>
      </c>
      <c r="B808" s="2" t="s">
        <v>46</v>
      </c>
      <c r="C808" s="2" t="s">
        <v>13</v>
      </c>
      <c r="D808" s="13"/>
      <c r="E808" s="13"/>
      <c r="F808" s="45"/>
      <c r="G808" s="42"/>
      <c r="H808" s="42"/>
      <c r="I808" s="42"/>
      <c r="J808" s="22"/>
      <c r="K808" s="42"/>
    </row>
    <row r="809" ht="39.75" hidden="1" customHeight="1">
      <c r="A809" s="1">
        <v>808.0</v>
      </c>
      <c r="B809" s="2" t="s">
        <v>47</v>
      </c>
      <c r="C809" s="2" t="s">
        <v>13</v>
      </c>
      <c r="D809" s="13"/>
      <c r="E809" s="13"/>
      <c r="F809" s="45"/>
      <c r="G809" s="42"/>
      <c r="H809" s="42"/>
      <c r="I809" s="42"/>
      <c r="J809" s="22"/>
      <c r="K809" s="42"/>
    </row>
    <row r="810" ht="39.75" hidden="1" customHeight="1">
      <c r="A810" s="1">
        <v>809.0</v>
      </c>
      <c r="B810" s="2" t="s">
        <v>48</v>
      </c>
      <c r="C810" s="2" t="s">
        <v>13</v>
      </c>
      <c r="D810" s="13"/>
      <c r="E810" s="13"/>
      <c r="F810" s="45"/>
      <c r="G810" s="42"/>
      <c r="H810" s="42"/>
      <c r="I810" s="42"/>
      <c r="J810" s="22"/>
      <c r="K810" s="42"/>
    </row>
    <row r="811" ht="39.75" customHeight="1">
      <c r="A811" s="1">
        <v>810.0</v>
      </c>
      <c r="B811" s="21"/>
      <c r="C811" s="21"/>
      <c r="D811" s="21"/>
      <c r="E811" s="21"/>
      <c r="F811" s="46"/>
      <c r="G811" s="47"/>
      <c r="H811" s="47"/>
      <c r="I811" s="47"/>
      <c r="J811" s="48"/>
      <c r="K811" s="47"/>
      <c r="L811" s="49"/>
      <c r="M811" s="49"/>
      <c r="N811" s="49"/>
    </row>
    <row r="812" ht="39.75" customHeight="1">
      <c r="A812" s="1">
        <v>811.0</v>
      </c>
      <c r="B812" s="2" t="s">
        <v>12</v>
      </c>
      <c r="C812" s="2" t="s">
        <v>62</v>
      </c>
      <c r="D812" s="13"/>
      <c r="E812" s="13"/>
      <c r="F812" s="44" t="s">
        <v>1529</v>
      </c>
      <c r="G812" s="42"/>
      <c r="H812" s="42"/>
      <c r="I812" s="42"/>
      <c r="J812" s="27" t="s">
        <v>1161</v>
      </c>
      <c r="K812" s="43"/>
      <c r="L812" s="15" t="s">
        <v>477</v>
      </c>
    </row>
    <row r="813" ht="39.75" customHeight="1">
      <c r="A813" s="1">
        <v>812.0</v>
      </c>
      <c r="B813" s="2" t="s">
        <v>16</v>
      </c>
      <c r="C813" s="2" t="s">
        <v>69</v>
      </c>
      <c r="D813" s="13"/>
      <c r="E813" s="13"/>
      <c r="F813" s="44" t="s">
        <v>1530</v>
      </c>
      <c r="G813" s="43">
        <v>1.0</v>
      </c>
      <c r="H813" s="42"/>
      <c r="I813" s="42"/>
      <c r="J813" s="27" t="s">
        <v>477</v>
      </c>
      <c r="K813" s="43"/>
    </row>
    <row r="814" ht="39.75" customHeight="1">
      <c r="A814" s="1">
        <v>813.0</v>
      </c>
      <c r="B814" s="2" t="s">
        <v>116</v>
      </c>
      <c r="C814" s="2" t="s">
        <v>27</v>
      </c>
      <c r="D814" s="13"/>
      <c r="E814" s="13"/>
      <c r="F814" s="44" t="s">
        <v>1531</v>
      </c>
      <c r="G814" s="43">
        <v>1.0</v>
      </c>
      <c r="H814" s="42"/>
      <c r="I814" s="42"/>
      <c r="J814" s="27" t="s">
        <v>56</v>
      </c>
      <c r="K814" s="43"/>
    </row>
    <row r="815" ht="39.75" customHeight="1">
      <c r="A815" s="1">
        <v>814.0</v>
      </c>
      <c r="B815" s="2" t="s">
        <v>331</v>
      </c>
      <c r="C815" s="2" t="s">
        <v>542</v>
      </c>
      <c r="D815" s="13"/>
      <c r="E815" s="13"/>
      <c r="F815" s="44"/>
      <c r="G815" s="42"/>
      <c r="H815" s="42"/>
      <c r="I815" s="42"/>
      <c r="J815" s="22"/>
      <c r="K815" s="42"/>
    </row>
    <row r="816" ht="39.75" customHeight="1">
      <c r="A816" s="1">
        <v>815.0</v>
      </c>
      <c r="B816" s="2" t="s">
        <v>21</v>
      </c>
      <c r="C816" s="2" t="s">
        <v>277</v>
      </c>
      <c r="D816" s="13"/>
      <c r="E816" s="13"/>
      <c r="F816" s="45"/>
      <c r="G816" s="42"/>
      <c r="H816" s="42"/>
      <c r="I816" s="42"/>
      <c r="J816" s="22"/>
      <c r="K816" s="42"/>
    </row>
    <row r="817" ht="39.75" customHeight="1">
      <c r="A817" s="1">
        <v>816.0</v>
      </c>
      <c r="B817" s="2" t="s">
        <v>22</v>
      </c>
      <c r="C817" s="2" t="s">
        <v>54</v>
      </c>
      <c r="D817" s="13"/>
      <c r="E817" s="13"/>
      <c r="F817" s="44"/>
      <c r="G817" s="43"/>
      <c r="H817" s="42"/>
      <c r="I817" s="42"/>
      <c r="J817" s="22"/>
      <c r="K817" s="42"/>
    </row>
    <row r="818" ht="39.75" hidden="1" customHeight="1">
      <c r="A818" s="1">
        <v>817.0</v>
      </c>
      <c r="B818" s="2" t="s">
        <v>23</v>
      </c>
      <c r="C818" s="2" t="s">
        <v>66</v>
      </c>
      <c r="D818" s="13"/>
      <c r="E818" s="13"/>
      <c r="F818" s="45"/>
      <c r="G818" s="42"/>
      <c r="H818" s="42"/>
      <c r="I818" s="42"/>
      <c r="J818" s="22"/>
      <c r="K818" s="42"/>
    </row>
    <row r="819" ht="39.75" customHeight="1">
      <c r="A819" s="1">
        <v>818.0</v>
      </c>
      <c r="B819" s="2" t="s">
        <v>24</v>
      </c>
      <c r="C819" s="2"/>
      <c r="D819" s="13"/>
      <c r="E819" s="13"/>
      <c r="F819" s="44" t="s">
        <v>1532</v>
      </c>
      <c r="G819" s="43">
        <v>1.0</v>
      </c>
      <c r="H819" s="42"/>
      <c r="I819" s="42"/>
      <c r="J819" s="22"/>
      <c r="K819" s="42"/>
    </row>
    <row r="820" ht="39.75" customHeight="1">
      <c r="A820" s="1">
        <v>819.0</v>
      </c>
      <c r="B820" s="2" t="s">
        <v>25</v>
      </c>
      <c r="C820" s="2" t="s">
        <v>44</v>
      </c>
      <c r="D820" s="13"/>
      <c r="E820" s="13"/>
      <c r="F820" s="45"/>
      <c r="G820" s="42"/>
      <c r="H820" s="42"/>
      <c r="I820" s="42"/>
      <c r="J820" s="22"/>
      <c r="K820" s="42"/>
    </row>
    <row r="821" ht="39.75" hidden="1" customHeight="1">
      <c r="A821" s="1">
        <v>820.0</v>
      </c>
      <c r="B821" s="2" t="s">
        <v>26</v>
      </c>
      <c r="C821" s="2" t="s">
        <v>58</v>
      </c>
      <c r="D821" s="13"/>
      <c r="E821" s="13"/>
      <c r="F821" s="45"/>
      <c r="G821" s="42"/>
      <c r="H821" s="42"/>
      <c r="I821" s="42"/>
      <c r="J821" s="22"/>
      <c r="K821" s="42"/>
    </row>
    <row r="822" ht="39.75" customHeight="1">
      <c r="A822" s="1">
        <v>821.0</v>
      </c>
      <c r="B822" s="2" t="s">
        <v>29</v>
      </c>
      <c r="C822" s="2" t="s">
        <v>39</v>
      </c>
      <c r="D822" s="13"/>
      <c r="E822" s="13"/>
      <c r="F822" s="44" t="s">
        <v>1533</v>
      </c>
      <c r="G822" s="43">
        <v>1.0</v>
      </c>
      <c r="H822" s="42"/>
      <c r="I822" s="43">
        <v>1.0</v>
      </c>
      <c r="J822" s="22"/>
      <c r="K822" s="42"/>
    </row>
    <row r="823" ht="39.75" hidden="1" customHeight="1">
      <c r="A823" s="1">
        <v>822.0</v>
      </c>
      <c r="B823" s="2" t="s">
        <v>30</v>
      </c>
      <c r="C823" s="2" t="s">
        <v>58</v>
      </c>
      <c r="D823" s="13"/>
      <c r="E823" s="13"/>
      <c r="F823" s="45"/>
      <c r="G823" s="42"/>
      <c r="H823" s="42"/>
      <c r="I823" s="42"/>
      <c r="J823" s="22"/>
      <c r="K823" s="42"/>
    </row>
    <row r="824" ht="39.75" customHeight="1">
      <c r="A824" s="1">
        <v>823.0</v>
      </c>
      <c r="B824" s="2" t="s">
        <v>31</v>
      </c>
      <c r="C824" s="2" t="s">
        <v>69</v>
      </c>
      <c r="D824" s="13"/>
      <c r="E824" s="13"/>
      <c r="F824" s="44" t="s">
        <v>1534</v>
      </c>
      <c r="G824" s="43">
        <v>1.0</v>
      </c>
      <c r="H824" s="42"/>
      <c r="I824" s="42"/>
      <c r="J824" s="22"/>
      <c r="K824" s="42"/>
    </row>
    <row r="825" ht="39.75" customHeight="1">
      <c r="A825" s="1">
        <v>824.0</v>
      </c>
      <c r="B825" s="2" t="s">
        <v>32</v>
      </c>
      <c r="C825" s="2" t="s">
        <v>54</v>
      </c>
      <c r="D825" s="13"/>
      <c r="E825" s="13"/>
      <c r="F825" s="44" t="s">
        <v>1535</v>
      </c>
      <c r="G825" s="43">
        <v>1.0</v>
      </c>
      <c r="H825" s="43">
        <v>1.0</v>
      </c>
      <c r="I825" s="42"/>
      <c r="J825" s="22"/>
      <c r="K825" s="42"/>
    </row>
    <row r="826" ht="39.75" customHeight="1">
      <c r="A826" s="1">
        <v>825.0</v>
      </c>
      <c r="B826" s="2" t="s">
        <v>67</v>
      </c>
      <c r="C826" s="2" t="s">
        <v>54</v>
      </c>
      <c r="D826" s="13"/>
      <c r="E826" s="51">
        <v>0.9236111111111112</v>
      </c>
      <c r="F826" s="44" t="s">
        <v>1536</v>
      </c>
      <c r="G826" s="43">
        <v>1.0</v>
      </c>
      <c r="H826" s="42"/>
      <c r="I826" s="42"/>
      <c r="J826" s="22"/>
      <c r="K826" s="42"/>
    </row>
    <row r="827" ht="39.75" hidden="1" customHeight="1">
      <c r="A827" s="1">
        <v>826.0</v>
      </c>
      <c r="B827" s="2" t="s">
        <v>34</v>
      </c>
      <c r="C827" s="2" t="s">
        <v>58</v>
      </c>
      <c r="D827" s="13"/>
      <c r="E827" s="13"/>
      <c r="F827" s="45"/>
      <c r="G827" s="42"/>
      <c r="H827" s="42"/>
      <c r="I827" s="42"/>
      <c r="J827" s="22"/>
      <c r="K827" s="42"/>
    </row>
    <row r="828" ht="39.75" customHeight="1">
      <c r="A828" s="1">
        <v>827.0</v>
      </c>
      <c r="B828" s="2" t="s">
        <v>35</v>
      </c>
      <c r="C828" s="2"/>
      <c r="D828" s="13"/>
      <c r="E828" s="13"/>
      <c r="F828" s="44" t="s">
        <v>1537</v>
      </c>
      <c r="G828" s="43">
        <v>1.0</v>
      </c>
      <c r="H828" s="42"/>
      <c r="I828" s="43">
        <v>1.0</v>
      </c>
      <c r="J828" s="22"/>
      <c r="K828" s="42"/>
    </row>
    <row r="829" ht="39.75" customHeight="1">
      <c r="A829" s="1">
        <v>828.0</v>
      </c>
      <c r="B829" s="2" t="s">
        <v>36</v>
      </c>
      <c r="C829" s="2"/>
      <c r="D829" s="13"/>
      <c r="E829" s="13"/>
      <c r="F829" s="44" t="s">
        <v>1538</v>
      </c>
      <c r="G829" s="43">
        <v>1.0</v>
      </c>
      <c r="H829" s="43">
        <v>1.0</v>
      </c>
      <c r="I829" s="42"/>
      <c r="J829" s="22"/>
      <c r="K829" s="42"/>
    </row>
    <row r="830" ht="39.75" customHeight="1">
      <c r="A830" s="1">
        <v>829.0</v>
      </c>
      <c r="B830" s="2" t="s">
        <v>38</v>
      </c>
      <c r="C830" s="2"/>
      <c r="D830" s="13"/>
      <c r="E830" s="13"/>
      <c r="F830" s="45"/>
      <c r="G830" s="42"/>
      <c r="H830" s="42"/>
      <c r="I830" s="42"/>
      <c r="J830" s="22"/>
      <c r="K830" s="42"/>
    </row>
    <row r="831" ht="39.75" hidden="1" customHeight="1">
      <c r="A831" s="1">
        <v>830.0</v>
      </c>
      <c r="B831" s="2" t="s">
        <v>41</v>
      </c>
      <c r="C831" s="2" t="s">
        <v>58</v>
      </c>
      <c r="D831" s="13"/>
      <c r="E831" s="13"/>
      <c r="F831" s="45"/>
      <c r="G831" s="42"/>
      <c r="H831" s="42"/>
      <c r="I831" s="42"/>
      <c r="J831" s="22"/>
      <c r="K831" s="42"/>
    </row>
    <row r="832" ht="39.75" customHeight="1">
      <c r="A832" s="1">
        <v>831.0</v>
      </c>
      <c r="B832" s="2" t="s">
        <v>42</v>
      </c>
      <c r="C832" s="2"/>
      <c r="D832" s="13"/>
      <c r="E832" s="13"/>
      <c r="F832" s="44" t="s">
        <v>1539</v>
      </c>
      <c r="G832" s="43">
        <v>1.0</v>
      </c>
      <c r="H832" s="42"/>
      <c r="I832" s="42"/>
      <c r="J832" s="22"/>
      <c r="K832" s="42"/>
    </row>
    <row r="833" ht="39.75" customHeight="1">
      <c r="A833" s="1">
        <v>832.0</v>
      </c>
      <c r="B833" s="2" t="s">
        <v>43</v>
      </c>
      <c r="C833" s="2" t="s">
        <v>39</v>
      </c>
      <c r="D833" s="40">
        <v>0.2916666666666667</v>
      </c>
      <c r="E833" s="13"/>
      <c r="F833" s="44" t="s">
        <v>1540</v>
      </c>
      <c r="G833" s="43">
        <v>1.0</v>
      </c>
      <c r="H833" s="43">
        <v>1.0</v>
      </c>
      <c r="I833" s="42"/>
      <c r="J833" s="22"/>
      <c r="K833" s="42"/>
    </row>
    <row r="834" ht="39.75" hidden="1" customHeight="1">
      <c r="A834" s="1">
        <v>833.0</v>
      </c>
      <c r="B834" s="2" t="s">
        <v>45</v>
      </c>
      <c r="C834" s="2" t="s">
        <v>58</v>
      </c>
      <c r="D834" s="13"/>
      <c r="E834" s="13"/>
      <c r="F834" s="45"/>
      <c r="G834" s="42"/>
      <c r="H834" s="42"/>
      <c r="I834" s="42"/>
      <c r="J834" s="22"/>
      <c r="K834" s="42"/>
    </row>
    <row r="835" ht="39.75" customHeight="1">
      <c r="A835" s="1">
        <v>834.0</v>
      </c>
      <c r="B835" s="2" t="s">
        <v>46</v>
      </c>
      <c r="C835" s="2" t="s">
        <v>54</v>
      </c>
      <c r="D835" s="13"/>
      <c r="E835" s="13"/>
      <c r="F835" s="44" t="s">
        <v>1541</v>
      </c>
      <c r="G835" s="43">
        <v>1.0</v>
      </c>
      <c r="H835" s="42"/>
      <c r="I835" s="42"/>
      <c r="J835" s="22"/>
      <c r="K835" s="42"/>
    </row>
    <row r="836" ht="39.75" customHeight="1">
      <c r="A836" s="1">
        <v>835.0</v>
      </c>
      <c r="B836" s="2" t="s">
        <v>47</v>
      </c>
      <c r="C836" s="2" t="s">
        <v>69</v>
      </c>
      <c r="D836" s="13"/>
      <c r="E836" s="13"/>
      <c r="F836" s="44" t="s">
        <v>1542</v>
      </c>
      <c r="G836" s="43">
        <v>2.0</v>
      </c>
      <c r="H836" s="42"/>
      <c r="I836" s="43">
        <v>1.0</v>
      </c>
      <c r="J836" s="22"/>
      <c r="K836" s="42"/>
    </row>
    <row r="837" ht="39.75" customHeight="1">
      <c r="A837" s="1">
        <v>836.0</v>
      </c>
      <c r="B837" s="2" t="s">
        <v>48</v>
      </c>
      <c r="C837" s="13"/>
      <c r="D837" s="13"/>
      <c r="E837" s="13"/>
      <c r="F837" s="44" t="s">
        <v>1285</v>
      </c>
      <c r="G837" s="42"/>
      <c r="H837" s="42"/>
      <c r="I837" s="42"/>
      <c r="J837" s="22"/>
      <c r="K837" s="42"/>
    </row>
    <row r="838" ht="39.75" customHeight="1">
      <c r="A838" s="1">
        <v>837.0</v>
      </c>
      <c r="B838" s="21"/>
      <c r="C838" s="21"/>
      <c r="D838" s="21"/>
      <c r="E838" s="21"/>
      <c r="F838" s="46"/>
      <c r="G838" s="47"/>
      <c r="H838" s="47"/>
      <c r="I838" s="47"/>
      <c r="J838" s="48"/>
      <c r="K838" s="47"/>
      <c r="L838" s="49"/>
      <c r="M838" s="49"/>
      <c r="N838" s="49"/>
    </row>
    <row r="839" ht="39.75" hidden="1" customHeight="1">
      <c r="A839" s="1"/>
      <c r="B839" s="2" t="s">
        <v>12</v>
      </c>
      <c r="C839" s="21"/>
      <c r="D839" s="21"/>
      <c r="E839" s="21"/>
      <c r="F839" s="46"/>
      <c r="G839" s="62">
        <f>SUMIF(B3:B837,"*이동현*",G3:G837)</f>
        <v>12</v>
      </c>
      <c r="H839" s="47"/>
      <c r="I839" s="47"/>
      <c r="J839" s="48"/>
      <c r="K839" s="47"/>
      <c r="L839" s="49"/>
      <c r="M839" s="49"/>
      <c r="N839" s="49"/>
    </row>
    <row r="840" ht="39.75" hidden="1" customHeight="1">
      <c r="A840" s="1"/>
      <c r="B840" s="2" t="s">
        <v>16</v>
      </c>
      <c r="C840" s="21"/>
      <c r="D840" s="21"/>
      <c r="E840" s="21"/>
      <c r="F840" s="46"/>
      <c r="G840" s="62">
        <f>SUMIF(B4:B837,"*반일훈*",G4:G837)</f>
        <v>14</v>
      </c>
      <c r="H840" s="47"/>
      <c r="I840" s="47"/>
      <c r="J840" s="48"/>
      <c r="K840" s="47"/>
      <c r="L840" s="49"/>
      <c r="M840" s="49"/>
      <c r="N840" s="49"/>
    </row>
    <row r="841" ht="39.75" hidden="1" customHeight="1">
      <c r="A841" s="1"/>
      <c r="B841" s="2" t="s">
        <v>116</v>
      </c>
      <c r="C841" s="21"/>
      <c r="D841" s="21"/>
      <c r="E841" s="21"/>
      <c r="F841" s="46"/>
      <c r="G841" s="62">
        <f>SUMIF(B5:B837,"*김재식*",G5:G837)</f>
        <v>3</v>
      </c>
      <c r="H841" s="47"/>
      <c r="I841" s="47"/>
      <c r="J841" s="48"/>
      <c r="K841" s="47"/>
      <c r="L841" s="49"/>
      <c r="M841" s="49"/>
      <c r="N841" s="49"/>
    </row>
    <row r="842" ht="39.75" hidden="1" customHeight="1">
      <c r="A842" s="1"/>
      <c r="B842" s="2" t="s">
        <v>17</v>
      </c>
      <c r="C842" s="21"/>
      <c r="D842" s="21"/>
      <c r="E842" s="21"/>
      <c r="F842" s="46"/>
      <c r="G842" s="62">
        <f>SUMIF(B5:B837,"*신동환*",G5:G837)</f>
        <v>15</v>
      </c>
      <c r="H842" s="47"/>
      <c r="I842" s="47"/>
      <c r="J842" s="48"/>
      <c r="K842" s="47"/>
      <c r="L842" s="49"/>
      <c r="M842" s="49"/>
      <c r="N842" s="49"/>
    </row>
    <row r="843" ht="39.75" hidden="1" customHeight="1">
      <c r="A843" s="1"/>
      <c r="B843" s="2" t="s">
        <v>331</v>
      </c>
      <c r="C843" s="21"/>
      <c r="D843" s="21"/>
      <c r="E843" s="21"/>
      <c r="F843" s="46"/>
      <c r="G843" s="62">
        <f>SUMIF(B5:B837,"*장후원*",G5:G837)</f>
        <v>14</v>
      </c>
      <c r="H843" s="47"/>
      <c r="I843" s="47"/>
      <c r="J843" s="48"/>
      <c r="K843" s="47"/>
      <c r="L843" s="49"/>
      <c r="M843" s="49"/>
      <c r="N843" s="49"/>
    </row>
    <row r="844" ht="39.75" hidden="1" customHeight="1">
      <c r="A844" s="1"/>
      <c r="B844" s="2" t="s">
        <v>21</v>
      </c>
      <c r="C844" s="21"/>
      <c r="D844" s="21"/>
      <c r="E844" s="21"/>
      <c r="F844" s="46"/>
      <c r="G844" s="62">
        <f>SUMIF(B5:B837,"*구본준*",G5:G837)</f>
        <v>8</v>
      </c>
      <c r="H844" s="47"/>
      <c r="I844" s="47"/>
      <c r="J844" s="48"/>
      <c r="K844" s="47"/>
      <c r="L844" s="49"/>
      <c r="M844" s="49"/>
      <c r="N844" s="49"/>
    </row>
    <row r="845" ht="39.75" hidden="1" customHeight="1">
      <c r="A845" s="1"/>
      <c r="B845" s="2" t="s">
        <v>22</v>
      </c>
      <c r="C845" s="21"/>
      <c r="D845" s="21"/>
      <c r="E845" s="21"/>
      <c r="F845" s="46"/>
      <c r="G845" s="62">
        <f>SUMIF(B5:B837,"*이학진*",G5:G837)</f>
        <v>16</v>
      </c>
      <c r="H845" s="47"/>
      <c r="I845" s="47"/>
      <c r="J845" s="48"/>
      <c r="K845" s="47"/>
      <c r="L845" s="49"/>
      <c r="M845" s="49"/>
      <c r="N845" s="49"/>
    </row>
    <row r="846" ht="39.75" hidden="1" customHeight="1">
      <c r="A846" s="1"/>
      <c r="B846" s="2" t="s">
        <v>23</v>
      </c>
      <c r="C846" s="21"/>
      <c r="D846" s="21"/>
      <c r="E846" s="21"/>
      <c r="F846" s="46"/>
      <c r="G846" s="62">
        <f>SUMIF(B5:B837,"*황현우*",G5:G837)</f>
        <v>21</v>
      </c>
      <c r="H846" s="47"/>
      <c r="I846" s="47"/>
      <c r="J846" s="48"/>
      <c r="K846" s="47"/>
      <c r="L846" s="49"/>
      <c r="M846" s="49"/>
      <c r="N846" s="49"/>
    </row>
    <row r="847" ht="39.75" hidden="1" customHeight="1">
      <c r="A847" s="1"/>
      <c r="B847" s="2" t="s">
        <v>24</v>
      </c>
      <c r="C847" s="21"/>
      <c r="D847" s="21"/>
      <c r="E847" s="21"/>
      <c r="F847" s="46"/>
      <c r="G847" s="62">
        <f>SUMIF(B5:B837,"*김미란*",G5:G837)</f>
        <v>6</v>
      </c>
      <c r="H847" s="47"/>
      <c r="I847" s="47"/>
      <c r="J847" s="48"/>
      <c r="K847" s="47"/>
      <c r="L847" s="49"/>
      <c r="M847" s="49"/>
      <c r="N847" s="49"/>
    </row>
    <row r="848" ht="39.75" hidden="1" customHeight="1">
      <c r="A848" s="1"/>
      <c r="B848" s="2" t="s">
        <v>25</v>
      </c>
      <c r="C848" s="21"/>
      <c r="D848" s="21"/>
      <c r="E848" s="21"/>
      <c r="F848" s="46"/>
      <c r="G848" s="62">
        <f>SUMIF(B5:B837,"*유규열*",G5:G837)</f>
        <v>17</v>
      </c>
      <c r="H848" s="47"/>
      <c r="I848" s="47"/>
      <c r="J848" s="48"/>
      <c r="K848" s="47"/>
      <c r="L848" s="49"/>
      <c r="M848" s="49"/>
      <c r="N848" s="49"/>
    </row>
    <row r="849" ht="39.75" hidden="1" customHeight="1">
      <c r="A849" s="1"/>
      <c r="B849" s="2" t="s">
        <v>26</v>
      </c>
      <c r="C849" s="21"/>
      <c r="D849" s="21"/>
      <c r="E849" s="21"/>
      <c r="F849" s="46"/>
      <c r="G849" s="62">
        <f>SUMIF(B5:B837,"*김준택*",G5:G837)</f>
        <v>18</v>
      </c>
      <c r="H849" s="47"/>
      <c r="I849" s="47"/>
      <c r="J849" s="48"/>
      <c r="K849" s="47"/>
      <c r="L849" s="49"/>
      <c r="M849" s="49"/>
      <c r="N849" s="49"/>
    </row>
    <row r="850" ht="39.75" hidden="1" customHeight="1">
      <c r="A850" s="1"/>
      <c r="B850" s="2" t="s">
        <v>29</v>
      </c>
      <c r="C850" s="21"/>
      <c r="D850" s="21"/>
      <c r="E850" s="21"/>
      <c r="F850" s="46"/>
      <c r="G850" s="62">
        <f>SUMIF(B5:B837,"*방극철*",G5:G837)</f>
        <v>19</v>
      </c>
      <c r="H850" s="47"/>
      <c r="I850" s="47"/>
      <c r="J850" s="48"/>
      <c r="K850" s="47"/>
      <c r="L850" s="49"/>
      <c r="M850" s="49"/>
      <c r="N850" s="49"/>
    </row>
    <row r="851" ht="39.75" hidden="1" customHeight="1">
      <c r="A851" s="1"/>
      <c r="B851" s="2" t="s">
        <v>30</v>
      </c>
      <c r="C851" s="21"/>
      <c r="D851" s="21"/>
      <c r="E851" s="21"/>
      <c r="F851" s="46"/>
      <c r="G851" s="62">
        <f>SUMIF(B5:B837,"*홍승재*",G5:G837)</f>
        <v>4</v>
      </c>
      <c r="H851" s="47"/>
      <c r="I851" s="47"/>
      <c r="J851" s="48"/>
      <c r="K851" s="47"/>
      <c r="L851" s="49"/>
      <c r="M851" s="49"/>
      <c r="N851" s="49"/>
    </row>
    <row r="852" ht="39.75" hidden="1" customHeight="1">
      <c r="A852" s="1"/>
      <c r="B852" s="2" t="s">
        <v>31</v>
      </c>
      <c r="C852" s="21"/>
      <c r="D852" s="21"/>
      <c r="E852" s="21"/>
      <c r="F852" s="46"/>
      <c r="G852" s="62">
        <f>SUMIF(B5:B837,"*이   경*",G5:G837)</f>
        <v>27</v>
      </c>
      <c r="H852" s="47"/>
      <c r="I852" s="47"/>
      <c r="J852" s="48"/>
      <c r="K852" s="47"/>
      <c r="L852" s="49"/>
      <c r="M852" s="49"/>
      <c r="N852" s="49"/>
    </row>
    <row r="853" ht="39.75" hidden="1" customHeight="1">
      <c r="A853" s="1"/>
      <c r="B853" s="2" t="s">
        <v>32</v>
      </c>
      <c r="C853" s="21"/>
      <c r="D853" s="21"/>
      <c r="E853" s="21"/>
      <c r="F853" s="46"/>
      <c r="G853" s="62">
        <f>SUMIF(B5:B837,"*정상원*",G5:G837)</f>
        <v>14</v>
      </c>
      <c r="H853" s="47"/>
      <c r="I853" s="47"/>
      <c r="J853" s="48"/>
      <c r="K853" s="47"/>
      <c r="L853" s="49"/>
      <c r="M853" s="49"/>
      <c r="N853" s="49"/>
    </row>
    <row r="854" ht="39.75" hidden="1" customHeight="1">
      <c r="A854" s="1"/>
      <c r="B854" s="2" t="s">
        <v>67</v>
      </c>
      <c r="C854" s="21"/>
      <c r="D854" s="21"/>
      <c r="E854" s="21"/>
      <c r="F854" s="46"/>
      <c r="G854" s="62">
        <f>SUMIF(B5:B837,"*이주원*",G5:G837)</f>
        <v>19</v>
      </c>
      <c r="H854" s="47"/>
      <c r="I854" s="47"/>
      <c r="J854" s="48"/>
      <c r="K854" s="47"/>
      <c r="L854" s="49"/>
      <c r="M854" s="49"/>
      <c r="N854" s="49"/>
    </row>
    <row r="855" ht="39.75" hidden="1" customHeight="1">
      <c r="A855" s="1"/>
      <c r="B855" s="2" t="s">
        <v>35</v>
      </c>
      <c r="C855" s="21"/>
      <c r="D855" s="21"/>
      <c r="E855" s="21"/>
      <c r="F855" s="46"/>
      <c r="G855" s="62">
        <f>SUMIF(B5:B837,"*최무룡*",G5:G837)</f>
        <v>18</v>
      </c>
      <c r="H855" s="47"/>
      <c r="I855" s="47"/>
      <c r="J855" s="48"/>
      <c r="K855" s="47"/>
      <c r="L855" s="49"/>
      <c r="M855" s="49"/>
      <c r="N855" s="49"/>
    </row>
    <row r="856" ht="39.75" hidden="1" customHeight="1">
      <c r="A856" s="1"/>
      <c r="B856" s="2" t="s">
        <v>36</v>
      </c>
      <c r="C856" s="21"/>
      <c r="D856" s="21"/>
      <c r="E856" s="21"/>
      <c r="F856" s="46"/>
      <c r="G856" s="62">
        <f>SUMIF(B5:B837,"*정철원*",G5:G837)</f>
        <v>23</v>
      </c>
      <c r="H856" s="47"/>
      <c r="I856" s="47"/>
      <c r="J856" s="48"/>
      <c r="K856" s="47"/>
      <c r="L856" s="49"/>
      <c r="M856" s="49"/>
      <c r="N856" s="49"/>
    </row>
    <row r="857" ht="39.75" hidden="1" customHeight="1">
      <c r="A857" s="1"/>
      <c r="B857" s="2" t="s">
        <v>38</v>
      </c>
      <c r="C857" s="21"/>
      <c r="D857" s="21"/>
      <c r="E857" s="21"/>
      <c r="F857" s="46"/>
      <c r="G857" s="62">
        <f>SUMIF(B5:B837,"*김진광*",G5:G837)</f>
        <v>14</v>
      </c>
      <c r="H857" s="47"/>
      <c r="I857" s="47"/>
      <c r="J857" s="48"/>
      <c r="K857" s="47"/>
      <c r="L857" s="49"/>
      <c r="M857" s="49"/>
      <c r="N857" s="49"/>
    </row>
    <row r="858" ht="39.75" hidden="1" customHeight="1">
      <c r="A858" s="1"/>
      <c r="B858" s="2" t="s">
        <v>41</v>
      </c>
      <c r="C858" s="21"/>
      <c r="D858" s="21"/>
      <c r="E858" s="21"/>
      <c r="F858" s="46"/>
      <c r="G858" s="62">
        <f>SUMIF(B5:B837,"*조용희*",G5:G837)</f>
        <v>7</v>
      </c>
      <c r="H858" s="47"/>
      <c r="I858" s="47"/>
      <c r="J858" s="48"/>
      <c r="K858" s="47"/>
      <c r="L858" s="49"/>
      <c r="M858" s="49"/>
      <c r="N858" s="49"/>
    </row>
    <row r="859" ht="39.75" hidden="1" customHeight="1">
      <c r="A859" s="1"/>
      <c r="B859" s="2" t="s">
        <v>42</v>
      </c>
      <c r="C859" s="21"/>
      <c r="D859" s="21"/>
      <c r="E859" s="21"/>
      <c r="F859" s="46"/>
      <c r="G859" s="62">
        <f>SUMIF(B5:B837,"*이완근*",G5:G837)</f>
        <v>22</v>
      </c>
      <c r="H859" s="47"/>
      <c r="I859" s="47"/>
      <c r="J859" s="48"/>
      <c r="K859" s="47"/>
      <c r="L859" s="49"/>
      <c r="M859" s="49"/>
      <c r="N859" s="49"/>
    </row>
    <row r="860" ht="39.75" hidden="1" customHeight="1">
      <c r="A860" s="1"/>
      <c r="B860" s="2" t="s">
        <v>43</v>
      </c>
      <c r="C860" s="21"/>
      <c r="D860" s="21"/>
      <c r="E860" s="21"/>
      <c r="F860" s="46"/>
      <c r="G860" s="62">
        <f>SUMIF(B5:B837,"*박대권*",G5:G837)</f>
        <v>22</v>
      </c>
      <c r="H860" s="47"/>
      <c r="I860" s="47"/>
      <c r="J860" s="48"/>
      <c r="K860" s="47"/>
      <c r="L860" s="49"/>
      <c r="M860" s="49"/>
      <c r="N860" s="49"/>
    </row>
    <row r="861" ht="39.75" hidden="1" customHeight="1">
      <c r="A861" s="1"/>
      <c r="B861" s="2" t="s">
        <v>45</v>
      </c>
      <c r="C861" s="21"/>
      <c r="D861" s="21"/>
      <c r="E861" s="21"/>
      <c r="F861" s="46"/>
      <c r="G861" s="62">
        <f>SUMIF(B5:B837,"*김대호*",G5:G837)</f>
        <v>18</v>
      </c>
      <c r="H861" s="47"/>
      <c r="I861" s="47"/>
      <c r="J861" s="48"/>
      <c r="K861" s="47"/>
      <c r="L861" s="49"/>
      <c r="M861" s="49"/>
      <c r="N861" s="49"/>
    </row>
    <row r="862" ht="39.75" hidden="1" customHeight="1">
      <c r="A862" s="1"/>
      <c r="B862" s="2" t="s">
        <v>46</v>
      </c>
      <c r="C862" s="21"/>
      <c r="D862" s="21"/>
      <c r="E862" s="21"/>
      <c r="F862" s="46"/>
      <c r="G862" s="62">
        <f>SUMIF(B5:B837,"*이현일*",G5:G837)</f>
        <v>11</v>
      </c>
      <c r="H862" s="47"/>
      <c r="I862" s="47"/>
      <c r="J862" s="48"/>
      <c r="K862" s="47"/>
      <c r="L862" s="49"/>
      <c r="M862" s="49"/>
      <c r="N862" s="49"/>
    </row>
    <row r="863" ht="39.75" hidden="1" customHeight="1">
      <c r="A863" s="1"/>
      <c r="B863" s="2" t="s">
        <v>47</v>
      </c>
      <c r="C863" s="21"/>
      <c r="D863" s="21"/>
      <c r="E863" s="21"/>
      <c r="F863" s="46"/>
      <c r="G863" s="62">
        <f>SUMIF(B5:B837,"*유연경*",G5:G837)</f>
        <v>18</v>
      </c>
      <c r="H863" s="47"/>
      <c r="I863" s="47"/>
      <c r="J863" s="48"/>
      <c r="K863" s="47"/>
      <c r="L863" s="49"/>
      <c r="M863" s="49"/>
      <c r="N863" s="49"/>
    </row>
    <row r="864" ht="39.75" hidden="1" customHeight="1">
      <c r="A864" s="1"/>
      <c r="B864" s="2" t="s">
        <v>48</v>
      </c>
      <c r="C864" s="21"/>
      <c r="D864" s="21"/>
      <c r="E864" s="21"/>
      <c r="F864" s="46"/>
      <c r="G864" s="62">
        <f>SUMIF(B5:B837,"*정재우*",G5:G837)</f>
        <v>24</v>
      </c>
      <c r="H864" s="47"/>
      <c r="I864" s="47"/>
      <c r="J864" s="48"/>
      <c r="K864" s="47"/>
      <c r="L864" s="49"/>
      <c r="M864" s="49"/>
      <c r="N864" s="49"/>
    </row>
  </sheetData>
  <mergeCells count="31">
    <mergeCell ref="L2:N27"/>
    <mergeCell ref="L29:N54"/>
    <mergeCell ref="L56:N81"/>
    <mergeCell ref="L83:N108"/>
    <mergeCell ref="L110:N135"/>
    <mergeCell ref="L137:N162"/>
    <mergeCell ref="L164:N189"/>
    <mergeCell ref="L191:N216"/>
    <mergeCell ref="L218:N243"/>
    <mergeCell ref="L245:N270"/>
    <mergeCell ref="L272:N297"/>
    <mergeCell ref="L299:N324"/>
    <mergeCell ref="L326:N351"/>
    <mergeCell ref="L353:N378"/>
    <mergeCell ref="L380:N405"/>
    <mergeCell ref="L407:N432"/>
    <mergeCell ref="L434:N459"/>
    <mergeCell ref="L461:N486"/>
    <mergeCell ref="L488:N513"/>
    <mergeCell ref="L515:N540"/>
    <mergeCell ref="L542:N567"/>
    <mergeCell ref="L758:N783"/>
    <mergeCell ref="L785:N810"/>
    <mergeCell ref="L812:N837"/>
    <mergeCell ref="L569:N594"/>
    <mergeCell ref="L596:N621"/>
    <mergeCell ref="L623:N648"/>
    <mergeCell ref="L650:N675"/>
    <mergeCell ref="L677:N702"/>
    <mergeCell ref="L704:N729"/>
    <mergeCell ref="L731:N756"/>
  </mergeCells>
  <conditionalFormatting sqref="B2:I864">
    <cfRule type="expression" dxfId="6" priority="1">
      <formula>$C2="휴가"</formula>
    </cfRule>
  </conditionalFormatting>
  <conditionalFormatting sqref="B2:I864">
    <cfRule type="expression" dxfId="6" priority="2">
      <formula>$C2="휴무"</formula>
    </cfRule>
  </conditionalFormatting>
  <conditionalFormatting sqref="B2:I864">
    <cfRule type="expression" dxfId="6" priority="3">
      <formula>$C2="제크"</formula>
    </cfRule>
  </conditionalFormatting>
  <conditionalFormatting sqref="B2:I864">
    <cfRule type="expression" dxfId="7" priority="4">
      <formula>$C2="야퇴"</formula>
    </cfRule>
  </conditionalFormatting>
  <conditionalFormatting sqref="B2:I864">
    <cfRule type="expression" dxfId="8" priority="5">
      <formula>$C2="대통령실"</formula>
    </cfRule>
  </conditionalFormatting>
  <conditionalFormatting sqref="B2:I864">
    <cfRule type="expression" dxfId="8" priority="6">
      <formula>$C2="헌법재판소"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8.25"/>
    <col customWidth="1" min="3" max="3" width="10.75"/>
    <col customWidth="1" min="4" max="5" width="8.88"/>
    <col customWidth="1" min="6" max="6" width="50.13"/>
    <col customWidth="1" min="7" max="7" width="8.88"/>
    <col customWidth="1" min="8" max="8" width="10.63"/>
    <col customWidth="1" min="9" max="9" width="11.38"/>
    <col customWidth="1" min="10" max="10" width="8.5"/>
    <col customWidth="1" min="11" max="11" width="11.38"/>
    <col customWidth="1" min="12" max="14" width="12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36"/>
      <c r="K1" s="2" t="s">
        <v>1160</v>
      </c>
      <c r="L1" s="37" t="s">
        <v>490</v>
      </c>
      <c r="M1" s="38" t="s">
        <v>10</v>
      </c>
      <c r="N1" s="39" t="s">
        <v>11</v>
      </c>
    </row>
    <row r="2" ht="39.75" customHeight="1">
      <c r="A2" s="1">
        <v>1.0</v>
      </c>
      <c r="B2" s="2" t="s">
        <v>12</v>
      </c>
      <c r="C2" s="2" t="s">
        <v>62</v>
      </c>
      <c r="D2" s="40"/>
      <c r="E2" s="40"/>
      <c r="F2" s="44" t="s">
        <v>1543</v>
      </c>
      <c r="G2" s="43">
        <v>1.0</v>
      </c>
      <c r="H2" s="42"/>
      <c r="I2" s="42"/>
      <c r="J2" s="14" t="s">
        <v>1544</v>
      </c>
      <c r="K2" s="43"/>
      <c r="L2" s="15" t="s">
        <v>15</v>
      </c>
    </row>
    <row r="3" ht="39.75" hidden="1" customHeight="1">
      <c r="A3" s="1">
        <v>2.0</v>
      </c>
      <c r="B3" s="2" t="s">
        <v>16</v>
      </c>
      <c r="C3" s="2" t="s">
        <v>58</v>
      </c>
      <c r="D3" s="13"/>
      <c r="E3" s="13"/>
      <c r="F3" s="44"/>
      <c r="G3" s="42"/>
      <c r="H3" s="42"/>
      <c r="I3" s="42"/>
      <c r="J3" s="14" t="s">
        <v>15</v>
      </c>
      <c r="K3" s="43"/>
    </row>
    <row r="4" ht="39.75" customHeight="1">
      <c r="A4" s="1">
        <v>3.0</v>
      </c>
      <c r="B4" s="2" t="s">
        <v>116</v>
      </c>
      <c r="C4" s="2" t="s">
        <v>44</v>
      </c>
      <c r="D4" s="13"/>
      <c r="E4" s="13"/>
      <c r="F4" s="44"/>
      <c r="G4" s="42"/>
      <c r="H4" s="42"/>
      <c r="I4" s="42"/>
      <c r="J4" s="14" t="s">
        <v>77</v>
      </c>
      <c r="K4" s="43"/>
    </row>
    <row r="5" ht="39.75" customHeight="1">
      <c r="A5" s="1">
        <v>4.0</v>
      </c>
      <c r="B5" s="2" t="s">
        <v>331</v>
      </c>
      <c r="C5" s="2" t="s">
        <v>542</v>
      </c>
      <c r="D5" s="13"/>
      <c r="E5" s="13"/>
      <c r="F5" s="44" t="s">
        <v>1545</v>
      </c>
      <c r="G5" s="43">
        <v>1.0</v>
      </c>
      <c r="H5" s="42"/>
      <c r="I5" s="42"/>
      <c r="J5" s="14"/>
      <c r="K5" s="43"/>
    </row>
    <row r="6" ht="39.75" hidden="1" customHeight="1">
      <c r="A6" s="1">
        <v>5.0</v>
      </c>
      <c r="B6" s="2" t="s">
        <v>21</v>
      </c>
      <c r="C6" s="2" t="s">
        <v>58</v>
      </c>
      <c r="D6" s="13"/>
      <c r="E6" s="13"/>
      <c r="F6" s="45"/>
      <c r="G6" s="42"/>
      <c r="H6" s="42"/>
      <c r="I6" s="42"/>
      <c r="J6" s="14"/>
      <c r="K6" s="43"/>
    </row>
    <row r="7" ht="39.75" customHeight="1">
      <c r="A7" s="1">
        <v>6.0</v>
      </c>
      <c r="B7" s="2" t="s">
        <v>22</v>
      </c>
      <c r="C7" s="2" t="s">
        <v>54</v>
      </c>
      <c r="D7" s="13"/>
      <c r="E7" s="13"/>
      <c r="F7" s="45"/>
      <c r="G7" s="42"/>
      <c r="H7" s="42"/>
      <c r="I7" s="42"/>
      <c r="J7" s="14"/>
      <c r="K7" s="43"/>
    </row>
    <row r="8" ht="39.75" hidden="1" customHeight="1">
      <c r="A8" s="1">
        <v>7.0</v>
      </c>
      <c r="B8" s="2" t="s">
        <v>23</v>
      </c>
      <c r="C8" s="2" t="s">
        <v>58</v>
      </c>
      <c r="D8" s="13"/>
      <c r="E8" s="13"/>
      <c r="F8" s="44"/>
      <c r="G8" s="42"/>
      <c r="H8" s="42"/>
      <c r="I8" s="42"/>
      <c r="J8" s="14"/>
      <c r="K8" s="43"/>
    </row>
    <row r="9" ht="39.75" customHeight="1">
      <c r="A9" s="1">
        <v>8.0</v>
      </c>
      <c r="B9" s="2" t="s">
        <v>24</v>
      </c>
      <c r="C9" s="2" t="s">
        <v>277</v>
      </c>
      <c r="D9" s="13"/>
      <c r="E9" s="13"/>
      <c r="F9" s="45"/>
      <c r="G9" s="42"/>
      <c r="H9" s="42"/>
      <c r="I9" s="42"/>
      <c r="J9" s="14"/>
      <c r="K9" s="43"/>
    </row>
    <row r="10" ht="39.75" hidden="1" customHeight="1">
      <c r="A10" s="1">
        <v>9.0</v>
      </c>
      <c r="B10" s="2" t="s">
        <v>25</v>
      </c>
      <c r="C10" s="2" t="s">
        <v>58</v>
      </c>
      <c r="D10" s="13"/>
      <c r="E10" s="13"/>
      <c r="F10" s="44"/>
      <c r="G10" s="42"/>
      <c r="H10" s="43"/>
      <c r="I10" s="43"/>
      <c r="J10" s="14"/>
      <c r="K10" s="43"/>
    </row>
    <row r="11" ht="39.75" customHeight="1">
      <c r="A11" s="1">
        <v>10.0</v>
      </c>
      <c r="B11" s="2" t="s">
        <v>26</v>
      </c>
      <c r="C11" s="2" t="s">
        <v>69</v>
      </c>
      <c r="D11" s="13"/>
      <c r="E11" s="40">
        <v>0.8402777777777778</v>
      </c>
      <c r="F11" s="44" t="s">
        <v>1546</v>
      </c>
      <c r="G11" s="43">
        <v>1.0</v>
      </c>
      <c r="H11" s="42"/>
      <c r="I11" s="42"/>
      <c r="J11" s="14"/>
      <c r="K11" s="43"/>
    </row>
    <row r="12" ht="39.75" customHeight="1">
      <c r="A12" s="1">
        <v>11.0</v>
      </c>
      <c r="B12" s="2" t="s">
        <v>29</v>
      </c>
      <c r="C12" s="2" t="s">
        <v>27</v>
      </c>
      <c r="D12" s="13"/>
      <c r="E12" s="13"/>
      <c r="F12" s="44" t="s">
        <v>1547</v>
      </c>
      <c r="G12" s="43">
        <v>1.0</v>
      </c>
      <c r="H12" s="42"/>
      <c r="I12" s="42"/>
      <c r="J12" s="14"/>
      <c r="K12" s="43"/>
    </row>
    <row r="13" ht="39.75" customHeight="1">
      <c r="A13" s="1">
        <v>12.0</v>
      </c>
      <c r="B13" s="2" t="s">
        <v>30</v>
      </c>
      <c r="C13" s="2" t="s">
        <v>64</v>
      </c>
      <c r="D13" s="13"/>
      <c r="E13" s="13"/>
      <c r="F13" s="44" t="s">
        <v>1548</v>
      </c>
      <c r="G13" s="42"/>
      <c r="H13" s="42"/>
      <c r="I13" s="42"/>
      <c r="J13" s="14"/>
      <c r="K13" s="43"/>
    </row>
    <row r="14" ht="39.75" customHeight="1">
      <c r="A14" s="1">
        <v>13.0</v>
      </c>
      <c r="B14" s="2" t="s">
        <v>31</v>
      </c>
      <c r="C14" s="2" t="s">
        <v>69</v>
      </c>
      <c r="D14" s="13"/>
      <c r="E14" s="13"/>
      <c r="F14" s="44" t="s">
        <v>1549</v>
      </c>
      <c r="G14" s="43">
        <v>3.0</v>
      </c>
      <c r="H14" s="42"/>
      <c r="I14" s="43">
        <v>2.0</v>
      </c>
      <c r="J14" s="14"/>
      <c r="K14" s="43"/>
    </row>
    <row r="15" ht="39.75" customHeight="1">
      <c r="A15" s="1">
        <v>14.0</v>
      </c>
      <c r="B15" s="2" t="s">
        <v>32</v>
      </c>
      <c r="C15" s="2" t="s">
        <v>54</v>
      </c>
      <c r="D15" s="13"/>
      <c r="E15" s="13"/>
      <c r="F15" s="45"/>
      <c r="G15" s="42"/>
      <c r="H15" s="42"/>
      <c r="I15" s="42"/>
      <c r="J15" s="14"/>
      <c r="K15" s="43"/>
    </row>
    <row r="16" ht="39.75" customHeight="1">
      <c r="A16" s="1">
        <v>15.0</v>
      </c>
      <c r="B16" s="2" t="s">
        <v>67</v>
      </c>
      <c r="C16" s="2" t="s">
        <v>39</v>
      </c>
      <c r="D16" s="13"/>
      <c r="E16" s="13"/>
      <c r="F16" s="44" t="s">
        <v>1550</v>
      </c>
      <c r="G16" s="43">
        <v>1.0</v>
      </c>
      <c r="H16" s="42"/>
      <c r="I16" s="43">
        <v>1.0</v>
      </c>
      <c r="J16" s="14"/>
      <c r="K16" s="43"/>
    </row>
    <row r="17" ht="39.75" customHeight="1">
      <c r="A17" s="1">
        <v>16.0</v>
      </c>
      <c r="B17" s="2" t="s">
        <v>34</v>
      </c>
      <c r="C17" s="2"/>
      <c r="D17" s="13"/>
      <c r="E17" s="13"/>
      <c r="F17" s="44" t="s">
        <v>1551</v>
      </c>
      <c r="G17" s="43">
        <v>1.0</v>
      </c>
      <c r="H17" s="43"/>
      <c r="I17" s="43"/>
      <c r="J17" s="14"/>
      <c r="K17" s="43"/>
    </row>
    <row r="18" ht="39.75" customHeight="1">
      <c r="A18" s="1">
        <v>17.0</v>
      </c>
      <c r="B18" s="2" t="s">
        <v>35</v>
      </c>
      <c r="C18" s="2"/>
      <c r="D18" s="13"/>
      <c r="E18" s="13"/>
      <c r="F18" s="44" t="s">
        <v>1552</v>
      </c>
      <c r="G18" s="43">
        <v>1.0</v>
      </c>
      <c r="H18" s="42"/>
      <c r="I18" s="42"/>
      <c r="J18" s="14"/>
      <c r="K18" s="43"/>
    </row>
    <row r="19" ht="39.75" customHeight="1">
      <c r="A19" s="1">
        <v>18.0</v>
      </c>
      <c r="B19" s="2" t="s">
        <v>36</v>
      </c>
      <c r="C19" s="2"/>
      <c r="D19" s="13"/>
      <c r="E19" s="13"/>
      <c r="F19" s="44" t="s">
        <v>1553</v>
      </c>
      <c r="G19" s="43">
        <v>1.0</v>
      </c>
      <c r="H19" s="43">
        <v>1.0</v>
      </c>
      <c r="I19" s="42"/>
      <c r="J19" s="14"/>
      <c r="K19" s="43"/>
    </row>
    <row r="20" ht="39.75" customHeight="1">
      <c r="A20" s="1">
        <v>19.0</v>
      </c>
      <c r="B20" s="2" t="s">
        <v>38</v>
      </c>
      <c r="C20" s="2"/>
      <c r="D20" s="13"/>
      <c r="E20" s="13"/>
      <c r="F20" s="44" t="s">
        <v>1554</v>
      </c>
      <c r="G20" s="43">
        <v>1.0</v>
      </c>
      <c r="H20" s="42"/>
      <c r="I20" s="43">
        <v>1.0</v>
      </c>
      <c r="J20" s="14"/>
      <c r="K20" s="43"/>
    </row>
    <row r="21" ht="39.75" hidden="1" customHeight="1">
      <c r="A21" s="1">
        <v>20.0</v>
      </c>
      <c r="B21" s="2" t="s">
        <v>41</v>
      </c>
      <c r="C21" s="2" t="s">
        <v>58</v>
      </c>
      <c r="D21" s="13"/>
      <c r="E21" s="13"/>
      <c r="F21" s="44"/>
      <c r="G21" s="42"/>
      <c r="H21" s="42"/>
      <c r="I21" s="42"/>
      <c r="J21" s="14"/>
      <c r="K21" s="43"/>
    </row>
    <row r="22" ht="39.75" customHeight="1">
      <c r="A22" s="1">
        <v>21.0</v>
      </c>
      <c r="B22" s="2" t="s">
        <v>42</v>
      </c>
      <c r="C22" s="2" t="s">
        <v>69</v>
      </c>
      <c r="D22" s="13"/>
      <c r="E22" s="40">
        <v>0.8333333333333334</v>
      </c>
      <c r="F22" s="44" t="s">
        <v>1555</v>
      </c>
      <c r="G22" s="43">
        <v>1.0</v>
      </c>
      <c r="H22" s="42"/>
      <c r="I22" s="42"/>
      <c r="J22" s="14"/>
      <c r="K22" s="43"/>
    </row>
    <row r="23" ht="39.75" customHeight="1">
      <c r="A23" s="1">
        <v>22.0</v>
      </c>
      <c r="B23" s="2" t="s">
        <v>43</v>
      </c>
      <c r="C23" s="2"/>
      <c r="D23" s="13"/>
      <c r="E23" s="13"/>
      <c r="F23" s="44" t="s">
        <v>1540</v>
      </c>
      <c r="G23" s="43">
        <v>1.0</v>
      </c>
      <c r="H23" s="43">
        <v>1.0</v>
      </c>
      <c r="I23" s="42"/>
      <c r="J23" s="14"/>
      <c r="K23" s="43"/>
    </row>
    <row r="24" ht="39.75" customHeight="1">
      <c r="A24" s="1">
        <v>23.0</v>
      </c>
      <c r="B24" s="2" t="s">
        <v>45</v>
      </c>
      <c r="C24" s="2"/>
      <c r="D24" s="13"/>
      <c r="E24" s="13"/>
      <c r="F24" s="44"/>
      <c r="G24" s="42"/>
      <c r="H24" s="42"/>
      <c r="I24" s="42"/>
      <c r="J24" s="14"/>
      <c r="K24" s="43"/>
    </row>
    <row r="25" ht="39.75" customHeight="1">
      <c r="A25" s="1">
        <v>24.0</v>
      </c>
      <c r="B25" s="2" t="s">
        <v>46</v>
      </c>
      <c r="C25" s="2" t="s">
        <v>54</v>
      </c>
      <c r="D25" s="40"/>
      <c r="E25" s="13"/>
      <c r="F25" s="44" t="s">
        <v>1556</v>
      </c>
      <c r="G25" s="42"/>
      <c r="H25" s="42"/>
      <c r="I25" s="42"/>
      <c r="J25" s="14"/>
      <c r="K25" s="43"/>
    </row>
    <row r="26" ht="39.75" customHeight="1">
      <c r="A26" s="1">
        <v>25.0</v>
      </c>
      <c r="B26" s="2" t="s">
        <v>47</v>
      </c>
      <c r="C26" s="2" t="s">
        <v>39</v>
      </c>
      <c r="D26" s="13"/>
      <c r="E26" s="13"/>
      <c r="F26" s="44" t="s">
        <v>1557</v>
      </c>
      <c r="G26" s="43">
        <v>1.0</v>
      </c>
      <c r="H26" s="42"/>
      <c r="I26" s="43">
        <v>1.0</v>
      </c>
      <c r="J26" s="14"/>
      <c r="K26" s="43"/>
    </row>
    <row r="27" ht="39.75" customHeight="1">
      <c r="A27" s="1">
        <v>26.0</v>
      </c>
      <c r="B27" s="2" t="s">
        <v>48</v>
      </c>
      <c r="C27" s="2" t="s">
        <v>54</v>
      </c>
      <c r="D27" s="13"/>
      <c r="E27" s="13"/>
      <c r="F27" s="44" t="s">
        <v>1558</v>
      </c>
      <c r="G27" s="43">
        <v>1.0</v>
      </c>
      <c r="H27" s="42"/>
      <c r="I27" s="42"/>
      <c r="J27" s="14"/>
      <c r="K27" s="43"/>
    </row>
    <row r="28" ht="39.75" customHeight="1">
      <c r="A28" s="1">
        <v>27.0</v>
      </c>
      <c r="B28" s="21"/>
      <c r="C28" s="21"/>
      <c r="D28" s="21"/>
      <c r="E28" s="21"/>
      <c r="F28" s="46"/>
      <c r="G28" s="47"/>
      <c r="H28" s="47"/>
      <c r="I28" s="47"/>
      <c r="J28" s="48"/>
      <c r="K28" s="47"/>
      <c r="L28" s="49"/>
      <c r="M28" s="49"/>
      <c r="N28" s="49"/>
    </row>
    <row r="29" ht="39.75" hidden="1" customHeight="1">
      <c r="A29" s="1">
        <v>28.0</v>
      </c>
      <c r="B29" s="2" t="s">
        <v>12</v>
      </c>
      <c r="C29" s="2" t="s">
        <v>58</v>
      </c>
      <c r="D29" s="13"/>
      <c r="E29" s="13"/>
      <c r="F29" s="45"/>
      <c r="G29" s="42"/>
      <c r="H29" s="42"/>
      <c r="I29" s="42"/>
      <c r="J29" s="14" t="s">
        <v>1544</v>
      </c>
      <c r="K29" s="43"/>
      <c r="L29" s="15" t="s">
        <v>52</v>
      </c>
    </row>
    <row r="30" ht="39.75" customHeight="1">
      <c r="A30" s="1">
        <v>29.0</v>
      </c>
      <c r="B30" s="2" t="s">
        <v>16</v>
      </c>
      <c r="C30" s="2" t="s">
        <v>39</v>
      </c>
      <c r="D30" s="13"/>
      <c r="E30" s="13"/>
      <c r="F30" s="44" t="s">
        <v>1559</v>
      </c>
      <c r="G30" s="43">
        <v>1.0</v>
      </c>
      <c r="H30" s="42"/>
      <c r="I30" s="42"/>
      <c r="J30" s="14" t="s">
        <v>52</v>
      </c>
      <c r="K30" s="43"/>
    </row>
    <row r="31" ht="39.75" customHeight="1">
      <c r="A31" s="1">
        <v>30.0</v>
      </c>
      <c r="B31" s="2" t="s">
        <v>116</v>
      </c>
      <c r="C31" s="2"/>
      <c r="D31" s="13"/>
      <c r="E31" s="13"/>
      <c r="F31" s="44" t="s">
        <v>1560</v>
      </c>
      <c r="G31" s="43">
        <v>1.0</v>
      </c>
      <c r="H31" s="42"/>
      <c r="I31" s="42"/>
      <c r="J31" s="14" t="s">
        <v>95</v>
      </c>
      <c r="K31" s="43"/>
    </row>
    <row r="32" ht="39.75" customHeight="1">
      <c r="A32" s="1">
        <v>31.0</v>
      </c>
      <c r="B32" s="2" t="s">
        <v>331</v>
      </c>
      <c r="C32" s="2" t="s">
        <v>542</v>
      </c>
      <c r="D32" s="13"/>
      <c r="E32" s="13"/>
      <c r="F32" s="45"/>
      <c r="G32" s="42"/>
      <c r="H32" s="42"/>
      <c r="I32" s="42"/>
      <c r="J32" s="14"/>
      <c r="K32" s="43"/>
    </row>
    <row r="33" ht="39.75" customHeight="1">
      <c r="A33" s="1">
        <v>32.0</v>
      </c>
      <c r="B33" s="2" t="s">
        <v>21</v>
      </c>
      <c r="C33" s="2" t="s">
        <v>277</v>
      </c>
      <c r="D33" s="13"/>
      <c r="E33" s="13"/>
      <c r="F33" s="45"/>
      <c r="G33" s="42"/>
      <c r="H33" s="42"/>
      <c r="I33" s="42"/>
      <c r="J33" s="14"/>
      <c r="K33" s="43"/>
    </row>
    <row r="34" ht="39.75" customHeight="1">
      <c r="A34" s="1">
        <v>33.0</v>
      </c>
      <c r="B34" s="2" t="s">
        <v>22</v>
      </c>
      <c r="C34" s="2" t="s">
        <v>54</v>
      </c>
      <c r="D34" s="13"/>
      <c r="E34" s="13"/>
      <c r="F34" s="44" t="s">
        <v>1561</v>
      </c>
      <c r="G34" s="43">
        <v>2.0</v>
      </c>
      <c r="H34" s="42"/>
      <c r="I34" s="42"/>
      <c r="J34" s="14"/>
      <c r="K34" s="43"/>
    </row>
    <row r="35" ht="39.75" customHeight="1">
      <c r="A35" s="1">
        <v>34.0</v>
      </c>
      <c r="B35" s="2" t="s">
        <v>23</v>
      </c>
      <c r="C35" s="13"/>
      <c r="D35" s="13"/>
      <c r="E35" s="51">
        <v>0.7638888888888888</v>
      </c>
      <c r="F35" s="44" t="s">
        <v>1547</v>
      </c>
      <c r="G35" s="43">
        <v>1.0</v>
      </c>
      <c r="H35" s="43">
        <v>1.0</v>
      </c>
      <c r="I35" s="42"/>
      <c r="J35" s="14"/>
      <c r="K35" s="43"/>
    </row>
    <row r="36" ht="39.75" hidden="1" customHeight="1">
      <c r="A36" s="1">
        <v>35.0</v>
      </c>
      <c r="B36" s="2" t="s">
        <v>24</v>
      </c>
      <c r="C36" s="2" t="s">
        <v>58</v>
      </c>
      <c r="D36" s="13"/>
      <c r="E36" s="13"/>
      <c r="F36" s="45"/>
      <c r="G36" s="42"/>
      <c r="H36" s="42"/>
      <c r="I36" s="42"/>
      <c r="J36" s="14"/>
      <c r="K36" s="43"/>
    </row>
    <row r="37" ht="39.75" customHeight="1">
      <c r="A37" s="1">
        <v>36.0</v>
      </c>
      <c r="B37" s="2" t="s">
        <v>25</v>
      </c>
      <c r="C37" s="2" t="s">
        <v>69</v>
      </c>
      <c r="D37" s="13"/>
      <c r="E37" s="40">
        <v>0.8194444444444444</v>
      </c>
      <c r="F37" s="44" t="s">
        <v>1562</v>
      </c>
      <c r="G37" s="43">
        <v>1.0</v>
      </c>
      <c r="H37" s="42"/>
      <c r="I37" s="42"/>
      <c r="J37" s="14"/>
      <c r="K37" s="43"/>
    </row>
    <row r="38" ht="39.75" customHeight="1">
      <c r="A38" s="1">
        <v>37.0</v>
      </c>
      <c r="B38" s="2" t="s">
        <v>26</v>
      </c>
      <c r="C38" s="2" t="s">
        <v>54</v>
      </c>
      <c r="D38" s="13"/>
      <c r="E38" s="13"/>
      <c r="F38" s="44" t="s">
        <v>1563</v>
      </c>
      <c r="G38" s="43">
        <v>1.0</v>
      </c>
      <c r="H38" s="42"/>
      <c r="I38" s="42"/>
      <c r="J38" s="14"/>
      <c r="K38" s="43"/>
    </row>
    <row r="39" ht="39.75" customHeight="1">
      <c r="A39" s="1">
        <v>38.0</v>
      </c>
      <c r="B39" s="2" t="s">
        <v>29</v>
      </c>
      <c r="C39" s="2" t="s">
        <v>44</v>
      </c>
      <c r="D39" s="13"/>
      <c r="E39" s="13"/>
      <c r="F39" s="45"/>
      <c r="G39" s="42"/>
      <c r="H39" s="42"/>
      <c r="I39" s="42"/>
      <c r="J39" s="14"/>
      <c r="K39" s="43"/>
    </row>
    <row r="40" ht="39.75" customHeight="1">
      <c r="A40" s="1">
        <v>39.0</v>
      </c>
      <c r="B40" s="2" t="s">
        <v>30</v>
      </c>
      <c r="C40" s="2" t="s">
        <v>64</v>
      </c>
      <c r="D40" s="13"/>
      <c r="E40" s="13"/>
      <c r="F40" s="45"/>
      <c r="G40" s="42"/>
      <c r="H40" s="42"/>
      <c r="I40" s="42"/>
      <c r="J40" s="14"/>
      <c r="K40" s="43"/>
    </row>
    <row r="41" ht="39.75" customHeight="1">
      <c r="A41" s="1">
        <v>40.0</v>
      </c>
      <c r="B41" s="2" t="s">
        <v>31</v>
      </c>
      <c r="C41" s="2" t="s">
        <v>39</v>
      </c>
      <c r="D41" s="13"/>
      <c r="E41" s="13"/>
      <c r="F41" s="44" t="s">
        <v>1564</v>
      </c>
      <c r="G41" s="43">
        <v>1.0</v>
      </c>
      <c r="H41" s="42"/>
      <c r="I41" s="43">
        <v>1.0</v>
      </c>
      <c r="J41" s="14"/>
      <c r="K41" s="43"/>
    </row>
    <row r="42" ht="39.75" customHeight="1">
      <c r="A42" s="1">
        <v>41.0</v>
      </c>
      <c r="B42" s="2" t="s">
        <v>32</v>
      </c>
      <c r="C42" s="2" t="s">
        <v>54</v>
      </c>
      <c r="D42" s="13"/>
      <c r="E42" s="13"/>
      <c r="F42" s="44" t="s">
        <v>1565</v>
      </c>
      <c r="G42" s="43">
        <v>1.0</v>
      </c>
      <c r="H42" s="42"/>
      <c r="I42" s="43">
        <v>1.0</v>
      </c>
      <c r="J42" s="14"/>
      <c r="K42" s="43"/>
    </row>
    <row r="43" ht="39.75" hidden="1" customHeight="1">
      <c r="A43" s="1">
        <v>42.0</v>
      </c>
      <c r="B43" s="2" t="s">
        <v>67</v>
      </c>
      <c r="C43" s="2" t="s">
        <v>58</v>
      </c>
      <c r="D43" s="13"/>
      <c r="E43" s="13"/>
      <c r="F43" s="45"/>
      <c r="G43" s="42"/>
      <c r="H43" s="42"/>
      <c r="I43" s="42"/>
      <c r="J43" s="14"/>
      <c r="K43" s="43"/>
    </row>
    <row r="44" ht="39.75" customHeight="1">
      <c r="A44" s="1">
        <v>43.0</v>
      </c>
      <c r="B44" s="2" t="s">
        <v>34</v>
      </c>
      <c r="C44" s="2"/>
      <c r="D44" s="13"/>
      <c r="E44" s="13"/>
      <c r="F44" s="44" t="s">
        <v>1566</v>
      </c>
      <c r="G44" s="43">
        <v>1.0</v>
      </c>
      <c r="H44" s="42"/>
      <c r="I44" s="43">
        <v>1.0</v>
      </c>
      <c r="J44" s="14"/>
      <c r="K44" s="43"/>
    </row>
    <row r="45" ht="39.75" customHeight="1">
      <c r="A45" s="1">
        <v>44.0</v>
      </c>
      <c r="B45" s="2" t="s">
        <v>35</v>
      </c>
      <c r="C45" s="2" t="s">
        <v>69</v>
      </c>
      <c r="D45" s="13"/>
      <c r="E45" s="40">
        <v>0.8194444444444444</v>
      </c>
      <c r="F45" s="44" t="s">
        <v>1567</v>
      </c>
      <c r="G45" s="43">
        <v>1.0</v>
      </c>
      <c r="H45" s="42"/>
      <c r="I45" s="42"/>
      <c r="J45" s="14"/>
      <c r="K45" s="43"/>
    </row>
    <row r="46" ht="39.75" customHeight="1">
      <c r="A46" s="1">
        <v>45.0</v>
      </c>
      <c r="B46" s="2" t="s">
        <v>36</v>
      </c>
      <c r="C46" s="2" t="s">
        <v>69</v>
      </c>
      <c r="D46" s="13"/>
      <c r="E46" s="13"/>
      <c r="F46" s="44" t="s">
        <v>1553</v>
      </c>
      <c r="G46" s="43">
        <v>1.0</v>
      </c>
      <c r="H46" s="43">
        <v>1.0</v>
      </c>
      <c r="I46" s="42"/>
      <c r="J46" s="14"/>
      <c r="K46" s="43"/>
    </row>
    <row r="47" ht="39.75" hidden="1" customHeight="1">
      <c r="A47" s="1">
        <v>46.0</v>
      </c>
      <c r="B47" s="2" t="s">
        <v>38</v>
      </c>
      <c r="C47" s="2" t="s">
        <v>66</v>
      </c>
      <c r="D47" s="13"/>
      <c r="E47" s="13"/>
      <c r="F47" s="45"/>
      <c r="G47" s="42"/>
      <c r="H47" s="42"/>
      <c r="I47" s="42"/>
      <c r="J47" s="14"/>
      <c r="K47" s="43"/>
    </row>
    <row r="48" ht="39.75" hidden="1" customHeight="1">
      <c r="A48" s="1">
        <v>47.0</v>
      </c>
      <c r="B48" s="2" t="s">
        <v>41</v>
      </c>
      <c r="C48" s="2" t="s">
        <v>58</v>
      </c>
      <c r="D48" s="13"/>
      <c r="E48" s="13"/>
      <c r="F48" s="45"/>
      <c r="G48" s="42"/>
      <c r="H48" s="42"/>
      <c r="I48" s="42"/>
      <c r="J48" s="14"/>
      <c r="K48" s="43"/>
    </row>
    <row r="49" ht="39.75" customHeight="1">
      <c r="A49" s="1">
        <v>48.0</v>
      </c>
      <c r="B49" s="2" t="s">
        <v>42</v>
      </c>
      <c r="C49" s="2"/>
      <c r="D49" s="13"/>
      <c r="E49" s="13"/>
      <c r="F49" s="44" t="s">
        <v>1568</v>
      </c>
      <c r="G49" s="43">
        <v>1.0</v>
      </c>
      <c r="H49" s="42"/>
      <c r="I49" s="42"/>
      <c r="J49" s="14"/>
      <c r="K49" s="43"/>
    </row>
    <row r="50" ht="39.75" customHeight="1">
      <c r="A50" s="1">
        <v>49.0</v>
      </c>
      <c r="B50" s="2" t="s">
        <v>43</v>
      </c>
      <c r="C50" s="2"/>
      <c r="D50" s="13"/>
      <c r="E50" s="13"/>
      <c r="F50" s="44" t="s">
        <v>1569</v>
      </c>
      <c r="G50" s="43">
        <v>1.0</v>
      </c>
      <c r="H50" s="42"/>
      <c r="I50" s="42"/>
      <c r="J50" s="14"/>
      <c r="K50" s="43"/>
    </row>
    <row r="51" ht="39.75" customHeight="1">
      <c r="A51" s="1">
        <v>50.0</v>
      </c>
      <c r="B51" s="2" t="s">
        <v>45</v>
      </c>
      <c r="C51" s="2"/>
      <c r="D51" s="13"/>
      <c r="E51" s="13"/>
      <c r="F51" s="64" t="s">
        <v>1570</v>
      </c>
      <c r="G51" s="43">
        <v>2.0</v>
      </c>
      <c r="H51" s="42"/>
      <c r="I51" s="43">
        <v>1.0</v>
      </c>
      <c r="J51" s="14"/>
      <c r="K51" s="43"/>
    </row>
    <row r="52" ht="39.75" customHeight="1">
      <c r="A52" s="1">
        <v>51.0</v>
      </c>
      <c r="B52" s="2" t="s">
        <v>46</v>
      </c>
      <c r="C52" s="2" t="s">
        <v>54</v>
      </c>
      <c r="D52" s="13"/>
      <c r="E52" s="13"/>
      <c r="F52" s="44" t="s">
        <v>1571</v>
      </c>
      <c r="G52" s="43">
        <v>1.0</v>
      </c>
      <c r="H52" s="42"/>
      <c r="I52" s="42"/>
      <c r="J52" s="14"/>
      <c r="K52" s="43"/>
    </row>
    <row r="53" ht="39.75" hidden="1" customHeight="1">
      <c r="A53" s="1">
        <v>52.0</v>
      </c>
      <c r="B53" s="2" t="s">
        <v>47</v>
      </c>
      <c r="C53" s="2" t="s">
        <v>58</v>
      </c>
      <c r="D53" s="13"/>
      <c r="E53" s="13"/>
      <c r="F53" s="45"/>
      <c r="G53" s="42"/>
      <c r="H53" s="42"/>
      <c r="I53" s="42"/>
      <c r="J53" s="14"/>
      <c r="K53" s="43"/>
    </row>
    <row r="54" ht="39.75" customHeight="1">
      <c r="A54" s="1">
        <v>53.0</v>
      </c>
      <c r="B54" s="2" t="s">
        <v>48</v>
      </c>
      <c r="C54" s="2" t="s">
        <v>27</v>
      </c>
      <c r="D54" s="13"/>
      <c r="E54" s="13"/>
      <c r="F54" s="44" t="s">
        <v>1572</v>
      </c>
      <c r="G54" s="43">
        <v>3.0</v>
      </c>
      <c r="H54" s="42"/>
      <c r="I54" s="43">
        <v>1.0</v>
      </c>
      <c r="J54" s="14"/>
      <c r="K54" s="43"/>
    </row>
    <row r="55" ht="39.75" customHeight="1">
      <c r="A55" s="1">
        <v>54.0</v>
      </c>
      <c r="B55" s="21"/>
      <c r="C55" s="21"/>
      <c r="D55" s="21"/>
      <c r="E55" s="21"/>
      <c r="F55" s="46"/>
      <c r="G55" s="47"/>
      <c r="H55" s="47"/>
      <c r="I55" s="47"/>
      <c r="J55" s="48"/>
      <c r="K55" s="47"/>
      <c r="L55" s="49"/>
      <c r="M55" s="49"/>
      <c r="N55" s="49"/>
    </row>
    <row r="56" ht="39.75" customHeight="1">
      <c r="A56" s="1">
        <v>55.0</v>
      </c>
      <c r="B56" s="2" t="s">
        <v>12</v>
      </c>
      <c r="C56" s="2" t="s">
        <v>62</v>
      </c>
      <c r="D56" s="13"/>
      <c r="E56" s="13"/>
      <c r="F56" s="45"/>
      <c r="G56" s="42"/>
      <c r="H56" s="42"/>
      <c r="I56" s="42"/>
      <c r="J56" s="14" t="s">
        <v>1544</v>
      </c>
      <c r="K56" s="43"/>
      <c r="L56" s="15" t="s">
        <v>74</v>
      </c>
    </row>
    <row r="57" ht="39.75" hidden="1" customHeight="1">
      <c r="A57" s="1">
        <v>56.0</v>
      </c>
      <c r="B57" s="2" t="s">
        <v>16</v>
      </c>
      <c r="C57" s="2" t="s">
        <v>58</v>
      </c>
      <c r="D57" s="13"/>
      <c r="E57" s="13"/>
      <c r="F57" s="45"/>
      <c r="G57" s="42"/>
      <c r="H57" s="42"/>
      <c r="I57" s="42"/>
      <c r="J57" s="14" t="s">
        <v>74</v>
      </c>
      <c r="K57" s="43"/>
    </row>
    <row r="58" ht="39.75" customHeight="1">
      <c r="A58" s="1">
        <v>57.0</v>
      </c>
      <c r="B58" s="2" t="s">
        <v>17</v>
      </c>
      <c r="C58" s="2"/>
      <c r="D58" s="13"/>
      <c r="E58" s="13"/>
      <c r="F58" s="44" t="s">
        <v>1331</v>
      </c>
      <c r="G58" s="42"/>
      <c r="H58" s="42"/>
      <c r="I58" s="42"/>
      <c r="J58" s="14" t="s">
        <v>111</v>
      </c>
      <c r="K58" s="43"/>
    </row>
    <row r="59" ht="39.75" customHeight="1">
      <c r="A59" s="1">
        <v>58.0</v>
      </c>
      <c r="B59" s="2" t="s">
        <v>331</v>
      </c>
      <c r="C59" s="2" t="s">
        <v>542</v>
      </c>
      <c r="D59" s="13"/>
      <c r="E59" s="13"/>
      <c r="F59" s="44" t="s">
        <v>1573</v>
      </c>
      <c r="G59" s="43">
        <v>1.0</v>
      </c>
      <c r="H59" s="42"/>
      <c r="I59" s="42"/>
      <c r="J59" s="14"/>
      <c r="K59" s="43"/>
    </row>
    <row r="60" ht="39.75" customHeight="1">
      <c r="A60" s="1">
        <v>59.0</v>
      </c>
      <c r="B60" s="2" t="s">
        <v>21</v>
      </c>
      <c r="C60" s="2" t="s">
        <v>277</v>
      </c>
      <c r="D60" s="13"/>
      <c r="E60" s="13"/>
      <c r="F60" s="45"/>
      <c r="G60" s="42"/>
      <c r="H60" s="42"/>
      <c r="I60" s="42"/>
      <c r="J60" s="14"/>
      <c r="K60" s="43"/>
    </row>
    <row r="61" ht="39.75" customHeight="1">
      <c r="A61" s="1">
        <v>60.0</v>
      </c>
      <c r="B61" s="2" t="s">
        <v>22</v>
      </c>
      <c r="C61" s="2" t="s">
        <v>54</v>
      </c>
      <c r="D61" s="13"/>
      <c r="E61" s="13"/>
      <c r="F61" s="44" t="s">
        <v>1574</v>
      </c>
      <c r="G61" s="42"/>
      <c r="H61" s="42"/>
      <c r="I61" s="42"/>
      <c r="J61" s="14"/>
      <c r="K61" s="43"/>
    </row>
    <row r="62" ht="39.75" customHeight="1">
      <c r="A62" s="1">
        <v>61.0</v>
      </c>
      <c r="B62" s="2" t="s">
        <v>23</v>
      </c>
      <c r="C62" s="2" t="s">
        <v>69</v>
      </c>
      <c r="D62" s="13"/>
      <c r="E62" s="13"/>
      <c r="F62" s="44" t="s">
        <v>1575</v>
      </c>
      <c r="G62" s="43">
        <v>1.0</v>
      </c>
      <c r="H62" s="42"/>
      <c r="I62" s="42"/>
      <c r="J62" s="14"/>
      <c r="K62" s="43"/>
    </row>
    <row r="63" ht="39.75" customHeight="1">
      <c r="A63" s="1">
        <v>62.0</v>
      </c>
      <c r="B63" s="2" t="s">
        <v>24</v>
      </c>
      <c r="C63" s="2"/>
      <c r="D63" s="13"/>
      <c r="E63" s="13"/>
      <c r="F63" s="44" t="s">
        <v>1576</v>
      </c>
      <c r="G63" s="43">
        <v>2.0</v>
      </c>
      <c r="H63" s="42"/>
      <c r="I63" s="43"/>
      <c r="J63" s="14"/>
      <c r="K63" s="43"/>
    </row>
    <row r="64" ht="39.75" customHeight="1">
      <c r="A64" s="1">
        <v>63.0</v>
      </c>
      <c r="B64" s="2" t="s">
        <v>25</v>
      </c>
      <c r="C64" s="2"/>
      <c r="D64" s="13"/>
      <c r="E64" s="13"/>
      <c r="F64" s="44" t="s">
        <v>1577</v>
      </c>
      <c r="G64" s="43">
        <v>1.0</v>
      </c>
      <c r="H64" s="42"/>
      <c r="I64" s="42"/>
      <c r="J64" s="14"/>
      <c r="K64" s="43"/>
    </row>
    <row r="65" ht="39.75" customHeight="1">
      <c r="A65" s="1">
        <v>64.0</v>
      </c>
      <c r="B65" s="2" t="s">
        <v>26</v>
      </c>
      <c r="C65" s="2" t="s">
        <v>27</v>
      </c>
      <c r="D65" s="13"/>
      <c r="E65" s="13"/>
      <c r="F65" s="44" t="s">
        <v>1578</v>
      </c>
      <c r="G65" s="43">
        <v>3.0</v>
      </c>
      <c r="H65" s="42"/>
      <c r="I65" s="42"/>
      <c r="J65" s="14"/>
      <c r="K65" s="43"/>
    </row>
    <row r="66" ht="39.75" hidden="1" customHeight="1">
      <c r="A66" s="1">
        <v>65.0</v>
      </c>
      <c r="B66" s="2" t="s">
        <v>29</v>
      </c>
      <c r="C66" s="2" t="s">
        <v>58</v>
      </c>
      <c r="D66" s="13"/>
      <c r="E66" s="13"/>
      <c r="F66" s="45"/>
      <c r="G66" s="42"/>
      <c r="H66" s="42"/>
      <c r="I66" s="42"/>
      <c r="J66" s="14"/>
      <c r="K66" s="43"/>
    </row>
    <row r="67" ht="39.75" customHeight="1">
      <c r="A67" s="1">
        <v>66.0</v>
      </c>
      <c r="B67" s="2" t="s">
        <v>30</v>
      </c>
      <c r="C67" s="2" t="s">
        <v>64</v>
      </c>
      <c r="D67" s="13"/>
      <c r="E67" s="13"/>
      <c r="F67" s="45"/>
      <c r="G67" s="42"/>
      <c r="H67" s="42"/>
      <c r="I67" s="42"/>
      <c r="J67" s="14"/>
      <c r="K67" s="43"/>
    </row>
    <row r="68" ht="39.75" customHeight="1">
      <c r="A68" s="1">
        <v>67.0</v>
      </c>
      <c r="B68" s="2" t="s">
        <v>31</v>
      </c>
      <c r="C68" s="2" t="s">
        <v>69</v>
      </c>
      <c r="D68" s="13"/>
      <c r="E68" s="13"/>
      <c r="F68" s="44" t="s">
        <v>1579</v>
      </c>
      <c r="G68" s="43">
        <v>2.0</v>
      </c>
      <c r="H68" s="42"/>
      <c r="I68" s="43">
        <v>1.0</v>
      </c>
      <c r="J68" s="14"/>
      <c r="K68" s="43"/>
    </row>
    <row r="69" ht="39.75" customHeight="1">
      <c r="A69" s="1">
        <v>68.0</v>
      </c>
      <c r="B69" s="2" t="s">
        <v>32</v>
      </c>
      <c r="C69" s="2" t="s">
        <v>54</v>
      </c>
      <c r="D69" s="13"/>
      <c r="E69" s="13"/>
      <c r="F69" s="44" t="s">
        <v>1580</v>
      </c>
      <c r="G69" s="43">
        <v>1.0</v>
      </c>
      <c r="H69" s="42"/>
      <c r="I69" s="43">
        <v>1.0</v>
      </c>
      <c r="J69" s="14"/>
      <c r="K69" s="43"/>
    </row>
    <row r="70" ht="39.75" customHeight="1">
      <c r="A70" s="1">
        <v>69.0</v>
      </c>
      <c r="B70" s="2" t="s">
        <v>67</v>
      </c>
      <c r="C70" s="2" t="s">
        <v>54</v>
      </c>
      <c r="D70" s="13"/>
      <c r="E70" s="13"/>
      <c r="F70" s="44" t="s">
        <v>1581</v>
      </c>
      <c r="G70" s="43">
        <v>1.0</v>
      </c>
      <c r="H70" s="42"/>
      <c r="I70" s="42"/>
      <c r="J70" s="14"/>
      <c r="K70" s="43"/>
    </row>
    <row r="71" ht="39.75" customHeight="1">
      <c r="A71" s="1">
        <v>70.0</v>
      </c>
      <c r="B71" s="2" t="s">
        <v>34</v>
      </c>
      <c r="C71" s="2"/>
      <c r="D71" s="53">
        <v>0.3333333333333333</v>
      </c>
      <c r="E71" s="13"/>
      <c r="F71" s="44" t="s">
        <v>1582</v>
      </c>
      <c r="G71" s="43">
        <v>1.0</v>
      </c>
      <c r="H71" s="42"/>
      <c r="I71" s="42"/>
      <c r="J71" s="14"/>
      <c r="K71" s="43"/>
    </row>
    <row r="72" ht="39.75" hidden="1" customHeight="1">
      <c r="A72" s="1">
        <v>71.0</v>
      </c>
      <c r="B72" s="2" t="s">
        <v>35</v>
      </c>
      <c r="C72" s="2" t="s">
        <v>58</v>
      </c>
      <c r="D72" s="13"/>
      <c r="E72" s="13"/>
      <c r="F72" s="45"/>
      <c r="G72" s="42"/>
      <c r="H72" s="42"/>
      <c r="I72" s="42"/>
      <c r="J72" s="14"/>
      <c r="K72" s="43"/>
    </row>
    <row r="73" ht="39.75" customHeight="1">
      <c r="A73" s="1">
        <v>72.0</v>
      </c>
      <c r="B73" s="2" t="s">
        <v>36</v>
      </c>
      <c r="C73" s="2"/>
      <c r="D73" s="13"/>
      <c r="E73" s="13"/>
      <c r="F73" s="44" t="s">
        <v>1553</v>
      </c>
      <c r="G73" s="43">
        <v>1.0</v>
      </c>
      <c r="H73" s="43">
        <v>1.0</v>
      </c>
      <c r="I73" s="42"/>
      <c r="J73" s="14"/>
      <c r="K73" s="43"/>
    </row>
    <row r="74" ht="39.75" customHeight="1">
      <c r="A74" s="1">
        <v>73.0</v>
      </c>
      <c r="B74" s="2" t="s">
        <v>38</v>
      </c>
      <c r="C74" s="2" t="s">
        <v>39</v>
      </c>
      <c r="D74" s="13"/>
      <c r="E74" s="13"/>
      <c r="F74" s="44" t="s">
        <v>1583</v>
      </c>
      <c r="G74" s="43">
        <v>2.0</v>
      </c>
      <c r="H74" s="42"/>
      <c r="I74" s="43">
        <v>1.0</v>
      </c>
      <c r="J74" s="14"/>
      <c r="K74" s="43"/>
    </row>
    <row r="75" ht="39.75" hidden="1" customHeight="1">
      <c r="A75" s="1">
        <v>74.0</v>
      </c>
      <c r="B75" s="2" t="s">
        <v>41</v>
      </c>
      <c r="C75" s="2" t="s">
        <v>58</v>
      </c>
      <c r="D75" s="13"/>
      <c r="E75" s="13"/>
      <c r="F75" s="45"/>
      <c r="G75" s="42"/>
      <c r="H75" s="42"/>
      <c r="I75" s="42"/>
      <c r="J75" s="14"/>
      <c r="K75" s="43"/>
    </row>
    <row r="76" ht="39.75" customHeight="1">
      <c r="A76" s="1">
        <v>75.0</v>
      </c>
      <c r="B76" s="2" t="s">
        <v>42</v>
      </c>
      <c r="C76" s="2"/>
      <c r="D76" s="53">
        <v>0.3333333333333333</v>
      </c>
      <c r="E76" s="13"/>
      <c r="F76" s="44" t="s">
        <v>1584</v>
      </c>
      <c r="G76" s="43">
        <v>1.0</v>
      </c>
      <c r="H76" s="42"/>
      <c r="I76" s="42"/>
      <c r="J76" s="14"/>
      <c r="K76" s="43"/>
    </row>
    <row r="77" ht="39.75" hidden="1" customHeight="1">
      <c r="A77" s="1">
        <v>76.0</v>
      </c>
      <c r="B77" s="2" t="s">
        <v>43</v>
      </c>
      <c r="C77" s="2" t="s">
        <v>66</v>
      </c>
      <c r="D77" s="13"/>
      <c r="E77" s="13"/>
      <c r="F77" s="45"/>
      <c r="G77" s="42"/>
      <c r="H77" s="42"/>
      <c r="I77" s="42"/>
      <c r="J77" s="14"/>
      <c r="K77" s="43"/>
    </row>
    <row r="78" ht="39.75" customHeight="1">
      <c r="A78" s="1">
        <v>77.0</v>
      </c>
      <c r="B78" s="2" t="s">
        <v>45</v>
      </c>
      <c r="C78" s="2" t="s">
        <v>69</v>
      </c>
      <c r="D78" s="13"/>
      <c r="E78" s="13"/>
      <c r="F78" s="44" t="s">
        <v>1585</v>
      </c>
      <c r="G78" s="43">
        <v>1.0</v>
      </c>
      <c r="H78" s="42"/>
      <c r="I78" s="42"/>
      <c r="J78" s="14"/>
      <c r="K78" s="43"/>
    </row>
    <row r="79" ht="39.75" customHeight="1">
      <c r="A79" s="1">
        <v>78.0</v>
      </c>
      <c r="B79" s="2" t="s">
        <v>46</v>
      </c>
      <c r="C79" s="2" t="s">
        <v>54</v>
      </c>
      <c r="D79" s="13"/>
      <c r="E79" s="13"/>
      <c r="F79" s="44" t="s">
        <v>1586</v>
      </c>
      <c r="G79" s="43">
        <v>2.0</v>
      </c>
      <c r="H79" s="42"/>
      <c r="I79" s="42"/>
      <c r="J79" s="14"/>
      <c r="K79" s="43"/>
    </row>
    <row r="80" ht="39.75" customHeight="1">
      <c r="A80" s="1">
        <v>79.0</v>
      </c>
      <c r="B80" s="2" t="s">
        <v>47</v>
      </c>
      <c r="C80" s="2" t="s">
        <v>39</v>
      </c>
      <c r="D80" s="13"/>
      <c r="E80" s="13"/>
      <c r="F80" s="44" t="s">
        <v>1587</v>
      </c>
      <c r="G80" s="43">
        <v>2.0</v>
      </c>
      <c r="H80" s="42"/>
      <c r="I80" s="43">
        <v>2.0</v>
      </c>
      <c r="J80" s="14"/>
      <c r="K80" s="43"/>
    </row>
    <row r="81" ht="39.75" customHeight="1">
      <c r="A81" s="1">
        <v>80.0</v>
      </c>
      <c r="B81" s="2" t="s">
        <v>48</v>
      </c>
      <c r="C81" s="2" t="s">
        <v>44</v>
      </c>
      <c r="D81" s="13"/>
      <c r="E81" s="13"/>
      <c r="F81" s="45"/>
      <c r="G81" s="42"/>
      <c r="H81" s="42"/>
      <c r="I81" s="42"/>
      <c r="J81" s="14"/>
      <c r="K81" s="43"/>
    </row>
    <row r="82" ht="39.75" customHeight="1">
      <c r="A82" s="1">
        <v>81.0</v>
      </c>
      <c r="B82" s="21"/>
      <c r="C82" s="21"/>
      <c r="D82" s="21"/>
      <c r="E82" s="21"/>
      <c r="F82" s="46"/>
      <c r="G82" s="47"/>
      <c r="H82" s="47"/>
      <c r="I82" s="47"/>
      <c r="J82" s="48"/>
      <c r="K82" s="47"/>
      <c r="L82" s="49"/>
      <c r="M82" s="49"/>
      <c r="N82" s="49"/>
    </row>
    <row r="83" ht="39.75" customHeight="1">
      <c r="A83" s="1">
        <v>82.0</v>
      </c>
      <c r="B83" s="2" t="s">
        <v>12</v>
      </c>
      <c r="C83" s="2" t="s">
        <v>62</v>
      </c>
      <c r="D83" s="13"/>
      <c r="E83" s="13"/>
      <c r="F83" s="44" t="s">
        <v>1588</v>
      </c>
      <c r="G83" s="43">
        <v>1.0</v>
      </c>
      <c r="H83" s="42"/>
      <c r="I83" s="42"/>
      <c r="J83" s="14" t="s">
        <v>1544</v>
      </c>
      <c r="K83" s="43"/>
      <c r="L83" s="15" t="s">
        <v>94</v>
      </c>
    </row>
    <row r="84" ht="39.75" customHeight="1">
      <c r="A84" s="1">
        <v>83.0</v>
      </c>
      <c r="B84" s="2" t="s">
        <v>16</v>
      </c>
      <c r="C84" s="13"/>
      <c r="D84" s="53">
        <v>0.2013888888888889</v>
      </c>
      <c r="E84" s="13"/>
      <c r="F84" s="44" t="s">
        <v>1589</v>
      </c>
      <c r="G84" s="43">
        <v>1.0</v>
      </c>
      <c r="H84" s="42"/>
      <c r="I84" s="42"/>
      <c r="J84" s="14" t="s">
        <v>94</v>
      </c>
      <c r="K84" s="43"/>
    </row>
    <row r="85" ht="39.75" customHeight="1">
      <c r="A85" s="1">
        <v>84.0</v>
      </c>
      <c r="B85" s="2" t="s">
        <v>17</v>
      </c>
      <c r="C85" s="2" t="s">
        <v>69</v>
      </c>
      <c r="D85" s="53">
        <v>0.23958333333333334</v>
      </c>
      <c r="E85" s="51">
        <v>0.8333333333333334</v>
      </c>
      <c r="F85" s="44" t="s">
        <v>1590</v>
      </c>
      <c r="G85" s="43">
        <v>1.0</v>
      </c>
      <c r="H85" s="42"/>
      <c r="I85" s="42"/>
      <c r="J85" s="14" t="s">
        <v>131</v>
      </c>
      <c r="K85" s="43"/>
    </row>
    <row r="86" ht="39.75" customHeight="1">
      <c r="A86" s="1">
        <v>85.0</v>
      </c>
      <c r="B86" s="2" t="s">
        <v>331</v>
      </c>
      <c r="C86" s="2" t="s">
        <v>542</v>
      </c>
      <c r="D86" s="13"/>
      <c r="E86" s="13"/>
      <c r="F86" s="44" t="s">
        <v>1591</v>
      </c>
      <c r="G86" s="43">
        <v>1.0</v>
      </c>
      <c r="H86" s="42"/>
      <c r="I86" s="43">
        <v>1.0</v>
      </c>
      <c r="J86" s="14"/>
      <c r="K86" s="43"/>
    </row>
    <row r="87" ht="39.75" customHeight="1">
      <c r="A87" s="1">
        <v>86.0</v>
      </c>
      <c r="B87" s="2" t="s">
        <v>21</v>
      </c>
      <c r="C87" s="2" t="s">
        <v>277</v>
      </c>
      <c r="D87" s="13"/>
      <c r="E87" s="13"/>
      <c r="F87" s="44" t="s">
        <v>1592</v>
      </c>
      <c r="G87" s="43">
        <v>1.0</v>
      </c>
      <c r="H87" s="42"/>
      <c r="I87" s="43">
        <v>1.0</v>
      </c>
      <c r="J87" s="14"/>
      <c r="K87" s="43"/>
    </row>
    <row r="88" ht="39.75" customHeight="1">
      <c r="A88" s="1">
        <v>87.0</v>
      </c>
      <c r="B88" s="2" t="s">
        <v>22</v>
      </c>
      <c r="C88" s="2" t="s">
        <v>54</v>
      </c>
      <c r="D88" s="13"/>
      <c r="E88" s="13"/>
      <c r="F88" s="44" t="s">
        <v>1331</v>
      </c>
      <c r="G88" s="43">
        <v>1.0</v>
      </c>
      <c r="H88" s="42"/>
      <c r="I88" s="42"/>
      <c r="J88" s="14"/>
      <c r="K88" s="43"/>
    </row>
    <row r="89" ht="39.75" customHeight="1">
      <c r="A89" s="1">
        <v>88.0</v>
      </c>
      <c r="B89" s="2" t="s">
        <v>23</v>
      </c>
      <c r="C89" s="2" t="s">
        <v>27</v>
      </c>
      <c r="D89" s="13"/>
      <c r="E89" s="13"/>
      <c r="F89" s="44" t="s">
        <v>1593</v>
      </c>
      <c r="G89" s="43">
        <v>1.0</v>
      </c>
      <c r="H89" s="42"/>
      <c r="I89" s="42"/>
      <c r="J89" s="14"/>
      <c r="K89" s="43"/>
    </row>
    <row r="90" ht="39.75" customHeight="1">
      <c r="A90" s="1">
        <v>89.0</v>
      </c>
      <c r="B90" s="2" t="s">
        <v>24</v>
      </c>
      <c r="C90" s="2" t="s">
        <v>63</v>
      </c>
      <c r="D90" s="13"/>
      <c r="E90" s="13"/>
      <c r="F90" s="44" t="s">
        <v>1594</v>
      </c>
      <c r="G90" s="43">
        <v>1.0</v>
      </c>
      <c r="H90" s="42"/>
      <c r="I90" s="42"/>
      <c r="J90" s="14"/>
      <c r="K90" s="43"/>
    </row>
    <row r="91" ht="39.75" customHeight="1">
      <c r="A91" s="1">
        <v>90.0</v>
      </c>
      <c r="B91" s="2" t="s">
        <v>25</v>
      </c>
      <c r="C91" s="2" t="s">
        <v>39</v>
      </c>
      <c r="D91" s="53">
        <v>0.24305555555555555</v>
      </c>
      <c r="E91" s="13"/>
      <c r="F91" s="44" t="s">
        <v>1595</v>
      </c>
      <c r="G91" s="43">
        <v>1.0</v>
      </c>
      <c r="H91" s="42"/>
      <c r="I91" s="42"/>
      <c r="J91" s="14"/>
      <c r="K91" s="43"/>
    </row>
    <row r="92" ht="39.75" customHeight="1">
      <c r="A92" s="1">
        <v>91.0</v>
      </c>
      <c r="B92" s="2" t="s">
        <v>26</v>
      </c>
      <c r="C92" s="2" t="s">
        <v>44</v>
      </c>
      <c r="D92" s="13"/>
      <c r="E92" s="13"/>
      <c r="F92" s="45"/>
      <c r="G92" s="42"/>
      <c r="H92" s="42"/>
      <c r="I92" s="42"/>
      <c r="J92" s="14"/>
      <c r="K92" s="43"/>
    </row>
    <row r="93" ht="39.75" hidden="1" customHeight="1">
      <c r="A93" s="1">
        <v>92.0</v>
      </c>
      <c r="B93" s="2" t="s">
        <v>29</v>
      </c>
      <c r="C93" s="2" t="s">
        <v>58</v>
      </c>
      <c r="D93" s="13"/>
      <c r="E93" s="13"/>
      <c r="F93" s="45"/>
      <c r="G93" s="42"/>
      <c r="H93" s="42"/>
      <c r="I93" s="42"/>
      <c r="J93" s="14"/>
      <c r="K93" s="43"/>
    </row>
    <row r="94" ht="39.75" customHeight="1">
      <c r="A94" s="1">
        <v>93.0</v>
      </c>
      <c r="B94" s="2" t="s">
        <v>30</v>
      </c>
      <c r="C94" s="2" t="s">
        <v>64</v>
      </c>
      <c r="D94" s="13"/>
      <c r="E94" s="13"/>
      <c r="F94" s="45"/>
      <c r="G94" s="42"/>
      <c r="H94" s="42"/>
      <c r="I94" s="42"/>
      <c r="J94" s="14"/>
      <c r="K94" s="43"/>
    </row>
    <row r="95" ht="39.75" customHeight="1">
      <c r="A95" s="1">
        <v>94.0</v>
      </c>
      <c r="B95" s="2" t="s">
        <v>31</v>
      </c>
      <c r="C95" s="2"/>
      <c r="D95" s="13"/>
      <c r="E95" s="13"/>
      <c r="F95" s="44" t="s">
        <v>1596</v>
      </c>
      <c r="G95" s="43">
        <v>1.0</v>
      </c>
      <c r="H95" s="42"/>
      <c r="I95" s="43">
        <v>1.0</v>
      </c>
      <c r="J95" s="14"/>
      <c r="K95" s="43"/>
    </row>
    <row r="96" ht="39.75" customHeight="1">
      <c r="A96" s="1">
        <v>95.0</v>
      </c>
      <c r="B96" s="2" t="s">
        <v>32</v>
      </c>
      <c r="C96" s="2" t="s">
        <v>54</v>
      </c>
      <c r="D96" s="13"/>
      <c r="E96" s="51">
        <v>0.7708333333333334</v>
      </c>
      <c r="F96" s="44" t="s">
        <v>1597</v>
      </c>
      <c r="G96" s="43">
        <v>1.0</v>
      </c>
      <c r="H96" s="42"/>
      <c r="I96" s="42"/>
      <c r="J96" s="14"/>
      <c r="K96" s="43"/>
    </row>
    <row r="97" ht="39.75" customHeight="1">
      <c r="A97" s="1">
        <v>96.0</v>
      </c>
      <c r="B97" s="2" t="s">
        <v>67</v>
      </c>
      <c r="C97" s="2" t="s">
        <v>54</v>
      </c>
      <c r="D97" s="13"/>
      <c r="E97" s="13"/>
      <c r="F97" s="44" t="s">
        <v>1598</v>
      </c>
      <c r="G97" s="43">
        <v>1.0</v>
      </c>
      <c r="H97" s="42"/>
      <c r="I97" s="42"/>
      <c r="J97" s="14"/>
      <c r="K97" s="43"/>
    </row>
    <row r="98" ht="39.75" customHeight="1">
      <c r="A98" s="1">
        <v>97.0</v>
      </c>
      <c r="B98" s="2" t="s">
        <v>34</v>
      </c>
      <c r="C98" s="2"/>
      <c r="D98" s="53">
        <v>0.23958333333333334</v>
      </c>
      <c r="E98" s="13"/>
      <c r="F98" s="44" t="s">
        <v>1599</v>
      </c>
      <c r="G98" s="43">
        <v>1.0</v>
      </c>
      <c r="H98" s="42"/>
      <c r="I98" s="42"/>
      <c r="J98" s="14"/>
      <c r="K98" s="43"/>
    </row>
    <row r="99" ht="39.75" hidden="1" customHeight="1">
      <c r="A99" s="1">
        <v>98.0</v>
      </c>
      <c r="B99" s="2" t="s">
        <v>35</v>
      </c>
      <c r="C99" s="2" t="s">
        <v>66</v>
      </c>
      <c r="D99" s="13"/>
      <c r="E99" s="13"/>
      <c r="F99" s="45"/>
      <c r="G99" s="42"/>
      <c r="H99" s="42"/>
      <c r="I99" s="42"/>
      <c r="J99" s="14"/>
      <c r="K99" s="43"/>
    </row>
    <row r="100" ht="39.75" customHeight="1">
      <c r="A100" s="1">
        <v>99.0</v>
      </c>
      <c r="B100" s="2" t="s">
        <v>36</v>
      </c>
      <c r="C100" s="2" t="s">
        <v>39</v>
      </c>
      <c r="D100" s="13"/>
      <c r="E100" s="13"/>
      <c r="F100" s="44" t="s">
        <v>1553</v>
      </c>
      <c r="G100" s="43">
        <v>1.0</v>
      </c>
      <c r="H100" s="43">
        <v>1.0</v>
      </c>
      <c r="I100" s="42"/>
      <c r="J100" s="14"/>
      <c r="K100" s="43"/>
    </row>
    <row r="101" ht="39.75" customHeight="1">
      <c r="A101" s="1">
        <v>100.0</v>
      </c>
      <c r="B101" s="2" t="s">
        <v>38</v>
      </c>
      <c r="C101" s="2" t="s">
        <v>69</v>
      </c>
      <c r="D101" s="13"/>
      <c r="E101" s="51">
        <v>0.8958333333333334</v>
      </c>
      <c r="F101" s="44" t="s">
        <v>1600</v>
      </c>
      <c r="G101" s="43">
        <v>2.0</v>
      </c>
      <c r="H101" s="42"/>
      <c r="I101" s="42"/>
      <c r="J101" s="14"/>
      <c r="K101" s="43"/>
    </row>
    <row r="102" ht="39.75" hidden="1" customHeight="1">
      <c r="A102" s="1">
        <v>101.0</v>
      </c>
      <c r="B102" s="2" t="s">
        <v>41</v>
      </c>
      <c r="C102" s="2" t="s">
        <v>58</v>
      </c>
      <c r="D102" s="13"/>
      <c r="E102" s="13"/>
      <c r="F102" s="45"/>
      <c r="G102" s="42"/>
      <c r="H102" s="42"/>
      <c r="I102" s="42"/>
      <c r="J102" s="14"/>
      <c r="K102" s="43"/>
    </row>
    <row r="103" ht="39.75" customHeight="1">
      <c r="A103" s="1">
        <v>102.0</v>
      </c>
      <c r="B103" s="2" t="s">
        <v>42</v>
      </c>
      <c r="C103" s="2" t="s">
        <v>69</v>
      </c>
      <c r="D103" s="13"/>
      <c r="E103" s="51">
        <v>0.7708333333333334</v>
      </c>
      <c r="F103" s="44" t="s">
        <v>1601</v>
      </c>
      <c r="G103" s="43">
        <v>2.0</v>
      </c>
      <c r="H103" s="42"/>
      <c r="I103" s="43">
        <v>1.0</v>
      </c>
      <c r="J103" s="14"/>
      <c r="K103" s="43"/>
    </row>
    <row r="104" ht="39.75" hidden="1" customHeight="1">
      <c r="A104" s="1">
        <v>103.0</v>
      </c>
      <c r="B104" s="2" t="s">
        <v>43</v>
      </c>
      <c r="C104" s="2" t="s">
        <v>58</v>
      </c>
      <c r="D104" s="13"/>
      <c r="E104" s="13"/>
      <c r="F104" s="45"/>
      <c r="G104" s="42"/>
      <c r="H104" s="42"/>
      <c r="I104" s="42"/>
      <c r="J104" s="14"/>
      <c r="K104" s="43"/>
    </row>
    <row r="105" ht="39.75" customHeight="1">
      <c r="A105" s="1">
        <v>104.0</v>
      </c>
      <c r="B105" s="2" t="s">
        <v>45</v>
      </c>
      <c r="C105" s="2"/>
      <c r="D105" s="53">
        <v>0.2708333333333333</v>
      </c>
      <c r="E105" s="13"/>
      <c r="F105" s="44" t="s">
        <v>1602</v>
      </c>
      <c r="G105" s="43">
        <v>1.0</v>
      </c>
      <c r="H105" s="42"/>
      <c r="I105" s="43">
        <v>1.0</v>
      </c>
      <c r="J105" s="14"/>
      <c r="K105" s="43"/>
    </row>
    <row r="106" ht="39.75" customHeight="1">
      <c r="A106" s="1">
        <v>105.0</v>
      </c>
      <c r="B106" s="2" t="s">
        <v>46</v>
      </c>
      <c r="C106" s="2" t="s">
        <v>54</v>
      </c>
      <c r="D106" s="53">
        <v>0.2847222222222222</v>
      </c>
      <c r="E106" s="13"/>
      <c r="F106" s="44" t="s">
        <v>1603</v>
      </c>
      <c r="G106" s="43">
        <v>1.0</v>
      </c>
      <c r="H106" s="42"/>
      <c r="I106" s="43">
        <v>1.0</v>
      </c>
      <c r="J106" s="14"/>
      <c r="K106" s="43"/>
    </row>
    <row r="107" ht="39.75" customHeight="1">
      <c r="A107" s="1">
        <v>106.0</v>
      </c>
      <c r="B107" s="2" t="s">
        <v>47</v>
      </c>
      <c r="C107" s="2"/>
      <c r="D107" s="13"/>
      <c r="E107" s="13"/>
      <c r="F107" s="44" t="s">
        <v>1604</v>
      </c>
      <c r="G107" s="43">
        <v>1.0</v>
      </c>
      <c r="H107" s="42"/>
      <c r="I107" s="43">
        <v>1.0</v>
      </c>
      <c r="J107" s="14"/>
      <c r="K107" s="43"/>
    </row>
    <row r="108" ht="39.75" customHeight="1">
      <c r="A108" s="1">
        <v>107.0</v>
      </c>
      <c r="B108" s="2" t="s">
        <v>48</v>
      </c>
      <c r="C108" s="2"/>
      <c r="D108" s="53">
        <v>0.2152777777777778</v>
      </c>
      <c r="E108" s="13"/>
      <c r="F108" s="44" t="s">
        <v>1605</v>
      </c>
      <c r="G108" s="43">
        <v>1.0</v>
      </c>
      <c r="H108" s="42"/>
      <c r="I108" s="42"/>
      <c r="J108" s="14"/>
      <c r="K108" s="43"/>
    </row>
    <row r="109" ht="39.75" customHeight="1">
      <c r="A109" s="1">
        <v>108.0</v>
      </c>
      <c r="B109" s="21"/>
      <c r="C109" s="21"/>
      <c r="D109" s="21"/>
      <c r="E109" s="21"/>
      <c r="F109" s="46"/>
      <c r="G109" s="47"/>
      <c r="H109" s="47"/>
      <c r="I109" s="47"/>
      <c r="J109" s="54"/>
      <c r="K109" s="72"/>
      <c r="L109" s="49"/>
      <c r="M109" s="49"/>
      <c r="N109" s="49"/>
    </row>
    <row r="110" ht="39.75" customHeight="1">
      <c r="A110" s="1">
        <v>109.0</v>
      </c>
      <c r="B110" s="2" t="s">
        <v>12</v>
      </c>
      <c r="C110" s="2"/>
      <c r="D110" s="40">
        <v>0.5416666666666666</v>
      </c>
      <c r="E110" s="13"/>
      <c r="F110" s="44" t="s">
        <v>1606</v>
      </c>
      <c r="G110" s="43">
        <v>1.0</v>
      </c>
      <c r="H110" s="42"/>
      <c r="I110" s="42"/>
      <c r="J110" s="27" t="s">
        <v>1544</v>
      </c>
      <c r="K110" s="43"/>
      <c r="L110" s="15" t="s">
        <v>109</v>
      </c>
    </row>
    <row r="111" ht="39.75" customHeight="1">
      <c r="A111" s="1">
        <v>110.0</v>
      </c>
      <c r="B111" s="2" t="s">
        <v>263</v>
      </c>
      <c r="C111" s="2" t="s">
        <v>272</v>
      </c>
      <c r="D111" s="13"/>
      <c r="E111" s="13"/>
      <c r="F111" s="45"/>
      <c r="G111" s="42"/>
      <c r="H111" s="42"/>
      <c r="I111" s="42"/>
      <c r="J111" s="27" t="s">
        <v>109</v>
      </c>
      <c r="K111" s="43"/>
    </row>
    <row r="112" ht="39.75" customHeight="1">
      <c r="A112" s="1">
        <v>111.0</v>
      </c>
      <c r="B112" s="2" t="s">
        <v>17</v>
      </c>
      <c r="C112" s="2"/>
      <c r="D112" s="40">
        <v>0.375</v>
      </c>
      <c r="E112" s="13"/>
      <c r="F112" s="44" t="s">
        <v>1607</v>
      </c>
      <c r="G112" s="43">
        <v>1.0</v>
      </c>
      <c r="H112" s="42"/>
      <c r="I112" s="42"/>
      <c r="J112" s="27" t="s">
        <v>149</v>
      </c>
      <c r="K112" s="43"/>
    </row>
    <row r="113" ht="39.75" hidden="1" customHeight="1">
      <c r="A113" s="1">
        <v>112.0</v>
      </c>
      <c r="B113" s="2" t="s">
        <v>331</v>
      </c>
      <c r="C113" s="2" t="s">
        <v>13</v>
      </c>
      <c r="D113" s="13"/>
      <c r="E113" s="13"/>
      <c r="F113" s="44"/>
      <c r="G113" s="42"/>
      <c r="H113" s="42"/>
      <c r="I113" s="42"/>
      <c r="J113" s="27" t="s">
        <v>165</v>
      </c>
      <c r="K113" s="42"/>
    </row>
    <row r="114" ht="39.75" hidden="1" customHeight="1">
      <c r="A114" s="1">
        <v>113.0</v>
      </c>
      <c r="B114" s="2" t="s">
        <v>21</v>
      </c>
      <c r="C114" s="2" t="s">
        <v>13</v>
      </c>
      <c r="D114" s="13"/>
      <c r="E114" s="13"/>
      <c r="F114" s="45"/>
      <c r="G114" s="42"/>
      <c r="H114" s="42"/>
      <c r="I114" s="42"/>
      <c r="J114" s="27" t="s">
        <v>166</v>
      </c>
      <c r="K114" s="42"/>
    </row>
    <row r="115" ht="39.75" customHeight="1">
      <c r="A115" s="1">
        <v>114.0</v>
      </c>
      <c r="B115" s="2" t="s">
        <v>22</v>
      </c>
      <c r="C115" s="2"/>
      <c r="D115" s="40">
        <v>0.375</v>
      </c>
      <c r="E115" s="13"/>
      <c r="F115" s="44" t="s">
        <v>1608</v>
      </c>
      <c r="G115" s="43">
        <v>1.0</v>
      </c>
      <c r="H115" s="42"/>
      <c r="I115" s="42"/>
      <c r="J115" s="27" t="s">
        <v>167</v>
      </c>
      <c r="K115" s="42"/>
    </row>
    <row r="116" ht="39.75" customHeight="1">
      <c r="A116" s="1">
        <v>115.0</v>
      </c>
      <c r="B116" s="2" t="s">
        <v>23</v>
      </c>
      <c r="C116" s="2" t="s">
        <v>44</v>
      </c>
      <c r="D116" s="13"/>
      <c r="E116" s="13"/>
      <c r="F116" s="45"/>
      <c r="G116" s="42"/>
      <c r="H116" s="42"/>
      <c r="I116" s="42"/>
      <c r="J116" s="22"/>
      <c r="K116" s="42"/>
    </row>
    <row r="117" ht="39.75" customHeight="1">
      <c r="A117" s="1">
        <v>116.0</v>
      </c>
      <c r="B117" s="2" t="s">
        <v>24</v>
      </c>
      <c r="C117" s="2" t="s">
        <v>63</v>
      </c>
      <c r="D117" s="13"/>
      <c r="E117" s="13"/>
      <c r="F117" s="45"/>
      <c r="G117" s="42"/>
      <c r="H117" s="42"/>
      <c r="I117" s="42"/>
      <c r="J117" s="22"/>
      <c r="K117" s="42"/>
    </row>
    <row r="118" ht="39.75" customHeight="1">
      <c r="A118" s="1">
        <v>117.0</v>
      </c>
      <c r="B118" s="2" t="s">
        <v>25</v>
      </c>
      <c r="C118" s="2"/>
      <c r="D118" s="40">
        <v>0.5416666666666666</v>
      </c>
      <c r="E118" s="13"/>
      <c r="F118" s="44" t="s">
        <v>1609</v>
      </c>
      <c r="G118" s="43">
        <v>1.0</v>
      </c>
      <c r="H118" s="42"/>
      <c r="I118" s="42"/>
      <c r="J118" s="22"/>
      <c r="K118" s="42"/>
    </row>
    <row r="119" ht="39.75" hidden="1" customHeight="1">
      <c r="A119" s="1">
        <v>118.0</v>
      </c>
      <c r="B119" s="2" t="s">
        <v>26</v>
      </c>
      <c r="C119" s="2" t="s">
        <v>13</v>
      </c>
      <c r="D119" s="13"/>
      <c r="E119" s="13"/>
      <c r="F119" s="45"/>
      <c r="G119" s="42"/>
      <c r="H119" s="42"/>
      <c r="I119" s="42"/>
      <c r="J119" s="22"/>
      <c r="K119" s="42"/>
    </row>
    <row r="120" ht="39.75" hidden="1" customHeight="1">
      <c r="A120" s="1">
        <v>119.0</v>
      </c>
      <c r="B120" s="2" t="s">
        <v>29</v>
      </c>
      <c r="C120" s="2" t="s">
        <v>13</v>
      </c>
      <c r="D120" s="13"/>
      <c r="E120" s="13"/>
      <c r="F120" s="45"/>
      <c r="G120" s="42"/>
      <c r="H120" s="42"/>
      <c r="I120" s="42"/>
      <c r="J120" s="22"/>
      <c r="K120" s="42"/>
    </row>
    <row r="121" ht="39.75" hidden="1" customHeight="1">
      <c r="A121" s="1">
        <v>120.0</v>
      </c>
      <c r="B121" s="2" t="s">
        <v>30</v>
      </c>
      <c r="C121" s="2" t="s">
        <v>13</v>
      </c>
      <c r="D121" s="13"/>
      <c r="E121" s="13"/>
      <c r="F121" s="45"/>
      <c r="G121" s="42"/>
      <c r="H121" s="42"/>
      <c r="I121" s="42"/>
      <c r="J121" s="22"/>
      <c r="K121" s="42"/>
    </row>
    <row r="122" ht="39.75" customHeight="1">
      <c r="A122" s="1">
        <v>121.0</v>
      </c>
      <c r="B122" s="2" t="s">
        <v>31</v>
      </c>
      <c r="C122" s="2" t="s">
        <v>49</v>
      </c>
      <c r="D122" s="40">
        <v>0.4583333333333333</v>
      </c>
      <c r="E122" s="13"/>
      <c r="F122" s="44" t="s">
        <v>1610</v>
      </c>
      <c r="G122" s="43">
        <v>1.0</v>
      </c>
      <c r="H122" s="42"/>
      <c r="I122" s="43">
        <v>1.0</v>
      </c>
      <c r="J122" s="22"/>
      <c r="K122" s="42"/>
    </row>
    <row r="123" ht="39.75" customHeight="1">
      <c r="A123" s="1">
        <v>122.0</v>
      </c>
      <c r="B123" s="2" t="s">
        <v>32</v>
      </c>
      <c r="C123" s="2"/>
      <c r="D123" s="40">
        <v>0.5416666666666666</v>
      </c>
      <c r="E123" s="13"/>
      <c r="F123" s="44" t="s">
        <v>1611</v>
      </c>
      <c r="G123" s="43">
        <v>1.0</v>
      </c>
      <c r="H123" s="42"/>
      <c r="I123" s="42"/>
      <c r="J123" s="22"/>
      <c r="K123" s="42"/>
    </row>
    <row r="124" ht="39.75" customHeight="1">
      <c r="A124" s="1">
        <v>123.0</v>
      </c>
      <c r="B124" s="2" t="s">
        <v>67</v>
      </c>
      <c r="C124" s="2" t="s">
        <v>27</v>
      </c>
      <c r="D124" s="13"/>
      <c r="E124" s="13"/>
      <c r="F124" s="44" t="s">
        <v>1612</v>
      </c>
      <c r="G124" s="43">
        <v>1.0</v>
      </c>
      <c r="H124" s="42"/>
      <c r="I124" s="42"/>
      <c r="J124" s="22"/>
      <c r="K124" s="42"/>
    </row>
    <row r="125" ht="39.75" hidden="1" customHeight="1">
      <c r="A125" s="1">
        <v>124.0</v>
      </c>
      <c r="B125" s="2" t="s">
        <v>34</v>
      </c>
      <c r="C125" s="2" t="s">
        <v>13</v>
      </c>
      <c r="D125" s="13"/>
      <c r="E125" s="13"/>
      <c r="F125" s="45"/>
      <c r="G125" s="42"/>
      <c r="H125" s="42"/>
      <c r="I125" s="42"/>
      <c r="J125" s="22"/>
      <c r="K125" s="42"/>
    </row>
    <row r="126" ht="39.75" hidden="1" customHeight="1">
      <c r="A126" s="1">
        <v>125.0</v>
      </c>
      <c r="B126" s="2" t="s">
        <v>35</v>
      </c>
      <c r="C126" s="2" t="s">
        <v>13</v>
      </c>
      <c r="D126" s="13"/>
      <c r="E126" s="13"/>
      <c r="F126" s="45"/>
      <c r="G126" s="42"/>
      <c r="H126" s="42"/>
      <c r="I126" s="42"/>
      <c r="J126" s="22"/>
      <c r="K126" s="42"/>
    </row>
    <row r="127" ht="39.75" customHeight="1">
      <c r="A127" s="1">
        <v>126.0</v>
      </c>
      <c r="B127" s="2" t="s">
        <v>36</v>
      </c>
      <c r="C127" s="13"/>
      <c r="D127" s="13"/>
      <c r="E127" s="13"/>
      <c r="F127" s="44" t="s">
        <v>1613</v>
      </c>
      <c r="G127" s="43">
        <v>1.0</v>
      </c>
      <c r="H127" s="43">
        <v>1.0</v>
      </c>
      <c r="I127" s="42"/>
      <c r="J127" s="22"/>
      <c r="K127" s="42"/>
    </row>
    <row r="128" ht="39.75" hidden="1" customHeight="1">
      <c r="A128" s="1">
        <v>127.0</v>
      </c>
      <c r="B128" s="2" t="s">
        <v>38</v>
      </c>
      <c r="C128" s="2" t="s">
        <v>13</v>
      </c>
      <c r="D128" s="13"/>
      <c r="E128" s="13"/>
      <c r="F128" s="45"/>
      <c r="G128" s="42"/>
      <c r="H128" s="42"/>
      <c r="I128" s="42"/>
      <c r="J128" s="22"/>
      <c r="K128" s="42"/>
    </row>
    <row r="129" ht="39.75" hidden="1" customHeight="1">
      <c r="A129" s="1">
        <v>128.0</v>
      </c>
      <c r="B129" s="2" t="s">
        <v>41</v>
      </c>
      <c r="C129" s="2" t="s">
        <v>13</v>
      </c>
      <c r="D129" s="13"/>
      <c r="E129" s="13"/>
      <c r="F129" s="45"/>
      <c r="G129" s="42"/>
      <c r="H129" s="42"/>
      <c r="I129" s="42"/>
      <c r="J129" s="22"/>
      <c r="K129" s="42"/>
    </row>
    <row r="130" ht="39.75" hidden="1" customHeight="1">
      <c r="A130" s="1">
        <v>129.0</v>
      </c>
      <c r="B130" s="2" t="s">
        <v>42</v>
      </c>
      <c r="C130" s="2" t="s">
        <v>13</v>
      </c>
      <c r="D130" s="13"/>
      <c r="E130" s="13"/>
      <c r="F130" s="45"/>
      <c r="G130" s="42"/>
      <c r="H130" s="42"/>
      <c r="I130" s="42"/>
      <c r="J130" s="22"/>
      <c r="K130" s="42"/>
    </row>
    <row r="131" ht="39.75" hidden="1" customHeight="1">
      <c r="A131" s="1">
        <v>130.0</v>
      </c>
      <c r="B131" s="2" t="s">
        <v>43</v>
      </c>
      <c r="C131" s="2" t="s">
        <v>13</v>
      </c>
      <c r="D131" s="13"/>
      <c r="E131" s="13"/>
      <c r="F131" s="45"/>
      <c r="G131" s="42"/>
      <c r="H131" s="42"/>
      <c r="I131" s="42"/>
      <c r="J131" s="22"/>
      <c r="K131" s="42"/>
    </row>
    <row r="132" ht="39.75" customHeight="1">
      <c r="A132" s="1">
        <v>131.0</v>
      </c>
      <c r="B132" s="2" t="s">
        <v>45</v>
      </c>
      <c r="C132" s="2"/>
      <c r="D132" s="40">
        <v>0.5416666666666666</v>
      </c>
      <c r="E132" s="13"/>
      <c r="F132" s="44" t="s">
        <v>1614</v>
      </c>
      <c r="G132" s="43">
        <v>1.0</v>
      </c>
      <c r="H132" s="42"/>
      <c r="I132" s="43">
        <v>1.0</v>
      </c>
      <c r="J132" s="22"/>
      <c r="K132" s="42"/>
    </row>
    <row r="133" ht="39.75" hidden="1" customHeight="1">
      <c r="A133" s="1">
        <v>132.0</v>
      </c>
      <c r="B133" s="2" t="s">
        <v>46</v>
      </c>
      <c r="C133" s="2" t="s">
        <v>13</v>
      </c>
      <c r="D133" s="13"/>
      <c r="E133" s="13"/>
      <c r="F133" s="45"/>
      <c r="G133" s="42"/>
      <c r="H133" s="42"/>
      <c r="I133" s="42"/>
      <c r="J133" s="22"/>
      <c r="K133" s="42"/>
    </row>
    <row r="134" ht="39.75" customHeight="1">
      <c r="A134" s="1">
        <v>133.0</v>
      </c>
      <c r="B134" s="2" t="s">
        <v>47</v>
      </c>
      <c r="C134" s="13"/>
      <c r="D134" s="40">
        <v>0.5416666666666666</v>
      </c>
      <c r="E134" s="13"/>
      <c r="F134" s="44" t="s">
        <v>1615</v>
      </c>
      <c r="G134" s="43">
        <v>1.0</v>
      </c>
      <c r="H134" s="42"/>
      <c r="I134" s="43">
        <v>1.0</v>
      </c>
      <c r="J134" s="22"/>
      <c r="K134" s="42"/>
    </row>
    <row r="135" ht="39.75" customHeight="1">
      <c r="A135" s="1">
        <v>134.0</v>
      </c>
      <c r="B135" s="2" t="s">
        <v>48</v>
      </c>
      <c r="C135" s="2" t="s">
        <v>39</v>
      </c>
      <c r="D135" s="13"/>
      <c r="E135" s="13"/>
      <c r="F135" s="44" t="s">
        <v>1178</v>
      </c>
      <c r="G135" s="43">
        <v>1.0</v>
      </c>
      <c r="H135" s="42"/>
      <c r="I135" s="43">
        <v>1.0</v>
      </c>
      <c r="J135" s="22"/>
      <c r="K135" s="42"/>
    </row>
    <row r="136" ht="39.75" customHeight="1">
      <c r="A136" s="1">
        <v>135.0</v>
      </c>
      <c r="B136" s="21"/>
      <c r="C136" s="21"/>
      <c r="D136" s="21"/>
      <c r="E136" s="21"/>
      <c r="F136" s="46"/>
      <c r="G136" s="47"/>
      <c r="H136" s="47"/>
      <c r="I136" s="47"/>
      <c r="J136" s="48"/>
      <c r="K136" s="47"/>
      <c r="L136" s="49"/>
      <c r="M136" s="49"/>
      <c r="N136" s="49"/>
    </row>
    <row r="137" ht="39.75" customHeight="1">
      <c r="A137" s="1">
        <v>136.0</v>
      </c>
      <c r="B137" s="2" t="s">
        <v>12</v>
      </c>
      <c r="C137" s="2"/>
      <c r="D137" s="40">
        <v>0.375</v>
      </c>
      <c r="E137" s="13"/>
      <c r="F137" s="44" t="s">
        <v>1616</v>
      </c>
      <c r="G137" s="43">
        <v>1.0</v>
      </c>
      <c r="H137" s="42"/>
      <c r="I137" s="43">
        <v>1.0</v>
      </c>
      <c r="J137" s="27" t="s">
        <v>1544</v>
      </c>
      <c r="K137" s="43"/>
      <c r="L137" s="15" t="s">
        <v>128</v>
      </c>
    </row>
    <row r="138" ht="39.75" hidden="1" customHeight="1">
      <c r="A138" s="1">
        <v>137.0</v>
      </c>
      <c r="B138" s="2" t="s">
        <v>16</v>
      </c>
      <c r="C138" s="2" t="s">
        <v>13</v>
      </c>
      <c r="D138" s="13"/>
      <c r="E138" s="13"/>
      <c r="F138" s="45"/>
      <c r="G138" s="42"/>
      <c r="H138" s="42"/>
      <c r="I138" s="42"/>
      <c r="J138" s="27" t="s">
        <v>128</v>
      </c>
      <c r="K138" s="43"/>
    </row>
    <row r="139" ht="39.75" hidden="1" customHeight="1">
      <c r="A139" s="1">
        <v>138.0</v>
      </c>
      <c r="B139" s="2" t="s">
        <v>17</v>
      </c>
      <c r="C139" s="2" t="s">
        <v>13</v>
      </c>
      <c r="D139" s="13"/>
      <c r="E139" s="13"/>
      <c r="F139" s="45"/>
      <c r="G139" s="42"/>
      <c r="H139" s="42"/>
      <c r="I139" s="42"/>
      <c r="J139" s="27" t="s">
        <v>19</v>
      </c>
      <c r="K139" s="43"/>
    </row>
    <row r="140" ht="39.75" hidden="1" customHeight="1">
      <c r="A140" s="1">
        <v>139.0</v>
      </c>
      <c r="B140" s="2" t="s">
        <v>331</v>
      </c>
      <c r="C140" s="2" t="s">
        <v>13</v>
      </c>
      <c r="D140" s="13"/>
      <c r="E140" s="13"/>
      <c r="F140" s="44"/>
      <c r="G140" s="42"/>
      <c r="H140" s="42"/>
      <c r="I140" s="42"/>
      <c r="J140" s="27" t="s">
        <v>262</v>
      </c>
      <c r="K140" s="43"/>
    </row>
    <row r="141" ht="39.75" hidden="1" customHeight="1">
      <c r="A141" s="1">
        <v>140.0</v>
      </c>
      <c r="B141" s="2" t="s">
        <v>21</v>
      </c>
      <c r="C141" s="2" t="s">
        <v>13</v>
      </c>
      <c r="D141" s="13"/>
      <c r="E141" s="13"/>
      <c r="F141" s="45"/>
      <c r="G141" s="42"/>
      <c r="H141" s="42"/>
      <c r="I141" s="42"/>
      <c r="J141" s="27" t="s">
        <v>264</v>
      </c>
      <c r="K141" s="43"/>
    </row>
    <row r="142" ht="39.75" hidden="1" customHeight="1">
      <c r="A142" s="1">
        <v>141.0</v>
      </c>
      <c r="B142" s="2" t="s">
        <v>22</v>
      </c>
      <c r="C142" s="2" t="s">
        <v>13</v>
      </c>
      <c r="D142" s="13"/>
      <c r="E142" s="13"/>
      <c r="F142" s="45"/>
      <c r="G142" s="42"/>
      <c r="H142" s="42"/>
      <c r="I142" s="42"/>
      <c r="J142" s="27" t="s">
        <v>265</v>
      </c>
      <c r="K142" s="43"/>
    </row>
    <row r="143" ht="39.75" customHeight="1">
      <c r="A143" s="1">
        <v>142.0</v>
      </c>
      <c r="B143" s="2" t="s">
        <v>23</v>
      </c>
      <c r="C143" s="2"/>
      <c r="D143" s="40">
        <v>0.4583333333333333</v>
      </c>
      <c r="E143" s="13"/>
      <c r="F143" s="44" t="s">
        <v>1617</v>
      </c>
      <c r="G143" s="43">
        <v>1.0</v>
      </c>
      <c r="H143" s="42"/>
      <c r="I143" s="42"/>
      <c r="J143" s="22"/>
      <c r="K143" s="42"/>
    </row>
    <row r="144" ht="39.75" customHeight="1">
      <c r="A144" s="1">
        <v>143.0</v>
      </c>
      <c r="B144" s="2" t="s">
        <v>24</v>
      </c>
      <c r="C144" s="2" t="s">
        <v>63</v>
      </c>
      <c r="D144" s="13"/>
      <c r="E144" s="13"/>
      <c r="F144" s="45"/>
      <c r="G144" s="42"/>
      <c r="H144" s="42"/>
      <c r="I144" s="42"/>
      <c r="J144" s="22"/>
      <c r="K144" s="42"/>
    </row>
    <row r="145" ht="39.75" hidden="1" customHeight="1">
      <c r="A145" s="1">
        <v>144.0</v>
      </c>
      <c r="B145" s="2" t="s">
        <v>25</v>
      </c>
      <c r="C145" s="2" t="s">
        <v>13</v>
      </c>
      <c r="D145" s="13"/>
      <c r="E145" s="13"/>
      <c r="F145" s="45"/>
      <c r="G145" s="42"/>
      <c r="H145" s="42"/>
      <c r="I145" s="42"/>
      <c r="J145" s="22"/>
      <c r="K145" s="42"/>
    </row>
    <row r="146" ht="39.75" hidden="1" customHeight="1">
      <c r="A146" s="1">
        <v>145.0</v>
      </c>
      <c r="B146" s="2" t="s">
        <v>26</v>
      </c>
      <c r="C146" s="2" t="s">
        <v>13</v>
      </c>
      <c r="D146" s="13"/>
      <c r="E146" s="13"/>
      <c r="F146" s="45"/>
      <c r="G146" s="42"/>
      <c r="H146" s="42"/>
      <c r="I146" s="42"/>
      <c r="J146" s="22"/>
      <c r="K146" s="42"/>
    </row>
    <row r="147" ht="39.75" hidden="1" customHeight="1">
      <c r="A147" s="1">
        <v>146.0</v>
      </c>
      <c r="B147" s="2" t="s">
        <v>29</v>
      </c>
      <c r="C147" s="2" t="s">
        <v>13</v>
      </c>
      <c r="D147" s="13"/>
      <c r="E147" s="13"/>
      <c r="F147" s="45"/>
      <c r="G147" s="42"/>
      <c r="H147" s="42"/>
      <c r="I147" s="42"/>
      <c r="J147" s="22"/>
      <c r="K147" s="42"/>
    </row>
    <row r="148" ht="39.75" customHeight="1">
      <c r="A148" s="1">
        <v>147.0</v>
      </c>
      <c r="B148" s="2" t="s">
        <v>30</v>
      </c>
      <c r="C148" s="2" t="s">
        <v>49</v>
      </c>
      <c r="D148" s="13"/>
      <c r="E148" s="13"/>
      <c r="F148" s="44" t="s">
        <v>1618</v>
      </c>
      <c r="G148" s="43">
        <v>1.0</v>
      </c>
      <c r="H148" s="43"/>
      <c r="I148" s="42"/>
      <c r="J148" s="22"/>
      <c r="K148" s="42"/>
    </row>
    <row r="149" ht="39.75" customHeight="1">
      <c r="A149" s="1">
        <v>148.0</v>
      </c>
      <c r="B149" s="2" t="s">
        <v>33</v>
      </c>
      <c r="C149" s="2" t="s">
        <v>272</v>
      </c>
      <c r="D149" s="13"/>
      <c r="E149" s="13"/>
      <c r="F149" s="44" t="s">
        <v>1619</v>
      </c>
      <c r="G149" s="43">
        <v>1.0</v>
      </c>
      <c r="H149" s="42"/>
      <c r="I149" s="43">
        <v>1.0</v>
      </c>
      <c r="J149" s="22"/>
      <c r="K149" s="42"/>
    </row>
    <row r="150" ht="39.75" hidden="1" customHeight="1">
      <c r="A150" s="1">
        <v>149.0</v>
      </c>
      <c r="B150" s="2" t="s">
        <v>32</v>
      </c>
      <c r="C150" s="2" t="s">
        <v>13</v>
      </c>
      <c r="D150" s="13"/>
      <c r="E150" s="13"/>
      <c r="F150" s="45"/>
      <c r="G150" s="42"/>
      <c r="H150" s="42"/>
      <c r="I150" s="42"/>
      <c r="J150" s="22"/>
      <c r="K150" s="42"/>
    </row>
    <row r="151" ht="39.75" customHeight="1">
      <c r="A151" s="1">
        <v>150.0</v>
      </c>
      <c r="B151" s="2" t="s">
        <v>67</v>
      </c>
      <c r="C151" s="2" t="s">
        <v>44</v>
      </c>
      <c r="D151" s="13"/>
      <c r="E151" s="13"/>
      <c r="F151" s="45"/>
      <c r="G151" s="42"/>
      <c r="H151" s="42"/>
      <c r="I151" s="42"/>
      <c r="J151" s="22"/>
      <c r="K151" s="42"/>
    </row>
    <row r="152" ht="39.75" hidden="1" customHeight="1">
      <c r="A152" s="1">
        <v>151.0</v>
      </c>
      <c r="B152" s="2" t="s">
        <v>34</v>
      </c>
      <c r="C152" s="2" t="s">
        <v>13</v>
      </c>
      <c r="D152" s="13"/>
      <c r="E152" s="13"/>
      <c r="F152" s="45"/>
      <c r="G152" s="42"/>
      <c r="H152" s="42"/>
      <c r="I152" s="42"/>
      <c r="J152" s="22"/>
      <c r="K152" s="42"/>
    </row>
    <row r="153" ht="39.75" hidden="1" customHeight="1">
      <c r="A153" s="1">
        <v>152.0</v>
      </c>
      <c r="B153" s="2" t="s">
        <v>35</v>
      </c>
      <c r="C153" s="2" t="s">
        <v>13</v>
      </c>
      <c r="D153" s="2"/>
      <c r="E153" s="13"/>
      <c r="F153" s="45"/>
      <c r="G153" s="42"/>
      <c r="H153" s="42"/>
      <c r="I153" s="42"/>
      <c r="J153" s="22"/>
      <c r="K153" s="42"/>
    </row>
    <row r="154" ht="39.75" customHeight="1">
      <c r="A154" s="1">
        <v>153.0</v>
      </c>
      <c r="B154" s="2" t="s">
        <v>36</v>
      </c>
      <c r="C154" s="2"/>
      <c r="D154" s="2"/>
      <c r="E154" s="40">
        <v>0.25</v>
      </c>
      <c r="F154" s="44" t="s">
        <v>1620</v>
      </c>
      <c r="G154" s="43">
        <v>1.0</v>
      </c>
      <c r="H154" s="43">
        <v>1.0</v>
      </c>
      <c r="I154" s="42"/>
      <c r="J154" s="22"/>
      <c r="K154" s="42"/>
    </row>
    <row r="155" ht="39.75" hidden="1" customHeight="1">
      <c r="A155" s="1">
        <v>154.0</v>
      </c>
      <c r="B155" s="2" t="s">
        <v>38</v>
      </c>
      <c r="C155" s="2" t="s">
        <v>13</v>
      </c>
      <c r="D155" s="2"/>
      <c r="E155" s="13"/>
      <c r="F155" s="45"/>
      <c r="G155" s="42"/>
      <c r="H155" s="42"/>
      <c r="I155" s="42"/>
      <c r="J155" s="22"/>
      <c r="K155" s="42"/>
    </row>
    <row r="156" ht="39.75" hidden="1" customHeight="1">
      <c r="A156" s="1">
        <v>155.0</v>
      </c>
      <c r="B156" s="2" t="s">
        <v>41</v>
      </c>
      <c r="C156" s="2" t="s">
        <v>13</v>
      </c>
      <c r="D156" s="2"/>
      <c r="E156" s="13"/>
      <c r="F156" s="45"/>
      <c r="G156" s="42"/>
      <c r="H156" s="42"/>
      <c r="I156" s="42"/>
      <c r="J156" s="22"/>
      <c r="K156" s="42"/>
    </row>
    <row r="157" ht="39.75" customHeight="1">
      <c r="A157" s="1">
        <v>156.0</v>
      </c>
      <c r="B157" s="2" t="s">
        <v>42</v>
      </c>
      <c r="C157" s="2"/>
      <c r="D157" s="40">
        <v>0.4583333333333333</v>
      </c>
      <c r="E157" s="13"/>
      <c r="F157" s="44" t="s">
        <v>1621</v>
      </c>
      <c r="G157" s="43">
        <v>1.0</v>
      </c>
      <c r="H157" s="42"/>
      <c r="I157" s="42"/>
      <c r="J157" s="22"/>
      <c r="K157" s="42"/>
    </row>
    <row r="158" ht="39.75" hidden="1" customHeight="1">
      <c r="A158" s="1">
        <v>157.0</v>
      </c>
      <c r="B158" s="2" t="s">
        <v>43</v>
      </c>
      <c r="C158" s="2" t="s">
        <v>13</v>
      </c>
      <c r="D158" s="2"/>
      <c r="E158" s="13"/>
      <c r="F158" s="45"/>
      <c r="G158" s="42"/>
      <c r="H158" s="42"/>
      <c r="I158" s="42"/>
      <c r="J158" s="22"/>
      <c r="K158" s="42"/>
    </row>
    <row r="159" ht="39.75" customHeight="1">
      <c r="A159" s="1">
        <v>158.0</v>
      </c>
      <c r="B159" s="2" t="s">
        <v>45</v>
      </c>
      <c r="C159" s="2" t="s">
        <v>39</v>
      </c>
      <c r="D159" s="53">
        <v>0.2638888888888889</v>
      </c>
      <c r="E159" s="13"/>
      <c r="F159" s="44" t="s">
        <v>1622</v>
      </c>
      <c r="G159" s="43">
        <v>1.0</v>
      </c>
      <c r="H159" s="42"/>
      <c r="I159" s="42"/>
      <c r="J159" s="22"/>
      <c r="K159" s="42"/>
    </row>
    <row r="160" ht="39.75" customHeight="1">
      <c r="A160" s="1">
        <v>159.0</v>
      </c>
      <c r="B160" s="2" t="s">
        <v>46</v>
      </c>
      <c r="C160" s="13"/>
      <c r="D160" s="40">
        <v>0.375</v>
      </c>
      <c r="E160" s="13"/>
      <c r="F160" s="44" t="s">
        <v>1623</v>
      </c>
      <c r="G160" s="43">
        <v>1.0</v>
      </c>
      <c r="H160" s="42"/>
      <c r="I160" s="42"/>
      <c r="J160" s="22"/>
      <c r="K160" s="42"/>
    </row>
    <row r="161" ht="39.75" hidden="1" customHeight="1">
      <c r="A161" s="1">
        <v>160.0</v>
      </c>
      <c r="B161" s="2" t="s">
        <v>47</v>
      </c>
      <c r="C161" s="2" t="s">
        <v>13</v>
      </c>
      <c r="D161" s="2"/>
      <c r="E161" s="13"/>
      <c r="F161" s="45"/>
      <c r="G161" s="42"/>
      <c r="H161" s="42"/>
      <c r="I161" s="42"/>
      <c r="J161" s="22"/>
      <c r="K161" s="42"/>
    </row>
    <row r="162" ht="39.75" customHeight="1">
      <c r="A162" s="1">
        <v>161.0</v>
      </c>
      <c r="B162" s="2" t="s">
        <v>48</v>
      </c>
      <c r="C162" s="2" t="s">
        <v>27</v>
      </c>
      <c r="D162" s="13"/>
      <c r="E162" s="13"/>
      <c r="F162" s="44" t="s">
        <v>1624</v>
      </c>
      <c r="G162" s="43">
        <v>1.0</v>
      </c>
      <c r="H162" s="42"/>
      <c r="I162" s="42"/>
      <c r="J162" s="22"/>
      <c r="K162" s="42"/>
    </row>
    <row r="163" ht="39.75" customHeight="1">
      <c r="A163" s="1">
        <v>162.0</v>
      </c>
      <c r="B163" s="21"/>
      <c r="C163" s="21"/>
      <c r="D163" s="21"/>
      <c r="E163" s="21"/>
      <c r="F163" s="46"/>
      <c r="G163" s="47"/>
      <c r="H163" s="47"/>
      <c r="I163" s="47"/>
      <c r="J163" s="48"/>
      <c r="K163" s="47"/>
      <c r="L163" s="49"/>
      <c r="M163" s="49"/>
      <c r="N163" s="49"/>
    </row>
    <row r="164" ht="39.75" customHeight="1">
      <c r="A164" s="1">
        <v>163.0</v>
      </c>
      <c r="B164" s="2" t="s">
        <v>12</v>
      </c>
      <c r="C164" s="2" t="s">
        <v>62</v>
      </c>
      <c r="D164" s="13"/>
      <c r="E164" s="13"/>
      <c r="F164" s="45"/>
      <c r="G164" s="42"/>
      <c r="H164" s="42"/>
      <c r="I164" s="42"/>
      <c r="J164" s="27" t="s">
        <v>1544</v>
      </c>
      <c r="K164" s="43"/>
      <c r="L164" s="15" t="s">
        <v>147</v>
      </c>
    </row>
    <row r="165" ht="39.75" hidden="1" customHeight="1">
      <c r="A165" s="1">
        <v>164.0</v>
      </c>
      <c r="B165" s="2" t="s">
        <v>16</v>
      </c>
      <c r="C165" s="2" t="s">
        <v>58</v>
      </c>
      <c r="D165" s="13"/>
      <c r="E165" s="13"/>
      <c r="F165" s="45"/>
      <c r="G165" s="42"/>
      <c r="H165" s="42"/>
      <c r="I165" s="42"/>
      <c r="J165" s="27" t="s">
        <v>147</v>
      </c>
      <c r="K165" s="43"/>
    </row>
    <row r="166" ht="39.75" customHeight="1">
      <c r="A166" s="1">
        <v>165.0</v>
      </c>
      <c r="B166" s="2" t="s">
        <v>17</v>
      </c>
      <c r="C166" s="2"/>
      <c r="D166" s="13"/>
      <c r="E166" s="13"/>
      <c r="F166" s="44" t="s">
        <v>1625</v>
      </c>
      <c r="G166" s="43"/>
      <c r="H166" s="42"/>
      <c r="I166" s="42"/>
      <c r="J166" s="27" t="s">
        <v>56</v>
      </c>
      <c r="K166" s="43"/>
    </row>
    <row r="167" ht="39.75" hidden="1" customHeight="1">
      <c r="A167" s="1">
        <v>166.0</v>
      </c>
      <c r="B167" s="2" t="s">
        <v>331</v>
      </c>
      <c r="C167" s="2" t="s">
        <v>58</v>
      </c>
      <c r="D167" s="13"/>
      <c r="E167" s="13"/>
      <c r="F167" s="44"/>
      <c r="G167" s="42"/>
      <c r="H167" s="42"/>
      <c r="I167" s="42"/>
      <c r="J167" s="27"/>
      <c r="K167" s="43"/>
    </row>
    <row r="168" ht="39.75" customHeight="1">
      <c r="A168" s="1">
        <v>167.0</v>
      </c>
      <c r="B168" s="2" t="s">
        <v>21</v>
      </c>
      <c r="C168" s="2"/>
      <c r="D168" s="13"/>
      <c r="E168" s="13"/>
      <c r="F168" s="44" t="s">
        <v>1626</v>
      </c>
      <c r="G168" s="43">
        <v>1.0</v>
      </c>
      <c r="H168" s="42"/>
      <c r="I168" s="43">
        <v>1.0</v>
      </c>
      <c r="J168" s="27"/>
      <c r="K168" s="43"/>
    </row>
    <row r="169" ht="39.75" customHeight="1">
      <c r="A169" s="1">
        <v>168.0</v>
      </c>
      <c r="B169" s="2" t="s">
        <v>22</v>
      </c>
      <c r="C169" s="2" t="s">
        <v>69</v>
      </c>
      <c r="D169" s="13"/>
      <c r="E169" s="13"/>
      <c r="F169" s="45"/>
      <c r="G169" s="42"/>
      <c r="H169" s="42"/>
      <c r="I169" s="42"/>
      <c r="J169" s="27"/>
      <c r="K169" s="43"/>
    </row>
    <row r="170" ht="39.75" customHeight="1">
      <c r="A170" s="1">
        <v>169.0</v>
      </c>
      <c r="B170" s="2" t="s">
        <v>23</v>
      </c>
      <c r="C170" s="2"/>
      <c r="D170" s="13"/>
      <c r="E170" s="13"/>
      <c r="F170" s="44" t="s">
        <v>1627</v>
      </c>
      <c r="G170" s="43">
        <v>1.0</v>
      </c>
      <c r="H170" s="42"/>
      <c r="I170" s="42"/>
      <c r="J170" s="22"/>
      <c r="K170" s="42"/>
    </row>
    <row r="171" ht="39.75" customHeight="1">
      <c r="A171" s="1">
        <v>170.0</v>
      </c>
      <c r="B171" s="2" t="s">
        <v>24</v>
      </c>
      <c r="C171" s="2"/>
      <c r="D171" s="13"/>
      <c r="E171" s="13"/>
      <c r="F171" s="44" t="s">
        <v>1628</v>
      </c>
      <c r="G171" s="43">
        <v>1.0</v>
      </c>
      <c r="H171" s="42"/>
      <c r="I171" s="42"/>
      <c r="J171" s="22"/>
      <c r="K171" s="42"/>
    </row>
    <row r="172" ht="39.75" hidden="1" customHeight="1">
      <c r="A172" s="1">
        <v>171.0</v>
      </c>
      <c r="B172" s="2" t="s">
        <v>25</v>
      </c>
      <c r="C172" s="2" t="s">
        <v>58</v>
      </c>
      <c r="D172" s="13"/>
      <c r="E172" s="13"/>
      <c r="F172" s="45"/>
      <c r="G172" s="42"/>
      <c r="H172" s="42"/>
      <c r="I172" s="42"/>
      <c r="J172" s="22"/>
      <c r="K172" s="42"/>
    </row>
    <row r="173" ht="39.75" hidden="1" customHeight="1">
      <c r="A173" s="1">
        <v>172.0</v>
      </c>
      <c r="B173" s="2" t="s">
        <v>26</v>
      </c>
      <c r="C173" s="2" t="s">
        <v>58</v>
      </c>
      <c r="D173" s="13"/>
      <c r="E173" s="13"/>
      <c r="F173" s="45"/>
      <c r="G173" s="42"/>
      <c r="H173" s="42"/>
      <c r="I173" s="42"/>
      <c r="J173" s="22"/>
      <c r="K173" s="42"/>
    </row>
    <row r="174" ht="39.75" customHeight="1">
      <c r="A174" s="1">
        <v>173.0</v>
      </c>
      <c r="B174" s="2" t="s">
        <v>29</v>
      </c>
      <c r="C174" s="2" t="s">
        <v>54</v>
      </c>
      <c r="D174" s="13"/>
      <c r="E174" s="13"/>
      <c r="F174" s="44" t="s">
        <v>1629</v>
      </c>
      <c r="G174" s="43">
        <v>1.0</v>
      </c>
      <c r="H174" s="42"/>
      <c r="I174" s="42"/>
      <c r="J174" s="22"/>
      <c r="K174" s="42"/>
    </row>
    <row r="175" ht="39.75" customHeight="1">
      <c r="A175" s="1">
        <v>174.0</v>
      </c>
      <c r="B175" s="2" t="s">
        <v>30</v>
      </c>
      <c r="C175" s="2" t="s">
        <v>64</v>
      </c>
      <c r="D175" s="13"/>
      <c r="E175" s="13"/>
      <c r="F175" s="45"/>
      <c r="G175" s="42"/>
      <c r="H175" s="42"/>
      <c r="I175" s="42"/>
      <c r="J175" s="22"/>
      <c r="K175" s="42"/>
    </row>
    <row r="176" ht="39.75" customHeight="1">
      <c r="A176" s="1">
        <v>175.0</v>
      </c>
      <c r="B176" s="2" t="s">
        <v>31</v>
      </c>
      <c r="C176" s="2" t="s">
        <v>27</v>
      </c>
      <c r="D176" s="13"/>
      <c r="E176" s="13"/>
      <c r="F176" s="44" t="s">
        <v>1630</v>
      </c>
      <c r="G176" s="43">
        <v>1.0</v>
      </c>
      <c r="H176" s="42"/>
      <c r="I176" s="43">
        <v>1.0</v>
      </c>
      <c r="J176" s="22"/>
      <c r="K176" s="42"/>
    </row>
    <row r="177" ht="39.75" customHeight="1">
      <c r="A177" s="1">
        <v>176.0</v>
      </c>
      <c r="B177" s="2" t="s">
        <v>32</v>
      </c>
      <c r="C177" s="2"/>
      <c r="D177" s="13"/>
      <c r="E177" s="13"/>
      <c r="F177" s="44" t="s">
        <v>1631</v>
      </c>
      <c r="G177" s="43">
        <v>1.0</v>
      </c>
      <c r="H177" s="42"/>
      <c r="I177" s="42"/>
      <c r="J177" s="22"/>
      <c r="K177" s="42"/>
    </row>
    <row r="178" ht="39.75" customHeight="1">
      <c r="A178" s="1">
        <v>177.0</v>
      </c>
      <c r="B178" s="2" t="s">
        <v>67</v>
      </c>
      <c r="C178" s="2" t="s">
        <v>69</v>
      </c>
      <c r="D178" s="13"/>
      <c r="E178" s="13"/>
      <c r="F178" s="44" t="s">
        <v>1632</v>
      </c>
      <c r="G178" s="43">
        <v>1.0</v>
      </c>
      <c r="H178" s="42"/>
      <c r="I178" s="43"/>
      <c r="J178" s="22"/>
      <c r="K178" s="42"/>
    </row>
    <row r="179" ht="39.75" customHeight="1">
      <c r="A179" s="1">
        <v>178.0</v>
      </c>
      <c r="B179" s="2" t="s">
        <v>34</v>
      </c>
      <c r="C179" s="2"/>
      <c r="D179" s="13"/>
      <c r="E179" s="13"/>
      <c r="F179" s="44" t="s">
        <v>1633</v>
      </c>
      <c r="G179" s="43">
        <v>1.0</v>
      </c>
      <c r="H179" s="42"/>
      <c r="I179" s="42"/>
      <c r="J179" s="22"/>
      <c r="K179" s="42"/>
    </row>
    <row r="180" ht="39.75" customHeight="1">
      <c r="A180" s="1">
        <v>179.0</v>
      </c>
      <c r="B180" s="2" t="s">
        <v>35</v>
      </c>
      <c r="C180" s="2" t="s">
        <v>54</v>
      </c>
      <c r="D180" s="13"/>
      <c r="E180" s="13"/>
      <c r="F180" s="44" t="s">
        <v>1634</v>
      </c>
      <c r="G180" s="43">
        <v>1.0</v>
      </c>
      <c r="H180" s="42"/>
      <c r="I180" s="43">
        <v>1.0</v>
      </c>
      <c r="J180" s="22"/>
      <c r="K180" s="42"/>
    </row>
    <row r="181" ht="39.75" hidden="1" customHeight="1">
      <c r="A181" s="1">
        <v>180.0</v>
      </c>
      <c r="B181" s="2" t="s">
        <v>36</v>
      </c>
      <c r="C181" s="2" t="s">
        <v>58</v>
      </c>
      <c r="D181" s="13"/>
      <c r="E181" s="13"/>
      <c r="F181" s="45"/>
      <c r="G181" s="42"/>
      <c r="H181" s="42"/>
      <c r="I181" s="42"/>
      <c r="J181" s="22"/>
      <c r="K181" s="42"/>
    </row>
    <row r="182" ht="39.75" customHeight="1">
      <c r="A182" s="1">
        <v>181.0</v>
      </c>
      <c r="B182" s="2" t="s">
        <v>38</v>
      </c>
      <c r="C182" s="2" t="s">
        <v>39</v>
      </c>
      <c r="D182" s="13"/>
      <c r="E182" s="13"/>
      <c r="F182" s="44" t="s">
        <v>1635</v>
      </c>
      <c r="G182" s="43">
        <v>1.0</v>
      </c>
      <c r="H182" s="42"/>
      <c r="I182" s="42"/>
      <c r="J182" s="22"/>
      <c r="K182" s="42"/>
    </row>
    <row r="183" ht="39.75" hidden="1" customHeight="1">
      <c r="A183" s="1">
        <v>182.0</v>
      </c>
      <c r="B183" s="2" t="s">
        <v>41</v>
      </c>
      <c r="C183" s="2" t="s">
        <v>58</v>
      </c>
      <c r="D183" s="13"/>
      <c r="E183" s="13"/>
      <c r="F183" s="45"/>
      <c r="G183" s="42"/>
      <c r="H183" s="42"/>
      <c r="I183" s="42"/>
      <c r="J183" s="22"/>
      <c r="K183" s="42"/>
    </row>
    <row r="184" ht="39.75" customHeight="1">
      <c r="A184" s="1">
        <v>183.0</v>
      </c>
      <c r="B184" s="2" t="s">
        <v>42</v>
      </c>
      <c r="C184" s="2" t="s">
        <v>54</v>
      </c>
      <c r="D184" s="13"/>
      <c r="E184" s="13"/>
      <c r="F184" s="45"/>
      <c r="G184" s="42"/>
      <c r="H184" s="42"/>
      <c r="I184" s="42"/>
      <c r="J184" s="22"/>
      <c r="K184" s="42"/>
    </row>
    <row r="185" ht="39.75" customHeight="1">
      <c r="A185" s="1">
        <v>184.0</v>
      </c>
      <c r="B185" s="2" t="s">
        <v>43</v>
      </c>
      <c r="C185" s="2" t="s">
        <v>54</v>
      </c>
      <c r="D185" s="13"/>
      <c r="E185" s="13"/>
      <c r="F185" s="44" t="s">
        <v>1636</v>
      </c>
      <c r="G185" s="43">
        <v>1.0</v>
      </c>
      <c r="H185" s="42"/>
      <c r="I185" s="43">
        <v>1.0</v>
      </c>
      <c r="J185" s="22"/>
      <c r="K185" s="42"/>
    </row>
    <row r="186" ht="39.75" customHeight="1">
      <c r="A186" s="1">
        <v>185.0</v>
      </c>
      <c r="B186" s="2" t="s">
        <v>45</v>
      </c>
      <c r="C186" s="2" t="s">
        <v>39</v>
      </c>
      <c r="D186" s="13"/>
      <c r="E186" s="13"/>
      <c r="F186" s="44" t="s">
        <v>1637</v>
      </c>
      <c r="G186" s="43">
        <v>2.0</v>
      </c>
      <c r="H186" s="42"/>
      <c r="I186" s="43">
        <v>2.0</v>
      </c>
      <c r="J186" s="22"/>
      <c r="K186" s="42"/>
    </row>
    <row r="187" ht="39.75" hidden="1" customHeight="1">
      <c r="A187" s="1">
        <v>186.0</v>
      </c>
      <c r="B187" s="2" t="s">
        <v>46</v>
      </c>
      <c r="C187" s="2" t="s">
        <v>66</v>
      </c>
      <c r="D187" s="13"/>
      <c r="E187" s="13"/>
      <c r="F187" s="45"/>
      <c r="G187" s="42"/>
      <c r="H187" s="42"/>
      <c r="I187" s="42"/>
      <c r="J187" s="22"/>
      <c r="K187" s="42"/>
    </row>
    <row r="188" ht="39.75" customHeight="1">
      <c r="A188" s="1">
        <v>187.0</v>
      </c>
      <c r="B188" s="2" t="s">
        <v>47</v>
      </c>
      <c r="C188" s="13"/>
      <c r="D188" s="13"/>
      <c r="E188" s="13"/>
      <c r="F188" s="44" t="s">
        <v>1638</v>
      </c>
      <c r="G188" s="43">
        <v>2.0</v>
      </c>
      <c r="H188" s="42"/>
      <c r="I188" s="43">
        <v>1.0</v>
      </c>
      <c r="J188" s="22"/>
      <c r="K188" s="42"/>
    </row>
    <row r="189" ht="39.75" customHeight="1">
      <c r="A189" s="1">
        <v>188.0</v>
      </c>
      <c r="B189" s="2" t="s">
        <v>48</v>
      </c>
      <c r="C189" s="2" t="s">
        <v>44</v>
      </c>
      <c r="D189" s="13"/>
      <c r="E189" s="13"/>
      <c r="F189" s="45"/>
      <c r="G189" s="42"/>
      <c r="H189" s="42"/>
      <c r="I189" s="42"/>
      <c r="J189" s="22"/>
      <c r="K189" s="42"/>
    </row>
    <row r="190" ht="39.75" customHeight="1">
      <c r="A190" s="1">
        <v>189.0</v>
      </c>
      <c r="B190" s="21"/>
      <c r="C190" s="21"/>
      <c r="D190" s="21"/>
      <c r="E190" s="21"/>
      <c r="F190" s="46"/>
      <c r="G190" s="47"/>
      <c r="H190" s="47"/>
      <c r="I190" s="47"/>
      <c r="J190" s="48"/>
      <c r="K190" s="47"/>
      <c r="L190" s="49"/>
      <c r="M190" s="49"/>
      <c r="N190" s="49"/>
    </row>
    <row r="191" ht="39.75" customHeight="1">
      <c r="A191" s="1">
        <v>190.0</v>
      </c>
      <c r="B191" s="2" t="s">
        <v>12</v>
      </c>
      <c r="C191" s="2" t="s">
        <v>62</v>
      </c>
      <c r="D191" s="13"/>
      <c r="E191" s="13"/>
      <c r="F191" s="45"/>
      <c r="G191" s="42"/>
      <c r="H191" s="42"/>
      <c r="I191" s="42"/>
      <c r="J191" s="27" t="s">
        <v>1544</v>
      </c>
      <c r="K191" s="42"/>
      <c r="L191" s="15" t="s">
        <v>163</v>
      </c>
    </row>
    <row r="192" ht="39.75" hidden="1" customHeight="1">
      <c r="A192" s="1">
        <v>191.0</v>
      </c>
      <c r="B192" s="2" t="s">
        <v>16</v>
      </c>
      <c r="C192" s="2" t="s">
        <v>66</v>
      </c>
      <c r="D192" s="13"/>
      <c r="E192" s="13"/>
      <c r="F192" s="45"/>
      <c r="G192" s="42"/>
      <c r="H192" s="42"/>
      <c r="I192" s="42"/>
      <c r="J192" s="27" t="s">
        <v>163</v>
      </c>
      <c r="K192" s="43"/>
    </row>
    <row r="193" ht="39.75" customHeight="1">
      <c r="A193" s="1">
        <v>192.0</v>
      </c>
      <c r="B193" s="2" t="s">
        <v>17</v>
      </c>
      <c r="C193" s="2"/>
      <c r="D193" s="13"/>
      <c r="E193" s="13"/>
      <c r="F193" s="44" t="s">
        <v>1639</v>
      </c>
      <c r="G193" s="43">
        <v>1.0</v>
      </c>
      <c r="H193" s="42"/>
      <c r="I193" s="43">
        <v>1.0</v>
      </c>
      <c r="J193" s="27" t="s">
        <v>77</v>
      </c>
      <c r="K193" s="42"/>
    </row>
    <row r="194" ht="39.75" customHeight="1">
      <c r="A194" s="1">
        <v>193.0</v>
      </c>
      <c r="B194" s="2" t="s">
        <v>331</v>
      </c>
      <c r="C194" s="2" t="s">
        <v>542</v>
      </c>
      <c r="D194" s="13"/>
      <c r="E194" s="13"/>
      <c r="F194" s="44" t="s">
        <v>1640</v>
      </c>
      <c r="G194" s="43">
        <v>1.0</v>
      </c>
      <c r="H194" s="42"/>
      <c r="I194" s="42"/>
      <c r="J194" s="22"/>
      <c r="K194" s="42"/>
    </row>
    <row r="195" ht="39.75" customHeight="1">
      <c r="A195" s="1">
        <v>194.0</v>
      </c>
      <c r="B195" s="2" t="s">
        <v>21</v>
      </c>
      <c r="C195" s="2"/>
      <c r="D195" s="13"/>
      <c r="E195" s="13"/>
      <c r="F195" s="44" t="s">
        <v>1641</v>
      </c>
      <c r="G195" s="43">
        <v>1.0</v>
      </c>
      <c r="H195" s="42"/>
      <c r="I195" s="42"/>
      <c r="J195" s="22"/>
      <c r="K195" s="42"/>
    </row>
    <row r="196" ht="39.75" customHeight="1">
      <c r="A196" s="1">
        <v>195.0</v>
      </c>
      <c r="B196" s="2" t="s">
        <v>22</v>
      </c>
      <c r="C196" s="2"/>
      <c r="D196" s="13"/>
      <c r="E196" s="13"/>
      <c r="F196" s="44" t="s">
        <v>1642</v>
      </c>
      <c r="G196" s="43">
        <v>1.0</v>
      </c>
      <c r="H196" s="42"/>
      <c r="I196" s="42"/>
      <c r="J196" s="22"/>
      <c r="K196" s="42"/>
    </row>
    <row r="197" ht="39.75" customHeight="1">
      <c r="A197" s="1">
        <v>196.0</v>
      </c>
      <c r="B197" s="2" t="s">
        <v>23</v>
      </c>
      <c r="C197" s="2" t="s">
        <v>69</v>
      </c>
      <c r="D197" s="13"/>
      <c r="E197" s="13"/>
      <c r="F197" s="44" t="s">
        <v>1643</v>
      </c>
      <c r="G197" s="43">
        <v>1.0</v>
      </c>
      <c r="H197" s="42"/>
      <c r="I197" s="42"/>
      <c r="J197" s="22"/>
      <c r="K197" s="42"/>
    </row>
    <row r="198" ht="39.75" customHeight="1">
      <c r="A198" s="1">
        <v>197.0</v>
      </c>
      <c r="B198" s="2" t="s">
        <v>24</v>
      </c>
      <c r="C198" s="2"/>
      <c r="D198" s="13"/>
      <c r="E198" s="13"/>
      <c r="F198" s="44" t="s">
        <v>1342</v>
      </c>
      <c r="G198" s="43">
        <v>1.0</v>
      </c>
      <c r="H198" s="42"/>
      <c r="I198" s="42"/>
      <c r="J198" s="22"/>
      <c r="K198" s="42"/>
    </row>
    <row r="199" ht="39.75" hidden="1" customHeight="1">
      <c r="A199" s="1">
        <v>198.0</v>
      </c>
      <c r="B199" s="2" t="s">
        <v>25</v>
      </c>
      <c r="C199" s="2" t="s">
        <v>58</v>
      </c>
      <c r="D199" s="13"/>
      <c r="E199" s="13"/>
      <c r="F199" s="45"/>
      <c r="G199" s="42"/>
      <c r="H199" s="42"/>
      <c r="I199" s="42"/>
      <c r="J199" s="22"/>
      <c r="K199" s="42"/>
    </row>
    <row r="200" ht="39.75" customHeight="1">
      <c r="A200" s="1">
        <v>199.0</v>
      </c>
      <c r="B200" s="2" t="s">
        <v>26</v>
      </c>
      <c r="C200" s="2"/>
      <c r="D200" s="13"/>
      <c r="E200" s="13"/>
      <c r="F200" s="44" t="s">
        <v>1389</v>
      </c>
      <c r="G200" s="42"/>
      <c r="H200" s="42"/>
      <c r="I200" s="42"/>
      <c r="J200" s="22"/>
      <c r="K200" s="42"/>
    </row>
    <row r="201" ht="39.75" customHeight="1">
      <c r="A201" s="1">
        <v>200.0</v>
      </c>
      <c r="B201" s="2" t="s">
        <v>29</v>
      </c>
      <c r="C201" s="2" t="s">
        <v>54</v>
      </c>
      <c r="D201" s="13"/>
      <c r="E201" s="13"/>
      <c r="F201" s="45"/>
      <c r="G201" s="42"/>
      <c r="H201" s="42"/>
      <c r="I201" s="42"/>
      <c r="J201" s="22"/>
      <c r="K201" s="42"/>
    </row>
    <row r="202" ht="39.75" customHeight="1">
      <c r="A202" s="1">
        <v>201.0</v>
      </c>
      <c r="B202" s="2" t="s">
        <v>30</v>
      </c>
      <c r="C202" s="2" t="s">
        <v>64</v>
      </c>
      <c r="D202" s="13"/>
      <c r="E202" s="13"/>
      <c r="F202" s="45"/>
      <c r="G202" s="42"/>
      <c r="H202" s="42"/>
      <c r="I202" s="42"/>
      <c r="J202" s="22"/>
      <c r="K202" s="42"/>
    </row>
    <row r="203" ht="39.75" customHeight="1">
      <c r="A203" s="1">
        <v>202.0</v>
      </c>
      <c r="B203" s="2" t="s">
        <v>31</v>
      </c>
      <c r="C203" s="2" t="s">
        <v>44</v>
      </c>
      <c r="D203" s="13"/>
      <c r="E203" s="13"/>
      <c r="F203" s="45"/>
      <c r="G203" s="42"/>
      <c r="H203" s="42"/>
      <c r="I203" s="42"/>
      <c r="J203" s="22"/>
      <c r="K203" s="42"/>
    </row>
    <row r="204" ht="39.75" customHeight="1">
      <c r="A204" s="1">
        <v>203.0</v>
      </c>
      <c r="B204" s="2" t="s">
        <v>32</v>
      </c>
      <c r="C204" s="2"/>
      <c r="D204" s="13"/>
      <c r="E204" s="13"/>
      <c r="F204" s="44" t="s">
        <v>1644</v>
      </c>
      <c r="G204" s="43">
        <v>1.0</v>
      </c>
      <c r="H204" s="42"/>
      <c r="I204" s="42"/>
      <c r="J204" s="22"/>
      <c r="K204" s="42"/>
    </row>
    <row r="205" ht="39.75" customHeight="1">
      <c r="A205" s="1">
        <v>204.0</v>
      </c>
      <c r="B205" s="2" t="s">
        <v>67</v>
      </c>
      <c r="C205" s="2" t="s">
        <v>69</v>
      </c>
      <c r="D205" s="13"/>
      <c r="E205" s="13"/>
      <c r="F205" s="44" t="s">
        <v>1645</v>
      </c>
      <c r="G205" s="43">
        <v>1.0</v>
      </c>
      <c r="H205" s="42"/>
      <c r="I205" s="43">
        <v>1.0</v>
      </c>
      <c r="J205" s="22"/>
      <c r="K205" s="42"/>
    </row>
    <row r="206" ht="39.75" customHeight="1">
      <c r="A206" s="1">
        <v>205.0</v>
      </c>
      <c r="B206" s="2" t="s">
        <v>34</v>
      </c>
      <c r="C206" s="2" t="s">
        <v>27</v>
      </c>
      <c r="D206" s="13"/>
      <c r="E206" s="13"/>
      <c r="F206" s="44" t="s">
        <v>1646</v>
      </c>
      <c r="G206" s="43">
        <v>1.0</v>
      </c>
      <c r="H206" s="42"/>
      <c r="I206" s="42"/>
      <c r="J206" s="22"/>
      <c r="K206" s="42"/>
    </row>
    <row r="207" ht="39.75" customHeight="1">
      <c r="A207" s="1">
        <v>206.0</v>
      </c>
      <c r="B207" s="2" t="s">
        <v>35</v>
      </c>
      <c r="C207" s="2" t="s">
        <v>54</v>
      </c>
      <c r="D207" s="13"/>
      <c r="E207" s="13"/>
      <c r="F207" s="44" t="s">
        <v>1647</v>
      </c>
      <c r="G207" s="43">
        <v>1.0</v>
      </c>
      <c r="H207" s="43">
        <v>1.0</v>
      </c>
      <c r="I207" s="42"/>
      <c r="J207" s="22"/>
      <c r="K207" s="42"/>
    </row>
    <row r="208" ht="39.75" customHeight="1">
      <c r="A208" s="1">
        <v>207.0</v>
      </c>
      <c r="B208" s="2" t="s">
        <v>36</v>
      </c>
      <c r="C208" s="2" t="s">
        <v>39</v>
      </c>
      <c r="D208" s="13"/>
      <c r="E208" s="13"/>
      <c r="F208" s="44" t="s">
        <v>1648</v>
      </c>
      <c r="G208" s="43">
        <v>1.0</v>
      </c>
      <c r="H208" s="42"/>
      <c r="I208" s="42"/>
      <c r="J208" s="22"/>
      <c r="K208" s="42"/>
    </row>
    <row r="209" ht="39.75" customHeight="1">
      <c r="A209" s="1">
        <v>208.0</v>
      </c>
      <c r="B209" s="2" t="s">
        <v>38</v>
      </c>
      <c r="C209" s="2"/>
      <c r="D209" s="13"/>
      <c r="E209" s="13"/>
      <c r="F209" s="44" t="s">
        <v>1649</v>
      </c>
      <c r="G209" s="43">
        <v>1.0</v>
      </c>
      <c r="H209" s="42"/>
      <c r="I209" s="43">
        <v>1.0</v>
      </c>
      <c r="J209" s="22"/>
      <c r="K209" s="42"/>
    </row>
    <row r="210" ht="39.75" hidden="1" customHeight="1">
      <c r="A210" s="1">
        <v>209.0</v>
      </c>
      <c r="B210" s="2" t="s">
        <v>41</v>
      </c>
      <c r="C210" s="2" t="s">
        <v>58</v>
      </c>
      <c r="D210" s="13"/>
      <c r="E210" s="13"/>
      <c r="F210" s="45"/>
      <c r="G210" s="42"/>
      <c r="H210" s="42"/>
      <c r="I210" s="42"/>
      <c r="J210" s="22"/>
      <c r="K210" s="42"/>
    </row>
    <row r="211" ht="39.75" customHeight="1">
      <c r="A211" s="1">
        <v>210.0</v>
      </c>
      <c r="B211" s="2" t="s">
        <v>42</v>
      </c>
      <c r="C211" s="2" t="s">
        <v>54</v>
      </c>
      <c r="D211" s="13"/>
      <c r="E211" s="13"/>
      <c r="F211" s="44" t="s">
        <v>1650</v>
      </c>
      <c r="G211" s="43">
        <v>2.0</v>
      </c>
      <c r="H211" s="42"/>
      <c r="I211" s="43">
        <v>1.0</v>
      </c>
      <c r="J211" s="22"/>
      <c r="K211" s="42"/>
    </row>
    <row r="212" ht="39.75" customHeight="1">
      <c r="A212" s="1">
        <v>211.0</v>
      </c>
      <c r="B212" s="2" t="s">
        <v>43</v>
      </c>
      <c r="C212" s="2" t="s">
        <v>54</v>
      </c>
      <c r="D212" s="13"/>
      <c r="E212" s="13"/>
      <c r="F212" s="45"/>
      <c r="G212" s="42"/>
      <c r="H212" s="42"/>
      <c r="I212" s="42"/>
      <c r="J212" s="22"/>
      <c r="K212" s="42"/>
    </row>
    <row r="213" ht="39.75" customHeight="1">
      <c r="A213" s="1">
        <v>212.0</v>
      </c>
      <c r="B213" s="2" t="s">
        <v>45</v>
      </c>
      <c r="C213" s="2" t="s">
        <v>69</v>
      </c>
      <c r="D213" s="13"/>
      <c r="E213" s="13"/>
      <c r="F213" s="44" t="s">
        <v>1651</v>
      </c>
      <c r="G213" s="43">
        <v>1.0</v>
      </c>
      <c r="H213" s="43">
        <v>1.0</v>
      </c>
      <c r="I213" s="42"/>
      <c r="J213" s="22"/>
      <c r="K213" s="42"/>
    </row>
    <row r="214" ht="39.75" hidden="1" customHeight="1">
      <c r="A214" s="1">
        <v>213.0</v>
      </c>
      <c r="B214" s="2" t="s">
        <v>46</v>
      </c>
      <c r="C214" s="2" t="s">
        <v>58</v>
      </c>
      <c r="D214" s="13"/>
      <c r="E214" s="13"/>
      <c r="F214" s="45"/>
      <c r="G214" s="42"/>
      <c r="H214" s="42"/>
      <c r="I214" s="42"/>
      <c r="J214" s="22"/>
      <c r="K214" s="42"/>
    </row>
    <row r="215" ht="39.75" hidden="1" customHeight="1">
      <c r="A215" s="1">
        <v>214.0</v>
      </c>
      <c r="B215" s="2" t="s">
        <v>47</v>
      </c>
      <c r="C215" s="2" t="s">
        <v>58</v>
      </c>
      <c r="D215" s="13"/>
      <c r="E215" s="13"/>
      <c r="F215" s="45"/>
      <c r="G215" s="42"/>
      <c r="H215" s="42"/>
      <c r="I215" s="42"/>
      <c r="J215" s="22"/>
      <c r="K215" s="42"/>
    </row>
    <row r="216" ht="39.75" customHeight="1">
      <c r="A216" s="1">
        <v>215.0</v>
      </c>
      <c r="B216" s="2" t="s">
        <v>48</v>
      </c>
      <c r="C216" s="2" t="s">
        <v>39</v>
      </c>
      <c r="D216" s="13"/>
      <c r="E216" s="13"/>
      <c r="F216" s="45"/>
      <c r="G216" s="42"/>
      <c r="H216" s="42"/>
      <c r="I216" s="42"/>
      <c r="J216" s="22"/>
      <c r="K216" s="42"/>
    </row>
    <row r="217" ht="39.75" customHeight="1">
      <c r="A217" s="1">
        <v>216.0</v>
      </c>
      <c r="B217" s="21"/>
      <c r="C217" s="21"/>
      <c r="D217" s="21"/>
      <c r="E217" s="21"/>
      <c r="F217" s="46"/>
      <c r="G217" s="47"/>
      <c r="H217" s="47"/>
      <c r="I217" s="47"/>
      <c r="J217" s="48"/>
      <c r="K217" s="47"/>
      <c r="L217" s="49"/>
      <c r="M217" s="49"/>
      <c r="N217" s="49"/>
    </row>
    <row r="218" ht="39.75" customHeight="1">
      <c r="A218" s="1">
        <v>217.0</v>
      </c>
      <c r="B218" s="2" t="s">
        <v>12</v>
      </c>
      <c r="C218" s="2" t="s">
        <v>62</v>
      </c>
      <c r="D218" s="13"/>
      <c r="E218" s="13"/>
      <c r="F218" s="45"/>
      <c r="G218" s="42"/>
      <c r="H218" s="42"/>
      <c r="I218" s="42"/>
      <c r="J218" s="27" t="s">
        <v>1544</v>
      </c>
      <c r="K218" s="42"/>
      <c r="L218" s="15" t="s">
        <v>175</v>
      </c>
    </row>
    <row r="219" ht="39.75" customHeight="1">
      <c r="A219" s="1">
        <v>218.0</v>
      </c>
      <c r="B219" s="2" t="s">
        <v>16</v>
      </c>
      <c r="C219" s="2" t="s">
        <v>39</v>
      </c>
      <c r="D219" s="13"/>
      <c r="E219" s="13"/>
      <c r="F219" s="44" t="s">
        <v>1652</v>
      </c>
      <c r="G219" s="43">
        <v>1.0</v>
      </c>
      <c r="H219" s="42"/>
      <c r="I219" s="42"/>
      <c r="J219" s="27" t="s">
        <v>175</v>
      </c>
      <c r="K219" s="43"/>
    </row>
    <row r="220" ht="39.75" customHeight="1">
      <c r="A220" s="1">
        <v>219.0</v>
      </c>
      <c r="B220" s="2" t="s">
        <v>17</v>
      </c>
      <c r="C220" s="2" t="s">
        <v>27</v>
      </c>
      <c r="D220" s="13"/>
      <c r="E220" s="13"/>
      <c r="F220" s="44" t="s">
        <v>1653</v>
      </c>
      <c r="G220" s="43">
        <v>1.0</v>
      </c>
      <c r="H220" s="42"/>
      <c r="I220" s="43">
        <v>1.0</v>
      </c>
      <c r="J220" s="27" t="s">
        <v>95</v>
      </c>
      <c r="K220" s="42"/>
    </row>
    <row r="221" ht="39.75" hidden="1" customHeight="1">
      <c r="A221" s="1">
        <v>220.0</v>
      </c>
      <c r="B221" s="2" t="s">
        <v>331</v>
      </c>
      <c r="C221" s="2" t="s">
        <v>58</v>
      </c>
      <c r="D221" s="13"/>
      <c r="E221" s="13"/>
      <c r="F221" s="44"/>
      <c r="G221" s="42"/>
      <c r="H221" s="42"/>
      <c r="I221" s="42"/>
      <c r="J221" s="22"/>
      <c r="K221" s="42"/>
    </row>
    <row r="222" ht="39.75" customHeight="1">
      <c r="A222" s="1">
        <v>221.0</v>
      </c>
      <c r="B222" s="2" t="s">
        <v>21</v>
      </c>
      <c r="C222" s="2"/>
      <c r="D222" s="13"/>
      <c r="E222" s="13"/>
      <c r="F222" s="44" t="s">
        <v>1654</v>
      </c>
      <c r="G222" s="43">
        <v>1.0</v>
      </c>
      <c r="H222" s="42"/>
      <c r="I222" s="42"/>
      <c r="J222" s="22"/>
      <c r="K222" s="42"/>
    </row>
    <row r="223" ht="39.75" customHeight="1">
      <c r="A223" s="1">
        <v>222.0</v>
      </c>
      <c r="B223" s="2" t="s">
        <v>22</v>
      </c>
      <c r="C223" s="2" t="s">
        <v>39</v>
      </c>
      <c r="D223" s="13"/>
      <c r="E223" s="13"/>
      <c r="F223" s="44" t="s">
        <v>1655</v>
      </c>
      <c r="G223" s="43">
        <v>1.0</v>
      </c>
      <c r="H223" s="42"/>
      <c r="I223" s="43">
        <v>1.0</v>
      </c>
      <c r="J223" s="22"/>
      <c r="K223" s="42"/>
    </row>
    <row r="224" ht="39.75" customHeight="1">
      <c r="A224" s="1">
        <v>223.0</v>
      </c>
      <c r="B224" s="2" t="s">
        <v>23</v>
      </c>
      <c r="C224" s="2" t="s">
        <v>54</v>
      </c>
      <c r="D224" s="13"/>
      <c r="E224" s="13"/>
      <c r="F224" s="44" t="s">
        <v>1656</v>
      </c>
      <c r="G224" s="43">
        <v>1.0</v>
      </c>
      <c r="H224" s="42"/>
      <c r="I224" s="42"/>
      <c r="J224" s="22"/>
      <c r="K224" s="42"/>
    </row>
    <row r="225" ht="39.75" customHeight="1">
      <c r="A225" s="1">
        <v>224.0</v>
      </c>
      <c r="B225" s="2" t="s">
        <v>24</v>
      </c>
      <c r="C225" s="2"/>
      <c r="D225" s="13"/>
      <c r="E225" s="13"/>
      <c r="F225" s="44" t="s">
        <v>1657</v>
      </c>
      <c r="G225" s="43">
        <v>1.0</v>
      </c>
      <c r="H225" s="42"/>
      <c r="I225" s="43">
        <v>1.0</v>
      </c>
      <c r="J225" s="22"/>
      <c r="K225" s="42"/>
    </row>
    <row r="226" ht="39.75" hidden="1" customHeight="1">
      <c r="A226" s="1">
        <v>225.0</v>
      </c>
      <c r="B226" s="2" t="s">
        <v>25</v>
      </c>
      <c r="C226" s="2" t="s">
        <v>66</v>
      </c>
      <c r="D226" s="13"/>
      <c r="E226" s="13"/>
      <c r="F226" s="45"/>
      <c r="G226" s="42"/>
      <c r="H226" s="42"/>
      <c r="I226" s="42"/>
      <c r="J226" s="22"/>
      <c r="K226" s="42"/>
    </row>
    <row r="227" ht="39.75" customHeight="1">
      <c r="A227" s="1">
        <v>226.0</v>
      </c>
      <c r="B227" s="2" t="s">
        <v>26</v>
      </c>
      <c r="C227" s="2" t="s">
        <v>69</v>
      </c>
      <c r="D227" s="13"/>
      <c r="E227" s="13"/>
      <c r="F227" s="45"/>
      <c r="G227" s="42"/>
      <c r="H227" s="42"/>
      <c r="I227" s="42"/>
      <c r="J227" s="22"/>
      <c r="K227" s="42"/>
    </row>
    <row r="228" ht="39.75" customHeight="1">
      <c r="A228" s="1">
        <v>227.0</v>
      </c>
      <c r="B228" s="2" t="s">
        <v>29</v>
      </c>
      <c r="C228" s="2" t="s">
        <v>54</v>
      </c>
      <c r="D228" s="13"/>
      <c r="E228" s="13"/>
      <c r="F228" s="44" t="s">
        <v>1658</v>
      </c>
      <c r="G228" s="43">
        <v>1.0</v>
      </c>
      <c r="H228" s="43">
        <v>1.0</v>
      </c>
      <c r="I228" s="42"/>
      <c r="J228" s="22"/>
      <c r="K228" s="42"/>
    </row>
    <row r="229" ht="39.75" hidden="1" customHeight="1">
      <c r="A229" s="1">
        <v>228.0</v>
      </c>
      <c r="B229" s="2" t="s">
        <v>30</v>
      </c>
      <c r="C229" s="2" t="s">
        <v>58</v>
      </c>
      <c r="D229" s="13"/>
      <c r="E229" s="13"/>
      <c r="F229" s="45"/>
      <c r="G229" s="42"/>
      <c r="H229" s="42"/>
      <c r="I229" s="42"/>
      <c r="J229" s="22"/>
      <c r="K229" s="42"/>
    </row>
    <row r="230" ht="39.75" customHeight="1">
      <c r="A230" s="1">
        <v>229.0</v>
      </c>
      <c r="B230" s="2" t="s">
        <v>31</v>
      </c>
      <c r="C230" s="2"/>
      <c r="D230" s="13"/>
      <c r="E230" s="13"/>
      <c r="F230" s="44" t="s">
        <v>1659</v>
      </c>
      <c r="G230" s="43">
        <v>1.0</v>
      </c>
      <c r="H230" s="42"/>
      <c r="I230" s="43">
        <v>1.0</v>
      </c>
      <c r="J230" s="22"/>
      <c r="K230" s="42"/>
    </row>
    <row r="231" ht="39.75" customHeight="1">
      <c r="A231" s="1">
        <v>230.0</v>
      </c>
      <c r="B231" s="2" t="s">
        <v>32</v>
      </c>
      <c r="C231" s="2"/>
      <c r="D231" s="13"/>
      <c r="E231" s="13"/>
      <c r="F231" s="44" t="s">
        <v>1660</v>
      </c>
      <c r="G231" s="43">
        <v>1.0</v>
      </c>
      <c r="H231" s="42"/>
      <c r="I231" s="43">
        <v>1.0</v>
      </c>
      <c r="J231" s="22"/>
      <c r="K231" s="42"/>
    </row>
    <row r="232" ht="39.75" hidden="1" customHeight="1">
      <c r="A232" s="1">
        <v>231.0</v>
      </c>
      <c r="B232" s="2" t="s">
        <v>67</v>
      </c>
      <c r="C232" s="2" t="s">
        <v>58</v>
      </c>
      <c r="D232" s="13"/>
      <c r="E232" s="13"/>
      <c r="F232" s="45"/>
      <c r="G232" s="42"/>
      <c r="H232" s="42"/>
      <c r="I232" s="42"/>
      <c r="J232" s="22"/>
      <c r="K232" s="42"/>
    </row>
    <row r="233" ht="39.75" customHeight="1">
      <c r="A233" s="1">
        <v>232.0</v>
      </c>
      <c r="B233" s="2" t="s">
        <v>34</v>
      </c>
      <c r="C233" s="2" t="s">
        <v>44</v>
      </c>
      <c r="D233" s="13"/>
      <c r="E233" s="13"/>
      <c r="F233" s="45"/>
      <c r="G233" s="42"/>
      <c r="H233" s="42"/>
      <c r="I233" s="42"/>
      <c r="J233" s="22"/>
      <c r="K233" s="42"/>
    </row>
    <row r="234" ht="39.75" customHeight="1">
      <c r="A234" s="1">
        <v>233.0</v>
      </c>
      <c r="B234" s="2" t="s">
        <v>35</v>
      </c>
      <c r="C234" s="2" t="s">
        <v>54</v>
      </c>
      <c r="D234" s="13"/>
      <c r="E234" s="13"/>
      <c r="F234" s="44" t="s">
        <v>1661</v>
      </c>
      <c r="G234" s="43">
        <v>1.0</v>
      </c>
      <c r="H234" s="42"/>
      <c r="I234" s="43">
        <v>1.0</v>
      </c>
      <c r="J234" s="22"/>
      <c r="K234" s="42"/>
    </row>
    <row r="235" ht="39.75" customHeight="1">
      <c r="A235" s="1">
        <v>234.0</v>
      </c>
      <c r="B235" s="2" t="s">
        <v>36</v>
      </c>
      <c r="C235" s="13"/>
      <c r="D235" s="13"/>
      <c r="E235" s="13"/>
      <c r="F235" s="44" t="s">
        <v>1662</v>
      </c>
      <c r="G235" s="43">
        <v>1.0</v>
      </c>
      <c r="H235" s="42"/>
      <c r="I235" s="42"/>
      <c r="J235" s="22"/>
      <c r="K235" s="42"/>
    </row>
    <row r="236" ht="39.75" customHeight="1">
      <c r="A236" s="1">
        <v>235.0</v>
      </c>
      <c r="B236" s="2" t="s">
        <v>38</v>
      </c>
      <c r="C236" s="2" t="s">
        <v>69</v>
      </c>
      <c r="D236" s="13"/>
      <c r="E236" s="13"/>
      <c r="F236" s="44" t="s">
        <v>1663</v>
      </c>
      <c r="G236" s="43">
        <v>1.0</v>
      </c>
      <c r="H236" s="42"/>
      <c r="I236" s="42"/>
      <c r="J236" s="22"/>
      <c r="K236" s="42"/>
    </row>
    <row r="237" ht="39.75" hidden="1" customHeight="1">
      <c r="A237" s="1">
        <v>236.0</v>
      </c>
      <c r="B237" s="2" t="s">
        <v>41</v>
      </c>
      <c r="C237" s="2" t="s">
        <v>58</v>
      </c>
      <c r="D237" s="13"/>
      <c r="E237" s="13"/>
      <c r="F237" s="45"/>
      <c r="G237" s="42"/>
      <c r="H237" s="42"/>
      <c r="I237" s="42"/>
      <c r="J237" s="22"/>
      <c r="K237" s="42"/>
    </row>
    <row r="238" ht="39.75" customHeight="1">
      <c r="A238" s="1">
        <v>237.0</v>
      </c>
      <c r="B238" s="2" t="s">
        <v>42</v>
      </c>
      <c r="C238" s="2"/>
      <c r="D238" s="13"/>
      <c r="E238" s="13"/>
      <c r="F238" s="44" t="s">
        <v>1285</v>
      </c>
      <c r="G238" s="42"/>
      <c r="H238" s="42"/>
      <c r="I238" s="42"/>
      <c r="J238" s="22"/>
      <c r="K238" s="42"/>
    </row>
    <row r="239" ht="39.75" customHeight="1">
      <c r="A239" s="1">
        <v>238.0</v>
      </c>
      <c r="B239" s="2" t="s">
        <v>43</v>
      </c>
      <c r="C239" s="2" t="s">
        <v>54</v>
      </c>
      <c r="D239" s="13"/>
      <c r="E239" s="40">
        <v>0.7916666666666666</v>
      </c>
      <c r="F239" s="44" t="s">
        <v>1664</v>
      </c>
      <c r="G239" s="43">
        <v>1.0</v>
      </c>
      <c r="H239" s="42"/>
      <c r="I239" s="42"/>
      <c r="J239" s="22"/>
      <c r="K239" s="42"/>
    </row>
    <row r="240" ht="39.75" hidden="1" customHeight="1">
      <c r="A240" s="1">
        <v>239.0</v>
      </c>
      <c r="B240" s="2" t="s">
        <v>45</v>
      </c>
      <c r="C240" s="2" t="s">
        <v>58</v>
      </c>
      <c r="D240" s="13"/>
      <c r="E240" s="13"/>
      <c r="F240" s="45"/>
      <c r="G240" s="42"/>
      <c r="H240" s="42"/>
      <c r="I240" s="42"/>
      <c r="J240" s="22"/>
      <c r="K240" s="42"/>
    </row>
    <row r="241" ht="39.75" customHeight="1">
      <c r="A241" s="1">
        <v>240.0</v>
      </c>
      <c r="B241" s="2" t="s">
        <v>46</v>
      </c>
      <c r="C241" s="2" t="s">
        <v>69</v>
      </c>
      <c r="D241" s="13"/>
      <c r="E241" s="40">
        <v>0.8541666666666666</v>
      </c>
      <c r="F241" s="44" t="s">
        <v>1665</v>
      </c>
      <c r="G241" s="43">
        <v>1.0</v>
      </c>
      <c r="H241" s="42"/>
      <c r="I241" s="42"/>
      <c r="J241" s="22"/>
      <c r="K241" s="42"/>
    </row>
    <row r="242" ht="39.75" customHeight="1">
      <c r="A242" s="1">
        <v>241.0</v>
      </c>
      <c r="B242" s="2" t="s">
        <v>47</v>
      </c>
      <c r="C242" s="13"/>
      <c r="D242" s="13"/>
      <c r="E242" s="13"/>
      <c r="F242" s="44" t="s">
        <v>1666</v>
      </c>
      <c r="G242" s="43">
        <v>1.0</v>
      </c>
      <c r="H242" s="42"/>
      <c r="I242" s="42"/>
      <c r="J242" s="22"/>
      <c r="K242" s="42"/>
    </row>
    <row r="243" ht="39.75" customHeight="1">
      <c r="A243" s="1">
        <v>242.0</v>
      </c>
      <c r="B243" s="2" t="s">
        <v>48</v>
      </c>
      <c r="C243" s="2"/>
      <c r="D243" s="13"/>
      <c r="E243" s="13"/>
      <c r="F243" s="44" t="s">
        <v>1667</v>
      </c>
      <c r="G243" s="43">
        <v>1.0</v>
      </c>
      <c r="H243" s="42"/>
      <c r="I243" s="43">
        <v>1.0</v>
      </c>
      <c r="J243" s="22"/>
      <c r="K243" s="42"/>
    </row>
    <row r="244" ht="39.75" customHeight="1">
      <c r="A244" s="1">
        <v>243.0</v>
      </c>
      <c r="B244" s="21"/>
      <c r="C244" s="21"/>
      <c r="D244" s="21"/>
      <c r="E244" s="21"/>
      <c r="F244" s="46"/>
      <c r="G244" s="47"/>
      <c r="H244" s="47"/>
      <c r="I244" s="47"/>
      <c r="J244" s="48"/>
      <c r="K244" s="47"/>
      <c r="L244" s="49"/>
      <c r="M244" s="49"/>
      <c r="N244" s="49"/>
    </row>
    <row r="245" ht="39.75" customHeight="1">
      <c r="A245" s="1">
        <v>244.0</v>
      </c>
      <c r="B245" s="2" t="s">
        <v>12</v>
      </c>
      <c r="C245" s="2" t="s">
        <v>62</v>
      </c>
      <c r="D245" s="13"/>
      <c r="E245" s="13"/>
      <c r="F245" s="44" t="s">
        <v>1668</v>
      </c>
      <c r="G245" s="43">
        <v>1.0</v>
      </c>
      <c r="H245" s="42"/>
      <c r="I245" s="43">
        <v>1.0</v>
      </c>
      <c r="J245" s="27" t="s">
        <v>1544</v>
      </c>
      <c r="K245" s="42"/>
      <c r="L245" s="15" t="s">
        <v>192</v>
      </c>
    </row>
    <row r="246" ht="39.75" customHeight="1">
      <c r="A246" s="1">
        <v>245.0</v>
      </c>
      <c r="B246" s="2" t="s">
        <v>16</v>
      </c>
      <c r="C246" s="2" t="s">
        <v>69</v>
      </c>
      <c r="D246" s="13"/>
      <c r="E246" s="13"/>
      <c r="F246" s="44" t="s">
        <v>1669</v>
      </c>
      <c r="G246" s="43">
        <v>1.0</v>
      </c>
      <c r="H246" s="42"/>
      <c r="I246" s="43">
        <v>1.0</v>
      </c>
      <c r="J246" s="27" t="s">
        <v>192</v>
      </c>
      <c r="K246" s="43"/>
    </row>
    <row r="247" ht="39.75" customHeight="1">
      <c r="A247" s="1">
        <v>246.0</v>
      </c>
      <c r="B247" s="2" t="s">
        <v>17</v>
      </c>
      <c r="C247" s="2" t="s">
        <v>44</v>
      </c>
      <c r="D247" s="13"/>
      <c r="E247" s="13"/>
      <c r="F247" s="45"/>
      <c r="G247" s="42"/>
      <c r="H247" s="42"/>
      <c r="I247" s="42"/>
      <c r="J247" s="27" t="s">
        <v>111</v>
      </c>
      <c r="K247" s="42"/>
    </row>
    <row r="248" ht="39.75" customHeight="1">
      <c r="A248" s="1">
        <v>247.0</v>
      </c>
      <c r="B248" s="2" t="s">
        <v>331</v>
      </c>
      <c r="C248" s="2" t="s">
        <v>542</v>
      </c>
      <c r="D248" s="13"/>
      <c r="E248" s="13"/>
      <c r="F248" s="44"/>
      <c r="G248" s="42"/>
      <c r="H248" s="42"/>
      <c r="I248" s="42"/>
      <c r="J248" s="22"/>
      <c r="K248" s="42"/>
    </row>
    <row r="249" ht="39.75" customHeight="1">
      <c r="A249" s="1">
        <v>248.0</v>
      </c>
      <c r="B249" s="2" t="s">
        <v>21</v>
      </c>
      <c r="C249" s="2"/>
      <c r="D249" s="13"/>
      <c r="E249" s="13"/>
      <c r="F249" s="45"/>
      <c r="G249" s="42"/>
      <c r="H249" s="42"/>
      <c r="I249" s="42"/>
      <c r="J249" s="22"/>
      <c r="K249" s="42"/>
    </row>
    <row r="250" ht="39.75" customHeight="1">
      <c r="A250" s="1">
        <v>249.0</v>
      </c>
      <c r="B250" s="2" t="s">
        <v>22</v>
      </c>
      <c r="C250" s="2" t="s">
        <v>39</v>
      </c>
      <c r="D250" s="13"/>
      <c r="E250" s="13"/>
      <c r="F250" s="44" t="s">
        <v>1670</v>
      </c>
      <c r="G250" s="43">
        <v>1.0</v>
      </c>
      <c r="H250" s="42"/>
      <c r="I250" s="42"/>
      <c r="J250" s="22"/>
      <c r="K250" s="42"/>
    </row>
    <row r="251" ht="39.75" customHeight="1">
      <c r="A251" s="1">
        <v>250.0</v>
      </c>
      <c r="B251" s="2" t="s">
        <v>23</v>
      </c>
      <c r="C251" s="2" t="s">
        <v>39</v>
      </c>
      <c r="D251" s="13"/>
      <c r="E251" s="13"/>
      <c r="F251" s="44" t="s">
        <v>1671</v>
      </c>
      <c r="G251" s="43">
        <v>1.0</v>
      </c>
      <c r="H251" s="42"/>
      <c r="I251" s="42"/>
      <c r="J251" s="22"/>
      <c r="K251" s="42"/>
    </row>
    <row r="252" ht="39.75" customHeight="1">
      <c r="A252" s="1">
        <v>251.0</v>
      </c>
      <c r="B252" s="2" t="s">
        <v>24</v>
      </c>
      <c r="C252" s="2"/>
      <c r="D252" s="13"/>
      <c r="E252" s="13"/>
      <c r="F252" s="44" t="s">
        <v>1672</v>
      </c>
      <c r="G252" s="43">
        <v>1.0</v>
      </c>
      <c r="H252" s="42"/>
      <c r="I252" s="42"/>
      <c r="J252" s="22"/>
      <c r="K252" s="42"/>
    </row>
    <row r="253" ht="39.75" hidden="1" customHeight="1">
      <c r="A253" s="1">
        <v>252.0</v>
      </c>
      <c r="B253" s="2" t="s">
        <v>25</v>
      </c>
      <c r="C253" s="2" t="s">
        <v>58</v>
      </c>
      <c r="D253" s="13"/>
      <c r="E253" s="13"/>
      <c r="F253" s="45"/>
      <c r="G253" s="42"/>
      <c r="H253" s="42"/>
      <c r="I253" s="42"/>
      <c r="J253" s="22"/>
      <c r="K253" s="42"/>
    </row>
    <row r="254" ht="39.75" customHeight="1">
      <c r="A254" s="1">
        <v>253.0</v>
      </c>
      <c r="B254" s="2" t="s">
        <v>26</v>
      </c>
      <c r="C254" s="2"/>
      <c r="D254" s="13"/>
      <c r="E254" s="13"/>
      <c r="F254" s="44" t="s">
        <v>1673</v>
      </c>
      <c r="G254" s="43">
        <v>1.0</v>
      </c>
      <c r="H254" s="42"/>
      <c r="I254" s="42"/>
      <c r="J254" s="22"/>
      <c r="K254" s="42"/>
    </row>
    <row r="255" ht="39.75" customHeight="1">
      <c r="A255" s="1">
        <v>254.0</v>
      </c>
      <c r="B255" s="2" t="s">
        <v>29</v>
      </c>
      <c r="C255" s="2" t="s">
        <v>54</v>
      </c>
      <c r="D255" s="13"/>
      <c r="E255" s="13"/>
      <c r="F255" s="44" t="s">
        <v>1658</v>
      </c>
      <c r="G255" s="43">
        <v>1.0</v>
      </c>
      <c r="H255" s="43">
        <v>1.0</v>
      </c>
      <c r="I255" s="42"/>
      <c r="J255" s="22"/>
      <c r="K255" s="42"/>
    </row>
    <row r="256" ht="39.75" hidden="1" customHeight="1">
      <c r="A256" s="1">
        <v>255.0</v>
      </c>
      <c r="B256" s="2" t="s">
        <v>30</v>
      </c>
      <c r="C256" s="2" t="s">
        <v>58</v>
      </c>
      <c r="D256" s="13"/>
      <c r="E256" s="13"/>
      <c r="F256" s="45"/>
      <c r="G256" s="42"/>
      <c r="H256" s="42"/>
      <c r="I256" s="42"/>
      <c r="J256" s="22"/>
      <c r="K256" s="42"/>
    </row>
    <row r="257" ht="39.75" customHeight="1">
      <c r="A257" s="1">
        <v>256.0</v>
      </c>
      <c r="B257" s="2" t="s">
        <v>31</v>
      </c>
      <c r="C257" s="2" t="s">
        <v>69</v>
      </c>
      <c r="D257" s="13"/>
      <c r="E257" s="13"/>
      <c r="F257" s="44" t="s">
        <v>1674</v>
      </c>
      <c r="G257" s="43">
        <v>1.0</v>
      </c>
      <c r="H257" s="42"/>
      <c r="I257" s="43">
        <v>1.0</v>
      </c>
      <c r="J257" s="22"/>
      <c r="K257" s="42"/>
    </row>
    <row r="258" ht="39.75" customHeight="1">
      <c r="A258" s="1">
        <v>257.0</v>
      </c>
      <c r="B258" s="2" t="s">
        <v>32</v>
      </c>
      <c r="C258" s="2"/>
      <c r="D258" s="13"/>
      <c r="E258" s="13"/>
      <c r="F258" s="44" t="s">
        <v>1204</v>
      </c>
      <c r="G258" s="42"/>
      <c r="H258" s="42"/>
      <c r="I258" s="42"/>
      <c r="J258" s="22"/>
      <c r="K258" s="42"/>
    </row>
    <row r="259" ht="39.75" customHeight="1">
      <c r="A259" s="1">
        <v>258.0</v>
      </c>
      <c r="B259" s="2" t="s">
        <v>67</v>
      </c>
      <c r="C259" s="2"/>
      <c r="D259" s="13"/>
      <c r="E259" s="13"/>
      <c r="F259" s="44" t="s">
        <v>1285</v>
      </c>
      <c r="G259" s="42"/>
      <c r="H259" s="42"/>
      <c r="I259" s="42"/>
      <c r="J259" s="22"/>
      <c r="K259" s="42"/>
    </row>
    <row r="260" ht="39.75" hidden="1" customHeight="1">
      <c r="A260" s="1">
        <v>259.0</v>
      </c>
      <c r="B260" s="2" t="s">
        <v>34</v>
      </c>
      <c r="C260" s="2" t="s">
        <v>66</v>
      </c>
      <c r="D260" s="13"/>
      <c r="E260" s="13"/>
      <c r="F260" s="45"/>
      <c r="G260" s="42"/>
      <c r="H260" s="42"/>
      <c r="I260" s="42"/>
      <c r="J260" s="22"/>
      <c r="K260" s="42"/>
    </row>
    <row r="261" ht="39.75" customHeight="1">
      <c r="A261" s="1">
        <v>260.0</v>
      </c>
      <c r="B261" s="2" t="s">
        <v>35</v>
      </c>
      <c r="C261" s="2"/>
      <c r="D261" s="13"/>
      <c r="E261" s="13"/>
      <c r="F261" s="44" t="s">
        <v>1675</v>
      </c>
      <c r="G261" s="43">
        <v>1.0</v>
      </c>
      <c r="H261" s="42"/>
      <c r="I261" s="43">
        <v>1.0</v>
      </c>
      <c r="J261" s="22"/>
      <c r="K261" s="42"/>
    </row>
    <row r="262" ht="39.75" customHeight="1">
      <c r="A262" s="1">
        <v>261.0</v>
      </c>
      <c r="B262" s="2" t="s">
        <v>36</v>
      </c>
      <c r="C262" s="2" t="s">
        <v>69</v>
      </c>
      <c r="D262" s="13"/>
      <c r="E262" s="13"/>
      <c r="F262" s="44" t="s">
        <v>1676</v>
      </c>
      <c r="G262" s="43">
        <v>1.0</v>
      </c>
      <c r="H262" s="42"/>
      <c r="I262" s="42"/>
      <c r="J262" s="22"/>
      <c r="K262" s="42"/>
    </row>
    <row r="263" ht="39.75" customHeight="1">
      <c r="A263" s="1">
        <v>262.0</v>
      </c>
      <c r="B263" s="2" t="s">
        <v>38</v>
      </c>
      <c r="C263" s="2" t="s">
        <v>27</v>
      </c>
      <c r="D263" s="13"/>
      <c r="E263" s="13"/>
      <c r="F263" s="45"/>
      <c r="G263" s="42"/>
      <c r="H263" s="42"/>
      <c r="I263" s="42"/>
      <c r="J263" s="22"/>
      <c r="K263" s="42"/>
    </row>
    <row r="264" ht="39.75" hidden="1" customHeight="1">
      <c r="A264" s="1">
        <v>263.0</v>
      </c>
      <c r="B264" s="2" t="s">
        <v>41</v>
      </c>
      <c r="C264" s="2" t="s">
        <v>58</v>
      </c>
      <c r="D264" s="13"/>
      <c r="E264" s="13"/>
      <c r="F264" s="45"/>
      <c r="G264" s="42"/>
      <c r="H264" s="42"/>
      <c r="I264" s="42"/>
      <c r="J264" s="22"/>
      <c r="K264" s="42"/>
    </row>
    <row r="265" ht="39.75" customHeight="1">
      <c r="A265" s="1">
        <v>264.0</v>
      </c>
      <c r="B265" s="2" t="s">
        <v>42</v>
      </c>
      <c r="C265" s="2" t="s">
        <v>54</v>
      </c>
      <c r="D265" s="13"/>
      <c r="E265" s="13"/>
      <c r="F265" s="44" t="s">
        <v>1677</v>
      </c>
      <c r="G265" s="43">
        <v>1.0</v>
      </c>
      <c r="H265" s="42"/>
      <c r="I265" s="43">
        <v>1.0</v>
      </c>
      <c r="J265" s="22"/>
      <c r="K265" s="42"/>
    </row>
    <row r="266" ht="39.75" customHeight="1">
      <c r="A266" s="1">
        <v>265.0</v>
      </c>
      <c r="B266" s="2" t="s">
        <v>43</v>
      </c>
      <c r="C266" s="2" t="s">
        <v>54</v>
      </c>
      <c r="D266" s="13"/>
      <c r="E266" s="13"/>
      <c r="F266" s="44" t="s">
        <v>1678</v>
      </c>
      <c r="G266" s="43">
        <v>1.0</v>
      </c>
      <c r="H266" s="42"/>
      <c r="I266" s="42"/>
      <c r="J266" s="22"/>
      <c r="K266" s="42"/>
    </row>
    <row r="267" ht="39.75" hidden="1" customHeight="1">
      <c r="A267" s="1">
        <v>266.0</v>
      </c>
      <c r="B267" s="2" t="s">
        <v>45</v>
      </c>
      <c r="C267" s="2" t="s">
        <v>58</v>
      </c>
      <c r="D267" s="13"/>
      <c r="E267" s="13"/>
      <c r="F267" s="45"/>
      <c r="G267" s="42"/>
      <c r="H267" s="42"/>
      <c r="I267" s="42"/>
      <c r="J267" s="22"/>
      <c r="K267" s="42"/>
    </row>
    <row r="268" ht="39.75" customHeight="1">
      <c r="A268" s="1">
        <v>267.0</v>
      </c>
      <c r="B268" s="2" t="s">
        <v>46</v>
      </c>
      <c r="C268" s="2" t="s">
        <v>39</v>
      </c>
      <c r="D268" s="13"/>
      <c r="E268" s="13"/>
      <c r="F268" s="44" t="s">
        <v>1679</v>
      </c>
      <c r="G268" s="43">
        <v>1.0</v>
      </c>
      <c r="H268" s="42"/>
      <c r="I268" s="42"/>
      <c r="J268" s="22"/>
      <c r="K268" s="42"/>
    </row>
    <row r="269" ht="39.75" customHeight="1">
      <c r="A269" s="1">
        <v>268.0</v>
      </c>
      <c r="B269" s="2" t="s">
        <v>47</v>
      </c>
      <c r="C269" s="13"/>
      <c r="D269" s="13"/>
      <c r="E269" s="13"/>
      <c r="F269" s="44" t="s">
        <v>1680</v>
      </c>
      <c r="G269" s="43">
        <v>1.0</v>
      </c>
      <c r="H269" s="42"/>
      <c r="I269" s="43">
        <v>1.0</v>
      </c>
      <c r="J269" s="22"/>
      <c r="K269" s="42"/>
    </row>
    <row r="270" ht="39.75" customHeight="1">
      <c r="A270" s="1">
        <v>269.0</v>
      </c>
      <c r="B270" s="2" t="s">
        <v>48</v>
      </c>
      <c r="C270" s="2" t="s">
        <v>54</v>
      </c>
      <c r="D270" s="13"/>
      <c r="E270" s="13"/>
      <c r="F270" s="44" t="s">
        <v>1681</v>
      </c>
      <c r="G270" s="43">
        <v>1.0</v>
      </c>
      <c r="H270" s="42"/>
      <c r="I270" s="43">
        <v>1.0</v>
      </c>
      <c r="J270" s="22"/>
      <c r="K270" s="42"/>
    </row>
    <row r="271" ht="39.75" customHeight="1">
      <c r="A271" s="1">
        <v>270.0</v>
      </c>
      <c r="B271" s="21"/>
      <c r="C271" s="21"/>
      <c r="D271" s="21"/>
      <c r="E271" s="21"/>
      <c r="F271" s="46"/>
      <c r="G271" s="47"/>
      <c r="H271" s="47"/>
      <c r="I271" s="47"/>
      <c r="J271" s="48"/>
      <c r="K271" s="47"/>
      <c r="L271" s="49"/>
      <c r="M271" s="49"/>
      <c r="N271" s="49"/>
    </row>
    <row r="272" ht="39.75" customHeight="1">
      <c r="A272" s="1">
        <v>271.0</v>
      </c>
      <c r="B272" s="2" t="s">
        <v>12</v>
      </c>
      <c r="C272" s="2" t="s">
        <v>62</v>
      </c>
      <c r="D272" s="13"/>
      <c r="E272" s="13"/>
      <c r="F272" s="45"/>
      <c r="G272" s="42"/>
      <c r="H272" s="42"/>
      <c r="I272" s="42"/>
      <c r="J272" s="27" t="s">
        <v>1544</v>
      </c>
      <c r="K272" s="42"/>
      <c r="L272" s="15" t="s">
        <v>209</v>
      </c>
    </row>
    <row r="273" ht="39.75" hidden="1" customHeight="1">
      <c r="A273" s="1">
        <v>272.0</v>
      </c>
      <c r="B273" s="2" t="s">
        <v>16</v>
      </c>
      <c r="C273" s="2" t="s">
        <v>58</v>
      </c>
      <c r="D273" s="13"/>
      <c r="E273" s="13"/>
      <c r="F273" s="45"/>
      <c r="G273" s="42"/>
      <c r="H273" s="42"/>
      <c r="I273" s="42"/>
      <c r="J273" s="27" t="s">
        <v>209</v>
      </c>
      <c r="K273" s="43"/>
    </row>
    <row r="274" ht="39.75" customHeight="1">
      <c r="A274" s="1">
        <v>273.0</v>
      </c>
      <c r="B274" s="2" t="s">
        <v>17</v>
      </c>
      <c r="C274" s="2"/>
      <c r="D274" s="13"/>
      <c r="E274" s="13"/>
      <c r="F274" s="44" t="s">
        <v>1682</v>
      </c>
      <c r="G274" s="43">
        <v>1.0</v>
      </c>
      <c r="H274" s="42"/>
      <c r="I274" s="42"/>
      <c r="J274" s="27" t="s">
        <v>131</v>
      </c>
      <c r="K274" s="42"/>
    </row>
    <row r="275" ht="39.75" customHeight="1">
      <c r="A275" s="1">
        <v>274.0</v>
      </c>
      <c r="B275" s="2" t="s">
        <v>331</v>
      </c>
      <c r="C275" s="2" t="s">
        <v>542</v>
      </c>
      <c r="D275" s="13"/>
      <c r="E275" s="51">
        <v>0.8402777777777778</v>
      </c>
      <c r="F275" s="44" t="s">
        <v>1683</v>
      </c>
      <c r="G275" s="43">
        <v>2.0</v>
      </c>
      <c r="H275" s="42"/>
      <c r="I275" s="42"/>
      <c r="J275" s="22"/>
      <c r="K275" s="42"/>
    </row>
    <row r="276" ht="39.75" hidden="1" customHeight="1">
      <c r="A276" s="1">
        <v>275.0</v>
      </c>
      <c r="B276" s="2" t="s">
        <v>21</v>
      </c>
      <c r="C276" s="2" t="s">
        <v>66</v>
      </c>
      <c r="D276" s="13"/>
      <c r="E276" s="13"/>
      <c r="F276" s="45"/>
      <c r="G276" s="42"/>
      <c r="H276" s="42"/>
      <c r="I276" s="42"/>
      <c r="J276" s="22"/>
      <c r="K276" s="42"/>
    </row>
    <row r="277" ht="39.75" customHeight="1">
      <c r="A277" s="1">
        <v>276.0</v>
      </c>
      <c r="B277" s="2" t="s">
        <v>22</v>
      </c>
      <c r="C277" s="2"/>
      <c r="D277" s="13"/>
      <c r="E277" s="13"/>
      <c r="F277" s="44" t="s">
        <v>1684</v>
      </c>
      <c r="G277" s="43">
        <v>1.0</v>
      </c>
      <c r="H277" s="42"/>
      <c r="I277" s="42"/>
      <c r="J277" s="22"/>
      <c r="K277" s="42"/>
    </row>
    <row r="278" ht="39.75" customHeight="1">
      <c r="A278" s="1">
        <v>277.0</v>
      </c>
      <c r="B278" s="2" t="s">
        <v>23</v>
      </c>
      <c r="C278" s="2" t="s">
        <v>69</v>
      </c>
      <c r="D278" s="13"/>
      <c r="E278" s="13"/>
      <c r="F278" s="44" t="s">
        <v>1685</v>
      </c>
      <c r="G278" s="43">
        <v>1.0</v>
      </c>
      <c r="H278" s="42"/>
      <c r="I278" s="42"/>
      <c r="J278" s="22"/>
      <c r="K278" s="42"/>
    </row>
    <row r="279" ht="39.75" customHeight="1">
      <c r="A279" s="1">
        <v>278.0</v>
      </c>
      <c r="B279" s="2" t="s">
        <v>24</v>
      </c>
      <c r="C279" s="2"/>
      <c r="D279" s="13"/>
      <c r="E279" s="13"/>
      <c r="F279" s="44" t="s">
        <v>1686</v>
      </c>
      <c r="G279" s="43">
        <v>1.0</v>
      </c>
      <c r="H279" s="42"/>
      <c r="I279" s="42"/>
      <c r="J279" s="22"/>
      <c r="K279" s="42"/>
    </row>
    <row r="280" ht="39.75" customHeight="1">
      <c r="A280" s="1">
        <v>279.0</v>
      </c>
      <c r="B280" s="2" t="s">
        <v>25</v>
      </c>
      <c r="C280" s="2" t="s">
        <v>69</v>
      </c>
      <c r="D280" s="13"/>
      <c r="E280" s="13"/>
      <c r="F280" s="44" t="s">
        <v>1687</v>
      </c>
      <c r="G280" s="43">
        <v>1.0</v>
      </c>
      <c r="H280" s="42"/>
      <c r="I280" s="43">
        <v>1.0</v>
      </c>
      <c r="J280" s="22"/>
      <c r="K280" s="42"/>
    </row>
    <row r="281" ht="39.75" customHeight="1">
      <c r="A281" s="1">
        <v>280.0</v>
      </c>
      <c r="B281" s="2" t="s">
        <v>26</v>
      </c>
      <c r="C281" s="2"/>
      <c r="D281" s="13"/>
      <c r="E281" s="13"/>
      <c r="F281" s="44" t="s">
        <v>1209</v>
      </c>
      <c r="G281" s="43">
        <v>1.0</v>
      </c>
      <c r="H281" s="42"/>
      <c r="I281" s="42"/>
      <c r="J281" s="22"/>
      <c r="K281" s="42"/>
    </row>
    <row r="282" ht="39.75" customHeight="1">
      <c r="A282" s="1">
        <v>281.0</v>
      </c>
      <c r="B282" s="2" t="s">
        <v>29</v>
      </c>
      <c r="C282" s="2" t="s">
        <v>54</v>
      </c>
      <c r="D282" s="13"/>
      <c r="E282" s="51">
        <v>0.8541666666666666</v>
      </c>
      <c r="F282" s="44" t="s">
        <v>1688</v>
      </c>
      <c r="G282" s="43">
        <v>1.0</v>
      </c>
      <c r="H282" s="42"/>
      <c r="I282" s="42"/>
      <c r="J282" s="22"/>
      <c r="K282" s="42"/>
    </row>
    <row r="283" ht="39.75" hidden="1" customHeight="1">
      <c r="A283" s="1">
        <v>282.0</v>
      </c>
      <c r="B283" s="2" t="s">
        <v>30</v>
      </c>
      <c r="C283" s="2" t="s">
        <v>58</v>
      </c>
      <c r="D283" s="13"/>
      <c r="E283" s="13"/>
      <c r="F283" s="45"/>
      <c r="G283" s="42"/>
      <c r="H283" s="42"/>
      <c r="I283" s="42"/>
      <c r="J283" s="22"/>
      <c r="K283" s="42"/>
    </row>
    <row r="284" ht="39.75" customHeight="1">
      <c r="A284" s="1">
        <v>283.0</v>
      </c>
      <c r="B284" s="2" t="s">
        <v>31</v>
      </c>
      <c r="C284" s="2" t="s">
        <v>39</v>
      </c>
      <c r="D284" s="13"/>
      <c r="E284" s="13"/>
      <c r="F284" s="44" t="s">
        <v>1689</v>
      </c>
      <c r="G284" s="43">
        <v>1.0</v>
      </c>
      <c r="H284" s="42"/>
      <c r="I284" s="42"/>
      <c r="J284" s="22"/>
      <c r="K284" s="42"/>
    </row>
    <row r="285" ht="39.75" customHeight="1">
      <c r="A285" s="1">
        <v>284.0</v>
      </c>
      <c r="B285" s="2" t="s">
        <v>32</v>
      </c>
      <c r="C285" s="2"/>
      <c r="D285" s="13"/>
      <c r="E285" s="13"/>
      <c r="F285" s="44" t="s">
        <v>1690</v>
      </c>
      <c r="G285" s="43">
        <v>1.0</v>
      </c>
      <c r="H285" s="42"/>
      <c r="I285" s="42"/>
      <c r="J285" s="22"/>
      <c r="K285" s="42"/>
    </row>
    <row r="286" ht="39.75" customHeight="1">
      <c r="A286" s="1">
        <v>285.0</v>
      </c>
      <c r="B286" s="2" t="s">
        <v>67</v>
      </c>
      <c r="C286" s="2" t="s">
        <v>39</v>
      </c>
      <c r="D286" s="13"/>
      <c r="E286" s="13"/>
      <c r="F286" s="44" t="s">
        <v>1691</v>
      </c>
      <c r="G286" s="43">
        <v>1.0</v>
      </c>
      <c r="H286" s="42"/>
      <c r="I286" s="42"/>
      <c r="J286" s="22"/>
      <c r="K286" s="42"/>
    </row>
    <row r="287" ht="39.75" customHeight="1">
      <c r="A287" s="1">
        <v>286.0</v>
      </c>
      <c r="B287" s="2" t="s">
        <v>34</v>
      </c>
      <c r="C287" s="2" t="s">
        <v>69</v>
      </c>
      <c r="D287" s="13"/>
      <c r="E287" s="40">
        <v>0.8611111111111112</v>
      </c>
      <c r="F287" s="44" t="s">
        <v>1692</v>
      </c>
      <c r="G287" s="43">
        <v>1.0</v>
      </c>
      <c r="H287" s="42"/>
      <c r="I287" s="42"/>
      <c r="J287" s="22"/>
      <c r="K287" s="42"/>
    </row>
    <row r="288" ht="39.75" customHeight="1">
      <c r="A288" s="1">
        <v>287.0</v>
      </c>
      <c r="B288" s="2" t="s">
        <v>35</v>
      </c>
      <c r="C288" s="2"/>
      <c r="D288" s="13"/>
      <c r="E288" s="13"/>
      <c r="F288" s="44" t="s">
        <v>1693</v>
      </c>
      <c r="G288" s="43">
        <v>2.0</v>
      </c>
      <c r="H288" s="42"/>
      <c r="I288" s="43">
        <v>1.0</v>
      </c>
      <c r="J288" s="22"/>
      <c r="K288" s="42"/>
    </row>
    <row r="289" ht="39.75" customHeight="1">
      <c r="A289" s="1">
        <v>288.0</v>
      </c>
      <c r="B289" s="2" t="s">
        <v>36</v>
      </c>
      <c r="C289" s="13"/>
      <c r="D289" s="13"/>
      <c r="E289" s="13"/>
      <c r="F289" s="44" t="s">
        <v>1285</v>
      </c>
      <c r="G289" s="42"/>
      <c r="H289" s="42"/>
      <c r="I289" s="42"/>
      <c r="J289" s="22"/>
      <c r="K289" s="42"/>
    </row>
    <row r="290" ht="39.75" customHeight="1">
      <c r="A290" s="1">
        <v>289.0</v>
      </c>
      <c r="B290" s="2" t="s">
        <v>38</v>
      </c>
      <c r="C290" s="2" t="s">
        <v>44</v>
      </c>
      <c r="D290" s="13"/>
      <c r="E290" s="55">
        <v>0.375</v>
      </c>
      <c r="F290" s="52" t="s">
        <v>1694</v>
      </c>
      <c r="G290" s="56">
        <v>1.0</v>
      </c>
      <c r="H290" s="42"/>
      <c r="I290" s="56">
        <v>1.0</v>
      </c>
      <c r="J290" s="22"/>
      <c r="K290" s="42"/>
    </row>
    <row r="291" ht="39.75" hidden="1" customHeight="1">
      <c r="A291" s="1">
        <v>290.0</v>
      </c>
      <c r="B291" s="2" t="s">
        <v>41</v>
      </c>
      <c r="C291" s="2" t="s">
        <v>58</v>
      </c>
      <c r="D291" s="13"/>
      <c r="E291" s="13"/>
      <c r="F291" s="45"/>
      <c r="G291" s="42"/>
      <c r="H291" s="42"/>
      <c r="I291" s="42"/>
      <c r="J291" s="22"/>
      <c r="K291" s="42"/>
    </row>
    <row r="292" ht="39.75" customHeight="1">
      <c r="A292" s="1">
        <v>291.0</v>
      </c>
      <c r="B292" s="2" t="s">
        <v>42</v>
      </c>
      <c r="C292" s="2" t="s">
        <v>54</v>
      </c>
      <c r="D292" s="13"/>
      <c r="E292" s="13"/>
      <c r="F292" s="44" t="s">
        <v>1695</v>
      </c>
      <c r="G292" s="42"/>
      <c r="H292" s="42"/>
      <c r="I292" s="42"/>
      <c r="J292" s="22"/>
      <c r="K292" s="42"/>
    </row>
    <row r="293" ht="39.75" hidden="1" customHeight="1">
      <c r="A293" s="1">
        <v>292.0</v>
      </c>
      <c r="B293" s="2" t="s">
        <v>43</v>
      </c>
      <c r="C293" s="2" t="s">
        <v>58</v>
      </c>
      <c r="D293" s="13"/>
      <c r="E293" s="13"/>
      <c r="F293" s="45"/>
      <c r="G293" s="42"/>
      <c r="H293" s="42"/>
      <c r="I293" s="42"/>
      <c r="J293" s="22"/>
      <c r="K293" s="42"/>
    </row>
    <row r="294" ht="39.75" customHeight="1">
      <c r="A294" s="1">
        <v>293.0</v>
      </c>
      <c r="B294" s="2" t="s">
        <v>45</v>
      </c>
      <c r="C294" s="2" t="s">
        <v>27</v>
      </c>
      <c r="D294" s="53">
        <v>0.6666666666666666</v>
      </c>
      <c r="E294" s="13"/>
      <c r="F294" s="44" t="s">
        <v>1696</v>
      </c>
      <c r="G294" s="43">
        <v>1.0</v>
      </c>
      <c r="H294" s="42"/>
      <c r="I294" s="42"/>
      <c r="J294" s="22"/>
      <c r="K294" s="42"/>
    </row>
    <row r="295" ht="39.75" customHeight="1">
      <c r="A295" s="1">
        <v>294.0</v>
      </c>
      <c r="B295" s="2" t="s">
        <v>46</v>
      </c>
      <c r="C295" s="2" t="s">
        <v>54</v>
      </c>
      <c r="D295" s="13"/>
      <c r="E295" s="13"/>
      <c r="F295" s="44" t="s">
        <v>352</v>
      </c>
      <c r="G295" s="43">
        <v>1.0</v>
      </c>
      <c r="H295" s="42"/>
      <c r="I295" s="43">
        <v>1.0</v>
      </c>
      <c r="J295" s="22"/>
      <c r="K295" s="42"/>
    </row>
    <row r="296" ht="39.75" hidden="1" customHeight="1">
      <c r="A296" s="1">
        <v>295.0</v>
      </c>
      <c r="B296" s="2" t="s">
        <v>47</v>
      </c>
      <c r="C296" s="2" t="s">
        <v>58</v>
      </c>
      <c r="D296" s="13"/>
      <c r="E296" s="13"/>
      <c r="F296" s="45"/>
      <c r="G296" s="42"/>
      <c r="H296" s="42"/>
      <c r="I296" s="42"/>
      <c r="J296" s="22"/>
      <c r="K296" s="42"/>
    </row>
    <row r="297" ht="39.75" customHeight="1">
      <c r="A297" s="1">
        <v>296.0</v>
      </c>
      <c r="B297" s="2" t="s">
        <v>48</v>
      </c>
      <c r="C297" s="2" t="s">
        <v>54</v>
      </c>
      <c r="D297" s="13"/>
      <c r="E297" s="13"/>
      <c r="F297" s="44" t="s">
        <v>1697</v>
      </c>
      <c r="G297" s="43">
        <v>1.0</v>
      </c>
      <c r="H297" s="42"/>
      <c r="I297" s="43">
        <v>1.0</v>
      </c>
      <c r="J297" s="22"/>
      <c r="K297" s="42"/>
    </row>
    <row r="298" ht="39.75" customHeight="1">
      <c r="A298" s="1">
        <v>297.0</v>
      </c>
      <c r="B298" s="21"/>
      <c r="C298" s="21"/>
      <c r="D298" s="21"/>
      <c r="E298" s="21"/>
      <c r="F298" s="46"/>
      <c r="G298" s="47"/>
      <c r="H298" s="47"/>
      <c r="I298" s="47"/>
      <c r="J298" s="48"/>
      <c r="K298" s="47"/>
      <c r="L298" s="49"/>
      <c r="M298" s="49"/>
      <c r="N298" s="49"/>
    </row>
    <row r="299" ht="39.75" hidden="1" customHeight="1">
      <c r="A299" s="1">
        <v>298.0</v>
      </c>
      <c r="B299" s="2" t="s">
        <v>12</v>
      </c>
      <c r="C299" s="2" t="s">
        <v>13</v>
      </c>
      <c r="D299" s="13"/>
      <c r="E299" s="13"/>
      <c r="F299" s="45"/>
      <c r="G299" s="42"/>
      <c r="H299" s="42"/>
      <c r="I299" s="42"/>
      <c r="J299" s="27" t="s">
        <v>1544</v>
      </c>
      <c r="K299" s="42"/>
      <c r="L299" s="15" t="s">
        <v>228</v>
      </c>
    </row>
    <row r="300" ht="39.75" hidden="1" customHeight="1">
      <c r="A300" s="1">
        <v>299.0</v>
      </c>
      <c r="B300" s="2" t="s">
        <v>16</v>
      </c>
      <c r="C300" s="2" t="s">
        <v>13</v>
      </c>
      <c r="D300" s="13"/>
      <c r="E300" s="13"/>
      <c r="F300" s="45"/>
      <c r="G300" s="42"/>
      <c r="H300" s="42"/>
      <c r="I300" s="42"/>
      <c r="J300" s="27" t="s">
        <v>228</v>
      </c>
      <c r="K300" s="43"/>
    </row>
    <row r="301" ht="39.75" customHeight="1">
      <c r="A301" s="1">
        <v>300.0</v>
      </c>
      <c r="B301" s="2" t="s">
        <v>17</v>
      </c>
      <c r="C301" s="2"/>
      <c r="D301" s="40">
        <v>0.375</v>
      </c>
      <c r="E301" s="13"/>
      <c r="F301" s="44" t="s">
        <v>1698</v>
      </c>
      <c r="G301" s="43">
        <v>1.0</v>
      </c>
      <c r="H301" s="42"/>
      <c r="I301" s="43">
        <v>1.0</v>
      </c>
      <c r="J301" s="27" t="s">
        <v>149</v>
      </c>
      <c r="K301" s="42"/>
    </row>
    <row r="302" ht="39.75" hidden="1" customHeight="1">
      <c r="A302" s="1">
        <v>301.0</v>
      </c>
      <c r="B302" s="2" t="s">
        <v>331</v>
      </c>
      <c r="C302" s="2" t="s">
        <v>13</v>
      </c>
      <c r="D302" s="13"/>
      <c r="E302" s="13"/>
      <c r="F302" s="44"/>
      <c r="G302" s="42"/>
      <c r="H302" s="42"/>
      <c r="I302" s="42"/>
      <c r="J302" s="27" t="s">
        <v>410</v>
      </c>
      <c r="K302" s="42"/>
    </row>
    <row r="303" ht="39.75" customHeight="1">
      <c r="A303" s="1">
        <v>302.0</v>
      </c>
      <c r="B303" s="2" t="s">
        <v>21</v>
      </c>
      <c r="C303" s="2" t="s">
        <v>63</v>
      </c>
      <c r="D303" s="13"/>
      <c r="E303" s="13"/>
      <c r="F303" s="45"/>
      <c r="G303" s="42"/>
      <c r="H303" s="42"/>
      <c r="I303" s="42"/>
      <c r="J303" s="27" t="s">
        <v>412</v>
      </c>
      <c r="K303" s="42"/>
    </row>
    <row r="304" ht="39.75" hidden="1" customHeight="1">
      <c r="A304" s="1">
        <v>303.0</v>
      </c>
      <c r="B304" s="2" t="s">
        <v>22</v>
      </c>
      <c r="C304" s="2" t="s">
        <v>13</v>
      </c>
      <c r="D304" s="13"/>
      <c r="E304" s="13"/>
      <c r="F304" s="45"/>
      <c r="G304" s="42"/>
      <c r="H304" s="42"/>
      <c r="I304" s="42"/>
      <c r="J304" s="27" t="s">
        <v>413</v>
      </c>
      <c r="K304" s="42"/>
    </row>
    <row r="305" ht="39.75" hidden="1" customHeight="1">
      <c r="A305" s="1">
        <v>304.0</v>
      </c>
      <c r="B305" s="2" t="s">
        <v>23</v>
      </c>
      <c r="C305" s="2" t="s">
        <v>13</v>
      </c>
      <c r="D305" s="13"/>
      <c r="E305" s="13"/>
      <c r="F305" s="45"/>
      <c r="G305" s="42"/>
      <c r="H305" s="42"/>
      <c r="I305" s="42"/>
      <c r="J305" s="22"/>
      <c r="K305" s="42"/>
    </row>
    <row r="306" ht="39.75" hidden="1" customHeight="1">
      <c r="A306" s="1">
        <v>305.0</v>
      </c>
      <c r="B306" s="2" t="s">
        <v>24</v>
      </c>
      <c r="C306" s="2" t="s">
        <v>13</v>
      </c>
      <c r="D306" s="13"/>
      <c r="E306" s="13"/>
      <c r="F306" s="45"/>
      <c r="G306" s="42"/>
      <c r="H306" s="42"/>
      <c r="I306" s="42"/>
      <c r="J306" s="22"/>
      <c r="K306" s="42"/>
    </row>
    <row r="307" ht="39.75" hidden="1" customHeight="1">
      <c r="A307" s="1">
        <v>306.0</v>
      </c>
      <c r="B307" s="2" t="s">
        <v>25</v>
      </c>
      <c r="C307" s="2" t="s">
        <v>13</v>
      </c>
      <c r="D307" s="13"/>
      <c r="E307" s="13"/>
      <c r="F307" s="45"/>
      <c r="G307" s="42"/>
      <c r="H307" s="42"/>
      <c r="I307" s="42"/>
      <c r="J307" s="22"/>
      <c r="K307" s="42"/>
    </row>
    <row r="308" ht="39.75" hidden="1" customHeight="1">
      <c r="A308" s="1">
        <v>307.0</v>
      </c>
      <c r="B308" s="2" t="s">
        <v>26</v>
      </c>
      <c r="C308" s="2" t="s">
        <v>13</v>
      </c>
      <c r="D308" s="13"/>
      <c r="E308" s="13"/>
      <c r="F308" s="45"/>
      <c r="G308" s="42"/>
      <c r="H308" s="42"/>
      <c r="I308" s="42"/>
      <c r="J308" s="22"/>
      <c r="K308" s="42"/>
    </row>
    <row r="309" ht="39.75" hidden="1" customHeight="1">
      <c r="A309" s="1">
        <v>308.0</v>
      </c>
      <c r="B309" s="2" t="s">
        <v>29</v>
      </c>
      <c r="C309" s="2" t="s">
        <v>13</v>
      </c>
      <c r="D309" s="13"/>
      <c r="E309" s="13"/>
      <c r="F309" s="45"/>
      <c r="G309" s="42"/>
      <c r="H309" s="42"/>
      <c r="I309" s="42"/>
      <c r="J309" s="22"/>
      <c r="K309" s="42"/>
    </row>
    <row r="310" ht="39.75" hidden="1" customHeight="1">
      <c r="A310" s="1">
        <v>309.0</v>
      </c>
      <c r="B310" s="2" t="s">
        <v>30</v>
      </c>
      <c r="C310" s="2" t="s">
        <v>13</v>
      </c>
      <c r="D310" s="13"/>
      <c r="E310" s="13"/>
      <c r="F310" s="45"/>
      <c r="G310" s="42"/>
      <c r="H310" s="42"/>
      <c r="I310" s="42"/>
      <c r="J310" s="22"/>
      <c r="K310" s="42"/>
    </row>
    <row r="311" ht="39.75" customHeight="1">
      <c r="A311" s="1">
        <v>310.0</v>
      </c>
      <c r="B311" s="2" t="s">
        <v>33</v>
      </c>
      <c r="C311" s="2" t="s">
        <v>272</v>
      </c>
      <c r="D311" s="13"/>
      <c r="E311" s="13"/>
      <c r="F311" s="44" t="s">
        <v>1268</v>
      </c>
      <c r="G311" s="43">
        <v>1.0</v>
      </c>
      <c r="H311" s="42"/>
      <c r="I311" s="43">
        <v>1.0</v>
      </c>
      <c r="J311" s="22"/>
      <c r="K311" s="42"/>
    </row>
    <row r="312" ht="39.75" hidden="1" customHeight="1">
      <c r="A312" s="1">
        <v>311.0</v>
      </c>
      <c r="B312" s="2" t="s">
        <v>32</v>
      </c>
      <c r="C312" s="2" t="s">
        <v>13</v>
      </c>
      <c r="D312" s="13"/>
      <c r="E312" s="13"/>
      <c r="F312" s="45"/>
      <c r="G312" s="42"/>
      <c r="H312" s="42"/>
      <c r="I312" s="42"/>
      <c r="J312" s="22"/>
      <c r="K312" s="42"/>
    </row>
    <row r="313" ht="39.75" hidden="1" customHeight="1">
      <c r="A313" s="1">
        <v>312.0</v>
      </c>
      <c r="B313" s="2" t="s">
        <v>67</v>
      </c>
      <c r="C313" s="2" t="s">
        <v>13</v>
      </c>
      <c r="D313" s="13"/>
      <c r="E313" s="13"/>
      <c r="F313" s="45"/>
      <c r="G313" s="42"/>
      <c r="H313" s="42"/>
      <c r="I313" s="42"/>
      <c r="J313" s="22"/>
      <c r="K313" s="42"/>
    </row>
    <row r="314" ht="39.75" hidden="1" customHeight="1">
      <c r="A314" s="1">
        <v>313.0</v>
      </c>
      <c r="B314" s="2" t="s">
        <v>34</v>
      </c>
      <c r="C314" s="2" t="s">
        <v>13</v>
      </c>
      <c r="D314" s="13"/>
      <c r="E314" s="13"/>
      <c r="F314" s="45"/>
      <c r="G314" s="42"/>
      <c r="H314" s="42"/>
      <c r="I314" s="42"/>
      <c r="J314" s="22"/>
      <c r="K314" s="42"/>
    </row>
    <row r="315" ht="39.75" hidden="1" customHeight="1">
      <c r="A315" s="1">
        <v>314.0</v>
      </c>
      <c r="B315" s="2" t="s">
        <v>35</v>
      </c>
      <c r="C315" s="2" t="s">
        <v>13</v>
      </c>
      <c r="D315" s="13"/>
      <c r="E315" s="13"/>
      <c r="F315" s="45"/>
      <c r="G315" s="42"/>
      <c r="H315" s="42"/>
      <c r="I315" s="42"/>
      <c r="J315" s="22"/>
      <c r="K315" s="42"/>
    </row>
    <row r="316" ht="39.75" customHeight="1">
      <c r="A316" s="1">
        <v>315.0</v>
      </c>
      <c r="B316" s="2" t="s">
        <v>36</v>
      </c>
      <c r="C316" s="13"/>
      <c r="D316" s="40">
        <v>0.375</v>
      </c>
      <c r="E316" s="13"/>
      <c r="F316" s="44" t="s">
        <v>1699</v>
      </c>
      <c r="G316" s="43">
        <v>1.0</v>
      </c>
      <c r="H316" s="42"/>
      <c r="I316" s="42"/>
      <c r="J316" s="22"/>
      <c r="K316" s="42"/>
    </row>
    <row r="317" ht="39.75" customHeight="1">
      <c r="A317" s="1">
        <v>316.0</v>
      </c>
      <c r="B317" s="2" t="s">
        <v>38</v>
      </c>
      <c r="C317" s="2" t="s">
        <v>49</v>
      </c>
      <c r="D317" s="13"/>
      <c r="E317" s="13"/>
      <c r="F317" s="44" t="s">
        <v>1700</v>
      </c>
      <c r="G317" s="43">
        <v>2.0</v>
      </c>
      <c r="H317" s="42"/>
      <c r="I317" s="43">
        <v>1.0</v>
      </c>
      <c r="J317" s="22"/>
      <c r="K317" s="42"/>
    </row>
    <row r="318" ht="39.75" hidden="1" customHeight="1">
      <c r="A318" s="1">
        <v>317.0</v>
      </c>
      <c r="B318" s="2" t="s">
        <v>41</v>
      </c>
      <c r="C318" s="2" t="s">
        <v>13</v>
      </c>
      <c r="D318" s="13"/>
      <c r="E318" s="13"/>
      <c r="F318" s="45"/>
      <c r="G318" s="42"/>
      <c r="H318" s="42"/>
      <c r="I318" s="42"/>
      <c r="J318" s="22"/>
      <c r="K318" s="42"/>
    </row>
    <row r="319" ht="39.75" customHeight="1">
      <c r="A319" s="1">
        <v>318.0</v>
      </c>
      <c r="B319" s="2" t="s">
        <v>42</v>
      </c>
      <c r="C319" s="2" t="s">
        <v>39</v>
      </c>
      <c r="D319" s="13"/>
      <c r="E319" s="13"/>
      <c r="F319" s="44" t="s">
        <v>1701</v>
      </c>
      <c r="G319" s="43">
        <v>2.0</v>
      </c>
      <c r="H319" s="42"/>
      <c r="I319" s="43"/>
      <c r="J319" s="22"/>
      <c r="K319" s="42"/>
    </row>
    <row r="320" ht="39.75" hidden="1" customHeight="1">
      <c r="A320" s="1">
        <v>319.0</v>
      </c>
      <c r="B320" s="2" t="s">
        <v>43</v>
      </c>
      <c r="C320" s="2" t="s">
        <v>13</v>
      </c>
      <c r="D320" s="13"/>
      <c r="E320" s="13"/>
      <c r="F320" s="45"/>
      <c r="G320" s="42"/>
      <c r="H320" s="42"/>
      <c r="I320" s="42"/>
      <c r="J320" s="22"/>
      <c r="K320" s="42"/>
    </row>
    <row r="321" ht="39.75" customHeight="1">
      <c r="A321" s="1">
        <v>320.0</v>
      </c>
      <c r="B321" s="2" t="s">
        <v>45</v>
      </c>
      <c r="C321" s="2" t="s">
        <v>44</v>
      </c>
      <c r="D321" s="13"/>
      <c r="E321" s="76">
        <v>0.375</v>
      </c>
      <c r="F321" s="52" t="s">
        <v>1702</v>
      </c>
      <c r="G321" s="56">
        <v>1.0</v>
      </c>
      <c r="H321" s="42"/>
      <c r="I321" s="42"/>
      <c r="J321" s="22"/>
      <c r="K321" s="42"/>
    </row>
    <row r="322" ht="39.75" hidden="1" customHeight="1">
      <c r="A322" s="1">
        <v>321.0</v>
      </c>
      <c r="B322" s="2" t="s">
        <v>46</v>
      </c>
      <c r="C322" s="2" t="s">
        <v>13</v>
      </c>
      <c r="D322" s="13"/>
      <c r="E322" s="13"/>
      <c r="F322" s="45"/>
      <c r="G322" s="42"/>
      <c r="H322" s="42"/>
      <c r="I322" s="42"/>
      <c r="J322" s="22"/>
      <c r="K322" s="42"/>
    </row>
    <row r="323" ht="39.75" hidden="1" customHeight="1">
      <c r="A323" s="1">
        <v>322.0</v>
      </c>
      <c r="B323" s="2" t="s">
        <v>47</v>
      </c>
      <c r="C323" s="2" t="s">
        <v>13</v>
      </c>
      <c r="D323" s="13"/>
      <c r="E323" s="13"/>
      <c r="F323" s="45"/>
      <c r="G323" s="42"/>
      <c r="H323" s="42"/>
      <c r="I323" s="42"/>
      <c r="J323" s="22"/>
      <c r="K323" s="42"/>
    </row>
    <row r="324" ht="39.75" customHeight="1">
      <c r="A324" s="1">
        <v>323.0</v>
      </c>
      <c r="B324" s="2" t="s">
        <v>48</v>
      </c>
      <c r="C324" s="2" t="s">
        <v>27</v>
      </c>
      <c r="D324" s="13"/>
      <c r="E324" s="13"/>
      <c r="F324" s="44" t="s">
        <v>1703</v>
      </c>
      <c r="G324" s="43">
        <v>2.0</v>
      </c>
      <c r="H324" s="42"/>
      <c r="I324" s="43">
        <v>1.0</v>
      </c>
      <c r="J324" s="22"/>
      <c r="K324" s="42"/>
    </row>
    <row r="325" ht="39.75" customHeight="1">
      <c r="A325" s="1">
        <v>324.0</v>
      </c>
      <c r="B325" s="21"/>
      <c r="C325" s="21"/>
      <c r="D325" s="21"/>
      <c r="E325" s="21"/>
      <c r="F325" s="46"/>
      <c r="G325" s="47"/>
      <c r="H325" s="47"/>
      <c r="I325" s="47"/>
      <c r="J325" s="48"/>
      <c r="K325" s="47"/>
      <c r="L325" s="49"/>
      <c r="M325" s="49"/>
      <c r="N325" s="49"/>
    </row>
    <row r="326" ht="39.75" hidden="1" customHeight="1">
      <c r="A326" s="1">
        <v>325.0</v>
      </c>
      <c r="B326" s="2" t="s">
        <v>12</v>
      </c>
      <c r="C326" s="2" t="s">
        <v>13</v>
      </c>
      <c r="D326" s="13"/>
      <c r="E326" s="13"/>
      <c r="F326" s="45"/>
      <c r="G326" s="42"/>
      <c r="H326" s="42"/>
      <c r="I326" s="42"/>
      <c r="J326" s="27" t="s">
        <v>1544</v>
      </c>
      <c r="K326" s="42"/>
      <c r="L326" s="15" t="s">
        <v>244</v>
      </c>
    </row>
    <row r="327" ht="39.75" hidden="1" customHeight="1">
      <c r="A327" s="1">
        <v>326.0</v>
      </c>
      <c r="B327" s="2" t="s">
        <v>16</v>
      </c>
      <c r="C327" s="2" t="s">
        <v>13</v>
      </c>
      <c r="D327" s="13"/>
      <c r="E327" s="13"/>
      <c r="F327" s="45"/>
      <c r="G327" s="42"/>
      <c r="H327" s="42"/>
      <c r="I327" s="42"/>
      <c r="J327" s="27" t="s">
        <v>244</v>
      </c>
      <c r="K327" s="43"/>
    </row>
    <row r="328" ht="39.75" customHeight="1">
      <c r="A328" s="1">
        <v>327.0</v>
      </c>
      <c r="B328" s="2" t="s">
        <v>20</v>
      </c>
      <c r="C328" s="2" t="s">
        <v>271</v>
      </c>
      <c r="D328" s="13"/>
      <c r="E328" s="13"/>
      <c r="F328" s="45"/>
      <c r="G328" s="42"/>
      <c r="H328" s="42"/>
      <c r="I328" s="42"/>
      <c r="J328" s="27" t="s">
        <v>19</v>
      </c>
      <c r="K328" s="42"/>
    </row>
    <row r="329" ht="39.75" customHeight="1">
      <c r="A329" s="1">
        <v>328.0</v>
      </c>
      <c r="B329" s="2" t="s">
        <v>331</v>
      </c>
      <c r="C329" s="2" t="s">
        <v>27</v>
      </c>
      <c r="D329" s="77" t="s">
        <v>1704</v>
      </c>
      <c r="E329" s="13"/>
      <c r="F329" s="44" t="s">
        <v>1705</v>
      </c>
      <c r="G329" s="43">
        <v>1.0</v>
      </c>
      <c r="H329" s="42"/>
      <c r="I329" s="43">
        <v>1.0</v>
      </c>
      <c r="J329" s="27" t="s">
        <v>165</v>
      </c>
      <c r="K329" s="42"/>
    </row>
    <row r="330" ht="39.75" customHeight="1">
      <c r="A330" s="1">
        <v>329.0</v>
      </c>
      <c r="B330" s="2" t="s">
        <v>21</v>
      </c>
      <c r="C330" s="2" t="s">
        <v>63</v>
      </c>
      <c r="D330" s="13"/>
      <c r="E330" s="13"/>
      <c r="F330" s="45"/>
      <c r="G330" s="42"/>
      <c r="H330" s="42"/>
      <c r="I330" s="42"/>
      <c r="J330" s="27" t="s">
        <v>166</v>
      </c>
      <c r="K330" s="42"/>
    </row>
    <row r="331" ht="39.75" customHeight="1">
      <c r="A331" s="1">
        <v>330.0</v>
      </c>
      <c r="B331" s="2" t="s">
        <v>266</v>
      </c>
      <c r="C331" s="2" t="s">
        <v>272</v>
      </c>
      <c r="D331" s="13"/>
      <c r="E331" s="13"/>
      <c r="F331" s="45"/>
      <c r="G331" s="42"/>
      <c r="H331" s="42"/>
      <c r="I331" s="42"/>
      <c r="J331" s="27" t="s">
        <v>167</v>
      </c>
      <c r="K331" s="42"/>
    </row>
    <row r="332" ht="39.75" hidden="1" customHeight="1">
      <c r="A332" s="1">
        <v>331.0</v>
      </c>
      <c r="B332" s="2" t="s">
        <v>23</v>
      </c>
      <c r="C332" s="2" t="s">
        <v>13</v>
      </c>
      <c r="D332" s="13"/>
      <c r="E332" s="13"/>
      <c r="F332" s="45"/>
      <c r="G332" s="42"/>
      <c r="H332" s="42"/>
      <c r="I332" s="42"/>
      <c r="J332" s="22"/>
      <c r="K332" s="42"/>
    </row>
    <row r="333" ht="39.75" hidden="1" customHeight="1">
      <c r="A333" s="1">
        <v>332.0</v>
      </c>
      <c r="B333" s="2" t="s">
        <v>24</v>
      </c>
      <c r="C333" s="2" t="s">
        <v>13</v>
      </c>
      <c r="D333" s="13"/>
      <c r="E333" s="13"/>
      <c r="F333" s="45"/>
      <c r="G333" s="42"/>
      <c r="H333" s="42"/>
      <c r="I333" s="42"/>
      <c r="J333" s="22"/>
      <c r="K333" s="42"/>
    </row>
    <row r="334" ht="39.75" hidden="1" customHeight="1">
      <c r="A334" s="1">
        <v>333.0</v>
      </c>
      <c r="B334" s="2" t="s">
        <v>25</v>
      </c>
      <c r="C334" s="2" t="s">
        <v>13</v>
      </c>
      <c r="D334" s="13"/>
      <c r="E334" s="13"/>
      <c r="F334" s="45"/>
      <c r="G334" s="42"/>
      <c r="H334" s="42"/>
      <c r="I334" s="42"/>
      <c r="J334" s="22"/>
      <c r="K334" s="42"/>
    </row>
    <row r="335" ht="39.75" hidden="1" customHeight="1">
      <c r="A335" s="1">
        <v>334.0</v>
      </c>
      <c r="B335" s="2" t="s">
        <v>26</v>
      </c>
      <c r="C335" s="2" t="s">
        <v>13</v>
      </c>
      <c r="D335" s="13"/>
      <c r="E335" s="13"/>
      <c r="F335" s="45"/>
      <c r="G335" s="42"/>
      <c r="H335" s="42"/>
      <c r="I335" s="42"/>
      <c r="J335" s="22"/>
      <c r="K335" s="42"/>
    </row>
    <row r="336" ht="39.75" customHeight="1">
      <c r="A336" s="1">
        <v>335.0</v>
      </c>
      <c r="B336" s="2" t="s">
        <v>29</v>
      </c>
      <c r="C336" s="2"/>
      <c r="D336" s="40">
        <v>0.375</v>
      </c>
      <c r="E336" s="13"/>
      <c r="F336" s="44" t="s">
        <v>1706</v>
      </c>
      <c r="G336" s="43">
        <v>2.0</v>
      </c>
      <c r="H336" s="42"/>
      <c r="I336" s="43">
        <v>2.0</v>
      </c>
      <c r="J336" s="22"/>
      <c r="K336" s="42"/>
    </row>
    <row r="337" ht="39.75" hidden="1" customHeight="1">
      <c r="A337" s="1">
        <v>336.0</v>
      </c>
      <c r="B337" s="2" t="s">
        <v>30</v>
      </c>
      <c r="C337" s="2" t="s">
        <v>13</v>
      </c>
      <c r="D337" s="13"/>
      <c r="E337" s="13"/>
      <c r="F337" s="45"/>
      <c r="G337" s="42"/>
      <c r="H337" s="42"/>
      <c r="I337" s="42"/>
      <c r="J337" s="22"/>
      <c r="K337" s="42"/>
    </row>
    <row r="338" ht="39.75" hidden="1" customHeight="1">
      <c r="A338" s="1">
        <v>337.0</v>
      </c>
      <c r="B338" s="2" t="s">
        <v>31</v>
      </c>
      <c r="C338" s="2" t="s">
        <v>13</v>
      </c>
      <c r="D338" s="13"/>
      <c r="E338" s="13"/>
      <c r="F338" s="45"/>
      <c r="G338" s="42"/>
      <c r="H338" s="42"/>
      <c r="I338" s="42"/>
      <c r="J338" s="22"/>
      <c r="K338" s="42"/>
    </row>
    <row r="339" ht="39.75" hidden="1" customHeight="1">
      <c r="A339" s="1">
        <v>338.0</v>
      </c>
      <c r="B339" s="2" t="s">
        <v>32</v>
      </c>
      <c r="C339" s="2" t="s">
        <v>13</v>
      </c>
      <c r="D339" s="13"/>
      <c r="E339" s="13"/>
      <c r="F339" s="45"/>
      <c r="G339" s="42"/>
      <c r="H339" s="42"/>
      <c r="I339" s="42"/>
      <c r="J339" s="22"/>
      <c r="K339" s="42"/>
    </row>
    <row r="340" ht="39.75" hidden="1" customHeight="1">
      <c r="A340" s="1">
        <v>339.0</v>
      </c>
      <c r="B340" s="2" t="s">
        <v>67</v>
      </c>
      <c r="C340" s="2" t="s">
        <v>13</v>
      </c>
      <c r="D340" s="13"/>
      <c r="E340" s="13"/>
      <c r="F340" s="45"/>
      <c r="G340" s="42"/>
      <c r="H340" s="42"/>
      <c r="I340" s="42"/>
      <c r="J340" s="22"/>
      <c r="K340" s="42"/>
    </row>
    <row r="341" ht="39.75" hidden="1" customHeight="1">
      <c r="A341" s="1">
        <v>340.0</v>
      </c>
      <c r="B341" s="2" t="s">
        <v>34</v>
      </c>
      <c r="C341" s="2" t="s">
        <v>13</v>
      </c>
      <c r="D341" s="13"/>
      <c r="E341" s="13"/>
      <c r="F341" s="45"/>
      <c r="G341" s="42"/>
      <c r="H341" s="42"/>
      <c r="I341" s="42"/>
      <c r="J341" s="22"/>
      <c r="K341" s="42"/>
    </row>
    <row r="342" ht="39.75" hidden="1" customHeight="1">
      <c r="A342" s="1">
        <v>341.0</v>
      </c>
      <c r="B342" s="2" t="s">
        <v>35</v>
      </c>
      <c r="C342" s="2" t="s">
        <v>13</v>
      </c>
      <c r="D342" s="13"/>
      <c r="E342" s="13"/>
      <c r="F342" s="45"/>
      <c r="G342" s="42"/>
      <c r="H342" s="42"/>
      <c r="I342" s="42"/>
      <c r="J342" s="22"/>
      <c r="K342" s="42"/>
    </row>
    <row r="343" ht="39.75" hidden="1" customHeight="1">
      <c r="A343" s="1">
        <v>342.0</v>
      </c>
      <c r="B343" s="2" t="s">
        <v>36</v>
      </c>
      <c r="C343" s="2" t="s">
        <v>13</v>
      </c>
      <c r="D343" s="13"/>
      <c r="E343" s="13"/>
      <c r="F343" s="45"/>
      <c r="G343" s="42"/>
      <c r="H343" s="42"/>
      <c r="I343" s="42"/>
      <c r="J343" s="22"/>
      <c r="K343" s="42"/>
    </row>
    <row r="344" ht="39.75" hidden="1" customHeight="1">
      <c r="A344" s="1">
        <v>343.0</v>
      </c>
      <c r="B344" s="2" t="s">
        <v>38</v>
      </c>
      <c r="C344" s="2" t="s">
        <v>13</v>
      </c>
      <c r="D344" s="13"/>
      <c r="E344" s="13"/>
      <c r="F344" s="45"/>
      <c r="G344" s="42"/>
      <c r="H344" s="42"/>
      <c r="I344" s="42"/>
      <c r="J344" s="22"/>
      <c r="K344" s="42"/>
    </row>
    <row r="345" ht="39.75" hidden="1" customHeight="1">
      <c r="A345" s="1">
        <v>344.0</v>
      </c>
      <c r="B345" s="2" t="s">
        <v>41</v>
      </c>
      <c r="C345" s="2" t="s">
        <v>13</v>
      </c>
      <c r="D345" s="13"/>
      <c r="E345" s="13"/>
      <c r="F345" s="45"/>
      <c r="G345" s="42"/>
      <c r="H345" s="42"/>
      <c r="I345" s="42"/>
      <c r="J345" s="22"/>
      <c r="K345" s="42"/>
    </row>
    <row r="346" ht="39.75" hidden="1" customHeight="1">
      <c r="A346" s="1">
        <v>345.0</v>
      </c>
      <c r="B346" s="2" t="s">
        <v>42</v>
      </c>
      <c r="C346" s="2" t="s">
        <v>13</v>
      </c>
      <c r="D346" s="13"/>
      <c r="E346" s="13"/>
      <c r="F346" s="45"/>
      <c r="G346" s="42"/>
      <c r="H346" s="42"/>
      <c r="I346" s="42"/>
      <c r="J346" s="22"/>
      <c r="K346" s="42"/>
    </row>
    <row r="347" ht="39.75" customHeight="1">
      <c r="A347" s="1">
        <v>346.0</v>
      </c>
      <c r="B347" s="2" t="s">
        <v>43</v>
      </c>
      <c r="C347" s="2" t="s">
        <v>49</v>
      </c>
      <c r="D347" s="13"/>
      <c r="E347" s="13"/>
      <c r="F347" s="44" t="s">
        <v>1707</v>
      </c>
      <c r="G347" s="43">
        <v>2.0</v>
      </c>
      <c r="H347" s="42"/>
      <c r="I347" s="43">
        <v>2.0</v>
      </c>
      <c r="J347" s="22"/>
      <c r="K347" s="42"/>
    </row>
    <row r="348" ht="39.75" customHeight="1">
      <c r="A348" s="1">
        <v>347.0</v>
      </c>
      <c r="B348" s="2" t="s">
        <v>45</v>
      </c>
      <c r="C348" s="2"/>
      <c r="D348" s="40">
        <v>0.375</v>
      </c>
      <c r="E348" s="13"/>
      <c r="F348" s="44" t="s">
        <v>1708</v>
      </c>
      <c r="G348" s="43">
        <v>2.0</v>
      </c>
      <c r="H348" s="42"/>
      <c r="I348" s="43">
        <v>1.0</v>
      </c>
      <c r="J348" s="22"/>
      <c r="K348" s="42"/>
    </row>
    <row r="349" ht="39.75" hidden="1" customHeight="1">
      <c r="A349" s="1">
        <v>348.0</v>
      </c>
      <c r="B349" s="2" t="s">
        <v>46</v>
      </c>
      <c r="C349" s="2" t="s">
        <v>13</v>
      </c>
      <c r="D349" s="13"/>
      <c r="E349" s="13"/>
      <c r="F349" s="45"/>
      <c r="G349" s="42"/>
      <c r="H349" s="42"/>
      <c r="I349" s="42"/>
      <c r="J349" s="22"/>
      <c r="K349" s="42"/>
    </row>
    <row r="350" ht="39.75" hidden="1" customHeight="1">
      <c r="A350" s="1">
        <v>349.0</v>
      </c>
      <c r="B350" s="2" t="s">
        <v>47</v>
      </c>
      <c r="C350" s="2" t="s">
        <v>13</v>
      </c>
      <c r="D350" s="13"/>
      <c r="E350" s="13"/>
      <c r="F350" s="45"/>
      <c r="G350" s="42"/>
      <c r="H350" s="42"/>
      <c r="I350" s="42"/>
      <c r="J350" s="22"/>
      <c r="K350" s="42"/>
    </row>
    <row r="351" ht="39.75" customHeight="1">
      <c r="A351" s="1">
        <v>350.0</v>
      </c>
      <c r="B351" s="2" t="s">
        <v>48</v>
      </c>
      <c r="C351" s="2" t="s">
        <v>44</v>
      </c>
      <c r="D351" s="13"/>
      <c r="E351" s="13"/>
      <c r="F351" s="52" t="s">
        <v>1709</v>
      </c>
      <c r="G351" s="56">
        <v>1.0</v>
      </c>
      <c r="H351" s="42"/>
      <c r="I351" s="56">
        <v>1.0</v>
      </c>
      <c r="J351" s="22"/>
      <c r="K351" s="42"/>
    </row>
    <row r="352" ht="39.75" customHeight="1">
      <c r="A352" s="1">
        <v>351.0</v>
      </c>
      <c r="B352" s="21"/>
      <c r="C352" s="21"/>
      <c r="D352" s="21"/>
      <c r="E352" s="21"/>
      <c r="F352" s="46"/>
      <c r="G352" s="47"/>
      <c r="H352" s="47"/>
      <c r="I352" s="47"/>
      <c r="J352" s="48"/>
      <c r="K352" s="47"/>
      <c r="L352" s="49"/>
      <c r="M352" s="49"/>
      <c r="N352" s="49"/>
    </row>
    <row r="353" ht="39.75" customHeight="1">
      <c r="A353" s="1">
        <v>352.0</v>
      </c>
      <c r="B353" s="2" t="s">
        <v>12</v>
      </c>
      <c r="C353" s="2" t="s">
        <v>62</v>
      </c>
      <c r="D353" s="13"/>
      <c r="E353" s="13"/>
      <c r="F353" s="45"/>
      <c r="G353" s="42"/>
      <c r="H353" s="42"/>
      <c r="I353" s="42"/>
      <c r="J353" s="27" t="s">
        <v>1544</v>
      </c>
      <c r="K353" s="42"/>
      <c r="L353" s="15" t="s">
        <v>260</v>
      </c>
    </row>
    <row r="354" ht="39.75" customHeight="1">
      <c r="A354" s="1">
        <v>353.0</v>
      </c>
      <c r="B354" s="2" t="s">
        <v>16</v>
      </c>
      <c r="C354" s="2" t="s">
        <v>54</v>
      </c>
      <c r="D354" s="13"/>
      <c r="E354" s="13"/>
      <c r="F354" s="44" t="s">
        <v>1710</v>
      </c>
      <c r="G354" s="43">
        <v>1.0</v>
      </c>
      <c r="H354" s="42"/>
      <c r="I354" s="43">
        <v>1.0</v>
      </c>
      <c r="J354" s="27" t="s">
        <v>260</v>
      </c>
      <c r="K354" s="43"/>
    </row>
    <row r="355" ht="39.75" customHeight="1">
      <c r="A355" s="1">
        <v>354.0</v>
      </c>
      <c r="B355" s="2" t="s">
        <v>17</v>
      </c>
      <c r="C355" s="2" t="s">
        <v>54</v>
      </c>
      <c r="D355" s="53">
        <v>0.3125</v>
      </c>
      <c r="E355" s="13"/>
      <c r="F355" s="44" t="s">
        <v>1711</v>
      </c>
      <c r="G355" s="43">
        <v>3.0</v>
      </c>
      <c r="H355" s="42"/>
      <c r="I355" s="43">
        <v>3.0</v>
      </c>
      <c r="J355" s="27" t="s">
        <v>56</v>
      </c>
      <c r="K355" s="42"/>
    </row>
    <row r="356" ht="39.75" customHeight="1">
      <c r="A356" s="1">
        <v>355.0</v>
      </c>
      <c r="B356" s="2" t="s">
        <v>331</v>
      </c>
      <c r="C356" s="2" t="s">
        <v>44</v>
      </c>
      <c r="D356" s="78"/>
      <c r="E356" s="13"/>
      <c r="F356" s="52"/>
      <c r="G356" s="42"/>
      <c r="H356" s="42"/>
      <c r="I356" s="42"/>
      <c r="J356" s="22"/>
      <c r="K356" s="42"/>
    </row>
    <row r="357" ht="39.75" customHeight="1">
      <c r="A357" s="1">
        <v>356.0</v>
      </c>
      <c r="B357" s="2" t="s">
        <v>21</v>
      </c>
      <c r="C357" s="2"/>
      <c r="D357" s="13"/>
      <c r="E357" s="13"/>
      <c r="F357" s="44" t="s">
        <v>1204</v>
      </c>
      <c r="G357" s="42"/>
      <c r="H357" s="42"/>
      <c r="I357" s="42"/>
      <c r="J357" s="22"/>
      <c r="K357" s="42"/>
    </row>
    <row r="358" ht="39.75" customHeight="1">
      <c r="A358" s="1">
        <v>357.0</v>
      </c>
      <c r="B358" s="2" t="s">
        <v>22</v>
      </c>
      <c r="C358" s="2"/>
      <c r="D358" s="13"/>
      <c r="E358" s="13"/>
      <c r="F358" s="45"/>
      <c r="G358" s="42"/>
      <c r="H358" s="42"/>
      <c r="I358" s="42"/>
      <c r="J358" s="22"/>
      <c r="K358" s="42"/>
    </row>
    <row r="359" ht="39.75" hidden="1" customHeight="1">
      <c r="A359" s="1">
        <v>358.0</v>
      </c>
      <c r="B359" s="2" t="s">
        <v>23</v>
      </c>
      <c r="C359" s="2" t="s">
        <v>58</v>
      </c>
      <c r="D359" s="13"/>
      <c r="E359" s="13"/>
      <c r="F359" s="45"/>
      <c r="G359" s="42"/>
      <c r="H359" s="42"/>
      <c r="I359" s="42"/>
      <c r="J359" s="22"/>
      <c r="K359" s="42"/>
    </row>
    <row r="360" ht="39.75" customHeight="1">
      <c r="A360" s="1">
        <v>359.0</v>
      </c>
      <c r="B360" s="2" t="s">
        <v>24</v>
      </c>
      <c r="C360" s="2"/>
      <c r="D360" s="13"/>
      <c r="E360" s="13"/>
      <c r="F360" s="45"/>
      <c r="G360" s="42"/>
      <c r="H360" s="42"/>
      <c r="I360" s="42"/>
      <c r="J360" s="22"/>
      <c r="K360" s="42"/>
    </row>
    <row r="361" ht="39.75" hidden="1" customHeight="1">
      <c r="A361" s="1">
        <v>360.0</v>
      </c>
      <c r="B361" s="2" t="s">
        <v>25</v>
      </c>
      <c r="C361" s="2" t="s">
        <v>58</v>
      </c>
      <c r="D361" s="13"/>
      <c r="E361" s="13"/>
      <c r="F361" s="45"/>
      <c r="G361" s="42"/>
      <c r="H361" s="42"/>
      <c r="I361" s="42"/>
      <c r="J361" s="22"/>
      <c r="K361" s="42"/>
    </row>
    <row r="362" ht="39.75" customHeight="1">
      <c r="A362" s="1">
        <v>361.0</v>
      </c>
      <c r="B362" s="2" t="s">
        <v>26</v>
      </c>
      <c r="C362" s="2" t="s">
        <v>39</v>
      </c>
      <c r="D362" s="13"/>
      <c r="E362" s="13"/>
      <c r="F362" s="44" t="s">
        <v>1712</v>
      </c>
      <c r="G362" s="43">
        <v>1.0</v>
      </c>
      <c r="H362" s="42"/>
      <c r="I362" s="42"/>
      <c r="J362" s="22"/>
      <c r="K362" s="42"/>
    </row>
    <row r="363" ht="39.75" hidden="1" customHeight="1">
      <c r="A363" s="1">
        <v>362.0</v>
      </c>
      <c r="B363" s="2" t="s">
        <v>29</v>
      </c>
      <c r="C363" s="2" t="s">
        <v>66</v>
      </c>
      <c r="D363" s="13"/>
      <c r="E363" s="13"/>
      <c r="F363" s="45"/>
      <c r="G363" s="42"/>
      <c r="H363" s="42"/>
      <c r="I363" s="42"/>
      <c r="J363" s="22"/>
      <c r="K363" s="42"/>
    </row>
    <row r="364" ht="39.75" hidden="1" customHeight="1">
      <c r="A364" s="1">
        <v>363.0</v>
      </c>
      <c r="B364" s="2" t="s">
        <v>30</v>
      </c>
      <c r="C364" s="2" t="s">
        <v>58</v>
      </c>
      <c r="D364" s="13"/>
      <c r="E364" s="13"/>
      <c r="F364" s="45"/>
      <c r="G364" s="42"/>
      <c r="H364" s="42"/>
      <c r="I364" s="42"/>
      <c r="J364" s="22"/>
      <c r="K364" s="42"/>
    </row>
    <row r="365" ht="39.75" customHeight="1">
      <c r="A365" s="1">
        <v>364.0</v>
      </c>
      <c r="B365" s="2" t="s">
        <v>31</v>
      </c>
      <c r="C365" s="2" t="s">
        <v>54</v>
      </c>
      <c r="D365" s="13"/>
      <c r="E365" s="13"/>
      <c r="F365" s="44" t="s">
        <v>472</v>
      </c>
      <c r="G365" s="42"/>
      <c r="H365" s="42"/>
      <c r="I365" s="42"/>
      <c r="J365" s="22"/>
      <c r="K365" s="42"/>
    </row>
    <row r="366" ht="39.75" customHeight="1">
      <c r="A366" s="1">
        <v>365.0</v>
      </c>
      <c r="B366" s="2" t="s">
        <v>32</v>
      </c>
      <c r="C366" s="2" t="s">
        <v>69</v>
      </c>
      <c r="D366" s="13"/>
      <c r="E366" s="40">
        <v>0.8263888888888888</v>
      </c>
      <c r="F366" s="44" t="s">
        <v>1713</v>
      </c>
      <c r="G366" s="43">
        <v>1.0</v>
      </c>
      <c r="H366" s="42"/>
      <c r="I366" s="42"/>
      <c r="J366" s="22"/>
      <c r="K366" s="42"/>
    </row>
    <row r="367" ht="39.75" customHeight="1">
      <c r="A367" s="1">
        <v>366.0</v>
      </c>
      <c r="B367" s="2" t="s">
        <v>67</v>
      </c>
      <c r="C367" s="2"/>
      <c r="D367" s="13"/>
      <c r="E367" s="13"/>
      <c r="F367" s="44" t="s">
        <v>1714</v>
      </c>
      <c r="G367" s="43">
        <v>1.0</v>
      </c>
      <c r="H367" s="42"/>
      <c r="I367" s="42"/>
      <c r="J367" s="22"/>
      <c r="K367" s="42"/>
    </row>
    <row r="368" ht="39.75" customHeight="1">
      <c r="A368" s="1">
        <v>367.0</v>
      </c>
      <c r="B368" s="2" t="s">
        <v>34</v>
      </c>
      <c r="C368" s="2" t="s">
        <v>39</v>
      </c>
      <c r="D368" s="40">
        <v>0.2916666666666667</v>
      </c>
      <c r="E368" s="13"/>
      <c r="F368" s="44" t="s">
        <v>1715</v>
      </c>
      <c r="G368" s="43">
        <v>2.0</v>
      </c>
      <c r="H368" s="42"/>
      <c r="I368" s="43">
        <v>1.0</v>
      </c>
      <c r="J368" s="22"/>
      <c r="K368" s="42"/>
    </row>
    <row r="369" ht="39.75" customHeight="1">
      <c r="A369" s="1">
        <v>368.0</v>
      </c>
      <c r="B369" s="2" t="s">
        <v>35</v>
      </c>
      <c r="C369" s="2"/>
      <c r="D369" s="13"/>
      <c r="E369" s="13"/>
      <c r="F369" s="45"/>
      <c r="G369" s="42"/>
      <c r="H369" s="42"/>
      <c r="I369" s="42"/>
      <c r="J369" s="22"/>
      <c r="K369" s="42"/>
    </row>
    <row r="370" ht="39.75" hidden="1" customHeight="1">
      <c r="A370" s="1">
        <v>369.0</v>
      </c>
      <c r="B370" s="2" t="s">
        <v>36</v>
      </c>
      <c r="C370" s="2" t="s">
        <v>58</v>
      </c>
      <c r="D370" s="13"/>
      <c r="E370" s="13"/>
      <c r="F370" s="45"/>
      <c r="G370" s="42"/>
      <c r="H370" s="42"/>
      <c r="I370" s="42"/>
      <c r="J370" s="22"/>
      <c r="K370" s="42"/>
    </row>
    <row r="371" ht="39.75" customHeight="1">
      <c r="A371" s="1">
        <v>370.0</v>
      </c>
      <c r="B371" s="2" t="s">
        <v>38</v>
      </c>
      <c r="C371" s="2" t="s">
        <v>69</v>
      </c>
      <c r="D371" s="13"/>
      <c r="E371" s="40">
        <v>0.8333333333333334</v>
      </c>
      <c r="F371" s="44" t="s">
        <v>1716</v>
      </c>
      <c r="G371" s="43">
        <v>1.0</v>
      </c>
      <c r="H371" s="42"/>
      <c r="I371" s="43">
        <v>1.0</v>
      </c>
      <c r="J371" s="22"/>
      <c r="K371" s="42"/>
    </row>
    <row r="372" ht="39.75" hidden="1" customHeight="1">
      <c r="A372" s="1">
        <v>371.0</v>
      </c>
      <c r="B372" s="2" t="s">
        <v>41</v>
      </c>
      <c r="C372" s="2" t="s">
        <v>58</v>
      </c>
      <c r="D372" s="13"/>
      <c r="E372" s="13"/>
      <c r="F372" s="45"/>
      <c r="G372" s="42"/>
      <c r="H372" s="42"/>
      <c r="I372" s="42"/>
      <c r="J372" s="22"/>
      <c r="K372" s="42"/>
    </row>
    <row r="373" ht="39.75" customHeight="1">
      <c r="A373" s="1">
        <v>372.0</v>
      </c>
      <c r="B373" s="2" t="s">
        <v>42</v>
      </c>
      <c r="C373" s="2"/>
      <c r="D373" s="13"/>
      <c r="E373" s="13"/>
      <c r="F373" s="45"/>
      <c r="G373" s="42"/>
      <c r="H373" s="42"/>
      <c r="I373" s="42"/>
      <c r="J373" s="22"/>
      <c r="K373" s="42"/>
    </row>
    <row r="374" ht="39.75" customHeight="1">
      <c r="A374" s="1">
        <v>373.0</v>
      </c>
      <c r="B374" s="2" t="s">
        <v>43</v>
      </c>
      <c r="C374" s="2" t="s">
        <v>69</v>
      </c>
      <c r="D374" s="13"/>
      <c r="E374" s="13"/>
      <c r="F374" s="45"/>
      <c r="G374" s="42"/>
      <c r="H374" s="42"/>
      <c r="I374" s="42"/>
      <c r="J374" s="22"/>
      <c r="K374" s="42"/>
    </row>
    <row r="375" ht="39.75" customHeight="1">
      <c r="A375" s="1">
        <v>374.0</v>
      </c>
      <c r="B375" s="2" t="s">
        <v>45</v>
      </c>
      <c r="C375" s="2"/>
      <c r="D375" s="13"/>
      <c r="E375" s="13"/>
      <c r="F375" s="44" t="s">
        <v>1285</v>
      </c>
      <c r="G375" s="42"/>
      <c r="H375" s="42"/>
      <c r="I375" s="42"/>
      <c r="J375" s="22"/>
      <c r="K375" s="42"/>
    </row>
    <row r="376" ht="39.75" customHeight="1">
      <c r="A376" s="1">
        <v>375.0</v>
      </c>
      <c r="B376" s="2" t="s">
        <v>46</v>
      </c>
      <c r="C376" s="2" t="s">
        <v>27</v>
      </c>
      <c r="D376" s="13"/>
      <c r="E376" s="13"/>
      <c r="F376" s="44" t="s">
        <v>1717</v>
      </c>
      <c r="G376" s="43">
        <v>1.0</v>
      </c>
      <c r="H376" s="42"/>
      <c r="I376" s="43">
        <v>1.0</v>
      </c>
      <c r="J376" s="22"/>
      <c r="K376" s="42"/>
    </row>
    <row r="377" ht="39.75" hidden="1" customHeight="1">
      <c r="A377" s="1">
        <v>376.0</v>
      </c>
      <c r="B377" s="2" t="s">
        <v>47</v>
      </c>
      <c r="C377" s="2" t="s">
        <v>58</v>
      </c>
      <c r="D377" s="13"/>
      <c r="E377" s="13"/>
      <c r="F377" s="45"/>
      <c r="G377" s="42"/>
      <c r="H377" s="42"/>
      <c r="I377" s="42"/>
      <c r="J377" s="22"/>
      <c r="K377" s="42"/>
    </row>
    <row r="378" ht="39.75" customHeight="1">
      <c r="A378" s="1">
        <v>377.0</v>
      </c>
      <c r="B378" s="2" t="s">
        <v>48</v>
      </c>
      <c r="C378" s="2" t="s">
        <v>54</v>
      </c>
      <c r="D378" s="13"/>
      <c r="E378" s="13"/>
      <c r="F378" s="44" t="s">
        <v>1718</v>
      </c>
      <c r="G378" s="43">
        <v>1.0</v>
      </c>
      <c r="H378" s="42"/>
      <c r="I378" s="43">
        <v>1.0</v>
      </c>
      <c r="J378" s="22"/>
      <c r="K378" s="42"/>
    </row>
    <row r="379" ht="39.75" customHeight="1">
      <c r="A379" s="1">
        <v>378.0</v>
      </c>
      <c r="B379" s="21"/>
      <c r="C379" s="21"/>
      <c r="D379" s="21"/>
      <c r="E379" s="21"/>
      <c r="F379" s="46"/>
      <c r="G379" s="47"/>
      <c r="H379" s="47"/>
      <c r="I379" s="47"/>
      <c r="J379" s="48"/>
      <c r="K379" s="47"/>
      <c r="L379" s="49"/>
      <c r="M379" s="49"/>
      <c r="N379" s="49"/>
    </row>
    <row r="380" ht="39.75" hidden="1" customHeight="1">
      <c r="A380" s="1">
        <v>379.0</v>
      </c>
      <c r="B380" s="2" t="s">
        <v>12</v>
      </c>
      <c r="C380" s="2" t="s">
        <v>58</v>
      </c>
      <c r="D380" s="13"/>
      <c r="E380" s="13"/>
      <c r="F380" s="45"/>
      <c r="G380" s="42"/>
      <c r="H380" s="42"/>
      <c r="I380" s="42"/>
      <c r="J380" s="27" t="s">
        <v>1544</v>
      </c>
      <c r="K380" s="42"/>
      <c r="L380" s="15" t="s">
        <v>269</v>
      </c>
    </row>
    <row r="381" ht="39.75" customHeight="1">
      <c r="A381" s="1">
        <v>380.0</v>
      </c>
      <c r="B381" s="2" t="s">
        <v>16</v>
      </c>
      <c r="C381" s="2" t="s">
        <v>54</v>
      </c>
      <c r="D381" s="13"/>
      <c r="E381" s="13"/>
      <c r="F381" s="45"/>
      <c r="G381" s="42"/>
      <c r="H381" s="42"/>
      <c r="I381" s="42"/>
      <c r="J381" s="27" t="s">
        <v>269</v>
      </c>
      <c r="K381" s="43"/>
    </row>
    <row r="382" ht="39.75" customHeight="1">
      <c r="A382" s="1">
        <v>381.0</v>
      </c>
      <c r="B382" s="2" t="s">
        <v>17</v>
      </c>
      <c r="C382" s="2" t="s">
        <v>54</v>
      </c>
      <c r="D382" s="13"/>
      <c r="E382" s="13"/>
      <c r="F382" s="44" t="s">
        <v>1719</v>
      </c>
      <c r="G382" s="43">
        <v>1.0</v>
      </c>
      <c r="H382" s="42"/>
      <c r="I382" s="43">
        <v>1.0</v>
      </c>
      <c r="J382" s="27" t="s">
        <v>77</v>
      </c>
      <c r="K382" s="42"/>
    </row>
    <row r="383" ht="39.75" hidden="1" customHeight="1">
      <c r="A383" s="1">
        <v>382.0</v>
      </c>
      <c r="B383" s="2" t="s">
        <v>331</v>
      </c>
      <c r="C383" s="2" t="s">
        <v>58</v>
      </c>
      <c r="D383" s="13"/>
      <c r="E383" s="13"/>
      <c r="F383" s="44"/>
      <c r="G383" s="43"/>
      <c r="H383" s="42"/>
      <c r="I383" s="43"/>
      <c r="J383" s="22"/>
      <c r="K383" s="42"/>
    </row>
    <row r="384" ht="39.75" customHeight="1">
      <c r="A384" s="1">
        <v>383.0</v>
      </c>
      <c r="B384" s="2" t="s">
        <v>21</v>
      </c>
      <c r="C384" s="2"/>
      <c r="D384" s="13"/>
      <c r="E384" s="13"/>
      <c r="F384" s="45"/>
      <c r="G384" s="42"/>
      <c r="H384" s="42"/>
      <c r="I384" s="42"/>
      <c r="J384" s="22"/>
      <c r="K384" s="42"/>
    </row>
    <row r="385" ht="39.75" customHeight="1">
      <c r="A385" s="1">
        <v>384.0</v>
      </c>
      <c r="B385" s="2" t="s">
        <v>22</v>
      </c>
      <c r="C385" s="2"/>
      <c r="D385" s="13"/>
      <c r="E385" s="13"/>
      <c r="F385" s="44" t="s">
        <v>1720</v>
      </c>
      <c r="G385" s="43">
        <v>1.0</v>
      </c>
      <c r="H385" s="42"/>
      <c r="I385" s="42"/>
      <c r="J385" s="22"/>
      <c r="K385" s="42"/>
    </row>
    <row r="386" ht="39.75" hidden="1" customHeight="1">
      <c r="A386" s="1">
        <v>385.0</v>
      </c>
      <c r="B386" s="2" t="s">
        <v>23</v>
      </c>
      <c r="C386" s="2" t="s">
        <v>66</v>
      </c>
      <c r="D386" s="13"/>
      <c r="E386" s="13"/>
      <c r="F386" s="45"/>
      <c r="G386" s="42"/>
      <c r="H386" s="42"/>
      <c r="I386" s="42"/>
      <c r="J386" s="22"/>
      <c r="K386" s="42"/>
    </row>
    <row r="387" ht="39.75" customHeight="1">
      <c r="A387" s="1">
        <v>386.0</v>
      </c>
      <c r="B387" s="2" t="s">
        <v>24</v>
      </c>
      <c r="C387" s="2"/>
      <c r="D387" s="13"/>
      <c r="E387" s="13"/>
      <c r="F387" s="44" t="s">
        <v>1721</v>
      </c>
      <c r="G387" s="43">
        <v>1.0</v>
      </c>
      <c r="H387" s="42"/>
      <c r="I387" s="42"/>
      <c r="J387" s="22"/>
      <c r="K387" s="42"/>
    </row>
    <row r="388" ht="39.75" customHeight="1">
      <c r="A388" s="1">
        <v>387.0</v>
      </c>
      <c r="B388" s="2" t="s">
        <v>25</v>
      </c>
      <c r="C388" s="2" t="s">
        <v>27</v>
      </c>
      <c r="D388" s="13"/>
      <c r="E388" s="13"/>
      <c r="F388" s="44" t="s">
        <v>1717</v>
      </c>
      <c r="G388" s="43">
        <v>1.0</v>
      </c>
      <c r="H388" s="42"/>
      <c r="I388" s="43">
        <v>1.0</v>
      </c>
      <c r="J388" s="22"/>
      <c r="K388" s="42"/>
    </row>
    <row r="389" ht="39.75" hidden="1" customHeight="1">
      <c r="A389" s="1">
        <v>388.0</v>
      </c>
      <c r="B389" s="2" t="s">
        <v>26</v>
      </c>
      <c r="C389" s="2" t="s">
        <v>58</v>
      </c>
      <c r="D389" s="13"/>
      <c r="E389" s="13"/>
      <c r="F389" s="45"/>
      <c r="G389" s="42"/>
      <c r="H389" s="42"/>
      <c r="I389" s="42"/>
      <c r="J389" s="22"/>
      <c r="K389" s="42"/>
    </row>
    <row r="390" ht="39.75" hidden="1" customHeight="1">
      <c r="A390" s="1">
        <v>389.0</v>
      </c>
      <c r="B390" s="2" t="s">
        <v>29</v>
      </c>
      <c r="C390" s="2" t="s">
        <v>58</v>
      </c>
      <c r="D390" s="13"/>
      <c r="E390" s="13"/>
      <c r="F390" s="45"/>
      <c r="G390" s="42"/>
      <c r="H390" s="42"/>
      <c r="I390" s="42"/>
      <c r="J390" s="22"/>
      <c r="K390" s="42"/>
    </row>
    <row r="391" ht="39.75" customHeight="1">
      <c r="A391" s="1">
        <v>390.0</v>
      </c>
      <c r="B391" s="2" t="s">
        <v>30</v>
      </c>
      <c r="C391" s="2" t="s">
        <v>64</v>
      </c>
      <c r="D391" s="13"/>
      <c r="E391" s="13"/>
      <c r="F391" s="45"/>
      <c r="G391" s="42"/>
      <c r="H391" s="42"/>
      <c r="I391" s="42"/>
      <c r="J391" s="22"/>
      <c r="K391" s="42"/>
    </row>
    <row r="392" ht="39.75" customHeight="1">
      <c r="A392" s="1">
        <v>391.0</v>
      </c>
      <c r="B392" s="2" t="s">
        <v>31</v>
      </c>
      <c r="C392" s="2" t="s">
        <v>54</v>
      </c>
      <c r="D392" s="13"/>
      <c r="E392" s="13"/>
      <c r="F392" s="44" t="s">
        <v>472</v>
      </c>
      <c r="G392" s="42"/>
      <c r="H392" s="42"/>
      <c r="I392" s="42"/>
      <c r="J392" s="22"/>
      <c r="K392" s="42"/>
    </row>
    <row r="393" ht="39.75" customHeight="1">
      <c r="A393" s="1">
        <v>392.0</v>
      </c>
      <c r="B393" s="2" t="s">
        <v>32</v>
      </c>
      <c r="C393" s="2"/>
      <c r="D393" s="13"/>
      <c r="E393" s="13"/>
      <c r="F393" s="44" t="s">
        <v>1722</v>
      </c>
      <c r="G393" s="43">
        <v>1.0</v>
      </c>
      <c r="H393" s="42"/>
      <c r="I393" s="43">
        <v>1.0</v>
      </c>
      <c r="J393" s="22"/>
      <c r="K393" s="42"/>
    </row>
    <row r="394" ht="39.75" customHeight="1">
      <c r="A394" s="1">
        <v>393.0</v>
      </c>
      <c r="B394" s="2" t="s">
        <v>67</v>
      </c>
      <c r="C394" s="2"/>
      <c r="D394" s="13"/>
      <c r="E394" s="13"/>
      <c r="F394" s="45"/>
      <c r="G394" s="42"/>
      <c r="H394" s="42"/>
      <c r="I394" s="42"/>
      <c r="J394" s="22"/>
      <c r="K394" s="42"/>
    </row>
    <row r="395" ht="39.75" customHeight="1">
      <c r="A395" s="1">
        <v>394.0</v>
      </c>
      <c r="B395" s="2" t="s">
        <v>34</v>
      </c>
      <c r="C395" s="2"/>
      <c r="D395" s="13"/>
      <c r="E395" s="13"/>
      <c r="F395" s="44" t="s">
        <v>1723</v>
      </c>
      <c r="G395" s="43">
        <v>1.0</v>
      </c>
      <c r="H395" s="42"/>
      <c r="I395" s="42"/>
      <c r="J395" s="22"/>
      <c r="K395" s="42"/>
    </row>
    <row r="396" ht="39.75" customHeight="1">
      <c r="A396" s="1">
        <v>395.0</v>
      </c>
      <c r="B396" s="2" t="s">
        <v>35</v>
      </c>
      <c r="C396" s="2" t="s">
        <v>39</v>
      </c>
      <c r="D396" s="13"/>
      <c r="E396" s="13"/>
      <c r="F396" s="61" t="s">
        <v>1724</v>
      </c>
      <c r="G396" s="43">
        <v>1.0</v>
      </c>
      <c r="H396" s="42"/>
      <c r="I396" s="42"/>
      <c r="J396" s="22"/>
      <c r="K396" s="42"/>
    </row>
    <row r="397" ht="39.75" customHeight="1">
      <c r="A397" s="1">
        <v>396.0</v>
      </c>
      <c r="B397" s="2" t="s">
        <v>36</v>
      </c>
      <c r="C397" s="2" t="s">
        <v>69</v>
      </c>
      <c r="D397" s="13"/>
      <c r="E397" s="13"/>
      <c r="F397" s="44" t="s">
        <v>1725</v>
      </c>
      <c r="G397" s="43">
        <v>1.0</v>
      </c>
      <c r="H397" s="42"/>
      <c r="I397" s="42"/>
      <c r="J397" s="22"/>
      <c r="K397" s="42"/>
    </row>
    <row r="398" ht="39.75" hidden="1" customHeight="1">
      <c r="A398" s="1">
        <v>397.0</v>
      </c>
      <c r="B398" s="2" t="s">
        <v>38</v>
      </c>
      <c r="C398" s="2" t="s">
        <v>58</v>
      </c>
      <c r="D398" s="13"/>
      <c r="E398" s="13"/>
      <c r="F398" s="45"/>
      <c r="G398" s="42"/>
      <c r="H398" s="42"/>
      <c r="I398" s="42"/>
      <c r="J398" s="22"/>
      <c r="K398" s="42"/>
    </row>
    <row r="399" ht="39.75" hidden="1" customHeight="1">
      <c r="A399" s="1">
        <v>398.0</v>
      </c>
      <c r="B399" s="2" t="s">
        <v>41</v>
      </c>
      <c r="C399" s="2" t="s">
        <v>58</v>
      </c>
      <c r="D399" s="13"/>
      <c r="E399" s="13"/>
      <c r="F399" s="45"/>
      <c r="G399" s="42"/>
      <c r="H399" s="42"/>
      <c r="I399" s="42"/>
      <c r="J399" s="22"/>
      <c r="K399" s="42"/>
    </row>
    <row r="400" ht="39.75" customHeight="1">
      <c r="A400" s="1">
        <v>399.0</v>
      </c>
      <c r="B400" s="2" t="s">
        <v>42</v>
      </c>
      <c r="C400" s="2" t="s">
        <v>69</v>
      </c>
      <c r="D400" s="13"/>
      <c r="E400" s="40">
        <v>0.8958333333333334</v>
      </c>
      <c r="F400" s="44" t="s">
        <v>1726</v>
      </c>
      <c r="G400" s="43">
        <v>1.0</v>
      </c>
      <c r="H400" s="42"/>
      <c r="I400" s="42"/>
      <c r="J400" s="22"/>
      <c r="K400" s="42"/>
    </row>
    <row r="401" ht="39.75" customHeight="1">
      <c r="A401" s="1">
        <v>400.0</v>
      </c>
      <c r="B401" s="2" t="s">
        <v>43</v>
      </c>
      <c r="C401" s="2"/>
      <c r="D401" s="13"/>
      <c r="E401" s="13"/>
      <c r="F401" s="44"/>
      <c r="G401" s="43"/>
      <c r="H401" s="42"/>
      <c r="I401" s="42"/>
      <c r="J401" s="22"/>
      <c r="K401" s="42"/>
    </row>
    <row r="402" ht="39.75" customHeight="1">
      <c r="A402" s="1">
        <v>401.0</v>
      </c>
      <c r="B402" s="2" t="s">
        <v>45</v>
      </c>
      <c r="C402" s="2" t="s">
        <v>54</v>
      </c>
      <c r="D402" s="13"/>
      <c r="E402" s="51">
        <v>0.7951388888888888</v>
      </c>
      <c r="F402" s="44" t="s">
        <v>1727</v>
      </c>
      <c r="G402" s="43">
        <v>1.0</v>
      </c>
      <c r="H402" s="42"/>
      <c r="I402" s="42"/>
      <c r="J402" s="22"/>
      <c r="K402" s="42"/>
    </row>
    <row r="403" ht="39.75" customHeight="1">
      <c r="A403" s="1">
        <v>402.0</v>
      </c>
      <c r="B403" s="2" t="s">
        <v>46</v>
      </c>
      <c r="C403" s="2" t="s">
        <v>44</v>
      </c>
      <c r="D403" s="13"/>
      <c r="E403" s="13"/>
      <c r="F403" s="45"/>
      <c r="G403" s="42"/>
      <c r="H403" s="42"/>
      <c r="I403" s="42"/>
      <c r="J403" s="22"/>
      <c r="K403" s="42"/>
    </row>
    <row r="404" ht="39.75" customHeight="1">
      <c r="A404" s="1">
        <v>403.0</v>
      </c>
      <c r="B404" s="2" t="s">
        <v>47</v>
      </c>
      <c r="C404" s="2" t="s">
        <v>69</v>
      </c>
      <c r="D404" s="13"/>
      <c r="E404" s="13"/>
      <c r="F404" s="44" t="s">
        <v>1728</v>
      </c>
      <c r="G404" s="43">
        <v>2.0</v>
      </c>
      <c r="H404" s="42"/>
      <c r="I404" s="43">
        <v>1.0</v>
      </c>
      <c r="J404" s="22"/>
      <c r="K404" s="42"/>
    </row>
    <row r="405" ht="39.75" customHeight="1">
      <c r="A405" s="1">
        <v>404.0</v>
      </c>
      <c r="B405" s="2" t="s">
        <v>48</v>
      </c>
      <c r="C405" s="2" t="s">
        <v>39</v>
      </c>
      <c r="D405" s="13"/>
      <c r="E405" s="13"/>
      <c r="F405" s="44" t="s">
        <v>1729</v>
      </c>
      <c r="G405" s="43">
        <v>1.0</v>
      </c>
      <c r="H405" s="42"/>
      <c r="I405" s="43">
        <v>1.0</v>
      </c>
      <c r="J405" s="22"/>
      <c r="K405" s="42"/>
    </row>
    <row r="406" ht="39.75" customHeight="1">
      <c r="A406" s="1">
        <v>405.0</v>
      </c>
      <c r="B406" s="21"/>
      <c r="C406" s="21"/>
      <c r="D406" s="21"/>
      <c r="E406" s="21"/>
      <c r="F406" s="46"/>
      <c r="G406" s="47"/>
      <c r="H406" s="47"/>
      <c r="I406" s="47"/>
      <c r="J406" s="48"/>
      <c r="K406" s="47"/>
      <c r="L406" s="49"/>
      <c r="M406" s="49"/>
      <c r="N406" s="49"/>
    </row>
    <row r="407" ht="39.75" customHeight="1">
      <c r="A407" s="1">
        <v>406.0</v>
      </c>
      <c r="B407" s="2" t="s">
        <v>12</v>
      </c>
      <c r="C407" s="2" t="s">
        <v>62</v>
      </c>
      <c r="D407" s="40"/>
      <c r="E407" s="40"/>
      <c r="F407" s="45"/>
      <c r="G407" s="42"/>
      <c r="H407" s="42"/>
      <c r="I407" s="42"/>
      <c r="J407" s="27" t="s">
        <v>1544</v>
      </c>
      <c r="K407" s="42"/>
      <c r="L407" s="15" t="s">
        <v>274</v>
      </c>
    </row>
    <row r="408" ht="39.75" customHeight="1">
      <c r="A408" s="1">
        <v>407.0</v>
      </c>
      <c r="B408" s="2" t="s">
        <v>16</v>
      </c>
      <c r="C408" s="2" t="s">
        <v>54</v>
      </c>
      <c r="D408" s="13"/>
      <c r="E408" s="13"/>
      <c r="F408" s="44" t="s">
        <v>1730</v>
      </c>
      <c r="G408" s="43">
        <v>1.0</v>
      </c>
      <c r="H408" s="43">
        <v>1.0</v>
      </c>
      <c r="I408" s="42"/>
      <c r="J408" s="27" t="s">
        <v>274</v>
      </c>
      <c r="K408" s="43"/>
    </row>
    <row r="409" ht="39.75" customHeight="1">
      <c r="A409" s="1">
        <v>408.0</v>
      </c>
      <c r="B409" s="2" t="s">
        <v>17</v>
      </c>
      <c r="C409" s="2" t="s">
        <v>54</v>
      </c>
      <c r="D409" s="13"/>
      <c r="E409" s="13"/>
      <c r="F409" s="44" t="s">
        <v>1731</v>
      </c>
      <c r="G409" s="43">
        <v>1.0</v>
      </c>
      <c r="H409" s="43">
        <v>1.0</v>
      </c>
      <c r="I409" s="42"/>
      <c r="J409" s="27" t="s">
        <v>95</v>
      </c>
      <c r="K409" s="42"/>
    </row>
    <row r="410" ht="39.75" customHeight="1">
      <c r="A410" s="1">
        <v>409.0</v>
      </c>
      <c r="B410" s="2" t="s">
        <v>331</v>
      </c>
      <c r="C410" s="2" t="s">
        <v>542</v>
      </c>
      <c r="D410" s="13"/>
      <c r="E410" s="13"/>
      <c r="F410" s="44" t="s">
        <v>1732</v>
      </c>
      <c r="G410" s="43">
        <v>1.0</v>
      </c>
      <c r="H410" s="42"/>
      <c r="I410" s="42"/>
      <c r="J410" s="22"/>
      <c r="K410" s="42"/>
    </row>
    <row r="411" ht="39.75" customHeight="1">
      <c r="A411" s="1">
        <v>410.0</v>
      </c>
      <c r="B411" s="2" t="s">
        <v>21</v>
      </c>
      <c r="C411" s="2"/>
      <c r="D411" s="13"/>
      <c r="E411" s="13"/>
      <c r="F411" s="44" t="s">
        <v>1733</v>
      </c>
      <c r="G411" s="43">
        <v>1.0</v>
      </c>
      <c r="H411" s="42"/>
      <c r="I411" s="43">
        <v>1.0</v>
      </c>
      <c r="J411" s="22"/>
      <c r="K411" s="42"/>
    </row>
    <row r="412" ht="39.75" hidden="1" customHeight="1">
      <c r="A412" s="1">
        <v>411.0</v>
      </c>
      <c r="B412" s="2" t="s">
        <v>22</v>
      </c>
      <c r="C412" s="2" t="s">
        <v>66</v>
      </c>
      <c r="D412" s="13"/>
      <c r="E412" s="13"/>
      <c r="F412" s="45"/>
      <c r="G412" s="42"/>
      <c r="H412" s="42"/>
      <c r="I412" s="42"/>
      <c r="J412" s="22"/>
      <c r="K412" s="42"/>
    </row>
    <row r="413" ht="39.75" customHeight="1">
      <c r="A413" s="1">
        <v>412.0</v>
      </c>
      <c r="B413" s="2" t="s">
        <v>23</v>
      </c>
      <c r="C413" s="2" t="s">
        <v>54</v>
      </c>
      <c r="D413" s="13"/>
      <c r="E413" s="13"/>
      <c r="F413" s="44"/>
      <c r="G413" s="42"/>
      <c r="H413" s="42"/>
      <c r="I413" s="42"/>
      <c r="J413" s="22"/>
      <c r="K413" s="42"/>
    </row>
    <row r="414" ht="39.75" hidden="1" customHeight="1">
      <c r="A414" s="1">
        <v>413.0</v>
      </c>
      <c r="B414" s="2" t="s">
        <v>24</v>
      </c>
      <c r="C414" s="2" t="s">
        <v>58</v>
      </c>
      <c r="D414" s="13"/>
      <c r="E414" s="13"/>
      <c r="F414" s="45"/>
      <c r="G414" s="42"/>
      <c r="H414" s="42"/>
      <c r="I414" s="42"/>
      <c r="J414" s="22"/>
      <c r="K414" s="42"/>
    </row>
    <row r="415" ht="39.75" customHeight="1">
      <c r="A415" s="1">
        <v>414.0</v>
      </c>
      <c r="B415" s="2" t="s">
        <v>25</v>
      </c>
      <c r="C415" s="2" t="s">
        <v>44</v>
      </c>
      <c r="D415" s="13"/>
      <c r="E415" s="13"/>
      <c r="F415" s="44"/>
      <c r="G415" s="42"/>
      <c r="H415" s="43"/>
      <c r="I415" s="43"/>
      <c r="J415" s="22"/>
      <c r="K415" s="42"/>
    </row>
    <row r="416" ht="39.75" customHeight="1">
      <c r="A416" s="1">
        <v>415.0</v>
      </c>
      <c r="B416" s="2" t="s">
        <v>26</v>
      </c>
      <c r="C416" s="2"/>
      <c r="D416" s="13"/>
      <c r="E416" s="13"/>
      <c r="F416" s="44" t="s">
        <v>1734</v>
      </c>
      <c r="G416" s="43">
        <v>1.0</v>
      </c>
      <c r="H416" s="42"/>
      <c r="I416" s="42"/>
      <c r="J416" s="22"/>
      <c r="K416" s="42"/>
    </row>
    <row r="417" ht="39.75" customHeight="1">
      <c r="A417" s="1">
        <v>416.0</v>
      </c>
      <c r="B417" s="2" t="s">
        <v>29</v>
      </c>
      <c r="C417" s="2"/>
      <c r="D417" s="13"/>
      <c r="E417" s="13"/>
      <c r="F417" s="44" t="s">
        <v>1722</v>
      </c>
      <c r="G417" s="43">
        <v>1.0</v>
      </c>
      <c r="H417" s="42"/>
      <c r="I417" s="43">
        <v>1.0</v>
      </c>
      <c r="J417" s="22"/>
      <c r="K417" s="42"/>
    </row>
    <row r="418" ht="39.75" customHeight="1">
      <c r="A418" s="1">
        <v>417.0</v>
      </c>
      <c r="B418" s="2" t="s">
        <v>30</v>
      </c>
      <c r="C418" s="2" t="s">
        <v>64</v>
      </c>
      <c r="D418" s="13"/>
      <c r="E418" s="13"/>
      <c r="F418" s="44"/>
      <c r="G418" s="42"/>
      <c r="H418" s="42"/>
      <c r="I418" s="42"/>
      <c r="J418" s="22"/>
      <c r="K418" s="42"/>
    </row>
    <row r="419" ht="39.75" customHeight="1">
      <c r="A419" s="1">
        <v>418.0</v>
      </c>
      <c r="B419" s="2" t="s">
        <v>31</v>
      </c>
      <c r="C419" s="2" t="s">
        <v>54</v>
      </c>
      <c r="D419" s="53">
        <v>0.2916666666666667</v>
      </c>
      <c r="E419" s="13"/>
      <c r="F419" s="44" t="s">
        <v>1735</v>
      </c>
      <c r="G419" s="43">
        <v>1.0</v>
      </c>
      <c r="H419" s="42"/>
      <c r="I419" s="43">
        <v>1.0</v>
      </c>
      <c r="J419" s="22"/>
      <c r="K419" s="42"/>
    </row>
    <row r="420" ht="39.75" customHeight="1">
      <c r="A420" s="1">
        <v>419.0</v>
      </c>
      <c r="B420" s="2" t="s">
        <v>32</v>
      </c>
      <c r="C420" s="2"/>
      <c r="D420" s="13"/>
      <c r="E420" s="13"/>
      <c r="F420" s="45"/>
      <c r="G420" s="42"/>
      <c r="H420" s="42"/>
      <c r="I420" s="42"/>
      <c r="J420" s="22"/>
      <c r="K420" s="42"/>
    </row>
    <row r="421" ht="39.75" customHeight="1">
      <c r="A421" s="1">
        <v>420.0</v>
      </c>
      <c r="B421" s="2" t="s">
        <v>67</v>
      </c>
      <c r="C421" s="2"/>
      <c r="D421" s="13"/>
      <c r="E421" s="13"/>
      <c r="F421" s="44" t="s">
        <v>1736</v>
      </c>
      <c r="G421" s="43">
        <v>1.0</v>
      </c>
      <c r="H421" s="42"/>
      <c r="I421" s="43">
        <v>1.0</v>
      </c>
      <c r="J421" s="22"/>
      <c r="K421" s="42"/>
    </row>
    <row r="422" ht="39.75" customHeight="1">
      <c r="A422" s="1">
        <v>421.0</v>
      </c>
      <c r="B422" s="2" t="s">
        <v>34</v>
      </c>
      <c r="C422" s="2" t="s">
        <v>39</v>
      </c>
      <c r="D422" s="13"/>
      <c r="E422" s="13"/>
      <c r="F422" s="44" t="s">
        <v>1737</v>
      </c>
      <c r="G422" s="43">
        <v>1.0</v>
      </c>
      <c r="H422" s="43"/>
      <c r="I422" s="43">
        <v>1.0</v>
      </c>
      <c r="J422" s="22"/>
      <c r="K422" s="42"/>
    </row>
    <row r="423" ht="39.75" customHeight="1">
      <c r="A423" s="1">
        <v>422.0</v>
      </c>
      <c r="B423" s="2" t="s">
        <v>35</v>
      </c>
      <c r="C423" s="2" t="s">
        <v>69</v>
      </c>
      <c r="D423" s="13"/>
      <c r="E423" s="13"/>
      <c r="F423" s="44" t="s">
        <v>1738</v>
      </c>
      <c r="G423" s="43">
        <v>2.0</v>
      </c>
      <c r="H423" s="42"/>
      <c r="I423" s="42"/>
      <c r="J423" s="22"/>
      <c r="K423" s="42"/>
    </row>
    <row r="424" ht="39.75" hidden="1" customHeight="1">
      <c r="A424" s="1">
        <v>423.0</v>
      </c>
      <c r="B424" s="2" t="s">
        <v>36</v>
      </c>
      <c r="C424" s="2" t="s">
        <v>58</v>
      </c>
      <c r="D424" s="13"/>
      <c r="E424" s="13"/>
      <c r="F424" s="44"/>
      <c r="G424" s="42"/>
      <c r="H424" s="42"/>
      <c r="I424" s="42"/>
      <c r="J424" s="22"/>
      <c r="K424" s="42"/>
    </row>
    <row r="425" ht="39.75" hidden="1" customHeight="1">
      <c r="A425" s="1">
        <v>424.0</v>
      </c>
      <c r="B425" s="2" t="s">
        <v>38</v>
      </c>
      <c r="C425" s="2" t="s">
        <v>58</v>
      </c>
      <c r="D425" s="13"/>
      <c r="E425" s="13"/>
      <c r="F425" s="44"/>
      <c r="G425" s="42"/>
      <c r="H425" s="42"/>
      <c r="I425" s="42"/>
      <c r="J425" s="22"/>
      <c r="K425" s="42"/>
    </row>
    <row r="426" ht="39.75" hidden="1" customHeight="1">
      <c r="A426" s="1">
        <v>425.0</v>
      </c>
      <c r="B426" s="2" t="s">
        <v>41</v>
      </c>
      <c r="C426" s="2" t="s">
        <v>58</v>
      </c>
      <c r="D426" s="13"/>
      <c r="E426" s="13"/>
      <c r="F426" s="44"/>
      <c r="G426" s="42"/>
      <c r="H426" s="42"/>
      <c r="I426" s="42"/>
      <c r="J426" s="22"/>
      <c r="K426" s="42"/>
    </row>
    <row r="427" ht="39.75" customHeight="1">
      <c r="A427" s="1">
        <v>426.0</v>
      </c>
      <c r="B427" s="2" t="s">
        <v>42</v>
      </c>
      <c r="C427" s="2" t="s">
        <v>69</v>
      </c>
      <c r="D427" s="13"/>
      <c r="E427" s="13"/>
      <c r="F427" s="44" t="s">
        <v>1739</v>
      </c>
      <c r="G427" s="43">
        <v>1.0</v>
      </c>
      <c r="H427" s="42"/>
      <c r="I427" s="42"/>
      <c r="J427" s="22"/>
      <c r="K427" s="42"/>
    </row>
    <row r="428" ht="39.75" customHeight="1">
      <c r="A428" s="1">
        <v>427.0</v>
      </c>
      <c r="B428" s="2" t="s">
        <v>43</v>
      </c>
      <c r="C428" s="2" t="s">
        <v>39</v>
      </c>
      <c r="D428" s="13"/>
      <c r="E428" s="13"/>
      <c r="F428" s="44" t="s">
        <v>1740</v>
      </c>
      <c r="G428" s="43">
        <v>1.0</v>
      </c>
      <c r="H428" s="42"/>
      <c r="I428" s="42"/>
      <c r="J428" s="22"/>
      <c r="K428" s="42"/>
    </row>
    <row r="429" ht="39.75" customHeight="1">
      <c r="A429" s="1">
        <v>428.0</v>
      </c>
      <c r="B429" s="2" t="s">
        <v>45</v>
      </c>
      <c r="C429" s="2" t="s">
        <v>69</v>
      </c>
      <c r="D429" s="13"/>
      <c r="E429" s="13"/>
      <c r="F429" s="44" t="s">
        <v>1741</v>
      </c>
      <c r="G429" s="43">
        <v>1.0</v>
      </c>
      <c r="H429" s="42"/>
      <c r="I429" s="42"/>
      <c r="J429" s="22"/>
      <c r="K429" s="42"/>
    </row>
    <row r="430" ht="39.75" customHeight="1">
      <c r="A430" s="1">
        <v>429.0</v>
      </c>
      <c r="B430" s="2" t="s">
        <v>46</v>
      </c>
      <c r="C430" s="2"/>
      <c r="D430" s="40"/>
      <c r="E430" s="13"/>
      <c r="F430" s="44" t="s">
        <v>1742</v>
      </c>
      <c r="G430" s="43">
        <v>1.0</v>
      </c>
      <c r="H430" s="42"/>
      <c r="I430" s="42"/>
      <c r="J430" s="22"/>
      <c r="K430" s="42"/>
    </row>
    <row r="431" ht="39.75" customHeight="1">
      <c r="A431" s="1">
        <v>430.0</v>
      </c>
      <c r="B431" s="2" t="s">
        <v>47</v>
      </c>
      <c r="C431" s="2" t="s">
        <v>27</v>
      </c>
      <c r="D431" s="13"/>
      <c r="E431" s="13"/>
      <c r="F431" s="44" t="s">
        <v>1743</v>
      </c>
      <c r="G431" s="43">
        <v>1.0</v>
      </c>
      <c r="H431" s="42"/>
      <c r="I431" s="42"/>
      <c r="J431" s="22"/>
      <c r="K431" s="42"/>
    </row>
    <row r="432" ht="39.75" hidden="1" customHeight="1">
      <c r="A432" s="1">
        <v>431.0</v>
      </c>
      <c r="B432" s="2" t="s">
        <v>48</v>
      </c>
      <c r="C432" s="2" t="s">
        <v>58</v>
      </c>
      <c r="D432" s="13"/>
      <c r="E432" s="13"/>
      <c r="F432" s="45"/>
      <c r="G432" s="42"/>
      <c r="H432" s="42"/>
      <c r="I432" s="42"/>
      <c r="J432" s="22"/>
      <c r="K432" s="42"/>
    </row>
    <row r="433" ht="39.75" customHeight="1">
      <c r="A433" s="1">
        <v>432.0</v>
      </c>
      <c r="B433" s="21"/>
      <c r="C433" s="21"/>
      <c r="D433" s="21"/>
      <c r="E433" s="21"/>
      <c r="F433" s="46"/>
      <c r="G433" s="47"/>
      <c r="H433" s="47"/>
      <c r="I433" s="47"/>
      <c r="J433" s="48"/>
      <c r="K433" s="47"/>
      <c r="L433" s="49"/>
      <c r="M433" s="49"/>
      <c r="N433" s="49"/>
    </row>
    <row r="434" ht="39.75" customHeight="1">
      <c r="A434" s="1">
        <v>433.0</v>
      </c>
      <c r="B434" s="2" t="s">
        <v>12</v>
      </c>
      <c r="C434" s="2" t="s">
        <v>62</v>
      </c>
      <c r="D434" s="13"/>
      <c r="E434" s="13"/>
      <c r="F434" s="45"/>
      <c r="G434" s="42"/>
      <c r="H434" s="42"/>
      <c r="I434" s="42"/>
      <c r="J434" s="27" t="s">
        <v>1544</v>
      </c>
      <c r="K434" s="42"/>
      <c r="L434" s="15" t="s">
        <v>294</v>
      </c>
    </row>
    <row r="435" ht="39.75" customHeight="1">
      <c r="A435" s="1">
        <v>434.0</v>
      </c>
      <c r="B435" s="2" t="s">
        <v>16</v>
      </c>
      <c r="C435" s="2" t="s">
        <v>54</v>
      </c>
      <c r="D435" s="13"/>
      <c r="E435" s="40">
        <v>0.7291666666666666</v>
      </c>
      <c r="F435" s="44" t="s">
        <v>1730</v>
      </c>
      <c r="G435" s="43">
        <v>1.0</v>
      </c>
      <c r="H435" s="43">
        <v>1.0</v>
      </c>
      <c r="I435" s="42"/>
      <c r="J435" s="27" t="s">
        <v>294</v>
      </c>
      <c r="K435" s="43"/>
    </row>
    <row r="436" ht="39.75" customHeight="1">
      <c r="A436" s="1">
        <v>435.0</v>
      </c>
      <c r="B436" s="2" t="s">
        <v>17</v>
      </c>
      <c r="C436" s="2" t="s">
        <v>54</v>
      </c>
      <c r="D436" s="13"/>
      <c r="E436" s="13"/>
      <c r="F436" s="44" t="s">
        <v>1744</v>
      </c>
      <c r="G436" s="43">
        <v>1.0</v>
      </c>
      <c r="H436" s="42"/>
      <c r="I436" s="42"/>
      <c r="J436" s="27" t="s">
        <v>111</v>
      </c>
      <c r="K436" s="42"/>
    </row>
    <row r="437" ht="39.75" hidden="1" customHeight="1">
      <c r="A437" s="1">
        <v>436.0</v>
      </c>
      <c r="B437" s="2" t="s">
        <v>331</v>
      </c>
      <c r="C437" s="2" t="s">
        <v>66</v>
      </c>
      <c r="D437" s="13"/>
      <c r="E437" s="13"/>
      <c r="F437" s="45"/>
      <c r="G437" s="42"/>
      <c r="H437" s="42"/>
      <c r="I437" s="42"/>
      <c r="J437" s="22"/>
      <c r="K437" s="42"/>
    </row>
    <row r="438" ht="39.75" customHeight="1">
      <c r="A438" s="1">
        <v>437.0</v>
      </c>
      <c r="B438" s="2" t="s">
        <v>21</v>
      </c>
      <c r="C438" s="2"/>
      <c r="D438" s="13"/>
      <c r="E438" s="13"/>
      <c r="F438" s="45"/>
      <c r="G438" s="42"/>
      <c r="H438" s="42"/>
      <c r="I438" s="42"/>
      <c r="J438" s="22"/>
      <c r="K438" s="42"/>
    </row>
    <row r="439" ht="39.75" hidden="1" customHeight="1">
      <c r="A439" s="1">
        <v>438.0</v>
      </c>
      <c r="B439" s="2" t="s">
        <v>22</v>
      </c>
      <c r="C439" s="2" t="s">
        <v>58</v>
      </c>
      <c r="D439" s="13"/>
      <c r="E439" s="13"/>
      <c r="F439" s="45"/>
      <c r="G439" s="42"/>
      <c r="H439" s="42"/>
      <c r="I439" s="42"/>
      <c r="J439" s="22"/>
      <c r="K439" s="42"/>
    </row>
    <row r="440" ht="39.75" customHeight="1">
      <c r="A440" s="1">
        <v>439.0</v>
      </c>
      <c r="B440" s="2" t="s">
        <v>23</v>
      </c>
      <c r="C440" s="2" t="s">
        <v>69</v>
      </c>
      <c r="D440" s="13"/>
      <c r="E440" s="13"/>
      <c r="F440" s="45"/>
      <c r="G440" s="42"/>
      <c r="H440" s="42"/>
      <c r="I440" s="42"/>
      <c r="J440" s="22"/>
      <c r="K440" s="42"/>
    </row>
    <row r="441" ht="39.75" customHeight="1">
      <c r="A441" s="1">
        <v>440.0</v>
      </c>
      <c r="B441" s="2" t="s">
        <v>24</v>
      </c>
      <c r="C441" s="2"/>
      <c r="D441" s="13"/>
      <c r="E441" s="13"/>
      <c r="F441" s="44" t="s">
        <v>1745</v>
      </c>
      <c r="G441" s="43">
        <v>1.0</v>
      </c>
      <c r="H441" s="42"/>
      <c r="I441" s="42"/>
      <c r="J441" s="22"/>
      <c r="K441" s="42"/>
    </row>
    <row r="442" ht="39.75" customHeight="1">
      <c r="A442" s="1">
        <v>441.0</v>
      </c>
      <c r="B442" s="2" t="s">
        <v>25</v>
      </c>
      <c r="C442" s="2" t="s">
        <v>39</v>
      </c>
      <c r="D442" s="13"/>
      <c r="E442" s="13"/>
      <c r="F442" s="44" t="s">
        <v>1746</v>
      </c>
      <c r="G442" s="43">
        <v>1.0</v>
      </c>
      <c r="H442" s="42"/>
      <c r="I442" s="43">
        <v>1.0</v>
      </c>
      <c r="J442" s="22"/>
      <c r="K442" s="42"/>
    </row>
    <row r="443" ht="39.75" customHeight="1">
      <c r="A443" s="1">
        <v>442.0</v>
      </c>
      <c r="B443" s="2" t="s">
        <v>26</v>
      </c>
      <c r="C443" s="2"/>
      <c r="D443" s="13"/>
      <c r="E443" s="13"/>
      <c r="F443" s="44" t="s">
        <v>1747</v>
      </c>
      <c r="G443" s="43">
        <v>1.0</v>
      </c>
      <c r="H443" s="42"/>
      <c r="I443" s="43">
        <v>1.0</v>
      </c>
      <c r="J443" s="22"/>
      <c r="K443" s="42"/>
    </row>
    <row r="444" ht="39.75" customHeight="1">
      <c r="A444" s="1">
        <v>443.0</v>
      </c>
      <c r="B444" s="2" t="s">
        <v>29</v>
      </c>
      <c r="C444" s="2" t="s">
        <v>39</v>
      </c>
      <c r="D444" s="13"/>
      <c r="E444" s="13"/>
      <c r="F444" s="44" t="s">
        <v>1748</v>
      </c>
      <c r="G444" s="43">
        <v>1.0</v>
      </c>
      <c r="H444" s="42"/>
      <c r="I444" s="42"/>
      <c r="J444" s="22"/>
      <c r="K444" s="42"/>
    </row>
    <row r="445" ht="39.75" customHeight="1">
      <c r="A445" s="1">
        <v>444.0</v>
      </c>
      <c r="B445" s="2" t="s">
        <v>30</v>
      </c>
      <c r="C445" s="2" t="s">
        <v>64</v>
      </c>
      <c r="D445" s="13"/>
      <c r="E445" s="13"/>
      <c r="F445" s="45"/>
      <c r="G445" s="42"/>
      <c r="H445" s="42"/>
      <c r="I445" s="42"/>
      <c r="J445" s="22"/>
      <c r="K445" s="42"/>
    </row>
    <row r="446" ht="39.75" customHeight="1">
      <c r="A446" s="1">
        <v>445.0</v>
      </c>
      <c r="B446" s="2" t="s">
        <v>31</v>
      </c>
      <c r="C446" s="2" t="s">
        <v>54</v>
      </c>
      <c r="D446" s="13"/>
      <c r="E446" s="13"/>
      <c r="F446" s="44" t="s">
        <v>1749</v>
      </c>
      <c r="G446" s="43">
        <v>1.0</v>
      </c>
      <c r="H446" s="42"/>
      <c r="I446" s="42"/>
      <c r="J446" s="22"/>
      <c r="K446" s="42"/>
    </row>
    <row r="447" ht="39.75" customHeight="1">
      <c r="A447" s="1">
        <v>446.0</v>
      </c>
      <c r="B447" s="2" t="s">
        <v>32</v>
      </c>
      <c r="C447" s="2"/>
      <c r="D447" s="13"/>
      <c r="E447" s="13"/>
      <c r="F447" s="44" t="s">
        <v>1750</v>
      </c>
      <c r="G447" s="43">
        <v>1.0</v>
      </c>
      <c r="H447" s="42"/>
      <c r="I447" s="42"/>
      <c r="J447" s="22"/>
      <c r="K447" s="42"/>
    </row>
    <row r="448" ht="39.75" customHeight="1">
      <c r="A448" s="1">
        <v>447.0</v>
      </c>
      <c r="B448" s="2" t="s">
        <v>67</v>
      </c>
      <c r="C448" s="2" t="s">
        <v>69</v>
      </c>
      <c r="D448" s="13"/>
      <c r="E448" s="13"/>
      <c r="F448" s="44" t="s">
        <v>1751</v>
      </c>
      <c r="G448" s="43">
        <v>1.0</v>
      </c>
      <c r="H448" s="42"/>
      <c r="I448" s="43">
        <v>1.0</v>
      </c>
      <c r="J448" s="22"/>
      <c r="K448" s="42"/>
    </row>
    <row r="449" ht="39.75" customHeight="1">
      <c r="A449" s="1">
        <v>448.0</v>
      </c>
      <c r="B449" s="2" t="s">
        <v>34</v>
      </c>
      <c r="C449" s="2"/>
      <c r="D449" s="13"/>
      <c r="E449" s="13"/>
      <c r="F449" s="44" t="s">
        <v>1752</v>
      </c>
      <c r="G449" s="43">
        <v>1.0</v>
      </c>
      <c r="H449" s="42"/>
      <c r="I449" s="42"/>
      <c r="J449" s="22"/>
      <c r="K449" s="42"/>
    </row>
    <row r="450" ht="39.75" customHeight="1">
      <c r="A450" s="1">
        <v>449.0</v>
      </c>
      <c r="B450" s="2" t="s">
        <v>35</v>
      </c>
      <c r="C450" s="2" t="s">
        <v>54</v>
      </c>
      <c r="D450" s="13"/>
      <c r="E450" s="13"/>
      <c r="F450" s="44" t="s">
        <v>1753</v>
      </c>
      <c r="G450" s="43">
        <v>1.0</v>
      </c>
      <c r="H450" s="42"/>
      <c r="I450" s="43">
        <v>1.0</v>
      </c>
      <c r="J450" s="22"/>
      <c r="K450" s="42"/>
    </row>
    <row r="451" ht="39.75" hidden="1" customHeight="1">
      <c r="A451" s="1">
        <v>450.0</v>
      </c>
      <c r="B451" s="2" t="s">
        <v>36</v>
      </c>
      <c r="C451" s="2" t="s">
        <v>58</v>
      </c>
      <c r="D451" s="13"/>
      <c r="E451" s="13"/>
      <c r="F451" s="45"/>
      <c r="G451" s="42"/>
      <c r="H451" s="42"/>
      <c r="I451" s="42"/>
      <c r="J451" s="22"/>
      <c r="K451" s="42"/>
    </row>
    <row r="452" ht="39.75" hidden="1" customHeight="1">
      <c r="A452" s="1">
        <v>451.0</v>
      </c>
      <c r="B452" s="2" t="s">
        <v>38</v>
      </c>
      <c r="C452" s="2" t="s">
        <v>58</v>
      </c>
      <c r="D452" s="13"/>
      <c r="E452" s="13"/>
      <c r="F452" s="45"/>
      <c r="G452" s="42"/>
      <c r="H452" s="42"/>
      <c r="I452" s="42"/>
      <c r="J452" s="22"/>
      <c r="K452" s="42"/>
    </row>
    <row r="453" ht="39.75" hidden="1" customHeight="1">
      <c r="A453" s="1">
        <v>452.0</v>
      </c>
      <c r="B453" s="2" t="s">
        <v>41</v>
      </c>
      <c r="C453" s="2" t="s">
        <v>58</v>
      </c>
      <c r="D453" s="13"/>
      <c r="E453" s="13"/>
      <c r="F453" s="45"/>
      <c r="G453" s="42"/>
      <c r="H453" s="42"/>
      <c r="I453" s="42"/>
      <c r="J453" s="22"/>
      <c r="K453" s="42"/>
    </row>
    <row r="454" ht="39.75" hidden="1" customHeight="1">
      <c r="A454" s="1">
        <v>453.0</v>
      </c>
      <c r="B454" s="2" t="s">
        <v>42</v>
      </c>
      <c r="C454" s="2" t="s">
        <v>66</v>
      </c>
      <c r="D454" s="13"/>
      <c r="E454" s="13"/>
      <c r="F454" s="45"/>
      <c r="G454" s="42"/>
      <c r="H454" s="42"/>
      <c r="I454" s="42"/>
      <c r="J454" s="22"/>
      <c r="K454" s="42"/>
    </row>
    <row r="455" ht="39.75" customHeight="1">
      <c r="A455" s="1">
        <v>454.0</v>
      </c>
      <c r="B455" s="2" t="s">
        <v>43</v>
      </c>
      <c r="C455" s="2" t="s">
        <v>27</v>
      </c>
      <c r="D455" s="13"/>
      <c r="E455" s="13"/>
      <c r="F455" s="45"/>
      <c r="G455" s="42"/>
      <c r="H455" s="42"/>
      <c r="I455" s="42"/>
      <c r="J455" s="22"/>
      <c r="K455" s="42"/>
    </row>
    <row r="456" ht="39.75" customHeight="1">
      <c r="A456" s="1">
        <v>455.0</v>
      </c>
      <c r="B456" s="2" t="s">
        <v>45</v>
      </c>
      <c r="C456" s="2"/>
      <c r="D456" s="13"/>
      <c r="E456" s="13"/>
      <c r="F456" s="44" t="s">
        <v>1754</v>
      </c>
      <c r="G456" s="43">
        <v>1.0</v>
      </c>
      <c r="H456" s="42"/>
      <c r="I456" s="42"/>
      <c r="J456" s="22"/>
      <c r="K456" s="42"/>
    </row>
    <row r="457" ht="39.75" customHeight="1">
      <c r="A457" s="1">
        <v>456.0</v>
      </c>
      <c r="B457" s="2" t="s">
        <v>46</v>
      </c>
      <c r="C457" s="2" t="s">
        <v>69</v>
      </c>
      <c r="D457" s="13"/>
      <c r="E457" s="13"/>
      <c r="F457" s="44" t="s">
        <v>1755</v>
      </c>
      <c r="G457" s="43">
        <v>1.0</v>
      </c>
      <c r="H457" s="42"/>
      <c r="I457" s="42"/>
      <c r="J457" s="22"/>
      <c r="K457" s="42"/>
    </row>
    <row r="458" ht="39.75" customHeight="1">
      <c r="A458" s="1">
        <v>457.0</v>
      </c>
      <c r="B458" s="2" t="s">
        <v>47</v>
      </c>
      <c r="C458" s="2" t="s">
        <v>44</v>
      </c>
      <c r="D458" s="13"/>
      <c r="E458" s="13"/>
      <c r="F458" s="45"/>
      <c r="G458" s="42"/>
      <c r="H458" s="42"/>
      <c r="I458" s="42"/>
      <c r="J458" s="22"/>
      <c r="K458" s="42"/>
    </row>
    <row r="459" ht="39.75" hidden="1" customHeight="1">
      <c r="A459" s="1">
        <v>458.0</v>
      </c>
      <c r="B459" s="2" t="s">
        <v>48</v>
      </c>
      <c r="C459" s="2" t="s">
        <v>58</v>
      </c>
      <c r="D459" s="13"/>
      <c r="E459" s="13"/>
      <c r="F459" s="45"/>
      <c r="G459" s="42"/>
      <c r="H459" s="42"/>
      <c r="I459" s="42"/>
      <c r="J459" s="22"/>
      <c r="K459" s="42"/>
    </row>
    <row r="460" ht="39.75" customHeight="1">
      <c r="A460" s="1">
        <v>459.0</v>
      </c>
      <c r="B460" s="21"/>
      <c r="C460" s="21"/>
      <c r="D460" s="21"/>
      <c r="E460" s="21"/>
      <c r="F460" s="46"/>
      <c r="G460" s="47"/>
      <c r="H460" s="47"/>
      <c r="I460" s="47"/>
      <c r="J460" s="48"/>
      <c r="K460" s="47"/>
      <c r="L460" s="49"/>
      <c r="M460" s="49"/>
      <c r="N460" s="49"/>
    </row>
    <row r="461" ht="39.75" customHeight="1">
      <c r="A461" s="1">
        <v>460.0</v>
      </c>
      <c r="B461" s="2" t="s">
        <v>12</v>
      </c>
      <c r="C461" s="2" t="s">
        <v>62</v>
      </c>
      <c r="D461" s="13"/>
      <c r="E461" s="13"/>
      <c r="F461" s="45"/>
      <c r="G461" s="42"/>
      <c r="H461" s="42"/>
      <c r="I461" s="42"/>
      <c r="J461" s="27" t="s">
        <v>1544</v>
      </c>
      <c r="K461" s="42"/>
      <c r="L461" s="15" t="s">
        <v>309</v>
      </c>
    </row>
    <row r="462" ht="39.75" customHeight="1">
      <c r="A462" s="1">
        <v>461.0</v>
      </c>
      <c r="B462" s="2" t="s">
        <v>16</v>
      </c>
      <c r="C462" s="2" t="s">
        <v>54</v>
      </c>
      <c r="D462" s="13"/>
      <c r="E462" s="13"/>
      <c r="F462" s="44" t="s">
        <v>1756</v>
      </c>
      <c r="G462" s="43">
        <v>1.0</v>
      </c>
      <c r="H462" s="42"/>
      <c r="I462" s="42"/>
      <c r="J462" s="27" t="s">
        <v>309</v>
      </c>
      <c r="K462" s="43"/>
    </row>
    <row r="463" ht="39.75" customHeight="1">
      <c r="A463" s="1">
        <v>462.0</v>
      </c>
      <c r="B463" s="2" t="s">
        <v>17</v>
      </c>
      <c r="C463" s="2" t="s">
        <v>54</v>
      </c>
      <c r="D463" s="13"/>
      <c r="E463" s="13"/>
      <c r="F463" s="44" t="s">
        <v>1757</v>
      </c>
      <c r="G463" s="43">
        <v>1.0</v>
      </c>
      <c r="H463" s="43">
        <v>1.0</v>
      </c>
      <c r="I463" s="42"/>
      <c r="J463" s="27" t="s">
        <v>131</v>
      </c>
      <c r="K463" s="42"/>
    </row>
    <row r="464" ht="39.75" customHeight="1">
      <c r="A464" s="1">
        <v>463.0</v>
      </c>
      <c r="B464" s="2" t="s">
        <v>331</v>
      </c>
      <c r="C464" s="2" t="s">
        <v>542</v>
      </c>
      <c r="D464" s="13"/>
      <c r="E464" s="13"/>
      <c r="F464" s="44" t="s">
        <v>1758</v>
      </c>
      <c r="G464" s="43">
        <v>1.0</v>
      </c>
      <c r="H464" s="42"/>
      <c r="I464" s="42"/>
      <c r="J464" s="22"/>
      <c r="K464" s="42"/>
    </row>
    <row r="465" ht="39.75" hidden="1" customHeight="1">
      <c r="A465" s="1">
        <v>464.0</v>
      </c>
      <c r="B465" s="2" t="s">
        <v>21</v>
      </c>
      <c r="C465" s="2" t="s">
        <v>58</v>
      </c>
      <c r="D465" s="13"/>
      <c r="E465" s="13"/>
      <c r="F465" s="45"/>
      <c r="G465" s="42"/>
      <c r="H465" s="42"/>
      <c r="I465" s="42"/>
      <c r="J465" s="22"/>
      <c r="K465" s="42"/>
    </row>
    <row r="466" ht="39.75" hidden="1" customHeight="1">
      <c r="A466" s="1">
        <v>465.0</v>
      </c>
      <c r="B466" s="2" t="s">
        <v>22</v>
      </c>
      <c r="C466" s="2" t="s">
        <v>58</v>
      </c>
      <c r="D466" s="13"/>
      <c r="E466" s="13"/>
      <c r="F466" s="45"/>
      <c r="G466" s="42"/>
      <c r="H466" s="42"/>
      <c r="I466" s="42"/>
      <c r="J466" s="22"/>
      <c r="K466" s="42"/>
    </row>
    <row r="467" ht="39.75" customHeight="1">
      <c r="A467" s="1">
        <v>466.0</v>
      </c>
      <c r="B467" s="2" t="s">
        <v>23</v>
      </c>
      <c r="C467" s="2"/>
      <c r="D467" s="13"/>
      <c r="E467" s="13"/>
      <c r="F467" s="44" t="s">
        <v>1759</v>
      </c>
      <c r="G467" s="43">
        <v>1.0</v>
      </c>
      <c r="H467" s="42"/>
      <c r="I467" s="43">
        <v>1.0</v>
      </c>
      <c r="J467" s="22"/>
      <c r="K467" s="42"/>
    </row>
    <row r="468" ht="39.75" hidden="1" customHeight="1">
      <c r="A468" s="1">
        <v>467.0</v>
      </c>
      <c r="B468" s="2" t="s">
        <v>24</v>
      </c>
      <c r="C468" s="2" t="s">
        <v>66</v>
      </c>
      <c r="D468" s="13"/>
      <c r="E468" s="13"/>
      <c r="F468" s="45"/>
      <c r="G468" s="42"/>
      <c r="H468" s="42"/>
      <c r="I468" s="42"/>
      <c r="J468" s="22"/>
      <c r="K468" s="42"/>
    </row>
    <row r="469" ht="39.75" customHeight="1">
      <c r="A469" s="1">
        <v>468.0</v>
      </c>
      <c r="B469" s="2" t="s">
        <v>25</v>
      </c>
      <c r="C469" s="2"/>
      <c r="D469" s="13"/>
      <c r="E469" s="13"/>
      <c r="F469" s="44" t="s">
        <v>1760</v>
      </c>
      <c r="G469" s="43">
        <v>1.0</v>
      </c>
      <c r="H469" s="42"/>
      <c r="I469" s="42"/>
      <c r="J469" s="22"/>
      <c r="K469" s="42"/>
    </row>
    <row r="470" ht="39.75" customHeight="1">
      <c r="A470" s="1">
        <v>469.0</v>
      </c>
      <c r="B470" s="2" t="s">
        <v>26</v>
      </c>
      <c r="C470" s="2" t="s">
        <v>69</v>
      </c>
      <c r="D470" s="13"/>
      <c r="E470" s="13"/>
      <c r="F470" s="45"/>
      <c r="G470" s="42"/>
      <c r="H470" s="42"/>
      <c r="I470" s="42"/>
      <c r="J470" s="22"/>
      <c r="K470" s="42"/>
    </row>
    <row r="471" ht="39.75" customHeight="1">
      <c r="A471" s="1">
        <v>470.0</v>
      </c>
      <c r="B471" s="2" t="s">
        <v>29</v>
      </c>
      <c r="C471" s="2" t="s">
        <v>69</v>
      </c>
      <c r="D471" s="13"/>
      <c r="E471" s="13"/>
      <c r="F471" s="45"/>
      <c r="G471" s="42"/>
      <c r="H471" s="42"/>
      <c r="I471" s="42"/>
      <c r="J471" s="22"/>
      <c r="K471" s="42"/>
    </row>
    <row r="472" ht="39.75" customHeight="1">
      <c r="A472" s="1">
        <v>471.0</v>
      </c>
      <c r="B472" s="2" t="s">
        <v>30</v>
      </c>
      <c r="C472" s="2" t="s">
        <v>64</v>
      </c>
      <c r="D472" s="13"/>
      <c r="E472" s="13"/>
      <c r="F472" s="45"/>
      <c r="G472" s="42"/>
      <c r="H472" s="42"/>
      <c r="I472" s="42"/>
      <c r="J472" s="22"/>
      <c r="K472" s="42"/>
    </row>
    <row r="473" ht="39.75" customHeight="1">
      <c r="A473" s="1">
        <v>472.0</v>
      </c>
      <c r="B473" s="2" t="s">
        <v>31</v>
      </c>
      <c r="C473" s="2" t="s">
        <v>54</v>
      </c>
      <c r="D473" s="13"/>
      <c r="E473" s="13"/>
      <c r="F473" s="44" t="s">
        <v>1761</v>
      </c>
      <c r="G473" s="43">
        <v>1.0</v>
      </c>
      <c r="H473" s="43">
        <v>1.0</v>
      </c>
      <c r="I473" s="42"/>
      <c r="J473" s="22"/>
      <c r="K473" s="42"/>
    </row>
    <row r="474" ht="39.75" customHeight="1">
      <c r="A474" s="1">
        <v>473.0</v>
      </c>
      <c r="B474" s="2" t="s">
        <v>32</v>
      </c>
      <c r="C474" s="2"/>
      <c r="D474" s="13"/>
      <c r="E474" s="13"/>
      <c r="F474" s="44" t="s">
        <v>1762</v>
      </c>
      <c r="G474" s="43">
        <v>1.0</v>
      </c>
      <c r="H474" s="42"/>
      <c r="I474" s="43">
        <v>1.0</v>
      </c>
      <c r="J474" s="22"/>
      <c r="K474" s="42"/>
    </row>
    <row r="475" ht="39.75" customHeight="1">
      <c r="A475" s="1">
        <v>474.0</v>
      </c>
      <c r="B475" s="2" t="s">
        <v>67</v>
      </c>
      <c r="C475" s="2"/>
      <c r="D475" s="13"/>
      <c r="E475" s="13"/>
      <c r="F475" s="45"/>
      <c r="G475" s="42"/>
      <c r="H475" s="42"/>
      <c r="I475" s="42"/>
      <c r="J475" s="22"/>
      <c r="K475" s="42"/>
    </row>
    <row r="476" ht="39.75" customHeight="1">
      <c r="A476" s="1">
        <v>475.0</v>
      </c>
      <c r="B476" s="2" t="s">
        <v>34</v>
      </c>
      <c r="C476" s="2" t="s">
        <v>27</v>
      </c>
      <c r="D476" s="13"/>
      <c r="E476" s="13"/>
      <c r="F476" s="45"/>
      <c r="G476" s="42"/>
      <c r="H476" s="42"/>
      <c r="I476" s="42"/>
      <c r="J476" s="22"/>
      <c r="K476" s="42"/>
    </row>
    <row r="477" ht="39.75" customHeight="1">
      <c r="A477" s="1">
        <v>476.0</v>
      </c>
      <c r="B477" s="2" t="s">
        <v>35</v>
      </c>
      <c r="C477" s="2" t="s">
        <v>54</v>
      </c>
      <c r="D477" s="13"/>
      <c r="E477" s="13"/>
      <c r="F477" s="44" t="s">
        <v>1763</v>
      </c>
      <c r="G477" s="43">
        <v>1.0</v>
      </c>
      <c r="H477" s="42"/>
      <c r="I477" s="42"/>
      <c r="J477" s="22"/>
      <c r="K477" s="42"/>
    </row>
    <row r="478" ht="39.75" hidden="1" customHeight="1">
      <c r="A478" s="1">
        <v>477.0</v>
      </c>
      <c r="B478" s="2" t="s">
        <v>36</v>
      </c>
      <c r="C478" s="2" t="s">
        <v>66</v>
      </c>
      <c r="D478" s="13"/>
      <c r="E478" s="13"/>
      <c r="F478" s="45"/>
      <c r="G478" s="42"/>
      <c r="H478" s="42"/>
      <c r="I478" s="42"/>
      <c r="J478" s="22"/>
      <c r="K478" s="42"/>
    </row>
    <row r="479" ht="39.75" customHeight="1">
      <c r="A479" s="1">
        <v>478.0</v>
      </c>
      <c r="B479" s="2" t="s">
        <v>38</v>
      </c>
      <c r="C479" s="2" t="s">
        <v>69</v>
      </c>
      <c r="D479" s="13"/>
      <c r="E479" s="13"/>
      <c r="F479" s="44" t="s">
        <v>1764</v>
      </c>
      <c r="G479" s="43">
        <v>1.0</v>
      </c>
      <c r="H479" s="42"/>
      <c r="I479" s="42"/>
      <c r="J479" s="22"/>
      <c r="K479" s="42"/>
    </row>
    <row r="480" ht="39.75" hidden="1" customHeight="1">
      <c r="A480" s="1">
        <v>479.0</v>
      </c>
      <c r="B480" s="2" t="s">
        <v>41</v>
      </c>
      <c r="C480" s="2" t="s">
        <v>58</v>
      </c>
      <c r="D480" s="13"/>
      <c r="E480" s="13"/>
      <c r="F480" s="45"/>
      <c r="G480" s="42"/>
      <c r="H480" s="42"/>
      <c r="I480" s="42"/>
      <c r="J480" s="22"/>
      <c r="K480" s="42"/>
    </row>
    <row r="481" ht="39.75" hidden="1" customHeight="1">
      <c r="A481" s="1">
        <v>480.0</v>
      </c>
      <c r="B481" s="2" t="s">
        <v>42</v>
      </c>
      <c r="C481" s="2" t="s">
        <v>58</v>
      </c>
      <c r="D481" s="13"/>
      <c r="E481" s="13"/>
      <c r="F481" s="45"/>
      <c r="G481" s="42"/>
      <c r="H481" s="42"/>
      <c r="I481" s="42"/>
      <c r="J481" s="22"/>
      <c r="K481" s="42"/>
    </row>
    <row r="482" ht="39.75" customHeight="1">
      <c r="A482" s="1">
        <v>481.0</v>
      </c>
      <c r="B482" s="2" t="s">
        <v>43</v>
      </c>
      <c r="C482" s="2" t="s">
        <v>44</v>
      </c>
      <c r="D482" s="13"/>
      <c r="E482" s="13"/>
      <c r="F482" s="45"/>
      <c r="G482" s="42"/>
      <c r="H482" s="42"/>
      <c r="I482" s="42"/>
      <c r="J482" s="22"/>
      <c r="K482" s="42"/>
    </row>
    <row r="483" ht="39.75" customHeight="1">
      <c r="A483" s="1">
        <v>482.0</v>
      </c>
      <c r="B483" s="2" t="s">
        <v>45</v>
      </c>
      <c r="C483" s="2"/>
      <c r="D483" s="13"/>
      <c r="E483" s="13"/>
      <c r="F483" s="44" t="s">
        <v>1765</v>
      </c>
      <c r="G483" s="43">
        <v>1.0</v>
      </c>
      <c r="H483" s="42"/>
      <c r="I483" s="42"/>
      <c r="J483" s="22"/>
      <c r="K483" s="42"/>
    </row>
    <row r="484" ht="39.75" customHeight="1">
      <c r="A484" s="1">
        <v>483.0</v>
      </c>
      <c r="B484" s="2" t="s">
        <v>46</v>
      </c>
      <c r="C484" s="2" t="s">
        <v>39</v>
      </c>
      <c r="D484" s="13"/>
      <c r="E484" s="13"/>
      <c r="F484" s="45"/>
      <c r="G484" s="42"/>
      <c r="H484" s="42"/>
      <c r="I484" s="42"/>
      <c r="J484" s="22"/>
      <c r="K484" s="42"/>
    </row>
    <row r="485" ht="39.75" customHeight="1">
      <c r="A485" s="1">
        <v>484.0</v>
      </c>
      <c r="B485" s="2" t="s">
        <v>47</v>
      </c>
      <c r="C485" s="2" t="s">
        <v>39</v>
      </c>
      <c r="D485" s="13"/>
      <c r="E485" s="13"/>
      <c r="F485" s="44" t="s">
        <v>1766</v>
      </c>
      <c r="G485" s="43">
        <v>1.0</v>
      </c>
      <c r="H485" s="42"/>
      <c r="I485" s="43">
        <v>1.0</v>
      </c>
      <c r="J485" s="22"/>
      <c r="K485" s="42"/>
    </row>
    <row r="486" ht="39.75" hidden="1" customHeight="1">
      <c r="A486" s="1">
        <v>485.0</v>
      </c>
      <c r="B486" s="2" t="s">
        <v>48</v>
      </c>
      <c r="C486" s="2" t="s">
        <v>58</v>
      </c>
      <c r="D486" s="13"/>
      <c r="E486" s="13"/>
      <c r="F486" s="45"/>
      <c r="G486" s="42"/>
      <c r="H486" s="42"/>
      <c r="I486" s="42"/>
      <c r="J486" s="22"/>
      <c r="K486" s="42"/>
    </row>
    <row r="487" ht="39.75" customHeight="1">
      <c r="A487" s="1">
        <v>486.0</v>
      </c>
      <c r="B487" s="21"/>
      <c r="C487" s="21"/>
      <c r="D487" s="21"/>
      <c r="E487" s="21"/>
      <c r="F487" s="46"/>
      <c r="G487" s="47"/>
      <c r="H487" s="47"/>
      <c r="I487" s="47"/>
      <c r="J487" s="48"/>
      <c r="K487" s="47"/>
      <c r="L487" s="49"/>
      <c r="M487" s="49"/>
      <c r="N487" s="49"/>
    </row>
    <row r="488" ht="39.75" customHeight="1">
      <c r="A488" s="1">
        <v>487.0</v>
      </c>
      <c r="B488" s="2" t="s">
        <v>268</v>
      </c>
      <c r="C488" s="2" t="s">
        <v>63</v>
      </c>
      <c r="D488" s="13"/>
      <c r="E488" s="13"/>
      <c r="F488" s="45"/>
      <c r="G488" s="42"/>
      <c r="H488" s="42"/>
      <c r="I488" s="42"/>
      <c r="J488" s="27" t="s">
        <v>1544</v>
      </c>
      <c r="K488" s="42"/>
      <c r="L488" s="15" t="s">
        <v>328</v>
      </c>
    </row>
    <row r="489" ht="39.75" hidden="1" customHeight="1">
      <c r="A489" s="1">
        <v>488.0</v>
      </c>
      <c r="B489" s="2" t="s">
        <v>16</v>
      </c>
      <c r="C489" s="2" t="s">
        <v>13</v>
      </c>
      <c r="D489" s="13"/>
      <c r="E489" s="13"/>
      <c r="F489" s="45"/>
      <c r="G489" s="42"/>
      <c r="H489" s="42"/>
      <c r="I489" s="42"/>
      <c r="J489" s="27" t="s">
        <v>328</v>
      </c>
      <c r="K489" s="43"/>
    </row>
    <row r="490" ht="39.75" hidden="1" customHeight="1">
      <c r="A490" s="1">
        <v>489.0</v>
      </c>
      <c r="B490" s="2" t="s">
        <v>17</v>
      </c>
      <c r="C490" s="2" t="s">
        <v>13</v>
      </c>
      <c r="D490" s="13"/>
      <c r="E490" s="13"/>
      <c r="F490" s="44"/>
      <c r="G490" s="42"/>
      <c r="H490" s="42"/>
      <c r="I490" s="42"/>
      <c r="J490" s="27" t="s">
        <v>149</v>
      </c>
      <c r="K490" s="42"/>
    </row>
    <row r="491" ht="39.75" customHeight="1">
      <c r="A491" s="1">
        <v>490.0</v>
      </c>
      <c r="B491" s="2" t="s">
        <v>266</v>
      </c>
      <c r="C491" s="2" t="s">
        <v>272</v>
      </c>
      <c r="D491" s="13"/>
      <c r="E491" s="13"/>
      <c r="F491" s="44" t="s">
        <v>1767</v>
      </c>
      <c r="G491" s="43">
        <v>1.0</v>
      </c>
      <c r="H491" s="43">
        <v>1.0</v>
      </c>
      <c r="I491" s="42"/>
      <c r="J491" s="27" t="s">
        <v>262</v>
      </c>
      <c r="K491" s="42"/>
    </row>
    <row r="492" ht="39.75" hidden="1" customHeight="1">
      <c r="A492" s="1">
        <v>491.0</v>
      </c>
      <c r="B492" s="2" t="s">
        <v>21</v>
      </c>
      <c r="C492" s="2" t="s">
        <v>13</v>
      </c>
      <c r="D492" s="13"/>
      <c r="E492" s="13"/>
      <c r="F492" s="45"/>
      <c r="G492" s="42"/>
      <c r="H492" s="42"/>
      <c r="I492" s="42"/>
      <c r="J492" s="27" t="s">
        <v>264</v>
      </c>
      <c r="K492" s="42"/>
    </row>
    <row r="493" ht="39.75" hidden="1" customHeight="1">
      <c r="A493" s="1">
        <v>492.0</v>
      </c>
      <c r="B493" s="2" t="s">
        <v>22</v>
      </c>
      <c r="C493" s="2" t="s">
        <v>13</v>
      </c>
      <c r="D493" s="13"/>
      <c r="E493" s="13"/>
      <c r="F493" s="45"/>
      <c r="G493" s="42"/>
      <c r="H493" s="42"/>
      <c r="I493" s="42"/>
      <c r="J493" s="27" t="s">
        <v>265</v>
      </c>
      <c r="K493" s="42"/>
    </row>
    <row r="494" ht="39.75" hidden="1" customHeight="1">
      <c r="A494" s="1">
        <v>493.0</v>
      </c>
      <c r="B494" s="2" t="s">
        <v>23</v>
      </c>
      <c r="C494" s="2" t="s">
        <v>13</v>
      </c>
      <c r="D494" s="13"/>
      <c r="E494" s="13"/>
      <c r="F494" s="45"/>
      <c r="G494" s="42"/>
      <c r="H494" s="42"/>
      <c r="I494" s="42"/>
      <c r="J494" s="22"/>
      <c r="K494" s="42"/>
    </row>
    <row r="495" ht="39.75" hidden="1" customHeight="1">
      <c r="A495" s="1">
        <v>494.0</v>
      </c>
      <c r="B495" s="2" t="s">
        <v>24</v>
      </c>
      <c r="C495" s="2" t="s">
        <v>13</v>
      </c>
      <c r="D495" s="13"/>
      <c r="E495" s="13"/>
      <c r="F495" s="45"/>
      <c r="G495" s="42"/>
      <c r="H495" s="42"/>
      <c r="I495" s="42"/>
      <c r="J495" s="22"/>
      <c r="K495" s="42"/>
    </row>
    <row r="496" ht="39.75" customHeight="1">
      <c r="A496" s="1">
        <v>495.0</v>
      </c>
      <c r="B496" s="2" t="s">
        <v>25</v>
      </c>
      <c r="C496" s="2" t="s">
        <v>39</v>
      </c>
      <c r="D496" s="40">
        <v>0.375</v>
      </c>
      <c r="E496" s="13"/>
      <c r="F496" s="44" t="s">
        <v>1768</v>
      </c>
      <c r="G496" s="43">
        <v>1.0</v>
      </c>
      <c r="H496" s="42"/>
      <c r="I496" s="42"/>
      <c r="J496" s="22"/>
      <c r="K496" s="42"/>
    </row>
    <row r="497" ht="39.75" hidden="1" customHeight="1">
      <c r="A497" s="1">
        <v>496.0</v>
      </c>
      <c r="B497" s="2" t="s">
        <v>26</v>
      </c>
      <c r="C497" s="2" t="s">
        <v>13</v>
      </c>
      <c r="D497" s="13"/>
      <c r="E497" s="13"/>
      <c r="F497" s="45"/>
      <c r="G497" s="42"/>
      <c r="H497" s="42"/>
      <c r="I497" s="42"/>
      <c r="J497" s="22"/>
      <c r="K497" s="42"/>
    </row>
    <row r="498" ht="39.75" hidden="1" customHeight="1">
      <c r="A498" s="1">
        <v>497.0</v>
      </c>
      <c r="B498" s="2" t="s">
        <v>29</v>
      </c>
      <c r="C498" s="2" t="s">
        <v>13</v>
      </c>
      <c r="D498" s="13"/>
      <c r="E498" s="13"/>
      <c r="F498" s="45"/>
      <c r="G498" s="42"/>
      <c r="H498" s="42"/>
      <c r="I498" s="42"/>
      <c r="J498" s="22"/>
      <c r="K498" s="42"/>
    </row>
    <row r="499" ht="39.75" hidden="1" customHeight="1">
      <c r="A499" s="1">
        <v>498.0</v>
      </c>
      <c r="B499" s="2" t="s">
        <v>30</v>
      </c>
      <c r="C499" s="2" t="s">
        <v>13</v>
      </c>
      <c r="D499" s="13"/>
      <c r="E499" s="13"/>
      <c r="F499" s="45"/>
      <c r="G499" s="42"/>
      <c r="H499" s="42"/>
      <c r="I499" s="42"/>
      <c r="J499" s="22"/>
      <c r="K499" s="42"/>
    </row>
    <row r="500" ht="39.75" hidden="1" customHeight="1">
      <c r="A500" s="1">
        <v>499.0</v>
      </c>
      <c r="B500" s="2" t="s">
        <v>31</v>
      </c>
      <c r="C500" s="2" t="s">
        <v>13</v>
      </c>
      <c r="D500" s="13"/>
      <c r="E500" s="13"/>
      <c r="F500" s="45"/>
      <c r="G500" s="42"/>
      <c r="H500" s="42"/>
      <c r="I500" s="42"/>
      <c r="J500" s="22"/>
      <c r="K500" s="42"/>
    </row>
    <row r="501" ht="39.75" customHeight="1">
      <c r="A501" s="1">
        <v>500.0</v>
      </c>
      <c r="B501" s="2" t="s">
        <v>32</v>
      </c>
      <c r="C501" s="13"/>
      <c r="D501" s="40">
        <v>0.375</v>
      </c>
      <c r="E501" s="13"/>
      <c r="F501" s="44" t="s">
        <v>1769</v>
      </c>
      <c r="G501" s="43">
        <v>1.0</v>
      </c>
      <c r="H501" s="42"/>
      <c r="I501" s="42"/>
      <c r="J501" s="22"/>
      <c r="K501" s="42"/>
    </row>
    <row r="502" ht="39.75" customHeight="1">
      <c r="A502" s="1">
        <v>501.0</v>
      </c>
      <c r="B502" s="2" t="s">
        <v>67</v>
      </c>
      <c r="C502" s="2"/>
      <c r="D502" s="40">
        <v>0.375</v>
      </c>
      <c r="E502" s="13"/>
      <c r="F502" s="44" t="s">
        <v>1770</v>
      </c>
      <c r="G502" s="43">
        <v>1.0</v>
      </c>
      <c r="H502" s="42"/>
      <c r="I502" s="42"/>
      <c r="J502" s="22"/>
      <c r="K502" s="42"/>
    </row>
    <row r="503" ht="39.75" customHeight="1">
      <c r="A503" s="1">
        <v>502.0</v>
      </c>
      <c r="B503" s="2" t="s">
        <v>34</v>
      </c>
      <c r="C503" s="2" t="s">
        <v>44</v>
      </c>
      <c r="D503" s="13"/>
      <c r="E503" s="13"/>
      <c r="F503" s="52" t="s">
        <v>1771</v>
      </c>
      <c r="G503" s="56">
        <v>1.0</v>
      </c>
      <c r="H503" s="42"/>
      <c r="I503" s="42"/>
      <c r="J503" s="22"/>
      <c r="K503" s="42"/>
    </row>
    <row r="504" ht="39.75" customHeight="1">
      <c r="A504" s="1">
        <v>503.0</v>
      </c>
      <c r="B504" s="2" t="s">
        <v>35</v>
      </c>
      <c r="C504" s="2" t="s">
        <v>49</v>
      </c>
      <c r="D504" s="13"/>
      <c r="E504" s="40">
        <v>0.4583333333333333</v>
      </c>
      <c r="F504" s="44" t="s">
        <v>1772</v>
      </c>
      <c r="G504" s="43">
        <v>1.0</v>
      </c>
      <c r="H504" s="42"/>
      <c r="I504" s="42"/>
      <c r="J504" s="22"/>
      <c r="K504" s="42"/>
    </row>
    <row r="505" ht="39.75" customHeight="1">
      <c r="A505" s="1">
        <v>504.0</v>
      </c>
      <c r="B505" s="2" t="s">
        <v>36</v>
      </c>
      <c r="C505" s="2" t="s">
        <v>27</v>
      </c>
      <c r="D505" s="13"/>
      <c r="E505" s="13"/>
      <c r="F505" s="44" t="s">
        <v>1773</v>
      </c>
      <c r="G505" s="43">
        <v>1.0</v>
      </c>
      <c r="H505" s="42"/>
      <c r="I505" s="42"/>
      <c r="J505" s="22"/>
      <c r="K505" s="42"/>
    </row>
    <row r="506" ht="39.75" hidden="1" customHeight="1">
      <c r="A506" s="1">
        <v>505.0</v>
      </c>
      <c r="B506" s="2" t="s">
        <v>38</v>
      </c>
      <c r="C506" s="2" t="s">
        <v>13</v>
      </c>
      <c r="D506" s="13"/>
      <c r="E506" s="13"/>
      <c r="F506" s="45"/>
      <c r="G506" s="42"/>
      <c r="H506" s="42"/>
      <c r="I506" s="42"/>
      <c r="J506" s="22"/>
      <c r="K506" s="42"/>
    </row>
    <row r="507" ht="39.75" hidden="1" customHeight="1">
      <c r="A507" s="1">
        <v>506.0</v>
      </c>
      <c r="B507" s="2" t="s">
        <v>41</v>
      </c>
      <c r="C507" s="2" t="s">
        <v>13</v>
      </c>
      <c r="D507" s="13"/>
      <c r="E507" s="13"/>
      <c r="F507" s="45"/>
      <c r="G507" s="42"/>
      <c r="H507" s="42"/>
      <c r="I507" s="42"/>
      <c r="J507" s="22"/>
      <c r="K507" s="42"/>
    </row>
    <row r="508" ht="39.75" hidden="1" customHeight="1">
      <c r="A508" s="1">
        <v>507.0</v>
      </c>
      <c r="B508" s="2" t="s">
        <v>42</v>
      </c>
      <c r="C508" s="2" t="s">
        <v>13</v>
      </c>
      <c r="D508" s="13"/>
      <c r="E508" s="13"/>
      <c r="F508" s="45"/>
      <c r="G508" s="42"/>
      <c r="H508" s="42"/>
      <c r="I508" s="42"/>
      <c r="J508" s="22"/>
      <c r="K508" s="42"/>
    </row>
    <row r="509" ht="39.75" customHeight="1">
      <c r="A509" s="1">
        <v>508.0</v>
      </c>
      <c r="B509" s="2" t="s">
        <v>267</v>
      </c>
      <c r="C509" s="2" t="s">
        <v>272</v>
      </c>
      <c r="D509" s="13"/>
      <c r="E509" s="13"/>
      <c r="F509" s="44" t="s">
        <v>1528</v>
      </c>
      <c r="G509" s="43">
        <v>1.0</v>
      </c>
      <c r="H509" s="42"/>
      <c r="I509" s="43">
        <v>1.0</v>
      </c>
      <c r="J509" s="22"/>
      <c r="K509" s="42"/>
    </row>
    <row r="510" ht="39.75" hidden="1" customHeight="1">
      <c r="A510" s="1">
        <v>509.0</v>
      </c>
      <c r="B510" s="2" t="s">
        <v>45</v>
      </c>
      <c r="C510" s="2" t="s">
        <v>13</v>
      </c>
      <c r="D510" s="13"/>
      <c r="E510" s="13"/>
      <c r="F510" s="45"/>
      <c r="G510" s="42"/>
      <c r="H510" s="42"/>
      <c r="I510" s="42"/>
      <c r="J510" s="22"/>
      <c r="K510" s="42"/>
    </row>
    <row r="511" ht="39.75" hidden="1" customHeight="1">
      <c r="A511" s="1">
        <v>510.0</v>
      </c>
      <c r="B511" s="2" t="s">
        <v>46</v>
      </c>
      <c r="C511" s="2" t="s">
        <v>13</v>
      </c>
      <c r="D511" s="13"/>
      <c r="E511" s="13"/>
      <c r="F511" s="45"/>
      <c r="G511" s="42"/>
      <c r="H511" s="42"/>
      <c r="I511" s="42"/>
      <c r="J511" s="22"/>
      <c r="K511" s="42"/>
    </row>
    <row r="512" ht="39.75" hidden="1" customHeight="1">
      <c r="A512" s="1">
        <v>511.0</v>
      </c>
      <c r="B512" s="2" t="s">
        <v>47</v>
      </c>
      <c r="C512" s="2" t="s">
        <v>13</v>
      </c>
      <c r="D512" s="13"/>
      <c r="E512" s="13"/>
      <c r="F512" s="45"/>
      <c r="G512" s="42"/>
      <c r="H512" s="42"/>
      <c r="I512" s="42"/>
      <c r="J512" s="22"/>
      <c r="K512" s="42"/>
    </row>
    <row r="513" ht="39.75" hidden="1" customHeight="1">
      <c r="A513" s="1">
        <v>512.0</v>
      </c>
      <c r="B513" s="2" t="s">
        <v>48</v>
      </c>
      <c r="C513" s="2" t="s">
        <v>13</v>
      </c>
      <c r="D513" s="13"/>
      <c r="E513" s="13"/>
      <c r="F513" s="45"/>
      <c r="G513" s="42"/>
      <c r="H513" s="42"/>
      <c r="I513" s="42"/>
      <c r="J513" s="22"/>
      <c r="K513" s="42"/>
    </row>
    <row r="514" ht="39.75" customHeight="1">
      <c r="A514" s="1">
        <v>513.0</v>
      </c>
      <c r="B514" s="21"/>
      <c r="C514" s="21"/>
      <c r="D514" s="21"/>
      <c r="E514" s="21"/>
      <c r="F514" s="46"/>
      <c r="G514" s="47"/>
      <c r="H514" s="47"/>
      <c r="I514" s="47"/>
      <c r="J514" s="48"/>
      <c r="K514" s="47"/>
      <c r="L514" s="49"/>
      <c r="M514" s="49"/>
      <c r="N514" s="49"/>
    </row>
    <row r="515" ht="39.75" customHeight="1">
      <c r="A515" s="1">
        <v>514.0</v>
      </c>
      <c r="B515" s="2" t="s">
        <v>268</v>
      </c>
      <c r="C515" s="2" t="s">
        <v>63</v>
      </c>
      <c r="D515" s="13"/>
      <c r="E515" s="13"/>
      <c r="F515" s="45"/>
      <c r="G515" s="42"/>
      <c r="H515" s="42"/>
      <c r="I515" s="42"/>
      <c r="J515" s="27" t="s">
        <v>1544</v>
      </c>
      <c r="K515" s="42"/>
      <c r="L515" s="15" t="s">
        <v>347</v>
      </c>
    </row>
    <row r="516" ht="39.75" customHeight="1">
      <c r="A516" s="1">
        <v>515.0</v>
      </c>
      <c r="B516" s="2" t="s">
        <v>16</v>
      </c>
      <c r="C516" s="2" t="s">
        <v>39</v>
      </c>
      <c r="D516" s="13"/>
      <c r="E516" s="13"/>
      <c r="F516" s="44" t="s">
        <v>535</v>
      </c>
      <c r="G516" s="43">
        <v>1.0</v>
      </c>
      <c r="H516" s="42"/>
      <c r="I516" s="43">
        <v>1.0</v>
      </c>
      <c r="J516" s="27" t="s">
        <v>347</v>
      </c>
      <c r="K516" s="43"/>
    </row>
    <row r="517" ht="39.75" customHeight="1">
      <c r="A517" s="1">
        <v>516.0</v>
      </c>
      <c r="B517" s="2" t="s">
        <v>263</v>
      </c>
      <c r="C517" s="2" t="s">
        <v>272</v>
      </c>
      <c r="D517" s="13"/>
      <c r="E517" s="13"/>
      <c r="F517" s="44" t="s">
        <v>1186</v>
      </c>
      <c r="G517" s="43">
        <v>1.0</v>
      </c>
      <c r="H517" s="42"/>
      <c r="I517" s="43">
        <v>1.0</v>
      </c>
      <c r="J517" s="27" t="s">
        <v>19</v>
      </c>
      <c r="K517" s="42"/>
    </row>
    <row r="518" ht="39.75" customHeight="1">
      <c r="A518" s="1">
        <v>517.0</v>
      </c>
      <c r="B518" s="2" t="s">
        <v>266</v>
      </c>
      <c r="C518" s="2" t="s">
        <v>272</v>
      </c>
      <c r="D518" s="13"/>
      <c r="E518" s="13"/>
      <c r="F518" s="44" t="s">
        <v>1774</v>
      </c>
      <c r="G518" s="43">
        <v>1.0</v>
      </c>
      <c r="H518" s="43">
        <v>1.0</v>
      </c>
      <c r="I518" s="42"/>
      <c r="J518" s="27" t="s">
        <v>410</v>
      </c>
      <c r="K518" s="42"/>
    </row>
    <row r="519" ht="39.75" hidden="1" customHeight="1">
      <c r="A519" s="1">
        <v>518.0</v>
      </c>
      <c r="B519" s="2" t="s">
        <v>21</v>
      </c>
      <c r="C519" s="2" t="s">
        <v>13</v>
      </c>
      <c r="D519" s="13"/>
      <c r="E519" s="13"/>
      <c r="F519" s="45"/>
      <c r="G519" s="42"/>
      <c r="H519" s="42"/>
      <c r="I519" s="42"/>
      <c r="J519" s="27" t="s">
        <v>412</v>
      </c>
      <c r="K519" s="42"/>
    </row>
    <row r="520" ht="39.75" hidden="1" customHeight="1">
      <c r="A520" s="1">
        <v>519.0</v>
      </c>
      <c r="B520" s="2" t="s">
        <v>22</v>
      </c>
      <c r="C520" s="2" t="s">
        <v>13</v>
      </c>
      <c r="D520" s="13"/>
      <c r="E520" s="13"/>
      <c r="F520" s="45"/>
      <c r="G520" s="42"/>
      <c r="H520" s="42"/>
      <c r="I520" s="42"/>
      <c r="J520" s="27" t="s">
        <v>413</v>
      </c>
      <c r="K520" s="42"/>
    </row>
    <row r="521" ht="39.75" customHeight="1">
      <c r="A521" s="1">
        <v>520.0</v>
      </c>
      <c r="B521" s="2" t="s">
        <v>23</v>
      </c>
      <c r="C521" s="2" t="s">
        <v>49</v>
      </c>
      <c r="D521" s="13"/>
      <c r="E521" s="13"/>
      <c r="F521" s="45"/>
      <c r="G521" s="42"/>
      <c r="H521" s="42"/>
      <c r="I521" s="42"/>
      <c r="J521" s="22"/>
      <c r="K521" s="42"/>
    </row>
    <row r="522" ht="39.75" hidden="1" customHeight="1">
      <c r="A522" s="1">
        <v>521.0</v>
      </c>
      <c r="B522" s="2" t="s">
        <v>24</v>
      </c>
      <c r="C522" s="2" t="s">
        <v>13</v>
      </c>
      <c r="D522" s="13"/>
      <c r="E522" s="13"/>
      <c r="F522" s="45"/>
      <c r="G522" s="42"/>
      <c r="H522" s="42"/>
      <c r="I522" s="42"/>
      <c r="J522" s="22"/>
      <c r="K522" s="42"/>
    </row>
    <row r="523" ht="39.75" hidden="1" customHeight="1">
      <c r="A523" s="1">
        <v>522.0</v>
      </c>
      <c r="B523" s="2" t="s">
        <v>25</v>
      </c>
      <c r="C523" s="2" t="s">
        <v>13</v>
      </c>
      <c r="D523" s="13"/>
      <c r="E523" s="13"/>
      <c r="F523" s="45"/>
      <c r="G523" s="42"/>
      <c r="H523" s="42"/>
      <c r="I523" s="42"/>
      <c r="J523" s="22"/>
      <c r="K523" s="42"/>
    </row>
    <row r="524" ht="39.75" customHeight="1">
      <c r="A524" s="1">
        <v>523.0</v>
      </c>
      <c r="B524" s="2" t="s">
        <v>26</v>
      </c>
      <c r="C524" s="2"/>
      <c r="D524" s="40">
        <v>0.375</v>
      </c>
      <c r="E524" s="13"/>
      <c r="F524" s="44" t="s">
        <v>1775</v>
      </c>
      <c r="G524" s="43">
        <v>1.0</v>
      </c>
      <c r="H524" s="42"/>
      <c r="I524" s="42"/>
      <c r="J524" s="22"/>
      <c r="K524" s="42"/>
    </row>
    <row r="525" ht="39.75" hidden="1" customHeight="1">
      <c r="A525" s="1">
        <v>524.0</v>
      </c>
      <c r="B525" s="2" t="s">
        <v>29</v>
      </c>
      <c r="C525" s="2" t="s">
        <v>13</v>
      </c>
      <c r="D525" s="13"/>
      <c r="E525" s="13"/>
      <c r="F525" s="45"/>
      <c r="G525" s="42"/>
      <c r="H525" s="42"/>
      <c r="I525" s="42"/>
      <c r="J525" s="22"/>
      <c r="K525" s="42"/>
    </row>
    <row r="526" ht="39.75" hidden="1" customHeight="1">
      <c r="A526" s="1">
        <v>525.0</v>
      </c>
      <c r="B526" s="2" t="s">
        <v>30</v>
      </c>
      <c r="C526" s="2" t="s">
        <v>13</v>
      </c>
      <c r="D526" s="13"/>
      <c r="E526" s="13"/>
      <c r="F526" s="45"/>
      <c r="G526" s="42"/>
      <c r="H526" s="42"/>
      <c r="I526" s="42"/>
      <c r="J526" s="22"/>
      <c r="K526" s="42"/>
    </row>
    <row r="527" ht="39.75" customHeight="1">
      <c r="A527" s="1">
        <v>526.0</v>
      </c>
      <c r="B527" s="2" t="s">
        <v>31</v>
      </c>
      <c r="C527" s="2" t="s">
        <v>27</v>
      </c>
      <c r="D527" s="13"/>
      <c r="E527" s="13"/>
      <c r="F527" s="45"/>
      <c r="G527" s="42"/>
      <c r="H527" s="42"/>
      <c r="I527" s="42"/>
      <c r="J527" s="22"/>
      <c r="K527" s="42"/>
    </row>
    <row r="528" ht="39.75" hidden="1" customHeight="1">
      <c r="A528" s="1">
        <v>527.0</v>
      </c>
      <c r="B528" s="2" t="s">
        <v>32</v>
      </c>
      <c r="C528" s="2" t="s">
        <v>13</v>
      </c>
      <c r="D528" s="13"/>
      <c r="E528" s="13"/>
      <c r="F528" s="45"/>
      <c r="G528" s="42"/>
      <c r="H528" s="42"/>
      <c r="I528" s="42"/>
      <c r="J528" s="22"/>
      <c r="K528" s="42"/>
    </row>
    <row r="529" ht="39.75" hidden="1" customHeight="1">
      <c r="A529" s="1">
        <v>528.0</v>
      </c>
      <c r="B529" s="2" t="s">
        <v>67</v>
      </c>
      <c r="C529" s="2" t="s">
        <v>13</v>
      </c>
      <c r="D529" s="13"/>
      <c r="E529" s="13"/>
      <c r="F529" s="45"/>
      <c r="G529" s="42"/>
      <c r="H529" s="42"/>
      <c r="I529" s="42"/>
      <c r="J529" s="22"/>
      <c r="K529" s="42"/>
    </row>
    <row r="530" ht="39.75" hidden="1" customHeight="1">
      <c r="A530" s="1">
        <v>529.0</v>
      </c>
      <c r="B530" s="2" t="s">
        <v>34</v>
      </c>
      <c r="C530" s="2" t="s">
        <v>13</v>
      </c>
      <c r="D530" s="13"/>
      <c r="E530" s="13"/>
      <c r="F530" s="45"/>
      <c r="G530" s="42"/>
      <c r="H530" s="42"/>
      <c r="I530" s="42"/>
      <c r="J530" s="22"/>
      <c r="K530" s="42"/>
    </row>
    <row r="531" ht="39.75" hidden="1" customHeight="1">
      <c r="A531" s="1">
        <v>530.0</v>
      </c>
      <c r="B531" s="2" t="s">
        <v>35</v>
      </c>
      <c r="C531" s="2" t="s">
        <v>13</v>
      </c>
      <c r="D531" s="13"/>
      <c r="E531" s="13"/>
      <c r="F531" s="45"/>
      <c r="G531" s="42"/>
      <c r="H531" s="42"/>
      <c r="I531" s="42"/>
      <c r="J531" s="22"/>
      <c r="K531" s="42"/>
    </row>
    <row r="532" ht="39.75" customHeight="1">
      <c r="A532" s="1">
        <v>531.0</v>
      </c>
      <c r="B532" s="2" t="s">
        <v>36</v>
      </c>
      <c r="C532" s="2" t="s">
        <v>44</v>
      </c>
      <c r="D532" s="13"/>
      <c r="E532" s="13"/>
      <c r="F532" s="45"/>
      <c r="G532" s="42"/>
      <c r="H532" s="42"/>
      <c r="I532" s="42"/>
      <c r="J532" s="22"/>
      <c r="K532" s="42"/>
    </row>
    <row r="533" ht="39.75" hidden="1" customHeight="1">
      <c r="A533" s="1">
        <v>532.0</v>
      </c>
      <c r="B533" s="2" t="s">
        <v>38</v>
      </c>
      <c r="C533" s="2" t="s">
        <v>13</v>
      </c>
      <c r="D533" s="13"/>
      <c r="E533" s="13"/>
      <c r="F533" s="45"/>
      <c r="G533" s="42"/>
      <c r="H533" s="42"/>
      <c r="I533" s="42"/>
      <c r="J533" s="22"/>
      <c r="K533" s="42"/>
    </row>
    <row r="534" ht="39.75" hidden="1" customHeight="1">
      <c r="A534" s="1">
        <v>533.0</v>
      </c>
      <c r="B534" s="2" t="s">
        <v>41</v>
      </c>
      <c r="C534" s="2" t="s">
        <v>13</v>
      </c>
      <c r="D534" s="13"/>
      <c r="E534" s="13"/>
      <c r="F534" s="45"/>
      <c r="G534" s="42"/>
      <c r="H534" s="42"/>
      <c r="I534" s="42"/>
      <c r="J534" s="22"/>
      <c r="K534" s="42"/>
    </row>
    <row r="535" ht="39.75" hidden="1" customHeight="1">
      <c r="A535" s="1">
        <v>534.0</v>
      </c>
      <c r="B535" s="2" t="s">
        <v>42</v>
      </c>
      <c r="C535" s="2" t="s">
        <v>13</v>
      </c>
      <c r="D535" s="13"/>
      <c r="E535" s="13"/>
      <c r="F535" s="45"/>
      <c r="G535" s="42"/>
      <c r="H535" s="42"/>
      <c r="I535" s="42"/>
      <c r="J535" s="22"/>
      <c r="K535" s="42"/>
    </row>
    <row r="536" ht="39.75" hidden="1" customHeight="1">
      <c r="A536" s="1">
        <v>535.0</v>
      </c>
      <c r="B536" s="2" t="s">
        <v>43</v>
      </c>
      <c r="C536" s="2" t="s">
        <v>13</v>
      </c>
      <c r="D536" s="13"/>
      <c r="E536" s="13"/>
      <c r="F536" s="45"/>
      <c r="G536" s="42"/>
      <c r="H536" s="42"/>
      <c r="I536" s="42"/>
      <c r="J536" s="22"/>
      <c r="K536" s="42"/>
    </row>
    <row r="537" ht="39.75" customHeight="1">
      <c r="A537" s="1">
        <v>536.0</v>
      </c>
      <c r="B537" s="2" t="s">
        <v>45</v>
      </c>
      <c r="C537" s="2"/>
      <c r="D537" s="40">
        <v>0.375</v>
      </c>
      <c r="E537" s="13"/>
      <c r="F537" s="44" t="s">
        <v>1776</v>
      </c>
      <c r="G537" s="43">
        <v>1.0</v>
      </c>
      <c r="H537" s="42"/>
      <c r="I537" s="42"/>
      <c r="J537" s="22"/>
      <c r="K537" s="42"/>
    </row>
    <row r="538" ht="39.75" hidden="1" customHeight="1">
      <c r="A538" s="1">
        <v>537.0</v>
      </c>
      <c r="B538" s="2" t="s">
        <v>46</v>
      </c>
      <c r="C538" s="2" t="s">
        <v>13</v>
      </c>
      <c r="D538" s="13"/>
      <c r="E538" s="13"/>
      <c r="F538" s="45"/>
      <c r="G538" s="42"/>
      <c r="H538" s="42"/>
      <c r="I538" s="42"/>
      <c r="J538" s="22"/>
      <c r="K538" s="42"/>
    </row>
    <row r="539" ht="39.75" hidden="1" customHeight="1">
      <c r="A539" s="1">
        <v>538.0</v>
      </c>
      <c r="B539" s="2" t="s">
        <v>47</v>
      </c>
      <c r="C539" s="2" t="s">
        <v>13</v>
      </c>
      <c r="D539" s="13"/>
      <c r="E539" s="13"/>
      <c r="F539" s="45"/>
      <c r="G539" s="42"/>
      <c r="H539" s="42"/>
      <c r="I539" s="42"/>
      <c r="J539" s="22"/>
      <c r="K539" s="42"/>
    </row>
    <row r="540" ht="39.75" hidden="1" customHeight="1">
      <c r="A540" s="1">
        <v>539.0</v>
      </c>
      <c r="B540" s="2" t="s">
        <v>48</v>
      </c>
      <c r="C540" s="2" t="s">
        <v>13</v>
      </c>
      <c r="D540" s="13"/>
      <c r="E540" s="13"/>
      <c r="F540" s="45"/>
      <c r="G540" s="42"/>
      <c r="H540" s="42"/>
      <c r="I540" s="42"/>
      <c r="J540" s="22"/>
      <c r="K540" s="42"/>
    </row>
    <row r="541" ht="39.75" customHeight="1">
      <c r="A541" s="1">
        <v>540.0</v>
      </c>
      <c r="B541" s="21"/>
      <c r="C541" s="21"/>
      <c r="D541" s="21"/>
      <c r="E541" s="21"/>
      <c r="F541" s="46"/>
      <c r="G541" s="47"/>
      <c r="H541" s="47"/>
      <c r="I541" s="47"/>
      <c r="J541" s="48"/>
      <c r="K541" s="47"/>
      <c r="L541" s="49"/>
      <c r="M541" s="49"/>
      <c r="N541" s="49"/>
    </row>
    <row r="542" ht="39.75" customHeight="1">
      <c r="A542" s="1">
        <v>541.0</v>
      </c>
      <c r="B542" s="2" t="s">
        <v>12</v>
      </c>
      <c r="C542" s="2" t="s">
        <v>62</v>
      </c>
      <c r="D542" s="13"/>
      <c r="E542" s="13"/>
      <c r="F542" s="44" t="s">
        <v>1777</v>
      </c>
      <c r="G542" s="43">
        <v>1.0</v>
      </c>
      <c r="H542" s="42"/>
      <c r="I542" s="43">
        <v>1.0</v>
      </c>
      <c r="J542" s="27" t="s">
        <v>1544</v>
      </c>
      <c r="K542" s="42"/>
      <c r="L542" s="15" t="s">
        <v>362</v>
      </c>
    </row>
    <row r="543" ht="39.75" hidden="1" customHeight="1">
      <c r="A543" s="1">
        <v>542.0</v>
      </c>
      <c r="B543" s="2" t="s">
        <v>16</v>
      </c>
      <c r="C543" s="2" t="s">
        <v>58</v>
      </c>
      <c r="D543" s="13"/>
      <c r="E543" s="13"/>
      <c r="F543" s="45"/>
      <c r="G543" s="42"/>
      <c r="H543" s="42"/>
      <c r="I543" s="42"/>
      <c r="J543" s="27" t="s">
        <v>362</v>
      </c>
      <c r="K543" s="43"/>
    </row>
    <row r="544" ht="39.75" hidden="1" customHeight="1">
      <c r="A544" s="1">
        <v>543.0</v>
      </c>
      <c r="B544" s="2" t="s">
        <v>17</v>
      </c>
      <c r="C544" s="2" t="s">
        <v>58</v>
      </c>
      <c r="D544" s="13"/>
      <c r="E544" s="13"/>
      <c r="F544" s="45"/>
      <c r="G544" s="42"/>
      <c r="H544" s="42"/>
      <c r="I544" s="42"/>
      <c r="J544" s="27" t="s">
        <v>56</v>
      </c>
      <c r="K544" s="42"/>
    </row>
    <row r="545" ht="39.75" customHeight="1">
      <c r="A545" s="1">
        <v>544.0</v>
      </c>
      <c r="B545" s="2" t="s">
        <v>331</v>
      </c>
      <c r="C545" s="2" t="s">
        <v>542</v>
      </c>
      <c r="D545" s="13"/>
      <c r="E545" s="13"/>
      <c r="F545" s="44"/>
      <c r="G545" s="42"/>
      <c r="H545" s="42"/>
      <c r="I545" s="42"/>
      <c r="J545" s="22"/>
      <c r="K545" s="42"/>
    </row>
    <row r="546" ht="39.75" customHeight="1">
      <c r="A546" s="1">
        <v>545.0</v>
      </c>
      <c r="B546" s="2" t="s">
        <v>21</v>
      </c>
      <c r="C546" s="2"/>
      <c r="D546" s="13"/>
      <c r="E546" s="13"/>
      <c r="F546" s="61" t="s">
        <v>1778</v>
      </c>
      <c r="G546" s="43">
        <v>1.0</v>
      </c>
      <c r="H546" s="42"/>
      <c r="I546" s="42"/>
      <c r="J546" s="22"/>
      <c r="K546" s="42"/>
    </row>
    <row r="547" ht="39.75" customHeight="1">
      <c r="A547" s="1">
        <v>546.0</v>
      </c>
      <c r="B547" s="2" t="s">
        <v>22</v>
      </c>
      <c r="C547" s="2"/>
      <c r="D547" s="13"/>
      <c r="E547" s="13"/>
      <c r="F547" s="44" t="s">
        <v>1779</v>
      </c>
      <c r="G547" s="43">
        <v>1.0</v>
      </c>
      <c r="H547" s="42"/>
      <c r="I547" s="42"/>
      <c r="J547" s="22"/>
      <c r="K547" s="42"/>
    </row>
    <row r="548" ht="39.75" customHeight="1">
      <c r="A548" s="1">
        <v>547.0</v>
      </c>
      <c r="B548" s="2" t="s">
        <v>23</v>
      </c>
      <c r="C548" s="2" t="s">
        <v>54</v>
      </c>
      <c r="D548" s="13"/>
      <c r="E548" s="13"/>
      <c r="F548" s="44" t="s">
        <v>1780</v>
      </c>
      <c r="G548" s="43">
        <v>1.0</v>
      </c>
      <c r="H548" s="42"/>
      <c r="I548" s="42"/>
      <c r="J548" s="22"/>
      <c r="K548" s="42"/>
    </row>
    <row r="549" ht="39.75" customHeight="1">
      <c r="A549" s="1">
        <v>548.0</v>
      </c>
      <c r="B549" s="2" t="s">
        <v>24</v>
      </c>
      <c r="C549" s="2"/>
      <c r="D549" s="13"/>
      <c r="E549" s="13"/>
      <c r="F549" s="44" t="s">
        <v>1781</v>
      </c>
      <c r="G549" s="43">
        <v>1.0</v>
      </c>
      <c r="H549" s="42"/>
      <c r="I549" s="42"/>
      <c r="J549" s="22"/>
      <c r="K549" s="42"/>
    </row>
    <row r="550" ht="39.75" customHeight="1">
      <c r="A550" s="1">
        <v>549.0</v>
      </c>
      <c r="B550" s="2" t="s">
        <v>25</v>
      </c>
      <c r="C550" s="2" t="s">
        <v>69</v>
      </c>
      <c r="D550" s="13"/>
      <c r="E550" s="40">
        <v>0.8402777777777778</v>
      </c>
      <c r="F550" s="44" t="s">
        <v>1782</v>
      </c>
      <c r="G550" s="43">
        <v>2.0</v>
      </c>
      <c r="H550" s="42"/>
      <c r="I550" s="43">
        <v>1.0</v>
      </c>
      <c r="J550" s="22"/>
      <c r="K550" s="42"/>
    </row>
    <row r="551" ht="39.75" customHeight="1">
      <c r="A551" s="1">
        <v>550.0</v>
      </c>
      <c r="B551" s="2" t="s">
        <v>26</v>
      </c>
      <c r="C551" s="2" t="s">
        <v>39</v>
      </c>
      <c r="D551" s="13"/>
      <c r="E551" s="13"/>
      <c r="F551" s="44" t="s">
        <v>1783</v>
      </c>
      <c r="G551" s="43">
        <v>1.0</v>
      </c>
      <c r="H551" s="42"/>
      <c r="I551" s="42"/>
      <c r="J551" s="22"/>
      <c r="K551" s="42"/>
    </row>
    <row r="552" ht="39.75" customHeight="1">
      <c r="A552" s="1">
        <v>551.0</v>
      </c>
      <c r="B552" s="2" t="s">
        <v>29</v>
      </c>
      <c r="C552" s="2" t="s">
        <v>69</v>
      </c>
      <c r="D552" s="13"/>
      <c r="E552" s="13"/>
      <c r="F552" s="61" t="s">
        <v>1784</v>
      </c>
      <c r="G552" s="43">
        <v>1.0</v>
      </c>
      <c r="H552" s="42"/>
      <c r="I552" s="42"/>
      <c r="J552" s="22"/>
      <c r="K552" s="42"/>
    </row>
    <row r="553" ht="39.75" customHeight="1">
      <c r="A553" s="1">
        <v>552.0</v>
      </c>
      <c r="B553" s="2" t="s">
        <v>30</v>
      </c>
      <c r="C553" s="2" t="s">
        <v>64</v>
      </c>
      <c r="D553" s="13"/>
      <c r="E553" s="13"/>
      <c r="F553" s="44" t="s">
        <v>1785</v>
      </c>
      <c r="G553" s="43">
        <v>1.0</v>
      </c>
      <c r="H553" s="42"/>
      <c r="I553" s="43">
        <v>1.0</v>
      </c>
      <c r="J553" s="22"/>
      <c r="K553" s="42"/>
    </row>
    <row r="554" ht="39.75" customHeight="1">
      <c r="A554" s="1">
        <v>553.0</v>
      </c>
      <c r="B554" s="2" t="s">
        <v>31</v>
      </c>
      <c r="C554" s="2" t="s">
        <v>44</v>
      </c>
      <c r="D554" s="13"/>
      <c r="E554" s="13"/>
      <c r="F554" s="44"/>
      <c r="G554" s="42"/>
      <c r="H554" s="42"/>
      <c r="I554" s="42"/>
      <c r="J554" s="22"/>
      <c r="K554" s="42"/>
    </row>
    <row r="555" ht="39.75" customHeight="1">
      <c r="A555" s="1">
        <v>554.0</v>
      </c>
      <c r="B555" s="2" t="s">
        <v>32</v>
      </c>
      <c r="C555" s="2" t="s">
        <v>39</v>
      </c>
      <c r="D555" s="40">
        <v>0.2916666666666667</v>
      </c>
      <c r="E555" s="13"/>
      <c r="F555" s="44" t="s">
        <v>1786</v>
      </c>
      <c r="G555" s="43">
        <v>1.0</v>
      </c>
      <c r="H555" s="42"/>
      <c r="I555" s="43">
        <v>1.0</v>
      </c>
      <c r="J555" s="22"/>
      <c r="K555" s="42"/>
    </row>
    <row r="556" ht="39.75" customHeight="1">
      <c r="A556" s="1">
        <v>555.0</v>
      </c>
      <c r="B556" s="2" t="s">
        <v>67</v>
      </c>
      <c r="C556" s="2"/>
      <c r="D556" s="13"/>
      <c r="E556" s="13"/>
      <c r="F556" s="44" t="s">
        <v>1787</v>
      </c>
      <c r="G556" s="43">
        <v>1.0</v>
      </c>
      <c r="H556" s="42"/>
      <c r="I556" s="42"/>
      <c r="J556" s="22"/>
      <c r="K556" s="42"/>
    </row>
    <row r="557" ht="39.75" customHeight="1">
      <c r="A557" s="1">
        <v>556.0</v>
      </c>
      <c r="B557" s="2" t="s">
        <v>34</v>
      </c>
      <c r="C557" s="2" t="s">
        <v>54</v>
      </c>
      <c r="D557" s="13"/>
      <c r="E557" s="13"/>
      <c r="F557" s="44" t="s">
        <v>1788</v>
      </c>
      <c r="G557" s="43">
        <v>1.0</v>
      </c>
      <c r="H557" s="42"/>
      <c r="I557" s="42"/>
      <c r="J557" s="22"/>
      <c r="K557" s="42"/>
    </row>
    <row r="558" ht="39.75" customHeight="1">
      <c r="A558" s="1">
        <v>557.0</v>
      </c>
      <c r="B558" s="2" t="s">
        <v>35</v>
      </c>
      <c r="C558" s="2" t="s">
        <v>69</v>
      </c>
      <c r="D558" s="13"/>
      <c r="E558" s="13"/>
      <c r="F558" s="44" t="s">
        <v>1789</v>
      </c>
      <c r="G558" s="43">
        <v>1.0</v>
      </c>
      <c r="H558" s="42"/>
      <c r="I558" s="42"/>
      <c r="J558" s="22"/>
      <c r="K558" s="42"/>
    </row>
    <row r="559" ht="39.75" hidden="1" customHeight="1">
      <c r="A559" s="1">
        <v>558.0</v>
      </c>
      <c r="B559" s="2" t="s">
        <v>36</v>
      </c>
      <c r="C559" s="2" t="s">
        <v>58</v>
      </c>
      <c r="D559" s="13"/>
      <c r="E559" s="13"/>
      <c r="F559" s="45"/>
      <c r="G559" s="42"/>
      <c r="H559" s="42"/>
      <c r="I559" s="42"/>
      <c r="J559" s="22"/>
      <c r="K559" s="42"/>
    </row>
    <row r="560" ht="39.75" customHeight="1">
      <c r="A560" s="1">
        <v>559.0</v>
      </c>
      <c r="B560" s="2" t="s">
        <v>38</v>
      </c>
      <c r="C560" s="2" t="s">
        <v>54</v>
      </c>
      <c r="D560" s="13"/>
      <c r="E560" s="13"/>
      <c r="F560" s="44" t="s">
        <v>1790</v>
      </c>
      <c r="G560" s="43">
        <v>1.0</v>
      </c>
      <c r="H560" s="42"/>
      <c r="I560" s="43">
        <v>1.0</v>
      </c>
      <c r="J560" s="22"/>
      <c r="K560" s="42"/>
    </row>
    <row r="561" ht="39.75" hidden="1" customHeight="1">
      <c r="A561" s="1">
        <v>560.0</v>
      </c>
      <c r="B561" s="2" t="s">
        <v>41</v>
      </c>
      <c r="C561" s="2" t="s">
        <v>58</v>
      </c>
      <c r="D561" s="13"/>
      <c r="E561" s="13"/>
      <c r="F561" s="45"/>
      <c r="G561" s="42"/>
      <c r="H561" s="42"/>
      <c r="I561" s="42"/>
      <c r="J561" s="22"/>
      <c r="K561" s="42"/>
    </row>
    <row r="562" ht="39.75" customHeight="1">
      <c r="A562" s="1">
        <v>561.0</v>
      </c>
      <c r="B562" s="2" t="s">
        <v>42</v>
      </c>
      <c r="C562" s="2" t="s">
        <v>27</v>
      </c>
      <c r="D562" s="13"/>
      <c r="E562" s="13"/>
      <c r="F562" s="44" t="s">
        <v>1791</v>
      </c>
      <c r="G562" s="43">
        <v>1.0</v>
      </c>
      <c r="H562" s="42"/>
      <c r="I562" s="42"/>
      <c r="J562" s="22"/>
      <c r="K562" s="42"/>
    </row>
    <row r="563" ht="39.75" customHeight="1">
      <c r="A563" s="1">
        <v>562.0</v>
      </c>
      <c r="B563" s="2" t="s">
        <v>43</v>
      </c>
      <c r="C563" s="2"/>
      <c r="D563" s="13"/>
      <c r="E563" s="13"/>
      <c r="F563" s="44" t="s">
        <v>1783</v>
      </c>
      <c r="G563" s="43">
        <v>1.0</v>
      </c>
      <c r="H563" s="42"/>
      <c r="I563" s="42"/>
      <c r="J563" s="22"/>
      <c r="K563" s="42"/>
    </row>
    <row r="564" ht="39.75" customHeight="1">
      <c r="A564" s="1">
        <v>563.0</v>
      </c>
      <c r="B564" s="2" t="s">
        <v>45</v>
      </c>
      <c r="C564" s="2"/>
      <c r="D564" s="13"/>
      <c r="E564" s="13"/>
      <c r="F564" s="44" t="s">
        <v>1792</v>
      </c>
      <c r="G564" s="43">
        <v>1.0</v>
      </c>
      <c r="H564" s="42"/>
      <c r="I564" s="42"/>
      <c r="J564" s="22"/>
      <c r="K564" s="42"/>
    </row>
    <row r="565" ht="39.75" hidden="1" customHeight="1">
      <c r="A565" s="1">
        <v>564.0</v>
      </c>
      <c r="B565" s="2" t="s">
        <v>46</v>
      </c>
      <c r="C565" s="2" t="s">
        <v>58</v>
      </c>
      <c r="D565" s="13"/>
      <c r="E565" s="13"/>
      <c r="F565" s="45"/>
      <c r="G565" s="42"/>
      <c r="H565" s="42"/>
      <c r="I565" s="42"/>
      <c r="J565" s="22"/>
      <c r="K565" s="42"/>
    </row>
    <row r="566" ht="39.75" customHeight="1">
      <c r="A566" s="1">
        <v>565.0</v>
      </c>
      <c r="B566" s="2" t="s">
        <v>47</v>
      </c>
      <c r="C566" s="2" t="s">
        <v>54</v>
      </c>
      <c r="D566" s="53">
        <v>0.2916666666666667</v>
      </c>
      <c r="E566" s="13"/>
      <c r="F566" s="44" t="s">
        <v>1793</v>
      </c>
      <c r="G566" s="43">
        <v>1.0</v>
      </c>
      <c r="H566" s="42"/>
      <c r="I566" s="43">
        <v>1.0</v>
      </c>
      <c r="J566" s="22"/>
      <c r="K566" s="42"/>
    </row>
    <row r="567" ht="39.75" hidden="1" customHeight="1">
      <c r="A567" s="1">
        <v>566.0</v>
      </c>
      <c r="B567" s="2" t="s">
        <v>48</v>
      </c>
      <c r="C567" s="2" t="s">
        <v>66</v>
      </c>
      <c r="D567" s="13"/>
      <c r="E567" s="13"/>
      <c r="F567" s="45"/>
      <c r="G567" s="42"/>
      <c r="H567" s="42"/>
      <c r="I567" s="42"/>
      <c r="J567" s="22"/>
      <c r="K567" s="42"/>
    </row>
    <row r="568" ht="39.75" customHeight="1">
      <c r="A568" s="1">
        <v>567.0</v>
      </c>
      <c r="B568" s="21"/>
      <c r="C568" s="21"/>
      <c r="D568" s="21"/>
      <c r="E568" s="21"/>
      <c r="F568" s="46"/>
      <c r="G568" s="47"/>
      <c r="H568" s="47"/>
      <c r="I568" s="47"/>
      <c r="J568" s="48"/>
      <c r="K568" s="47"/>
      <c r="L568" s="49"/>
      <c r="M568" s="49"/>
      <c r="N568" s="49"/>
    </row>
    <row r="569" ht="39.75" hidden="1" customHeight="1">
      <c r="A569" s="1">
        <v>568.0</v>
      </c>
      <c r="B569" s="2" t="s">
        <v>12</v>
      </c>
      <c r="C569" s="2" t="s">
        <v>66</v>
      </c>
      <c r="D569" s="13"/>
      <c r="E569" s="13"/>
      <c r="F569" s="45"/>
      <c r="G569" s="42"/>
      <c r="H569" s="42"/>
      <c r="I569" s="42"/>
      <c r="J569" s="27" t="s">
        <v>1544</v>
      </c>
      <c r="K569" s="42"/>
      <c r="L569" s="15" t="s">
        <v>369</v>
      </c>
    </row>
    <row r="570" ht="39.75" hidden="1" customHeight="1">
      <c r="A570" s="1">
        <v>569.0</v>
      </c>
      <c r="B570" s="2" t="s">
        <v>16</v>
      </c>
      <c r="C570" s="2" t="s">
        <v>58</v>
      </c>
      <c r="D570" s="13"/>
      <c r="E570" s="13"/>
      <c r="F570" s="45"/>
      <c r="G570" s="42"/>
      <c r="H570" s="42"/>
      <c r="I570" s="42"/>
      <c r="J570" s="27" t="s">
        <v>369</v>
      </c>
      <c r="K570" s="43"/>
    </row>
    <row r="571" ht="39.75" customHeight="1">
      <c r="A571" s="1">
        <v>570.0</v>
      </c>
      <c r="B571" s="2" t="s">
        <v>17</v>
      </c>
      <c r="C571" s="2" t="s">
        <v>69</v>
      </c>
      <c r="D571" s="13"/>
      <c r="E571" s="13"/>
      <c r="F571" s="45"/>
      <c r="G571" s="42"/>
      <c r="H571" s="42"/>
      <c r="I571" s="42"/>
      <c r="J571" s="27" t="s">
        <v>77</v>
      </c>
      <c r="K571" s="42"/>
    </row>
    <row r="572" ht="39.75" customHeight="1">
      <c r="A572" s="1">
        <v>571.0</v>
      </c>
      <c r="B572" s="2" t="s">
        <v>331</v>
      </c>
      <c r="C572" s="2" t="s">
        <v>542</v>
      </c>
      <c r="D572" s="13"/>
      <c r="E572" s="13"/>
      <c r="F572" s="44"/>
      <c r="G572" s="42"/>
      <c r="H572" s="42"/>
      <c r="I572" s="42"/>
      <c r="J572" s="22"/>
      <c r="K572" s="42"/>
    </row>
    <row r="573" ht="39.75" customHeight="1">
      <c r="A573" s="1">
        <v>572.0</v>
      </c>
      <c r="B573" s="2" t="s">
        <v>21</v>
      </c>
      <c r="C573" s="2"/>
      <c r="D573" s="13"/>
      <c r="E573" s="13"/>
      <c r="F573" s="44" t="s">
        <v>1794</v>
      </c>
      <c r="G573" s="43">
        <v>1.0</v>
      </c>
      <c r="H573" s="42"/>
      <c r="I573" s="42"/>
      <c r="J573" s="22"/>
      <c r="K573" s="42"/>
    </row>
    <row r="574" ht="39.75" customHeight="1">
      <c r="A574" s="1">
        <v>573.0</v>
      </c>
      <c r="B574" s="2" t="s">
        <v>22</v>
      </c>
      <c r="C574" s="2"/>
      <c r="D574" s="13"/>
      <c r="E574" s="13"/>
      <c r="F574" s="44" t="s">
        <v>1795</v>
      </c>
      <c r="G574" s="43">
        <v>1.0</v>
      </c>
      <c r="H574" s="42"/>
      <c r="I574" s="42"/>
      <c r="J574" s="22"/>
      <c r="K574" s="42"/>
    </row>
    <row r="575" ht="39.75" customHeight="1">
      <c r="A575" s="1">
        <v>574.0</v>
      </c>
      <c r="B575" s="2" t="s">
        <v>23</v>
      </c>
      <c r="C575" s="2" t="s">
        <v>54</v>
      </c>
      <c r="D575" s="13"/>
      <c r="E575" s="13"/>
      <c r="F575" s="45"/>
      <c r="G575" s="42"/>
      <c r="H575" s="42"/>
      <c r="I575" s="42"/>
      <c r="J575" s="22"/>
      <c r="K575" s="42"/>
    </row>
    <row r="576" ht="39.75" customHeight="1">
      <c r="A576" s="1">
        <v>575.0</v>
      </c>
      <c r="B576" s="2" t="s">
        <v>24</v>
      </c>
      <c r="C576" s="2"/>
      <c r="D576" s="13"/>
      <c r="E576" s="13"/>
      <c r="F576" s="44" t="s">
        <v>1796</v>
      </c>
      <c r="G576" s="43">
        <v>1.0</v>
      </c>
      <c r="H576" s="42"/>
      <c r="I576" s="43">
        <v>1.0</v>
      </c>
      <c r="J576" s="22"/>
      <c r="K576" s="42"/>
    </row>
    <row r="577" ht="39.75" customHeight="1">
      <c r="A577" s="1">
        <v>576.0</v>
      </c>
      <c r="B577" s="2" t="s">
        <v>25</v>
      </c>
      <c r="C577" s="2"/>
      <c r="D577" s="13"/>
      <c r="E577" s="13"/>
      <c r="F577" s="44" t="s">
        <v>1218</v>
      </c>
      <c r="G577" s="43">
        <v>1.0</v>
      </c>
      <c r="H577" s="42"/>
      <c r="I577" s="43">
        <v>1.0</v>
      </c>
      <c r="J577" s="22"/>
      <c r="K577" s="42"/>
    </row>
    <row r="578" ht="39.75" customHeight="1">
      <c r="A578" s="1">
        <v>577.0</v>
      </c>
      <c r="B578" s="2" t="s">
        <v>26</v>
      </c>
      <c r="C578" s="2" t="s">
        <v>69</v>
      </c>
      <c r="D578" s="13"/>
      <c r="E578" s="13"/>
      <c r="F578" s="44" t="s">
        <v>1797</v>
      </c>
      <c r="G578" s="43">
        <v>1.0</v>
      </c>
      <c r="H578" s="42"/>
      <c r="I578" s="42"/>
      <c r="J578" s="22"/>
      <c r="K578" s="42"/>
    </row>
    <row r="579" ht="39.75" hidden="1" customHeight="1">
      <c r="A579" s="1">
        <v>578.0</v>
      </c>
      <c r="B579" s="2" t="s">
        <v>29</v>
      </c>
      <c r="C579" s="2" t="s">
        <v>58</v>
      </c>
      <c r="D579" s="13"/>
      <c r="E579" s="13"/>
      <c r="F579" s="45"/>
      <c r="G579" s="42"/>
      <c r="H579" s="42"/>
      <c r="I579" s="42"/>
      <c r="J579" s="22"/>
      <c r="K579" s="42"/>
    </row>
    <row r="580" ht="39.75" hidden="1" customHeight="1">
      <c r="A580" s="1">
        <v>579.0</v>
      </c>
      <c r="B580" s="2" t="s">
        <v>30</v>
      </c>
      <c r="C580" s="2" t="s">
        <v>66</v>
      </c>
      <c r="D580" s="13"/>
      <c r="E580" s="13"/>
      <c r="F580" s="45"/>
      <c r="G580" s="42"/>
      <c r="H580" s="42"/>
      <c r="I580" s="42"/>
      <c r="J580" s="22"/>
      <c r="K580" s="42"/>
    </row>
    <row r="581" ht="39.75" customHeight="1">
      <c r="A581" s="1">
        <v>580.0</v>
      </c>
      <c r="B581" s="2" t="s">
        <v>31</v>
      </c>
      <c r="C581" s="2" t="s">
        <v>69</v>
      </c>
      <c r="D581" s="13"/>
      <c r="E581" s="13"/>
      <c r="F581" s="44" t="s">
        <v>1798</v>
      </c>
      <c r="G581" s="43">
        <v>1.0</v>
      </c>
      <c r="H581" s="42"/>
      <c r="I581" s="43">
        <v>1.0</v>
      </c>
      <c r="J581" s="22"/>
      <c r="K581" s="42"/>
    </row>
    <row r="582" ht="39.75" customHeight="1">
      <c r="A582" s="1">
        <v>581.0</v>
      </c>
      <c r="B582" s="2" t="s">
        <v>32</v>
      </c>
      <c r="C582" s="2" t="s">
        <v>39</v>
      </c>
      <c r="D582" s="13"/>
      <c r="E582" s="13"/>
      <c r="F582" s="44" t="s">
        <v>1799</v>
      </c>
      <c r="G582" s="43">
        <v>1.0</v>
      </c>
      <c r="H582" s="42"/>
      <c r="I582" s="43">
        <v>1.0</v>
      </c>
      <c r="J582" s="22"/>
      <c r="K582" s="42"/>
    </row>
    <row r="583" ht="39.75" customHeight="1">
      <c r="A583" s="1">
        <v>582.0</v>
      </c>
      <c r="B583" s="2" t="s">
        <v>67</v>
      </c>
      <c r="C583" s="2"/>
      <c r="D583" s="13"/>
      <c r="E583" s="13"/>
      <c r="F583" s="45"/>
      <c r="G583" s="42"/>
      <c r="H583" s="42"/>
      <c r="I583" s="42"/>
      <c r="J583" s="22"/>
      <c r="K583" s="42"/>
    </row>
    <row r="584" ht="39.75" customHeight="1">
      <c r="A584" s="1">
        <v>583.0</v>
      </c>
      <c r="B584" s="2" t="s">
        <v>34</v>
      </c>
      <c r="C584" s="2" t="s">
        <v>54</v>
      </c>
      <c r="D584" s="13"/>
      <c r="E584" s="13"/>
      <c r="F584" s="61"/>
      <c r="G584" s="43"/>
      <c r="H584" s="42"/>
      <c r="I584" s="42"/>
      <c r="J584" s="22"/>
      <c r="K584" s="42"/>
    </row>
    <row r="585" ht="39.75" customHeight="1">
      <c r="A585" s="1">
        <v>584.0</v>
      </c>
      <c r="B585" s="2" t="s">
        <v>35</v>
      </c>
      <c r="C585" s="2"/>
      <c r="D585" s="13"/>
      <c r="E585" s="13"/>
      <c r="F585" s="44" t="s">
        <v>1800</v>
      </c>
      <c r="G585" s="43">
        <v>1.0</v>
      </c>
      <c r="H585" s="42"/>
      <c r="I585" s="42"/>
      <c r="J585" s="22"/>
      <c r="K585" s="42"/>
    </row>
    <row r="586" ht="39.75" customHeight="1">
      <c r="A586" s="1">
        <v>585.0</v>
      </c>
      <c r="B586" s="2" t="s">
        <v>36</v>
      </c>
      <c r="C586" s="2" t="s">
        <v>39</v>
      </c>
      <c r="D586" s="13"/>
      <c r="E586" s="13"/>
      <c r="F586" s="44" t="s">
        <v>1801</v>
      </c>
      <c r="G586" s="43">
        <v>2.0</v>
      </c>
      <c r="H586" s="42"/>
      <c r="I586" s="43">
        <v>1.0</v>
      </c>
      <c r="J586" s="22"/>
      <c r="K586" s="42"/>
    </row>
    <row r="587" ht="39.75" hidden="1" customHeight="1">
      <c r="A587" s="1">
        <v>586.0</v>
      </c>
      <c r="B587" s="2" t="s">
        <v>38</v>
      </c>
      <c r="C587" s="2" t="s">
        <v>58</v>
      </c>
      <c r="D587" s="13"/>
      <c r="E587" s="13"/>
      <c r="F587" s="45"/>
      <c r="G587" s="42"/>
      <c r="H587" s="42"/>
      <c r="I587" s="42"/>
      <c r="J587" s="22"/>
      <c r="K587" s="42"/>
    </row>
    <row r="588" ht="39.75" hidden="1" customHeight="1">
      <c r="A588" s="1">
        <v>587.0</v>
      </c>
      <c r="B588" s="2" t="s">
        <v>41</v>
      </c>
      <c r="C588" s="2" t="s">
        <v>58</v>
      </c>
      <c r="D588" s="13"/>
      <c r="E588" s="13"/>
      <c r="F588" s="45"/>
      <c r="G588" s="42"/>
      <c r="H588" s="42"/>
      <c r="I588" s="42"/>
      <c r="J588" s="22"/>
      <c r="K588" s="42"/>
    </row>
    <row r="589" ht="39.75" customHeight="1">
      <c r="A589" s="1">
        <v>588.0</v>
      </c>
      <c r="B589" s="2" t="s">
        <v>42</v>
      </c>
      <c r="C589" s="2" t="s">
        <v>44</v>
      </c>
      <c r="D589" s="13"/>
      <c r="E589" s="13"/>
      <c r="F589" s="45"/>
      <c r="G589" s="42"/>
      <c r="H589" s="42"/>
      <c r="I589" s="42"/>
      <c r="J589" s="22"/>
      <c r="K589" s="42"/>
    </row>
    <row r="590" ht="39.75" customHeight="1">
      <c r="A590" s="1">
        <v>589.0</v>
      </c>
      <c r="B590" s="2" t="s">
        <v>43</v>
      </c>
      <c r="C590" s="2"/>
      <c r="D590" s="13"/>
      <c r="E590" s="13"/>
      <c r="F590" s="44" t="s">
        <v>1285</v>
      </c>
      <c r="G590" s="43">
        <v>1.0</v>
      </c>
      <c r="H590" s="42"/>
      <c r="I590" s="43">
        <v>1.0</v>
      </c>
      <c r="J590" s="22"/>
      <c r="K590" s="42"/>
    </row>
    <row r="591" ht="39.75" customHeight="1">
      <c r="A591" s="1">
        <v>590.0</v>
      </c>
      <c r="B591" s="2" t="s">
        <v>45</v>
      </c>
      <c r="C591" s="2" t="s">
        <v>27</v>
      </c>
      <c r="D591" s="13"/>
      <c r="E591" s="13"/>
      <c r="F591" s="44" t="s">
        <v>1802</v>
      </c>
      <c r="G591" s="43">
        <v>2.0</v>
      </c>
      <c r="H591" s="42"/>
      <c r="I591" s="42"/>
      <c r="J591" s="22"/>
      <c r="K591" s="42"/>
    </row>
    <row r="592" ht="39.75" customHeight="1">
      <c r="A592" s="1">
        <v>591.0</v>
      </c>
      <c r="B592" s="2" t="s">
        <v>46</v>
      </c>
      <c r="C592" s="13"/>
      <c r="D592" s="13"/>
      <c r="E592" s="13"/>
      <c r="F592" s="44" t="s">
        <v>1803</v>
      </c>
      <c r="G592" s="43">
        <v>1.0</v>
      </c>
      <c r="H592" s="42"/>
      <c r="I592" s="42"/>
      <c r="J592" s="22"/>
      <c r="K592" s="42"/>
    </row>
    <row r="593" ht="39.75" customHeight="1">
      <c r="A593" s="1">
        <v>592.0</v>
      </c>
      <c r="B593" s="2" t="s">
        <v>47</v>
      </c>
      <c r="C593" s="2" t="s">
        <v>54</v>
      </c>
      <c r="D593" s="13"/>
      <c r="E593" s="13"/>
      <c r="F593" s="45"/>
      <c r="G593" s="42"/>
      <c r="H593" s="42"/>
      <c r="I593" s="42"/>
      <c r="J593" s="22"/>
      <c r="K593" s="42"/>
    </row>
    <row r="594" ht="39.75" customHeight="1">
      <c r="A594" s="1">
        <v>593.0</v>
      </c>
      <c r="B594" s="2" t="s">
        <v>48</v>
      </c>
      <c r="C594" s="2" t="s">
        <v>54</v>
      </c>
      <c r="D594" s="13"/>
      <c r="E594" s="13"/>
      <c r="F594" s="45"/>
      <c r="G594" s="42"/>
      <c r="H594" s="42"/>
      <c r="I594" s="42"/>
      <c r="J594" s="22"/>
      <c r="K594" s="42"/>
    </row>
    <row r="595" ht="39.75" customHeight="1">
      <c r="A595" s="1">
        <v>594.0</v>
      </c>
      <c r="B595" s="21"/>
      <c r="C595" s="21"/>
      <c r="D595" s="21"/>
      <c r="E595" s="21"/>
      <c r="F595" s="46"/>
      <c r="G595" s="47"/>
      <c r="H595" s="47"/>
      <c r="I595" s="47"/>
      <c r="J595" s="48"/>
      <c r="K595" s="47"/>
      <c r="L595" s="49"/>
      <c r="M595" s="49"/>
      <c r="N595" s="49"/>
    </row>
    <row r="596" ht="39.75" customHeight="1">
      <c r="A596" s="1">
        <v>595.0</v>
      </c>
      <c r="B596" s="2" t="s">
        <v>12</v>
      </c>
      <c r="C596" s="2" t="s">
        <v>62</v>
      </c>
      <c r="D596" s="13"/>
      <c r="E596" s="13"/>
      <c r="F596" s="45"/>
      <c r="G596" s="42"/>
      <c r="H596" s="42"/>
      <c r="I596" s="42"/>
      <c r="J596" s="27" t="s">
        <v>1544</v>
      </c>
      <c r="K596" s="42"/>
      <c r="L596" s="15" t="s">
        <v>376</v>
      </c>
    </row>
    <row r="597" ht="39.75" customHeight="1">
      <c r="A597" s="1">
        <v>596.0</v>
      </c>
      <c r="B597" s="2" t="s">
        <v>16</v>
      </c>
      <c r="C597" s="2"/>
      <c r="D597" s="13"/>
      <c r="E597" s="13"/>
      <c r="F597" s="44"/>
      <c r="G597" s="42"/>
      <c r="H597" s="42"/>
      <c r="I597" s="42"/>
      <c r="J597" s="27" t="s">
        <v>376</v>
      </c>
      <c r="K597" s="43"/>
    </row>
    <row r="598" ht="39.75" customHeight="1">
      <c r="A598" s="1">
        <v>597.0</v>
      </c>
      <c r="B598" s="2" t="s">
        <v>17</v>
      </c>
      <c r="C598" s="2" t="s">
        <v>39</v>
      </c>
      <c r="D598" s="40">
        <v>0.2916666666666667</v>
      </c>
      <c r="E598" s="13"/>
      <c r="F598" s="44" t="s">
        <v>1804</v>
      </c>
      <c r="G598" s="43">
        <v>1.0</v>
      </c>
      <c r="H598" s="42"/>
      <c r="I598" s="42"/>
      <c r="J598" s="27" t="s">
        <v>95</v>
      </c>
      <c r="K598" s="42"/>
    </row>
    <row r="599" ht="39.75" hidden="1" customHeight="1">
      <c r="A599" s="1">
        <v>598.0</v>
      </c>
      <c r="B599" s="2" t="s">
        <v>331</v>
      </c>
      <c r="C599" s="2" t="s">
        <v>66</v>
      </c>
      <c r="D599" s="13"/>
      <c r="E599" s="13"/>
      <c r="F599" s="44"/>
      <c r="G599" s="42"/>
      <c r="H599" s="42"/>
      <c r="I599" s="42"/>
      <c r="J599" s="22"/>
      <c r="K599" s="42"/>
    </row>
    <row r="600" ht="39.75" hidden="1" customHeight="1">
      <c r="A600" s="1">
        <v>599.0</v>
      </c>
      <c r="B600" s="2" t="s">
        <v>21</v>
      </c>
      <c r="C600" s="2" t="s">
        <v>58</v>
      </c>
      <c r="D600" s="13"/>
      <c r="E600" s="13"/>
      <c r="F600" s="45"/>
      <c r="G600" s="42"/>
      <c r="H600" s="42"/>
      <c r="I600" s="42"/>
      <c r="J600" s="22"/>
      <c r="K600" s="42"/>
    </row>
    <row r="601" ht="39.75" customHeight="1">
      <c r="A601" s="1">
        <v>600.0</v>
      </c>
      <c r="B601" s="2" t="s">
        <v>22</v>
      </c>
      <c r="C601" s="2" t="s">
        <v>69</v>
      </c>
      <c r="D601" s="13"/>
      <c r="E601" s="13"/>
      <c r="F601" s="44" t="s">
        <v>1805</v>
      </c>
      <c r="G601" s="43">
        <v>1.0</v>
      </c>
      <c r="H601" s="42"/>
      <c r="I601" s="42"/>
      <c r="J601" s="22"/>
      <c r="K601" s="42"/>
    </row>
    <row r="602" ht="39.75" customHeight="1">
      <c r="A602" s="1">
        <v>601.0</v>
      </c>
      <c r="B602" s="2" t="s">
        <v>23</v>
      </c>
      <c r="C602" s="2" t="s">
        <v>54</v>
      </c>
      <c r="D602" s="13"/>
      <c r="E602" s="13"/>
      <c r="F602" s="61" t="s">
        <v>1806</v>
      </c>
      <c r="G602" s="43">
        <v>1.0</v>
      </c>
      <c r="H602" s="42"/>
      <c r="I602" s="42"/>
      <c r="J602" s="22"/>
      <c r="K602" s="42"/>
    </row>
    <row r="603" ht="39.75" customHeight="1">
      <c r="A603" s="1">
        <v>602.0</v>
      </c>
      <c r="B603" s="2" t="s">
        <v>24</v>
      </c>
      <c r="C603" s="2"/>
      <c r="D603" s="13"/>
      <c r="E603" s="13"/>
      <c r="F603" s="44" t="s">
        <v>1807</v>
      </c>
      <c r="G603" s="43">
        <v>1.0</v>
      </c>
      <c r="H603" s="42"/>
      <c r="I603" s="42"/>
      <c r="J603" s="22"/>
      <c r="K603" s="42"/>
    </row>
    <row r="604" ht="39.75" customHeight="1">
      <c r="A604" s="1">
        <v>603.0</v>
      </c>
      <c r="B604" s="2" t="s">
        <v>25</v>
      </c>
      <c r="C604" s="2" t="s">
        <v>69</v>
      </c>
      <c r="D604" s="13"/>
      <c r="E604" s="40">
        <v>0.8958333333333334</v>
      </c>
      <c r="F604" s="44" t="s">
        <v>1808</v>
      </c>
      <c r="G604" s="43">
        <v>1.0</v>
      </c>
      <c r="H604" s="42"/>
      <c r="I604" s="43">
        <v>1.0</v>
      </c>
      <c r="J604" s="22"/>
      <c r="K604" s="42"/>
    </row>
    <row r="605" ht="39.75" hidden="1" customHeight="1">
      <c r="A605" s="1">
        <v>604.0</v>
      </c>
      <c r="B605" s="2" t="s">
        <v>26</v>
      </c>
      <c r="C605" s="2" t="s">
        <v>58</v>
      </c>
      <c r="D605" s="13"/>
      <c r="E605" s="13"/>
      <c r="F605" s="45"/>
      <c r="G605" s="42"/>
      <c r="H605" s="42"/>
      <c r="I605" s="42"/>
      <c r="J605" s="22"/>
      <c r="K605" s="42"/>
    </row>
    <row r="606" ht="39.75" customHeight="1">
      <c r="A606" s="1">
        <v>605.0</v>
      </c>
      <c r="B606" s="2" t="s">
        <v>29</v>
      </c>
      <c r="C606" s="2"/>
      <c r="D606" s="13"/>
      <c r="E606" s="13"/>
      <c r="F606" s="44" t="s">
        <v>1285</v>
      </c>
      <c r="G606" s="43">
        <v>1.0</v>
      </c>
      <c r="H606" s="42"/>
      <c r="I606" s="43">
        <v>1.0</v>
      </c>
      <c r="J606" s="22"/>
      <c r="K606" s="42"/>
    </row>
    <row r="607" ht="39.75" hidden="1" customHeight="1">
      <c r="A607" s="1">
        <v>606.0</v>
      </c>
      <c r="B607" s="2" t="s">
        <v>30</v>
      </c>
      <c r="C607" s="2" t="s">
        <v>58</v>
      </c>
      <c r="D607" s="13"/>
      <c r="E607" s="13"/>
      <c r="F607" s="45"/>
      <c r="G607" s="42"/>
      <c r="H607" s="42"/>
      <c r="I607" s="42"/>
      <c r="J607" s="22"/>
      <c r="K607" s="42"/>
    </row>
    <row r="608" ht="39.75" hidden="1" customHeight="1">
      <c r="A608" s="1">
        <v>607.0</v>
      </c>
      <c r="B608" s="2" t="s">
        <v>31</v>
      </c>
      <c r="C608" s="2" t="s">
        <v>66</v>
      </c>
      <c r="D608" s="13"/>
      <c r="E608" s="13"/>
      <c r="F608" s="45"/>
      <c r="G608" s="42"/>
      <c r="H608" s="42"/>
      <c r="I608" s="42"/>
      <c r="J608" s="22"/>
      <c r="K608" s="42"/>
    </row>
    <row r="609" ht="39.75" customHeight="1">
      <c r="A609" s="1">
        <v>608.0</v>
      </c>
      <c r="B609" s="2" t="s">
        <v>32</v>
      </c>
      <c r="C609" s="2" t="s">
        <v>69</v>
      </c>
      <c r="D609" s="13"/>
      <c r="E609" s="40">
        <v>0.8194444444444444</v>
      </c>
      <c r="F609" s="44" t="s">
        <v>1809</v>
      </c>
      <c r="G609" s="43">
        <v>1.0</v>
      </c>
      <c r="H609" s="42"/>
      <c r="I609" s="42"/>
      <c r="J609" s="22"/>
      <c r="K609" s="42"/>
    </row>
    <row r="610" ht="39.75" customHeight="1">
      <c r="A610" s="1">
        <v>609.0</v>
      </c>
      <c r="B610" s="2" t="s">
        <v>67</v>
      </c>
      <c r="C610" s="2" t="s">
        <v>27</v>
      </c>
      <c r="D610" s="13"/>
      <c r="E610" s="13"/>
      <c r="F610" s="44" t="s">
        <v>1810</v>
      </c>
      <c r="G610" s="43">
        <v>2.0</v>
      </c>
      <c r="H610" s="42"/>
      <c r="I610" s="43">
        <v>2.0</v>
      </c>
      <c r="J610" s="22"/>
      <c r="K610" s="42"/>
    </row>
    <row r="611" ht="39.75" customHeight="1">
      <c r="A611" s="1">
        <v>610.0</v>
      </c>
      <c r="B611" s="2" t="s">
        <v>34</v>
      </c>
      <c r="C611" s="2" t="s">
        <v>54</v>
      </c>
      <c r="D611" s="13"/>
      <c r="E611" s="13"/>
      <c r="F611" s="45"/>
      <c r="G611" s="42"/>
      <c r="H611" s="42"/>
      <c r="I611" s="42"/>
      <c r="J611" s="22"/>
      <c r="K611" s="42"/>
    </row>
    <row r="612" ht="39.75" customHeight="1">
      <c r="A612" s="1">
        <v>611.0</v>
      </c>
      <c r="B612" s="2" t="s">
        <v>35</v>
      </c>
      <c r="C612" s="2"/>
      <c r="D612" s="13"/>
      <c r="E612" s="13"/>
      <c r="F612" s="44" t="s">
        <v>1811</v>
      </c>
      <c r="G612" s="43">
        <v>1.0</v>
      </c>
      <c r="H612" s="42"/>
      <c r="I612" s="43">
        <v>1.0</v>
      </c>
      <c r="J612" s="22"/>
      <c r="K612" s="42"/>
    </row>
    <row r="613" ht="39.75" customHeight="1">
      <c r="A613" s="1">
        <v>612.0</v>
      </c>
      <c r="B613" s="2" t="s">
        <v>36</v>
      </c>
      <c r="C613" s="13"/>
      <c r="D613" s="13"/>
      <c r="E613" s="13"/>
      <c r="F613" s="44" t="s">
        <v>1812</v>
      </c>
      <c r="G613" s="43">
        <v>1.0</v>
      </c>
      <c r="H613" s="42"/>
      <c r="I613" s="42"/>
      <c r="J613" s="22"/>
      <c r="K613" s="42"/>
    </row>
    <row r="614" ht="39.75" hidden="1" customHeight="1">
      <c r="A614" s="1">
        <v>613.0</v>
      </c>
      <c r="B614" s="2" t="s">
        <v>38</v>
      </c>
      <c r="C614" s="2" t="s">
        <v>58</v>
      </c>
      <c r="D614" s="13"/>
      <c r="E614" s="13"/>
      <c r="F614" s="45"/>
      <c r="G614" s="42"/>
      <c r="H614" s="42"/>
      <c r="I614" s="42"/>
      <c r="J614" s="22"/>
      <c r="K614" s="42"/>
    </row>
    <row r="615" ht="39.75" hidden="1" customHeight="1">
      <c r="A615" s="1">
        <v>614.0</v>
      </c>
      <c r="B615" s="2" t="s">
        <v>41</v>
      </c>
      <c r="C615" s="2" t="s">
        <v>58</v>
      </c>
      <c r="D615" s="13"/>
      <c r="E615" s="13"/>
      <c r="F615" s="45"/>
      <c r="G615" s="42"/>
      <c r="H615" s="42"/>
      <c r="I615" s="42"/>
      <c r="J615" s="22"/>
      <c r="K615" s="42"/>
    </row>
    <row r="616" ht="39.75" customHeight="1">
      <c r="A616" s="1">
        <v>615.0</v>
      </c>
      <c r="B616" s="2" t="s">
        <v>42</v>
      </c>
      <c r="C616" s="2"/>
      <c r="D616" s="13"/>
      <c r="E616" s="13"/>
      <c r="F616" s="44" t="s">
        <v>1813</v>
      </c>
      <c r="G616" s="43">
        <v>1.0</v>
      </c>
      <c r="H616" s="42"/>
      <c r="I616" s="43">
        <v>1.0</v>
      </c>
      <c r="J616" s="22"/>
      <c r="K616" s="42"/>
    </row>
    <row r="617" ht="39.75" customHeight="1">
      <c r="A617" s="1">
        <v>616.0</v>
      </c>
      <c r="B617" s="2" t="s">
        <v>43</v>
      </c>
      <c r="C617" s="2" t="s">
        <v>39</v>
      </c>
      <c r="D617" s="13"/>
      <c r="E617" s="13"/>
      <c r="F617" s="44" t="s">
        <v>1814</v>
      </c>
      <c r="G617" s="43">
        <v>1.0</v>
      </c>
      <c r="H617" s="42"/>
      <c r="I617" s="42"/>
      <c r="J617" s="22"/>
      <c r="K617" s="42"/>
    </row>
    <row r="618" ht="39.75" customHeight="1">
      <c r="A618" s="1">
        <v>617.0</v>
      </c>
      <c r="B618" s="2" t="s">
        <v>45</v>
      </c>
      <c r="C618" s="2" t="s">
        <v>44</v>
      </c>
      <c r="D618" s="13"/>
      <c r="E618" s="13"/>
      <c r="F618" s="45"/>
      <c r="G618" s="42"/>
      <c r="H618" s="42"/>
      <c r="I618" s="42"/>
      <c r="J618" s="22"/>
      <c r="K618" s="42"/>
    </row>
    <row r="619" ht="39.75" customHeight="1">
      <c r="A619" s="1">
        <v>618.0</v>
      </c>
      <c r="B619" s="2" t="s">
        <v>46</v>
      </c>
      <c r="C619" s="13"/>
      <c r="D619" s="13"/>
      <c r="E619" s="13"/>
      <c r="F619" s="44" t="s">
        <v>1815</v>
      </c>
      <c r="G619" s="43">
        <v>1.0</v>
      </c>
      <c r="H619" s="42"/>
      <c r="I619" s="43">
        <v>1.0</v>
      </c>
      <c r="J619" s="22"/>
      <c r="K619" s="42"/>
    </row>
    <row r="620" ht="39.75" customHeight="1">
      <c r="A620" s="1">
        <v>619.0</v>
      </c>
      <c r="B620" s="2" t="s">
        <v>47</v>
      </c>
      <c r="C620" s="2" t="s">
        <v>54</v>
      </c>
      <c r="D620" s="13"/>
      <c r="E620" s="13"/>
      <c r="F620" s="44" t="s">
        <v>1816</v>
      </c>
      <c r="G620" s="43">
        <v>1.0</v>
      </c>
      <c r="H620" s="42"/>
      <c r="I620" s="43">
        <v>1.0</v>
      </c>
      <c r="J620" s="22"/>
      <c r="K620" s="42"/>
    </row>
    <row r="621" ht="39.75" customHeight="1">
      <c r="A621" s="1">
        <v>620.0</v>
      </c>
      <c r="B621" s="2" t="s">
        <v>48</v>
      </c>
      <c r="C621" s="2" t="s">
        <v>54</v>
      </c>
      <c r="D621" s="13"/>
      <c r="E621" s="13"/>
      <c r="F621" s="44" t="s">
        <v>1817</v>
      </c>
      <c r="G621" s="43">
        <v>1.0</v>
      </c>
      <c r="H621" s="42"/>
      <c r="I621" s="43">
        <v>1.0</v>
      </c>
      <c r="J621" s="22"/>
      <c r="K621" s="42"/>
    </row>
    <row r="622" ht="39.75" customHeight="1">
      <c r="A622" s="1">
        <v>621.0</v>
      </c>
      <c r="B622" s="21"/>
      <c r="C622" s="21"/>
      <c r="D622" s="21"/>
      <c r="E622" s="21"/>
      <c r="F622" s="46"/>
      <c r="G622" s="47"/>
      <c r="H622" s="47"/>
      <c r="I622" s="47"/>
      <c r="J622" s="48"/>
      <c r="K622" s="47"/>
      <c r="L622" s="49"/>
      <c r="M622" s="49"/>
      <c r="N622" s="49"/>
    </row>
    <row r="623" ht="39.75" customHeight="1">
      <c r="A623" s="1">
        <v>622.0</v>
      </c>
      <c r="B623" s="2" t="s">
        <v>12</v>
      </c>
      <c r="C623" s="2" t="s">
        <v>62</v>
      </c>
      <c r="D623" s="13"/>
      <c r="E623" s="13"/>
      <c r="F623" s="44" t="s">
        <v>1818</v>
      </c>
      <c r="G623" s="43">
        <v>1.0</v>
      </c>
      <c r="H623" s="42"/>
      <c r="I623" s="43">
        <v>1.0</v>
      </c>
      <c r="J623" s="27" t="s">
        <v>1544</v>
      </c>
      <c r="K623" s="42"/>
      <c r="L623" s="15" t="s">
        <v>389</v>
      </c>
    </row>
    <row r="624" ht="39.75" customHeight="1">
      <c r="A624" s="1">
        <v>623.0</v>
      </c>
      <c r="B624" s="2" t="s">
        <v>16</v>
      </c>
      <c r="C624" s="2" t="s">
        <v>69</v>
      </c>
      <c r="D624" s="13"/>
      <c r="E624" s="13"/>
      <c r="F624" s="45"/>
      <c r="G624" s="42"/>
      <c r="H624" s="42"/>
      <c r="I624" s="42"/>
      <c r="J624" s="27" t="s">
        <v>389</v>
      </c>
      <c r="K624" s="43"/>
    </row>
    <row r="625" ht="39.75" customHeight="1">
      <c r="A625" s="1">
        <v>624.0</v>
      </c>
      <c r="B625" s="2" t="s">
        <v>17</v>
      </c>
      <c r="C625" s="2"/>
      <c r="D625" s="13"/>
      <c r="E625" s="13"/>
      <c r="F625" s="45"/>
      <c r="G625" s="42"/>
      <c r="H625" s="42"/>
      <c r="I625" s="42"/>
      <c r="J625" s="27" t="s">
        <v>111</v>
      </c>
      <c r="K625" s="42"/>
    </row>
    <row r="626" ht="39.75" customHeight="1">
      <c r="A626" s="1">
        <v>625.0</v>
      </c>
      <c r="B626" s="2" t="s">
        <v>331</v>
      </c>
      <c r="C626" s="2" t="s">
        <v>542</v>
      </c>
      <c r="D626" s="53">
        <v>0.2777777777777778</v>
      </c>
      <c r="E626" s="13"/>
      <c r="F626" s="44" t="s">
        <v>1819</v>
      </c>
      <c r="G626" s="43">
        <v>1.0</v>
      </c>
      <c r="H626" s="42"/>
      <c r="I626" s="42"/>
      <c r="J626" s="22"/>
      <c r="K626" s="42"/>
    </row>
    <row r="627" ht="39.75" customHeight="1">
      <c r="A627" s="1">
        <v>626.0</v>
      </c>
      <c r="B627" s="2" t="s">
        <v>21</v>
      </c>
      <c r="C627" s="2"/>
      <c r="D627" s="13"/>
      <c r="E627" s="13"/>
      <c r="F627" s="44" t="s">
        <v>1820</v>
      </c>
      <c r="G627" s="43">
        <v>1.0</v>
      </c>
      <c r="H627" s="42"/>
      <c r="I627" s="42"/>
      <c r="J627" s="22"/>
      <c r="K627" s="42"/>
    </row>
    <row r="628" ht="39.75" customHeight="1">
      <c r="A628" s="1">
        <v>627.0</v>
      </c>
      <c r="B628" s="2" t="s">
        <v>22</v>
      </c>
      <c r="C628" s="2"/>
      <c r="D628" s="13"/>
      <c r="E628" s="13"/>
      <c r="F628" s="45"/>
      <c r="G628" s="42"/>
      <c r="H628" s="42"/>
      <c r="I628" s="42"/>
      <c r="J628" s="22"/>
      <c r="K628" s="42"/>
    </row>
    <row r="629" ht="39.75" customHeight="1">
      <c r="A629" s="1">
        <v>628.0</v>
      </c>
      <c r="B629" s="2" t="s">
        <v>23</v>
      </c>
      <c r="C629" s="2"/>
      <c r="D629" s="13"/>
      <c r="E629" s="13"/>
      <c r="F629" s="44" t="s">
        <v>1331</v>
      </c>
      <c r="G629" s="43">
        <v>1.0</v>
      </c>
      <c r="H629" s="42"/>
      <c r="I629" s="43">
        <v>1.0</v>
      </c>
      <c r="J629" s="22"/>
      <c r="K629" s="42"/>
    </row>
    <row r="630" ht="39.75" customHeight="1">
      <c r="A630" s="1">
        <v>629.0</v>
      </c>
      <c r="B630" s="2" t="s">
        <v>24</v>
      </c>
      <c r="C630" s="2"/>
      <c r="D630" s="13"/>
      <c r="E630" s="13"/>
      <c r="F630" s="45"/>
      <c r="G630" s="42"/>
      <c r="H630" s="42"/>
      <c r="I630" s="42"/>
      <c r="J630" s="22"/>
      <c r="K630" s="42"/>
    </row>
    <row r="631" ht="39.75" hidden="1" customHeight="1">
      <c r="A631" s="1">
        <v>630.0</v>
      </c>
      <c r="B631" s="2" t="s">
        <v>25</v>
      </c>
      <c r="C631" s="2" t="s">
        <v>58</v>
      </c>
      <c r="D631" s="13"/>
      <c r="E631" s="13"/>
      <c r="F631" s="45"/>
      <c r="G631" s="42"/>
      <c r="H631" s="42"/>
      <c r="I631" s="42"/>
      <c r="J631" s="22"/>
      <c r="K631" s="42"/>
    </row>
    <row r="632" ht="39.75" hidden="1" customHeight="1">
      <c r="A632" s="1">
        <v>631.0</v>
      </c>
      <c r="B632" s="2" t="s">
        <v>26</v>
      </c>
      <c r="C632" s="2" t="s">
        <v>58</v>
      </c>
      <c r="D632" s="13"/>
      <c r="E632" s="13"/>
      <c r="F632" s="45"/>
      <c r="G632" s="42"/>
      <c r="H632" s="42"/>
      <c r="I632" s="42"/>
      <c r="J632" s="22"/>
      <c r="K632" s="42"/>
    </row>
    <row r="633" ht="39.75" customHeight="1">
      <c r="A633" s="1">
        <v>632.0</v>
      </c>
      <c r="B633" s="2" t="s">
        <v>29</v>
      </c>
      <c r="C633" s="2" t="s">
        <v>39</v>
      </c>
      <c r="D633" s="13"/>
      <c r="E633" s="13"/>
      <c r="F633" s="44" t="s">
        <v>1821</v>
      </c>
      <c r="G633" s="43">
        <v>1.0</v>
      </c>
      <c r="H633" s="42"/>
      <c r="I633" s="42"/>
      <c r="J633" s="22"/>
      <c r="K633" s="42"/>
    </row>
    <row r="634" ht="39.75" customHeight="1">
      <c r="A634" s="1">
        <v>633.0</v>
      </c>
      <c r="B634" s="2" t="s">
        <v>30</v>
      </c>
      <c r="C634" s="2" t="s">
        <v>64</v>
      </c>
      <c r="D634" s="13"/>
      <c r="E634" s="13"/>
      <c r="F634" s="45"/>
      <c r="G634" s="42"/>
      <c r="H634" s="42"/>
      <c r="I634" s="42"/>
      <c r="J634" s="22"/>
      <c r="K634" s="42"/>
    </row>
    <row r="635" ht="39.75" hidden="1" customHeight="1">
      <c r="A635" s="1">
        <v>634.0</v>
      </c>
      <c r="B635" s="2" t="s">
        <v>31</v>
      </c>
      <c r="C635" s="2" t="s">
        <v>58</v>
      </c>
      <c r="D635" s="13"/>
      <c r="E635" s="13"/>
      <c r="F635" s="45"/>
      <c r="G635" s="42"/>
      <c r="H635" s="42"/>
      <c r="I635" s="42"/>
      <c r="J635" s="22"/>
      <c r="K635" s="42"/>
    </row>
    <row r="636" ht="39.75" customHeight="1">
      <c r="A636" s="1">
        <v>635.0</v>
      </c>
      <c r="B636" s="2" t="s">
        <v>32</v>
      </c>
      <c r="C636" s="2" t="s">
        <v>69</v>
      </c>
      <c r="D636" s="13"/>
      <c r="E636" s="40">
        <v>0.8333333333333334</v>
      </c>
      <c r="F636" s="44" t="s">
        <v>1822</v>
      </c>
      <c r="G636" s="43">
        <v>1.0</v>
      </c>
      <c r="H636" s="42"/>
      <c r="I636" s="42"/>
      <c r="J636" s="22"/>
      <c r="K636" s="42"/>
    </row>
    <row r="637" ht="39.75" customHeight="1">
      <c r="A637" s="1">
        <v>636.0</v>
      </c>
      <c r="B637" s="2" t="s">
        <v>67</v>
      </c>
      <c r="C637" s="2" t="s">
        <v>44</v>
      </c>
      <c r="D637" s="13"/>
      <c r="E637" s="13"/>
      <c r="F637" s="45"/>
      <c r="G637" s="42"/>
      <c r="H637" s="42"/>
      <c r="I637" s="42"/>
      <c r="J637" s="22"/>
      <c r="K637" s="42"/>
    </row>
    <row r="638" ht="39.75" customHeight="1">
      <c r="A638" s="1">
        <v>637.0</v>
      </c>
      <c r="B638" s="2" t="s">
        <v>34</v>
      </c>
      <c r="C638" s="2" t="s">
        <v>54</v>
      </c>
      <c r="D638" s="13"/>
      <c r="E638" s="13"/>
      <c r="F638" s="44" t="s">
        <v>1823</v>
      </c>
      <c r="G638" s="43">
        <v>1.0</v>
      </c>
      <c r="H638" s="42"/>
      <c r="I638" s="43">
        <v>1.0</v>
      </c>
      <c r="J638" s="22"/>
      <c r="K638" s="42"/>
    </row>
    <row r="639" ht="39.75" customHeight="1">
      <c r="A639" s="1">
        <v>638.0</v>
      </c>
      <c r="B639" s="2" t="s">
        <v>35</v>
      </c>
      <c r="C639" s="2"/>
      <c r="D639" s="13"/>
      <c r="E639" s="13"/>
      <c r="F639" s="45"/>
      <c r="G639" s="42"/>
      <c r="H639" s="42"/>
      <c r="I639" s="42"/>
      <c r="J639" s="22"/>
      <c r="K639" s="42"/>
    </row>
    <row r="640" ht="39.75" customHeight="1">
      <c r="A640" s="1">
        <v>639.0</v>
      </c>
      <c r="B640" s="2" t="s">
        <v>36</v>
      </c>
      <c r="C640" s="2" t="s">
        <v>27</v>
      </c>
      <c r="D640" s="13"/>
      <c r="E640" s="13"/>
      <c r="F640" s="44" t="s">
        <v>1824</v>
      </c>
      <c r="G640" s="43">
        <v>1.0</v>
      </c>
      <c r="H640" s="42"/>
      <c r="I640" s="42"/>
      <c r="J640" s="22"/>
      <c r="K640" s="42"/>
    </row>
    <row r="641" ht="39.75" customHeight="1">
      <c r="A641" s="1">
        <v>640.0</v>
      </c>
      <c r="B641" s="2" t="s">
        <v>38</v>
      </c>
      <c r="C641" s="2" t="s">
        <v>54</v>
      </c>
      <c r="D641" s="13"/>
      <c r="E641" s="13"/>
      <c r="F641" s="45"/>
      <c r="G641" s="42"/>
      <c r="H641" s="42"/>
      <c r="I641" s="42"/>
      <c r="J641" s="22"/>
      <c r="K641" s="42"/>
    </row>
    <row r="642" ht="39.75" hidden="1" customHeight="1">
      <c r="A642" s="1">
        <v>641.0</v>
      </c>
      <c r="B642" s="2" t="s">
        <v>41</v>
      </c>
      <c r="C642" s="2" t="s">
        <v>58</v>
      </c>
      <c r="D642" s="13"/>
      <c r="E642" s="13"/>
      <c r="F642" s="45"/>
      <c r="G642" s="42"/>
      <c r="H642" s="42"/>
      <c r="I642" s="42"/>
      <c r="J642" s="22"/>
      <c r="K642" s="42"/>
    </row>
    <row r="643" ht="39.75" customHeight="1">
      <c r="A643" s="1">
        <v>642.0</v>
      </c>
      <c r="B643" s="2" t="s">
        <v>42</v>
      </c>
      <c r="C643" s="2" t="s">
        <v>54</v>
      </c>
      <c r="D643" s="13"/>
      <c r="E643" s="13"/>
      <c r="F643" s="45"/>
      <c r="G643" s="42"/>
      <c r="H643" s="42"/>
      <c r="I643" s="42"/>
      <c r="J643" s="22"/>
      <c r="K643" s="42"/>
    </row>
    <row r="644" ht="39.75" customHeight="1">
      <c r="A644" s="1">
        <v>643.0</v>
      </c>
      <c r="B644" s="2" t="s">
        <v>43</v>
      </c>
      <c r="C644" s="2" t="s">
        <v>39</v>
      </c>
      <c r="D644" s="13"/>
      <c r="E644" s="13"/>
      <c r="F644" s="44" t="s">
        <v>1825</v>
      </c>
      <c r="G644" s="43">
        <v>1.0</v>
      </c>
      <c r="H644" s="42"/>
      <c r="I644" s="42"/>
      <c r="J644" s="22"/>
      <c r="K644" s="42"/>
    </row>
    <row r="645" ht="39.75" hidden="1" customHeight="1">
      <c r="A645" s="1">
        <v>644.0</v>
      </c>
      <c r="B645" s="2" t="s">
        <v>45</v>
      </c>
      <c r="C645" s="2" t="s">
        <v>66</v>
      </c>
      <c r="D645" s="13"/>
      <c r="E645" s="13"/>
      <c r="F645" s="45"/>
      <c r="G645" s="42"/>
      <c r="H645" s="42"/>
      <c r="I645" s="42"/>
      <c r="J645" s="22"/>
      <c r="K645" s="42"/>
    </row>
    <row r="646" ht="39.75" customHeight="1">
      <c r="A646" s="1">
        <v>645.0</v>
      </c>
      <c r="B646" s="2" t="s">
        <v>46</v>
      </c>
      <c r="C646" s="13"/>
      <c r="D646" s="13"/>
      <c r="E646" s="13"/>
      <c r="F646" s="44" t="s">
        <v>1826</v>
      </c>
      <c r="G646" s="43">
        <v>1.0</v>
      </c>
      <c r="H646" s="42"/>
      <c r="I646" s="43">
        <v>1.0</v>
      </c>
      <c r="J646" s="22"/>
      <c r="K646" s="42"/>
    </row>
    <row r="647" ht="39.75" customHeight="1">
      <c r="A647" s="1">
        <v>646.0</v>
      </c>
      <c r="B647" s="2" t="s">
        <v>47</v>
      </c>
      <c r="C647" s="2" t="s">
        <v>54</v>
      </c>
      <c r="D647" s="13"/>
      <c r="E647" s="13"/>
      <c r="F647" s="45"/>
      <c r="G647" s="42"/>
      <c r="H647" s="42"/>
      <c r="I647" s="42"/>
      <c r="J647" s="22"/>
      <c r="K647" s="42"/>
    </row>
    <row r="648" ht="39.75" customHeight="1">
      <c r="A648" s="1">
        <v>647.0</v>
      </c>
      <c r="B648" s="2" t="s">
        <v>48</v>
      </c>
      <c r="C648" s="2" t="s">
        <v>69</v>
      </c>
      <c r="D648" s="13"/>
      <c r="E648" s="40">
        <v>0.875</v>
      </c>
      <c r="F648" s="44" t="s">
        <v>1827</v>
      </c>
      <c r="G648" s="43">
        <v>1.0</v>
      </c>
      <c r="H648" s="42"/>
      <c r="I648" s="42"/>
      <c r="J648" s="22"/>
      <c r="K648" s="42"/>
    </row>
    <row r="649" ht="39.75" customHeight="1">
      <c r="A649" s="1">
        <v>648.0</v>
      </c>
      <c r="B649" s="21"/>
      <c r="C649" s="21"/>
      <c r="D649" s="21"/>
      <c r="E649" s="21"/>
      <c r="F649" s="46"/>
      <c r="G649" s="47"/>
      <c r="H649" s="47"/>
      <c r="I649" s="47"/>
      <c r="J649" s="48"/>
      <c r="K649" s="47"/>
      <c r="L649" s="49"/>
      <c r="M649" s="49"/>
      <c r="N649" s="49"/>
    </row>
    <row r="650" ht="39.75" hidden="1" customHeight="1">
      <c r="A650" s="1">
        <v>649.0</v>
      </c>
      <c r="B650" s="2" t="s">
        <v>12</v>
      </c>
      <c r="C650" s="2" t="s">
        <v>58</v>
      </c>
      <c r="D650" s="13"/>
      <c r="E650" s="13"/>
      <c r="F650" s="45"/>
      <c r="G650" s="42"/>
      <c r="H650" s="42"/>
      <c r="I650" s="42"/>
      <c r="J650" s="27" t="s">
        <v>1544</v>
      </c>
      <c r="K650" s="42"/>
      <c r="L650" s="15" t="s">
        <v>406</v>
      </c>
    </row>
    <row r="651" ht="39.75" customHeight="1">
      <c r="A651" s="1">
        <v>650.0</v>
      </c>
      <c r="B651" s="2" t="s">
        <v>16</v>
      </c>
      <c r="C651" s="2" t="s">
        <v>27</v>
      </c>
      <c r="D651" s="13"/>
      <c r="E651" s="13"/>
      <c r="F651" s="44" t="s">
        <v>1828</v>
      </c>
      <c r="G651" s="43">
        <v>1.0</v>
      </c>
      <c r="H651" s="42"/>
      <c r="I651" s="42"/>
      <c r="J651" s="27" t="s">
        <v>406</v>
      </c>
      <c r="K651" s="43"/>
    </row>
    <row r="652" ht="39.75" customHeight="1">
      <c r="A652" s="1">
        <v>651.0</v>
      </c>
      <c r="B652" s="2" t="s">
        <v>17</v>
      </c>
      <c r="C652" s="2" t="s">
        <v>69</v>
      </c>
      <c r="D652" s="13"/>
      <c r="E652" s="13"/>
      <c r="F652" s="45"/>
      <c r="G652" s="42"/>
      <c r="H652" s="42"/>
      <c r="I652" s="42"/>
      <c r="J652" s="27" t="s">
        <v>131</v>
      </c>
      <c r="K652" s="42"/>
    </row>
    <row r="653" ht="39.75" customHeight="1">
      <c r="A653" s="1">
        <v>652.0</v>
      </c>
      <c r="B653" s="2" t="s">
        <v>331</v>
      </c>
      <c r="C653" s="2" t="s">
        <v>542</v>
      </c>
      <c r="D653" s="13"/>
      <c r="E653" s="13"/>
      <c r="F653" s="44"/>
      <c r="G653" s="42"/>
      <c r="H653" s="42"/>
      <c r="I653" s="42"/>
      <c r="J653" s="22"/>
      <c r="K653" s="42"/>
    </row>
    <row r="654" ht="39.75" customHeight="1">
      <c r="A654" s="1">
        <v>653.0</v>
      </c>
      <c r="B654" s="2" t="s">
        <v>21</v>
      </c>
      <c r="C654" s="2"/>
      <c r="D654" s="13"/>
      <c r="E654" s="13"/>
      <c r="F654" s="45"/>
      <c r="G654" s="42"/>
      <c r="H654" s="42"/>
      <c r="I654" s="42"/>
      <c r="J654" s="22"/>
      <c r="K654" s="42"/>
    </row>
    <row r="655" ht="39.75" customHeight="1">
      <c r="A655" s="1">
        <v>654.0</v>
      </c>
      <c r="B655" s="2" t="s">
        <v>22</v>
      </c>
      <c r="C655" s="2"/>
      <c r="D655" s="13"/>
      <c r="E655" s="13"/>
      <c r="F655" s="45"/>
      <c r="G655" s="42"/>
      <c r="H655" s="42"/>
      <c r="I655" s="42"/>
      <c r="J655" s="22"/>
      <c r="K655" s="42"/>
    </row>
    <row r="656" ht="39.75" customHeight="1">
      <c r="A656" s="1">
        <v>655.0</v>
      </c>
      <c r="B656" s="2" t="s">
        <v>23</v>
      </c>
      <c r="C656" s="2" t="s">
        <v>54</v>
      </c>
      <c r="D656" s="13"/>
      <c r="E656" s="13"/>
      <c r="F656" s="45"/>
      <c r="G656" s="42"/>
      <c r="H656" s="42"/>
      <c r="I656" s="42"/>
      <c r="J656" s="22"/>
      <c r="K656" s="42"/>
    </row>
    <row r="657" ht="39.75" hidden="1" customHeight="1">
      <c r="A657" s="1">
        <v>656.0</v>
      </c>
      <c r="B657" s="2" t="s">
        <v>24</v>
      </c>
      <c r="C657" s="2" t="s">
        <v>58</v>
      </c>
      <c r="D657" s="13"/>
      <c r="E657" s="13"/>
      <c r="F657" s="45"/>
      <c r="G657" s="42"/>
      <c r="H657" s="42"/>
      <c r="I657" s="42"/>
      <c r="J657" s="22"/>
      <c r="K657" s="42"/>
    </row>
    <row r="658" ht="39.75" customHeight="1">
      <c r="A658" s="1">
        <v>657.0</v>
      </c>
      <c r="B658" s="2" t="s">
        <v>25</v>
      </c>
      <c r="C658" s="2" t="s">
        <v>39</v>
      </c>
      <c r="D658" s="13"/>
      <c r="E658" s="13"/>
      <c r="F658" s="44" t="s">
        <v>1829</v>
      </c>
      <c r="G658" s="43">
        <v>1.0</v>
      </c>
      <c r="H658" s="42"/>
      <c r="I658" s="42"/>
      <c r="J658" s="22"/>
      <c r="K658" s="42"/>
    </row>
    <row r="659" ht="39.75" hidden="1" customHeight="1">
      <c r="A659" s="1">
        <v>658.0</v>
      </c>
      <c r="B659" s="2" t="s">
        <v>26</v>
      </c>
      <c r="C659" s="2" t="s">
        <v>66</v>
      </c>
      <c r="D659" s="13"/>
      <c r="E659" s="13"/>
      <c r="F659" s="45"/>
      <c r="G659" s="42"/>
      <c r="H659" s="42"/>
      <c r="I659" s="42"/>
      <c r="J659" s="22"/>
      <c r="K659" s="42"/>
    </row>
    <row r="660" ht="39.75" customHeight="1">
      <c r="A660" s="1">
        <v>659.0</v>
      </c>
      <c r="B660" s="2" t="s">
        <v>29</v>
      </c>
      <c r="C660" s="2"/>
      <c r="D660" s="13"/>
      <c r="E660" s="13"/>
      <c r="F660" s="44"/>
      <c r="G660" s="42"/>
      <c r="H660" s="42"/>
      <c r="I660" s="42"/>
      <c r="J660" s="22"/>
      <c r="K660" s="42"/>
    </row>
    <row r="661" ht="39.75" customHeight="1">
      <c r="A661" s="1">
        <v>660.0</v>
      </c>
      <c r="B661" s="2" t="s">
        <v>30</v>
      </c>
      <c r="C661" s="2" t="s">
        <v>64</v>
      </c>
      <c r="D661" s="13"/>
      <c r="E661" s="13"/>
      <c r="F661" s="45"/>
      <c r="G661" s="42"/>
      <c r="H661" s="42"/>
      <c r="I661" s="42"/>
      <c r="J661" s="22"/>
      <c r="K661" s="42"/>
    </row>
    <row r="662" ht="39.75" customHeight="1">
      <c r="A662" s="1">
        <v>661.0</v>
      </c>
      <c r="B662" s="2" t="s">
        <v>31</v>
      </c>
      <c r="C662" s="2"/>
      <c r="D662" s="13"/>
      <c r="E662" s="13"/>
      <c r="F662" s="44" t="s">
        <v>1830</v>
      </c>
      <c r="G662" s="43">
        <v>1.0</v>
      </c>
      <c r="H662" s="42"/>
      <c r="I662" s="42"/>
      <c r="J662" s="22"/>
      <c r="K662" s="42"/>
    </row>
    <row r="663" ht="39.75" customHeight="1">
      <c r="A663" s="1">
        <v>662.0</v>
      </c>
      <c r="B663" s="2" t="s">
        <v>32</v>
      </c>
      <c r="C663" s="2" t="s">
        <v>39</v>
      </c>
      <c r="D663" s="13"/>
      <c r="E663" s="13"/>
      <c r="F663" s="44" t="s">
        <v>1831</v>
      </c>
      <c r="G663" s="43">
        <v>1.0</v>
      </c>
      <c r="H663" s="42"/>
      <c r="I663" s="42"/>
      <c r="J663" s="22"/>
      <c r="K663" s="42"/>
    </row>
    <row r="664" ht="39.75" customHeight="1">
      <c r="A664" s="1">
        <v>663.0</v>
      </c>
      <c r="B664" s="2" t="s">
        <v>67</v>
      </c>
      <c r="C664" s="2"/>
      <c r="D664" s="13"/>
      <c r="E664" s="13"/>
      <c r="F664" s="44" t="s">
        <v>1389</v>
      </c>
      <c r="G664" s="42"/>
      <c r="H664" s="42"/>
      <c r="I664" s="42"/>
      <c r="J664" s="22"/>
      <c r="K664" s="42"/>
    </row>
    <row r="665" ht="39.75" customHeight="1">
      <c r="A665" s="1">
        <v>664.0</v>
      </c>
      <c r="B665" s="2" t="s">
        <v>34</v>
      </c>
      <c r="C665" s="2" t="s">
        <v>54</v>
      </c>
      <c r="D665" s="13"/>
      <c r="E665" s="13"/>
      <c r="F665" s="45"/>
      <c r="G665" s="42"/>
      <c r="H665" s="42"/>
      <c r="I665" s="42"/>
      <c r="J665" s="22"/>
      <c r="K665" s="42"/>
    </row>
    <row r="666" ht="39.75" customHeight="1">
      <c r="A666" s="1">
        <v>665.0</v>
      </c>
      <c r="B666" s="2" t="s">
        <v>35</v>
      </c>
      <c r="C666" s="2"/>
      <c r="D666" s="13"/>
      <c r="E666" s="13"/>
      <c r="F666" s="44" t="s">
        <v>1832</v>
      </c>
      <c r="G666" s="43">
        <v>1.0</v>
      </c>
      <c r="H666" s="42"/>
      <c r="I666" s="42"/>
      <c r="J666" s="22"/>
      <c r="K666" s="42"/>
    </row>
    <row r="667" ht="39.75" customHeight="1">
      <c r="A667" s="1">
        <v>666.0</v>
      </c>
      <c r="B667" s="2" t="s">
        <v>36</v>
      </c>
      <c r="C667" s="2" t="s">
        <v>44</v>
      </c>
      <c r="D667" s="13"/>
      <c r="E667" s="13"/>
      <c r="F667" s="45"/>
      <c r="G667" s="42"/>
      <c r="H667" s="42"/>
      <c r="I667" s="42"/>
      <c r="J667" s="22"/>
      <c r="K667" s="42"/>
    </row>
    <row r="668" ht="39.75" customHeight="1">
      <c r="A668" s="1">
        <v>667.0</v>
      </c>
      <c r="B668" s="2" t="s">
        <v>38</v>
      </c>
      <c r="C668" s="2" t="s">
        <v>54</v>
      </c>
      <c r="D668" s="13"/>
      <c r="E668" s="13"/>
      <c r="F668" s="44" t="s">
        <v>1833</v>
      </c>
      <c r="G668" s="43"/>
      <c r="H668" s="43"/>
      <c r="I668" s="42"/>
      <c r="J668" s="22"/>
      <c r="K668" s="42"/>
    </row>
    <row r="669" ht="39.75" hidden="1" customHeight="1">
      <c r="A669" s="1">
        <v>668.0</v>
      </c>
      <c r="B669" s="2" t="s">
        <v>41</v>
      </c>
      <c r="C669" s="2" t="s">
        <v>58</v>
      </c>
      <c r="D669" s="13"/>
      <c r="E669" s="13"/>
      <c r="F669" s="45"/>
      <c r="G669" s="42"/>
      <c r="H669" s="42"/>
      <c r="I669" s="42"/>
      <c r="J669" s="22"/>
      <c r="K669" s="42"/>
    </row>
    <row r="670" ht="39.75" customHeight="1">
      <c r="A670" s="1">
        <v>669.0</v>
      </c>
      <c r="B670" s="2" t="s">
        <v>42</v>
      </c>
      <c r="C670" s="2" t="s">
        <v>69</v>
      </c>
      <c r="D670" s="13"/>
      <c r="E670" s="13"/>
      <c r="F670" s="45"/>
      <c r="G670" s="42"/>
      <c r="H670" s="42"/>
      <c r="I670" s="42"/>
      <c r="J670" s="22"/>
      <c r="K670" s="42"/>
    </row>
    <row r="671" ht="39.75" hidden="1" customHeight="1">
      <c r="A671" s="1">
        <v>670.0</v>
      </c>
      <c r="B671" s="2" t="s">
        <v>43</v>
      </c>
      <c r="C671" s="2" t="s">
        <v>58</v>
      </c>
      <c r="D671" s="13"/>
      <c r="E671" s="13"/>
      <c r="F671" s="45"/>
      <c r="G671" s="42"/>
      <c r="H671" s="42"/>
      <c r="I671" s="42"/>
      <c r="J671" s="22"/>
      <c r="K671" s="42"/>
    </row>
    <row r="672" ht="39.75" hidden="1" customHeight="1">
      <c r="A672" s="1">
        <v>671.0</v>
      </c>
      <c r="B672" s="2" t="s">
        <v>45</v>
      </c>
      <c r="C672" s="2" t="s">
        <v>58</v>
      </c>
      <c r="D672" s="13"/>
      <c r="E672" s="13"/>
      <c r="F672" s="45"/>
      <c r="G672" s="42"/>
      <c r="H672" s="42"/>
      <c r="I672" s="42"/>
      <c r="J672" s="22"/>
      <c r="K672" s="42"/>
    </row>
    <row r="673" ht="39.75" customHeight="1">
      <c r="A673" s="1">
        <v>672.0</v>
      </c>
      <c r="B673" s="2" t="s">
        <v>46</v>
      </c>
      <c r="C673" s="2" t="s">
        <v>69</v>
      </c>
      <c r="D673" s="13"/>
      <c r="E673" s="13"/>
      <c r="F673" s="44" t="s">
        <v>1834</v>
      </c>
      <c r="G673" s="43">
        <v>1.0</v>
      </c>
      <c r="H673" s="42"/>
      <c r="I673" s="42"/>
      <c r="J673" s="22"/>
      <c r="K673" s="42"/>
    </row>
    <row r="674" ht="39.75" customHeight="1">
      <c r="A674" s="1">
        <v>673.0</v>
      </c>
      <c r="B674" s="2" t="s">
        <v>47</v>
      </c>
      <c r="C674" s="2" t="s">
        <v>54</v>
      </c>
      <c r="D674" s="13"/>
      <c r="E674" s="13"/>
      <c r="F674" s="44" t="s">
        <v>1835</v>
      </c>
      <c r="G674" s="43">
        <v>1.0</v>
      </c>
      <c r="H674" s="42"/>
      <c r="I674" s="42"/>
      <c r="J674" s="22"/>
      <c r="K674" s="42"/>
    </row>
    <row r="675" ht="39.75" customHeight="1">
      <c r="A675" s="1">
        <v>674.0</v>
      </c>
      <c r="B675" s="2" t="s">
        <v>48</v>
      </c>
      <c r="C675" s="13"/>
      <c r="D675" s="13"/>
      <c r="E675" s="13"/>
      <c r="F675" s="44" t="s">
        <v>1836</v>
      </c>
      <c r="G675" s="43">
        <v>1.0</v>
      </c>
      <c r="H675" s="42"/>
      <c r="I675" s="42"/>
      <c r="J675" s="22"/>
      <c r="K675" s="42"/>
    </row>
    <row r="676" ht="39.75" customHeight="1">
      <c r="A676" s="1">
        <v>675.0</v>
      </c>
      <c r="B676" s="21"/>
      <c r="C676" s="21"/>
      <c r="D676" s="21"/>
      <c r="E676" s="21"/>
      <c r="F676" s="46"/>
      <c r="G676" s="47"/>
      <c r="H676" s="47"/>
      <c r="I676" s="47"/>
      <c r="J676" s="48"/>
      <c r="K676" s="47"/>
      <c r="L676" s="49"/>
      <c r="M676" s="49"/>
      <c r="N676" s="49"/>
    </row>
    <row r="677" ht="39.75" hidden="1" customHeight="1">
      <c r="A677" s="1">
        <v>676.0</v>
      </c>
      <c r="B677" s="2" t="s">
        <v>12</v>
      </c>
      <c r="C677" s="2" t="s">
        <v>13</v>
      </c>
      <c r="D677" s="13"/>
      <c r="E677" s="13"/>
      <c r="F677" s="45"/>
      <c r="G677" s="42"/>
      <c r="H677" s="42"/>
      <c r="I677" s="42"/>
      <c r="J677" s="27" t="s">
        <v>1544</v>
      </c>
      <c r="K677" s="42"/>
      <c r="L677" s="15" t="s">
        <v>423</v>
      </c>
    </row>
    <row r="678" ht="39.75" customHeight="1">
      <c r="A678" s="1">
        <v>677.0</v>
      </c>
      <c r="B678" s="2" t="s">
        <v>16</v>
      </c>
      <c r="C678" s="2" t="s">
        <v>44</v>
      </c>
      <c r="D678" s="13"/>
      <c r="E678" s="13"/>
      <c r="F678" s="45"/>
      <c r="G678" s="42"/>
      <c r="H678" s="42"/>
      <c r="I678" s="42"/>
      <c r="J678" s="27" t="s">
        <v>423</v>
      </c>
      <c r="K678" s="43"/>
    </row>
    <row r="679" ht="39.75" customHeight="1">
      <c r="A679" s="1">
        <v>678.0</v>
      </c>
      <c r="B679" s="2" t="s">
        <v>268</v>
      </c>
      <c r="C679" s="2" t="s">
        <v>63</v>
      </c>
      <c r="D679" s="13"/>
      <c r="E679" s="13"/>
      <c r="F679" s="45"/>
      <c r="G679" s="42"/>
      <c r="H679" s="42"/>
      <c r="I679" s="42"/>
      <c r="J679" s="27" t="s">
        <v>149</v>
      </c>
      <c r="K679" s="42"/>
    </row>
    <row r="680" ht="39.75" hidden="1" customHeight="1">
      <c r="A680" s="1">
        <v>679.0</v>
      </c>
      <c r="B680" s="2" t="s">
        <v>331</v>
      </c>
      <c r="C680" s="2" t="s">
        <v>13</v>
      </c>
      <c r="D680" s="13"/>
      <c r="E680" s="13"/>
      <c r="F680" s="44"/>
      <c r="G680" s="42"/>
      <c r="H680" s="42"/>
      <c r="I680" s="42"/>
      <c r="J680" s="27" t="s">
        <v>165</v>
      </c>
      <c r="K680" s="42"/>
    </row>
    <row r="681" ht="39.75" hidden="1" customHeight="1">
      <c r="A681" s="1">
        <v>680.0</v>
      </c>
      <c r="B681" s="2" t="s">
        <v>21</v>
      </c>
      <c r="C681" s="2" t="s">
        <v>13</v>
      </c>
      <c r="D681" s="13"/>
      <c r="E681" s="13"/>
      <c r="F681" s="45"/>
      <c r="G681" s="42"/>
      <c r="H681" s="42"/>
      <c r="I681" s="42"/>
      <c r="J681" s="27" t="s">
        <v>166</v>
      </c>
      <c r="K681" s="42"/>
    </row>
    <row r="682" ht="39.75" customHeight="1">
      <c r="A682" s="1">
        <v>681.0</v>
      </c>
      <c r="B682" s="2" t="s">
        <v>22</v>
      </c>
      <c r="C682" s="2" t="s">
        <v>39</v>
      </c>
      <c r="D682" s="13"/>
      <c r="E682" s="13"/>
      <c r="F682" s="44" t="s">
        <v>926</v>
      </c>
      <c r="G682" s="43">
        <v>1.0</v>
      </c>
      <c r="H682" s="42"/>
      <c r="I682" s="42"/>
      <c r="J682" s="27" t="s">
        <v>167</v>
      </c>
      <c r="K682" s="42"/>
    </row>
    <row r="683" ht="39.75" hidden="1" customHeight="1">
      <c r="A683" s="1">
        <v>682.0</v>
      </c>
      <c r="B683" s="2" t="s">
        <v>23</v>
      </c>
      <c r="C683" s="2" t="s">
        <v>13</v>
      </c>
      <c r="D683" s="13"/>
      <c r="E683" s="13"/>
      <c r="F683" s="45"/>
      <c r="G683" s="42"/>
      <c r="H683" s="42"/>
      <c r="I683" s="42"/>
      <c r="J683" s="22"/>
      <c r="K683" s="42"/>
    </row>
    <row r="684" ht="39.75" hidden="1" customHeight="1">
      <c r="A684" s="1">
        <v>683.0</v>
      </c>
      <c r="B684" s="2" t="s">
        <v>24</v>
      </c>
      <c r="C684" s="2" t="s">
        <v>13</v>
      </c>
      <c r="D684" s="13"/>
      <c r="E684" s="13"/>
      <c r="F684" s="45"/>
      <c r="G684" s="42"/>
      <c r="H684" s="42"/>
      <c r="I684" s="42"/>
      <c r="J684" s="22"/>
      <c r="K684" s="42"/>
    </row>
    <row r="685" ht="39.75" hidden="1" customHeight="1">
      <c r="A685" s="1">
        <v>684.0</v>
      </c>
      <c r="B685" s="2" t="s">
        <v>25</v>
      </c>
      <c r="C685" s="2" t="s">
        <v>13</v>
      </c>
      <c r="D685" s="13"/>
      <c r="E685" s="13"/>
      <c r="F685" s="45"/>
      <c r="G685" s="42"/>
      <c r="H685" s="42"/>
      <c r="I685" s="42"/>
      <c r="J685" s="22"/>
      <c r="K685" s="42"/>
    </row>
    <row r="686" ht="39.75" hidden="1" customHeight="1">
      <c r="A686" s="1">
        <v>685.0</v>
      </c>
      <c r="B686" s="2" t="s">
        <v>26</v>
      </c>
      <c r="C686" s="2" t="s">
        <v>13</v>
      </c>
      <c r="D686" s="13"/>
      <c r="E686" s="13"/>
      <c r="F686" s="45"/>
      <c r="G686" s="42"/>
      <c r="H686" s="42"/>
      <c r="I686" s="42"/>
      <c r="J686" s="22"/>
      <c r="K686" s="42"/>
    </row>
    <row r="687" ht="39.75" customHeight="1">
      <c r="A687" s="1">
        <v>686.0</v>
      </c>
      <c r="B687" s="2" t="s">
        <v>29</v>
      </c>
      <c r="C687" s="2"/>
      <c r="D687" s="40">
        <v>0.375</v>
      </c>
      <c r="E687" s="13"/>
      <c r="F687" s="61" t="s">
        <v>1837</v>
      </c>
      <c r="G687" s="43">
        <v>1.0</v>
      </c>
      <c r="H687" s="42"/>
      <c r="I687" s="42"/>
      <c r="J687" s="22"/>
      <c r="K687" s="42"/>
    </row>
    <row r="688" ht="39.75" hidden="1" customHeight="1">
      <c r="A688" s="1">
        <v>687.0</v>
      </c>
      <c r="B688" s="2" t="s">
        <v>30</v>
      </c>
      <c r="C688" s="2" t="s">
        <v>13</v>
      </c>
      <c r="D688" s="13"/>
      <c r="E688" s="13"/>
      <c r="F688" s="45"/>
      <c r="G688" s="42"/>
      <c r="H688" s="42"/>
      <c r="I688" s="42"/>
      <c r="J688" s="22"/>
      <c r="K688" s="42"/>
    </row>
    <row r="689" ht="39.75" customHeight="1">
      <c r="A689" s="1">
        <v>688.0</v>
      </c>
      <c r="B689" s="2" t="s">
        <v>31</v>
      </c>
      <c r="C689" s="2" t="s">
        <v>49</v>
      </c>
      <c r="D689" s="13"/>
      <c r="E689" s="13"/>
      <c r="F689" s="44" t="s">
        <v>1838</v>
      </c>
      <c r="G689" s="43">
        <v>1.0</v>
      </c>
      <c r="H689" s="42"/>
      <c r="I689" s="43">
        <v>1.0</v>
      </c>
      <c r="J689" s="22"/>
      <c r="K689" s="42"/>
    </row>
    <row r="690" ht="39.75" hidden="1" customHeight="1">
      <c r="A690" s="1">
        <v>689.0</v>
      </c>
      <c r="B690" s="2" t="s">
        <v>32</v>
      </c>
      <c r="C690" s="2" t="s">
        <v>13</v>
      </c>
      <c r="D690" s="13"/>
      <c r="E690" s="13"/>
      <c r="F690" s="45"/>
      <c r="G690" s="42"/>
      <c r="H690" s="42"/>
      <c r="I690" s="42"/>
      <c r="J690" s="22"/>
      <c r="K690" s="42"/>
    </row>
    <row r="691" ht="39.75" hidden="1" customHeight="1">
      <c r="A691" s="1">
        <v>690.0</v>
      </c>
      <c r="B691" s="2" t="s">
        <v>67</v>
      </c>
      <c r="C691" s="2" t="s">
        <v>13</v>
      </c>
      <c r="D691" s="13"/>
      <c r="E691" s="13"/>
      <c r="F691" s="45"/>
      <c r="G691" s="42"/>
      <c r="H691" s="42"/>
      <c r="I691" s="42"/>
      <c r="J691" s="22"/>
      <c r="K691" s="42"/>
    </row>
    <row r="692" ht="39.75" customHeight="1">
      <c r="A692" s="1">
        <v>691.0</v>
      </c>
      <c r="B692" s="2" t="s">
        <v>34</v>
      </c>
      <c r="C692" s="2" t="s">
        <v>27</v>
      </c>
      <c r="D692" s="13"/>
      <c r="E692" s="13"/>
      <c r="F692" s="44" t="s">
        <v>1839</v>
      </c>
      <c r="G692" s="43">
        <v>1.0</v>
      </c>
      <c r="H692" s="42"/>
      <c r="I692" s="42"/>
      <c r="J692" s="22"/>
      <c r="K692" s="42"/>
    </row>
    <row r="693" ht="39.75" hidden="1" customHeight="1">
      <c r="A693" s="1">
        <v>692.0</v>
      </c>
      <c r="B693" s="2" t="s">
        <v>35</v>
      </c>
      <c r="C693" s="2" t="s">
        <v>13</v>
      </c>
      <c r="D693" s="13"/>
      <c r="E693" s="13"/>
      <c r="F693" s="45"/>
      <c r="G693" s="42"/>
      <c r="H693" s="42"/>
      <c r="I693" s="42"/>
      <c r="J693" s="22"/>
      <c r="K693" s="42"/>
    </row>
    <row r="694" ht="39.75" hidden="1" customHeight="1">
      <c r="A694" s="1">
        <v>693.0</v>
      </c>
      <c r="B694" s="2" t="s">
        <v>36</v>
      </c>
      <c r="C694" s="2" t="s">
        <v>13</v>
      </c>
      <c r="D694" s="13"/>
      <c r="E694" s="13"/>
      <c r="F694" s="45"/>
      <c r="G694" s="42"/>
      <c r="H694" s="42"/>
      <c r="I694" s="42"/>
      <c r="J694" s="22"/>
      <c r="K694" s="42"/>
    </row>
    <row r="695" ht="39.75" hidden="1" customHeight="1">
      <c r="A695" s="1">
        <v>694.0</v>
      </c>
      <c r="B695" s="2" t="s">
        <v>38</v>
      </c>
      <c r="C695" s="2" t="s">
        <v>13</v>
      </c>
      <c r="D695" s="13"/>
      <c r="E695" s="13"/>
      <c r="F695" s="45"/>
      <c r="G695" s="42"/>
      <c r="H695" s="42"/>
      <c r="I695" s="42"/>
      <c r="J695" s="22"/>
      <c r="K695" s="42"/>
    </row>
    <row r="696" ht="39.75" hidden="1" customHeight="1">
      <c r="A696" s="1">
        <v>695.0</v>
      </c>
      <c r="B696" s="2" t="s">
        <v>41</v>
      </c>
      <c r="C696" s="2" t="s">
        <v>13</v>
      </c>
      <c r="D696" s="13"/>
      <c r="E696" s="13"/>
      <c r="F696" s="45"/>
      <c r="G696" s="42"/>
      <c r="H696" s="42"/>
      <c r="I696" s="42"/>
      <c r="J696" s="22"/>
      <c r="K696" s="42"/>
    </row>
    <row r="697" ht="39.75" hidden="1" customHeight="1">
      <c r="A697" s="1">
        <v>696.0</v>
      </c>
      <c r="B697" s="2" t="s">
        <v>42</v>
      </c>
      <c r="C697" s="2" t="s">
        <v>13</v>
      </c>
      <c r="D697" s="13"/>
      <c r="E697" s="13"/>
      <c r="F697" s="45"/>
      <c r="G697" s="42"/>
      <c r="H697" s="42"/>
      <c r="I697" s="42"/>
      <c r="J697" s="22"/>
      <c r="K697" s="42"/>
    </row>
    <row r="698" ht="39.75" customHeight="1">
      <c r="A698" s="1">
        <v>697.0</v>
      </c>
      <c r="B698" s="2" t="s">
        <v>267</v>
      </c>
      <c r="C698" s="2" t="s">
        <v>272</v>
      </c>
      <c r="D698" s="13"/>
      <c r="E698" s="13"/>
      <c r="F698" s="45"/>
      <c r="G698" s="42"/>
      <c r="H698" s="42"/>
      <c r="I698" s="42"/>
      <c r="J698" s="22"/>
      <c r="K698" s="42"/>
    </row>
    <row r="699" ht="39.75" hidden="1" customHeight="1">
      <c r="A699" s="1">
        <v>698.0</v>
      </c>
      <c r="B699" s="2" t="s">
        <v>45</v>
      </c>
      <c r="C699" s="2" t="s">
        <v>13</v>
      </c>
      <c r="D699" s="13"/>
      <c r="E699" s="13"/>
      <c r="F699" s="45"/>
      <c r="G699" s="42"/>
      <c r="H699" s="42"/>
      <c r="I699" s="42"/>
      <c r="J699" s="22"/>
      <c r="K699" s="42"/>
    </row>
    <row r="700" ht="39.75" hidden="1" customHeight="1">
      <c r="A700" s="1">
        <v>699.0</v>
      </c>
      <c r="B700" s="2" t="s">
        <v>46</v>
      </c>
      <c r="C700" s="2" t="s">
        <v>13</v>
      </c>
      <c r="D700" s="13"/>
      <c r="E700" s="13"/>
      <c r="F700" s="45"/>
      <c r="G700" s="42"/>
      <c r="H700" s="42"/>
      <c r="I700" s="42"/>
      <c r="J700" s="22"/>
      <c r="K700" s="42"/>
    </row>
    <row r="701" ht="39.75" customHeight="1">
      <c r="A701" s="1">
        <v>700.0</v>
      </c>
      <c r="B701" s="2" t="s">
        <v>47</v>
      </c>
      <c r="C701" s="13"/>
      <c r="D701" s="40">
        <v>0.375</v>
      </c>
      <c r="E701" s="13"/>
      <c r="F701" s="44" t="s">
        <v>1840</v>
      </c>
      <c r="G701" s="43">
        <v>1.0</v>
      </c>
      <c r="H701" s="42"/>
      <c r="I701" s="42"/>
      <c r="J701" s="22"/>
      <c r="K701" s="42"/>
    </row>
    <row r="702" ht="39.75" hidden="1" customHeight="1">
      <c r="A702" s="1">
        <v>701.0</v>
      </c>
      <c r="B702" s="2" t="s">
        <v>48</v>
      </c>
      <c r="C702" s="2" t="s">
        <v>13</v>
      </c>
      <c r="D702" s="13"/>
      <c r="E702" s="13"/>
      <c r="F702" s="45"/>
      <c r="G702" s="42"/>
      <c r="H702" s="42"/>
      <c r="I702" s="42"/>
      <c r="J702" s="22"/>
      <c r="K702" s="42"/>
    </row>
    <row r="703" ht="39.75" customHeight="1">
      <c r="A703" s="1">
        <v>702.0</v>
      </c>
      <c r="B703" s="21"/>
      <c r="C703" s="21"/>
      <c r="D703" s="21"/>
      <c r="E703" s="21"/>
      <c r="F703" s="46"/>
      <c r="G703" s="47"/>
      <c r="H703" s="47"/>
      <c r="I703" s="47"/>
      <c r="J703" s="48"/>
      <c r="K703" s="47"/>
      <c r="L703" s="49"/>
      <c r="M703" s="49"/>
      <c r="N703" s="49"/>
    </row>
    <row r="704" ht="39.75" customHeight="1">
      <c r="A704" s="1">
        <v>703.0</v>
      </c>
      <c r="B704" s="2" t="s">
        <v>12</v>
      </c>
      <c r="C704" s="2" t="s">
        <v>39</v>
      </c>
      <c r="D704" s="13"/>
      <c r="E704" s="13"/>
      <c r="F704" s="44" t="s">
        <v>1841</v>
      </c>
      <c r="G704" s="43">
        <v>1.0</v>
      </c>
      <c r="H704" s="42"/>
      <c r="I704" s="42"/>
      <c r="J704" s="27" t="s">
        <v>1544</v>
      </c>
      <c r="K704" s="42"/>
      <c r="L704" s="15" t="s">
        <v>438</v>
      </c>
    </row>
    <row r="705" ht="39.75" hidden="1" customHeight="1">
      <c r="A705" s="1">
        <v>704.0</v>
      </c>
      <c r="B705" s="2" t="s">
        <v>16</v>
      </c>
      <c r="C705" s="2" t="s">
        <v>13</v>
      </c>
      <c r="D705" s="13"/>
      <c r="E705" s="13"/>
      <c r="F705" s="45"/>
      <c r="G705" s="42"/>
      <c r="H705" s="42"/>
      <c r="I705" s="42"/>
      <c r="J705" s="27" t="s">
        <v>438</v>
      </c>
      <c r="K705" s="43"/>
    </row>
    <row r="706" ht="39.75" customHeight="1">
      <c r="A706" s="1">
        <v>705.0</v>
      </c>
      <c r="B706" s="2" t="s">
        <v>268</v>
      </c>
      <c r="C706" s="2" t="s">
        <v>63</v>
      </c>
      <c r="D706" s="13"/>
      <c r="E706" s="13"/>
      <c r="F706" s="45"/>
      <c r="G706" s="42"/>
      <c r="H706" s="42"/>
      <c r="I706" s="42"/>
      <c r="J706" s="27" t="s">
        <v>19</v>
      </c>
      <c r="K706" s="42"/>
    </row>
    <row r="707" ht="39.75" customHeight="1">
      <c r="A707" s="1">
        <v>706.0</v>
      </c>
      <c r="B707" s="2" t="s">
        <v>266</v>
      </c>
      <c r="C707" s="2" t="s">
        <v>272</v>
      </c>
      <c r="D707" s="13"/>
      <c r="E707" s="13"/>
      <c r="F707" s="44" t="s">
        <v>1842</v>
      </c>
      <c r="G707" s="43">
        <v>1.0</v>
      </c>
      <c r="H707" s="42"/>
      <c r="I707" s="42"/>
      <c r="J707" s="27" t="s">
        <v>262</v>
      </c>
      <c r="K707" s="42"/>
    </row>
    <row r="708" ht="39.75" hidden="1" customHeight="1">
      <c r="A708" s="1">
        <v>707.0</v>
      </c>
      <c r="B708" s="2" t="s">
        <v>21</v>
      </c>
      <c r="C708" s="2" t="s">
        <v>13</v>
      </c>
      <c r="D708" s="13"/>
      <c r="E708" s="13"/>
      <c r="F708" s="45"/>
      <c r="G708" s="42"/>
      <c r="H708" s="42"/>
      <c r="I708" s="42"/>
      <c r="J708" s="27" t="s">
        <v>264</v>
      </c>
      <c r="K708" s="42"/>
    </row>
    <row r="709" ht="39.75" hidden="1" customHeight="1">
      <c r="A709" s="1">
        <v>708.0</v>
      </c>
      <c r="B709" s="2" t="s">
        <v>22</v>
      </c>
      <c r="C709" s="2" t="s">
        <v>13</v>
      </c>
      <c r="D709" s="13"/>
      <c r="E709" s="13"/>
      <c r="F709" s="45"/>
      <c r="G709" s="42"/>
      <c r="H709" s="42"/>
      <c r="I709" s="42"/>
      <c r="J709" s="27" t="s">
        <v>265</v>
      </c>
      <c r="K709" s="42"/>
    </row>
    <row r="710" ht="39.75" hidden="1" customHeight="1">
      <c r="A710" s="1">
        <v>709.0</v>
      </c>
      <c r="B710" s="2" t="s">
        <v>23</v>
      </c>
      <c r="C710" s="2" t="s">
        <v>13</v>
      </c>
      <c r="D710" s="13"/>
      <c r="E710" s="13"/>
      <c r="F710" s="45"/>
      <c r="G710" s="42"/>
      <c r="H710" s="42"/>
      <c r="I710" s="42"/>
      <c r="J710" s="22"/>
      <c r="K710" s="42"/>
    </row>
    <row r="711" ht="39.75" hidden="1" customHeight="1">
      <c r="A711" s="1">
        <v>710.0</v>
      </c>
      <c r="B711" s="2" t="s">
        <v>24</v>
      </c>
      <c r="C711" s="2" t="s">
        <v>13</v>
      </c>
      <c r="D711" s="13"/>
      <c r="E711" s="13"/>
      <c r="F711" s="45"/>
      <c r="G711" s="42"/>
      <c r="H711" s="42"/>
      <c r="I711" s="42"/>
      <c r="J711" s="22"/>
      <c r="K711" s="42"/>
    </row>
    <row r="712" ht="39.75" hidden="1" customHeight="1">
      <c r="A712" s="1">
        <v>711.0</v>
      </c>
      <c r="B712" s="2" t="s">
        <v>25</v>
      </c>
      <c r="C712" s="2" t="s">
        <v>13</v>
      </c>
      <c r="D712" s="13"/>
      <c r="E712" s="13"/>
      <c r="F712" s="45"/>
      <c r="G712" s="42"/>
      <c r="H712" s="42"/>
      <c r="I712" s="42"/>
      <c r="J712" s="22"/>
      <c r="K712" s="42"/>
    </row>
    <row r="713" ht="39.75" hidden="1" customHeight="1">
      <c r="A713" s="1">
        <v>712.0</v>
      </c>
      <c r="B713" s="2" t="s">
        <v>26</v>
      </c>
      <c r="C713" s="2" t="s">
        <v>13</v>
      </c>
      <c r="D713" s="13"/>
      <c r="E713" s="13"/>
      <c r="F713" s="45"/>
      <c r="G713" s="42"/>
      <c r="H713" s="42"/>
      <c r="I713" s="42"/>
      <c r="J713" s="22"/>
      <c r="K713" s="42"/>
    </row>
    <row r="714" ht="39.75" hidden="1" customHeight="1">
      <c r="A714" s="1">
        <v>713.0</v>
      </c>
      <c r="B714" s="2" t="s">
        <v>29</v>
      </c>
      <c r="C714" s="2" t="s">
        <v>13</v>
      </c>
      <c r="D714" s="13"/>
      <c r="E714" s="13"/>
      <c r="F714" s="45"/>
      <c r="G714" s="42"/>
      <c r="H714" s="42"/>
      <c r="I714" s="42"/>
      <c r="J714" s="22"/>
      <c r="K714" s="42"/>
    </row>
    <row r="715" ht="39.75" customHeight="1">
      <c r="A715" s="1">
        <v>714.0</v>
      </c>
      <c r="B715" s="2" t="s">
        <v>30</v>
      </c>
      <c r="C715" s="2"/>
      <c r="D715" s="40">
        <v>0.375</v>
      </c>
      <c r="E715" s="13"/>
      <c r="F715" s="44" t="s">
        <v>1843</v>
      </c>
      <c r="G715" s="43">
        <v>1.0</v>
      </c>
      <c r="H715" s="42"/>
      <c r="I715" s="43">
        <v>1.0</v>
      </c>
      <c r="J715" s="22"/>
      <c r="K715" s="42"/>
    </row>
    <row r="716" ht="39.75" hidden="1" customHeight="1">
      <c r="A716" s="1">
        <v>715.0</v>
      </c>
      <c r="B716" s="2" t="s">
        <v>31</v>
      </c>
      <c r="C716" s="2" t="s">
        <v>13</v>
      </c>
      <c r="D716" s="13"/>
      <c r="E716" s="13"/>
      <c r="F716" s="45"/>
      <c r="G716" s="42"/>
      <c r="H716" s="42"/>
      <c r="I716" s="42"/>
      <c r="J716" s="22"/>
      <c r="K716" s="42"/>
    </row>
    <row r="717" ht="39.75" hidden="1" customHeight="1">
      <c r="A717" s="1">
        <v>716.0</v>
      </c>
      <c r="B717" s="2" t="s">
        <v>32</v>
      </c>
      <c r="C717" s="2" t="s">
        <v>13</v>
      </c>
      <c r="D717" s="13"/>
      <c r="E717" s="13"/>
      <c r="F717" s="45"/>
      <c r="G717" s="42"/>
      <c r="H717" s="42"/>
      <c r="I717" s="42"/>
      <c r="J717" s="22"/>
      <c r="K717" s="42"/>
    </row>
    <row r="718" ht="39.75" hidden="1" customHeight="1">
      <c r="A718" s="1">
        <v>717.0</v>
      </c>
      <c r="B718" s="2" t="s">
        <v>67</v>
      </c>
      <c r="C718" s="2" t="s">
        <v>13</v>
      </c>
      <c r="D718" s="13"/>
      <c r="E718" s="13"/>
      <c r="F718" s="45"/>
      <c r="G718" s="42"/>
      <c r="H718" s="42"/>
      <c r="I718" s="42"/>
      <c r="J718" s="22"/>
      <c r="K718" s="42"/>
    </row>
    <row r="719" ht="39.75" customHeight="1">
      <c r="A719" s="1">
        <v>718.0</v>
      </c>
      <c r="B719" s="2" t="s">
        <v>34</v>
      </c>
      <c r="C719" s="2" t="s">
        <v>44</v>
      </c>
      <c r="D719" s="13"/>
      <c r="E719" s="13"/>
      <c r="F719" s="45"/>
      <c r="G719" s="42"/>
      <c r="H719" s="42"/>
      <c r="I719" s="42"/>
      <c r="J719" s="22"/>
      <c r="K719" s="42"/>
    </row>
    <row r="720" ht="39.75" customHeight="1">
      <c r="A720" s="1">
        <v>719.0</v>
      </c>
      <c r="B720" s="2" t="s">
        <v>35</v>
      </c>
      <c r="C720" s="2" t="s">
        <v>49</v>
      </c>
      <c r="D720" s="40"/>
      <c r="E720" s="51">
        <v>0.8125</v>
      </c>
      <c r="F720" s="44" t="s">
        <v>1844</v>
      </c>
      <c r="G720" s="42"/>
      <c r="H720" s="42"/>
      <c r="I720" s="43">
        <v>1.0</v>
      </c>
      <c r="J720" s="22"/>
      <c r="K720" s="42"/>
    </row>
    <row r="721" ht="39.75" hidden="1" customHeight="1">
      <c r="A721" s="1">
        <v>720.0</v>
      </c>
      <c r="B721" s="2" t="s">
        <v>36</v>
      </c>
      <c r="C721" s="2" t="s">
        <v>13</v>
      </c>
      <c r="D721" s="13"/>
      <c r="E721" s="13"/>
      <c r="F721" s="45"/>
      <c r="G721" s="42"/>
      <c r="H721" s="42"/>
      <c r="I721" s="42"/>
      <c r="J721" s="22"/>
      <c r="K721" s="42"/>
    </row>
    <row r="722" ht="39.75" customHeight="1">
      <c r="A722" s="1">
        <v>721.0</v>
      </c>
      <c r="B722" s="2" t="s">
        <v>38</v>
      </c>
      <c r="C722" s="2" t="s">
        <v>27</v>
      </c>
      <c r="D722" s="13"/>
      <c r="E722" s="13"/>
      <c r="F722" s="44" t="s">
        <v>1845</v>
      </c>
      <c r="G722" s="43">
        <v>1.0</v>
      </c>
      <c r="H722" s="42"/>
      <c r="I722" s="42"/>
      <c r="J722" s="22"/>
      <c r="K722" s="42"/>
    </row>
    <row r="723" ht="39.75" hidden="1" customHeight="1">
      <c r="A723" s="1">
        <v>722.0</v>
      </c>
      <c r="B723" s="2" t="s">
        <v>41</v>
      </c>
      <c r="C723" s="2" t="s">
        <v>13</v>
      </c>
      <c r="D723" s="13"/>
      <c r="E723" s="13"/>
      <c r="F723" s="45"/>
      <c r="G723" s="42"/>
      <c r="H723" s="42"/>
      <c r="I723" s="42"/>
      <c r="J723" s="22"/>
      <c r="K723" s="42"/>
    </row>
    <row r="724" ht="39.75" hidden="1" customHeight="1">
      <c r="A724" s="1">
        <v>723.0</v>
      </c>
      <c r="B724" s="2" t="s">
        <v>42</v>
      </c>
      <c r="C724" s="2" t="s">
        <v>13</v>
      </c>
      <c r="D724" s="13"/>
      <c r="E724" s="13"/>
      <c r="F724" s="45"/>
      <c r="G724" s="42"/>
      <c r="H724" s="42"/>
      <c r="I724" s="42"/>
      <c r="J724" s="22"/>
      <c r="K724" s="42"/>
    </row>
    <row r="725" ht="39.75" hidden="1" customHeight="1">
      <c r="A725" s="1">
        <v>724.0</v>
      </c>
      <c r="B725" s="2" t="s">
        <v>43</v>
      </c>
      <c r="C725" s="2" t="s">
        <v>13</v>
      </c>
      <c r="D725" s="13"/>
      <c r="E725" s="13"/>
      <c r="F725" s="45"/>
      <c r="G725" s="42"/>
      <c r="H725" s="42"/>
      <c r="I725" s="42"/>
      <c r="J725" s="22"/>
      <c r="K725" s="42"/>
    </row>
    <row r="726" ht="39.75" hidden="1" customHeight="1">
      <c r="A726" s="1">
        <v>725.0</v>
      </c>
      <c r="B726" s="2" t="s">
        <v>45</v>
      </c>
      <c r="C726" s="2" t="s">
        <v>13</v>
      </c>
      <c r="D726" s="13"/>
      <c r="E726" s="13"/>
      <c r="F726" s="45"/>
      <c r="G726" s="42"/>
      <c r="H726" s="42"/>
      <c r="I726" s="42"/>
      <c r="J726" s="22"/>
      <c r="K726" s="42"/>
    </row>
    <row r="727" ht="39.75" hidden="1" customHeight="1">
      <c r="A727" s="1">
        <v>726.0</v>
      </c>
      <c r="B727" s="2" t="s">
        <v>46</v>
      </c>
      <c r="C727" s="2" t="s">
        <v>13</v>
      </c>
      <c r="D727" s="13"/>
      <c r="E727" s="13"/>
      <c r="F727" s="45"/>
      <c r="G727" s="42"/>
      <c r="H727" s="42"/>
      <c r="I727" s="42"/>
      <c r="J727" s="22"/>
      <c r="K727" s="42"/>
    </row>
    <row r="728" ht="39.75" hidden="1" customHeight="1">
      <c r="A728" s="1">
        <v>727.0</v>
      </c>
      <c r="B728" s="2" t="s">
        <v>47</v>
      </c>
      <c r="C728" s="2" t="s">
        <v>13</v>
      </c>
      <c r="D728" s="13"/>
      <c r="E728" s="13"/>
      <c r="F728" s="45"/>
      <c r="G728" s="42"/>
      <c r="H728" s="42"/>
      <c r="I728" s="42"/>
      <c r="J728" s="22"/>
      <c r="K728" s="42"/>
    </row>
    <row r="729" ht="39.75" customHeight="1">
      <c r="A729" s="1">
        <v>728.0</v>
      </c>
      <c r="B729" s="2" t="s">
        <v>48</v>
      </c>
      <c r="C729" s="2" t="s">
        <v>49</v>
      </c>
      <c r="D729" s="13"/>
      <c r="E729" s="13"/>
      <c r="F729" s="61" t="s">
        <v>1846</v>
      </c>
      <c r="G729" s="43">
        <v>1.0</v>
      </c>
      <c r="H729" s="42"/>
      <c r="I729" s="43">
        <v>1.0</v>
      </c>
      <c r="J729" s="22"/>
      <c r="K729" s="42"/>
    </row>
    <row r="730" ht="39.75" customHeight="1">
      <c r="A730" s="1">
        <v>729.0</v>
      </c>
      <c r="B730" s="21"/>
      <c r="C730" s="21"/>
      <c r="D730" s="21"/>
      <c r="E730" s="21"/>
      <c r="F730" s="46"/>
      <c r="G730" s="47"/>
      <c r="H730" s="47"/>
      <c r="I730" s="47"/>
      <c r="J730" s="48"/>
      <c r="K730" s="47"/>
      <c r="L730" s="49"/>
      <c r="M730" s="49"/>
      <c r="N730" s="49"/>
    </row>
    <row r="731" ht="39.75" customHeight="1">
      <c r="A731" s="1">
        <v>730.0</v>
      </c>
      <c r="B731" s="2" t="s">
        <v>12</v>
      </c>
      <c r="C731" s="2" t="s">
        <v>62</v>
      </c>
      <c r="D731" s="13"/>
      <c r="E731" s="13"/>
      <c r="F731" s="44"/>
      <c r="G731" s="43"/>
      <c r="H731" s="42"/>
      <c r="I731" s="42"/>
      <c r="J731" s="27" t="s">
        <v>1544</v>
      </c>
      <c r="K731" s="42"/>
      <c r="L731" s="15" t="s">
        <v>452</v>
      </c>
    </row>
    <row r="732" ht="39.75" customHeight="1">
      <c r="A732" s="1">
        <v>731.0</v>
      </c>
      <c r="B732" s="2" t="s">
        <v>16</v>
      </c>
      <c r="C732" s="2" t="s">
        <v>39</v>
      </c>
      <c r="D732" s="13"/>
      <c r="E732" s="13"/>
      <c r="F732" s="44" t="s">
        <v>1847</v>
      </c>
      <c r="G732" s="43">
        <v>1.0</v>
      </c>
      <c r="H732" s="42"/>
      <c r="I732" s="42"/>
      <c r="J732" s="27" t="s">
        <v>452</v>
      </c>
      <c r="K732" s="43"/>
    </row>
    <row r="733" ht="39.75" hidden="1" customHeight="1">
      <c r="A733" s="1">
        <v>732.0</v>
      </c>
      <c r="B733" s="2" t="s">
        <v>17</v>
      </c>
      <c r="C733" s="2" t="s">
        <v>58</v>
      </c>
      <c r="D733" s="13"/>
      <c r="E733" s="13"/>
      <c r="F733" s="45"/>
      <c r="G733" s="42"/>
      <c r="H733" s="42"/>
      <c r="I733" s="42"/>
      <c r="J733" s="27" t="s">
        <v>56</v>
      </c>
      <c r="K733" s="42"/>
    </row>
    <row r="734" ht="39.75" customHeight="1">
      <c r="A734" s="1">
        <v>733.0</v>
      </c>
      <c r="B734" s="2" t="s">
        <v>331</v>
      </c>
      <c r="C734" s="2" t="s">
        <v>542</v>
      </c>
      <c r="D734" s="13"/>
      <c r="E734" s="13"/>
      <c r="F734" s="44" t="s">
        <v>1848</v>
      </c>
      <c r="G734" s="43">
        <v>1.0</v>
      </c>
      <c r="H734" s="42"/>
      <c r="I734" s="42"/>
      <c r="J734" s="22"/>
      <c r="K734" s="42"/>
    </row>
    <row r="735" ht="39.75" customHeight="1">
      <c r="A735" s="1">
        <v>734.0</v>
      </c>
      <c r="B735" s="2" t="s">
        <v>21</v>
      </c>
      <c r="C735" s="2"/>
      <c r="D735" s="13"/>
      <c r="E735" s="13"/>
      <c r="F735" s="45"/>
      <c r="G735" s="42"/>
      <c r="H735" s="42"/>
      <c r="I735" s="42"/>
      <c r="J735" s="22"/>
      <c r="K735" s="42"/>
    </row>
    <row r="736" ht="39.75" hidden="1" customHeight="1">
      <c r="A736" s="1">
        <v>735.0</v>
      </c>
      <c r="B736" s="2" t="s">
        <v>22</v>
      </c>
      <c r="C736" s="2" t="s">
        <v>58</v>
      </c>
      <c r="D736" s="13"/>
      <c r="E736" s="13"/>
      <c r="F736" s="45"/>
      <c r="G736" s="42"/>
      <c r="H736" s="42"/>
      <c r="I736" s="42"/>
      <c r="J736" s="22"/>
      <c r="K736" s="42"/>
    </row>
    <row r="737" ht="39.75" customHeight="1">
      <c r="A737" s="1">
        <v>736.0</v>
      </c>
      <c r="B737" s="2" t="s">
        <v>23</v>
      </c>
      <c r="C737" s="2"/>
      <c r="D737" s="13"/>
      <c r="E737" s="13"/>
      <c r="F737" s="44" t="s">
        <v>1849</v>
      </c>
      <c r="G737" s="43">
        <v>1.0</v>
      </c>
      <c r="H737" s="42"/>
      <c r="I737" s="42"/>
      <c r="J737" s="22"/>
      <c r="K737" s="42"/>
    </row>
    <row r="738" ht="39.75" customHeight="1">
      <c r="A738" s="1">
        <v>737.0</v>
      </c>
      <c r="B738" s="2" t="s">
        <v>24</v>
      </c>
      <c r="C738" s="2"/>
      <c r="D738" s="13"/>
      <c r="E738" s="13"/>
      <c r="F738" s="44" t="s">
        <v>1850</v>
      </c>
      <c r="G738" s="43">
        <v>1.0</v>
      </c>
      <c r="H738" s="42"/>
      <c r="I738" s="42"/>
      <c r="J738" s="22"/>
      <c r="K738" s="42"/>
    </row>
    <row r="739" ht="39.75" customHeight="1">
      <c r="A739" s="1">
        <v>738.0</v>
      </c>
      <c r="B739" s="2" t="s">
        <v>25</v>
      </c>
      <c r="C739" s="2" t="s">
        <v>54</v>
      </c>
      <c r="D739" s="13"/>
      <c r="E739" s="13"/>
      <c r="F739" s="44" t="s">
        <v>1851</v>
      </c>
      <c r="G739" s="43">
        <v>1.0</v>
      </c>
      <c r="H739" s="42"/>
      <c r="I739" s="42"/>
      <c r="J739" s="22"/>
      <c r="K739" s="42"/>
    </row>
    <row r="740" ht="39.75" customHeight="1">
      <c r="A740" s="1">
        <v>739.0</v>
      </c>
      <c r="B740" s="2" t="s">
        <v>26</v>
      </c>
      <c r="C740" s="2" t="s">
        <v>54</v>
      </c>
      <c r="D740" s="13"/>
      <c r="E740" s="13"/>
      <c r="F740" s="45"/>
      <c r="G740" s="42"/>
      <c r="H740" s="42"/>
      <c r="I740" s="42"/>
      <c r="J740" s="22"/>
      <c r="K740" s="42"/>
    </row>
    <row r="741" ht="39.75" hidden="1" customHeight="1">
      <c r="A741" s="1">
        <v>740.0</v>
      </c>
      <c r="B741" s="2" t="s">
        <v>29</v>
      </c>
      <c r="C741" s="2" t="s">
        <v>58</v>
      </c>
      <c r="D741" s="13"/>
      <c r="E741" s="13"/>
      <c r="F741" s="45"/>
      <c r="G741" s="42"/>
      <c r="H741" s="42"/>
      <c r="I741" s="42"/>
      <c r="J741" s="22"/>
      <c r="K741" s="42"/>
    </row>
    <row r="742" ht="39.75" customHeight="1">
      <c r="A742" s="1">
        <v>741.0</v>
      </c>
      <c r="B742" s="2" t="s">
        <v>30</v>
      </c>
      <c r="C742" s="2" t="s">
        <v>64</v>
      </c>
      <c r="D742" s="13"/>
      <c r="E742" s="13"/>
      <c r="F742" s="45"/>
      <c r="G742" s="42"/>
      <c r="H742" s="42"/>
      <c r="I742" s="42"/>
      <c r="J742" s="22"/>
      <c r="K742" s="42"/>
    </row>
    <row r="743" ht="39.75" customHeight="1">
      <c r="A743" s="1">
        <v>742.0</v>
      </c>
      <c r="B743" s="2" t="s">
        <v>31</v>
      </c>
      <c r="C743" s="2" t="s">
        <v>69</v>
      </c>
      <c r="D743" s="13"/>
      <c r="E743" s="13"/>
      <c r="F743" s="44" t="s">
        <v>472</v>
      </c>
      <c r="G743" s="42"/>
      <c r="H743" s="42"/>
      <c r="I743" s="42"/>
      <c r="J743" s="22"/>
      <c r="K743" s="42"/>
    </row>
    <row r="744" ht="39.75" customHeight="1">
      <c r="A744" s="1">
        <v>743.0</v>
      </c>
      <c r="B744" s="2" t="s">
        <v>32</v>
      </c>
      <c r="C744" s="2"/>
      <c r="D744" s="13"/>
      <c r="E744" s="13"/>
      <c r="F744" s="44" t="s">
        <v>1852</v>
      </c>
      <c r="G744" s="43">
        <v>1.0</v>
      </c>
      <c r="H744" s="42"/>
      <c r="I744" s="43">
        <v>1.0</v>
      </c>
      <c r="J744" s="22"/>
      <c r="K744" s="42"/>
    </row>
    <row r="745" ht="39.75" hidden="1" customHeight="1">
      <c r="A745" s="1">
        <v>744.0</v>
      </c>
      <c r="B745" s="2" t="s">
        <v>67</v>
      </c>
      <c r="C745" s="2" t="s">
        <v>66</v>
      </c>
      <c r="D745" s="13"/>
      <c r="E745" s="13"/>
      <c r="F745" s="45"/>
      <c r="G745" s="42"/>
      <c r="H745" s="42"/>
      <c r="I745" s="42"/>
      <c r="J745" s="22"/>
      <c r="K745" s="42"/>
    </row>
    <row r="746" ht="39.75" customHeight="1">
      <c r="A746" s="1">
        <v>745.0</v>
      </c>
      <c r="B746" s="2" t="s">
        <v>34</v>
      </c>
      <c r="C746" s="2" t="s">
        <v>69</v>
      </c>
      <c r="D746" s="13"/>
      <c r="E746" s="13"/>
      <c r="F746" s="45"/>
      <c r="G746" s="42"/>
      <c r="H746" s="42"/>
      <c r="I746" s="42"/>
      <c r="J746" s="22"/>
      <c r="K746" s="42"/>
    </row>
    <row r="747" ht="39.75" customHeight="1">
      <c r="A747" s="1">
        <v>746.0</v>
      </c>
      <c r="B747" s="2" t="s">
        <v>35</v>
      </c>
      <c r="C747" s="2" t="s">
        <v>27</v>
      </c>
      <c r="D747" s="13"/>
      <c r="E747" s="13"/>
      <c r="F747" s="44" t="s">
        <v>1853</v>
      </c>
      <c r="G747" s="43">
        <v>1.0</v>
      </c>
      <c r="H747" s="42"/>
      <c r="I747" s="43">
        <v>1.0</v>
      </c>
      <c r="J747" s="22"/>
      <c r="K747" s="42"/>
    </row>
    <row r="748" ht="39.75" customHeight="1">
      <c r="A748" s="1">
        <v>747.0</v>
      </c>
      <c r="B748" s="2" t="s">
        <v>36</v>
      </c>
      <c r="C748" s="2" t="s">
        <v>54</v>
      </c>
      <c r="D748" s="13"/>
      <c r="E748" s="13"/>
      <c r="F748" s="44" t="s">
        <v>1854</v>
      </c>
      <c r="G748" s="43">
        <v>1.0</v>
      </c>
      <c r="H748" s="42"/>
      <c r="I748" s="42"/>
      <c r="J748" s="22"/>
      <c r="K748" s="42"/>
    </row>
    <row r="749" ht="39.75" customHeight="1">
      <c r="A749" s="1">
        <v>748.0</v>
      </c>
      <c r="B749" s="2" t="s">
        <v>38</v>
      </c>
      <c r="C749" s="2" t="s">
        <v>44</v>
      </c>
      <c r="D749" s="13"/>
      <c r="E749" s="13"/>
      <c r="F749" s="45"/>
      <c r="G749" s="42"/>
      <c r="H749" s="42"/>
      <c r="I749" s="42"/>
      <c r="J749" s="22"/>
      <c r="K749" s="42"/>
    </row>
    <row r="750" ht="39.75" hidden="1" customHeight="1">
      <c r="A750" s="1">
        <v>749.0</v>
      </c>
      <c r="B750" s="2" t="s">
        <v>41</v>
      </c>
      <c r="C750" s="2" t="s">
        <v>58</v>
      </c>
      <c r="D750" s="13"/>
      <c r="E750" s="13"/>
      <c r="F750" s="45"/>
      <c r="G750" s="42"/>
      <c r="H750" s="42"/>
      <c r="I750" s="42"/>
      <c r="J750" s="22"/>
      <c r="K750" s="42"/>
    </row>
    <row r="751" ht="39.75" hidden="1" customHeight="1">
      <c r="A751" s="1">
        <v>750.0</v>
      </c>
      <c r="B751" s="2" t="s">
        <v>42</v>
      </c>
      <c r="C751" s="2" t="s">
        <v>58</v>
      </c>
      <c r="D751" s="13"/>
      <c r="E751" s="13"/>
      <c r="F751" s="45"/>
      <c r="G751" s="42"/>
      <c r="H751" s="42"/>
      <c r="I751" s="42"/>
      <c r="J751" s="22"/>
      <c r="K751" s="42"/>
    </row>
    <row r="752" ht="39.75" customHeight="1">
      <c r="A752" s="1">
        <v>751.0</v>
      </c>
      <c r="B752" s="2" t="s">
        <v>43</v>
      </c>
      <c r="C752" s="2" t="s">
        <v>39</v>
      </c>
      <c r="D752" s="13"/>
      <c r="E752" s="13"/>
      <c r="F752" s="44" t="s">
        <v>1855</v>
      </c>
      <c r="G752" s="43">
        <v>1.0</v>
      </c>
      <c r="H752" s="42"/>
      <c r="I752" s="43">
        <v>1.0</v>
      </c>
      <c r="J752" s="22"/>
      <c r="K752" s="42"/>
    </row>
    <row r="753" ht="39.75" customHeight="1">
      <c r="A753" s="1">
        <v>752.0</v>
      </c>
      <c r="B753" s="2" t="s">
        <v>45</v>
      </c>
      <c r="C753" s="2" t="s">
        <v>54</v>
      </c>
      <c r="D753" s="13"/>
      <c r="E753" s="13"/>
      <c r="F753" s="44" t="s">
        <v>1856</v>
      </c>
      <c r="G753" s="43">
        <v>1.0</v>
      </c>
      <c r="H753" s="42"/>
      <c r="I753" s="42"/>
      <c r="J753" s="22"/>
      <c r="K753" s="42"/>
    </row>
    <row r="754" ht="39.75" customHeight="1">
      <c r="A754" s="1">
        <v>753.0</v>
      </c>
      <c r="B754" s="2" t="s">
        <v>46</v>
      </c>
      <c r="C754" s="13"/>
      <c r="D754" s="13"/>
      <c r="E754" s="13"/>
      <c r="F754" s="44" t="s">
        <v>1857</v>
      </c>
      <c r="G754" s="43">
        <v>1.0</v>
      </c>
      <c r="H754" s="42"/>
      <c r="I754" s="42"/>
      <c r="J754" s="22"/>
      <c r="K754" s="42"/>
    </row>
    <row r="755" ht="39.75" customHeight="1">
      <c r="A755" s="1">
        <v>754.0</v>
      </c>
      <c r="B755" s="2" t="s">
        <v>47</v>
      </c>
      <c r="C755" s="2" t="s">
        <v>69</v>
      </c>
      <c r="D755" s="13"/>
      <c r="E755" s="13"/>
      <c r="F755" s="44" t="s">
        <v>1858</v>
      </c>
      <c r="G755" s="43">
        <v>1.0</v>
      </c>
      <c r="H755" s="42"/>
      <c r="I755" s="43">
        <v>1.0</v>
      </c>
      <c r="J755" s="22"/>
      <c r="K755" s="42"/>
    </row>
    <row r="756" ht="39.75" customHeight="1">
      <c r="A756" s="1">
        <v>755.0</v>
      </c>
      <c r="B756" s="2" t="s">
        <v>48</v>
      </c>
      <c r="C756" s="13"/>
      <c r="D756" s="13"/>
      <c r="E756" s="13"/>
      <c r="F756" s="44" t="s">
        <v>1859</v>
      </c>
      <c r="G756" s="43">
        <v>1.0</v>
      </c>
      <c r="H756" s="42"/>
      <c r="I756" s="42"/>
      <c r="J756" s="22"/>
      <c r="K756" s="42"/>
    </row>
    <row r="757" ht="39.75" customHeight="1">
      <c r="A757" s="1">
        <v>756.0</v>
      </c>
      <c r="B757" s="21"/>
      <c r="C757" s="21"/>
      <c r="D757" s="21"/>
      <c r="E757" s="21"/>
      <c r="F757" s="46"/>
      <c r="G757" s="47"/>
      <c r="H757" s="47"/>
      <c r="I757" s="47"/>
      <c r="J757" s="48"/>
      <c r="K757" s="47"/>
      <c r="L757" s="49"/>
      <c r="M757" s="49"/>
      <c r="N757" s="49"/>
    </row>
    <row r="758" ht="39.75" hidden="1" customHeight="1">
      <c r="A758" s="1">
        <v>757.0</v>
      </c>
      <c r="B758" s="2" t="s">
        <v>12</v>
      </c>
      <c r="C758" s="2" t="s">
        <v>58</v>
      </c>
      <c r="D758" s="13"/>
      <c r="E758" s="13"/>
      <c r="F758" s="45"/>
      <c r="G758" s="42"/>
      <c r="H758" s="42"/>
      <c r="I758" s="42"/>
      <c r="J758" s="27" t="s">
        <v>1544</v>
      </c>
      <c r="K758" s="42"/>
      <c r="L758" s="15" t="s">
        <v>460</v>
      </c>
    </row>
    <row r="759" ht="39.75" customHeight="1">
      <c r="A759" s="1">
        <v>758.0</v>
      </c>
      <c r="B759" s="2" t="s">
        <v>16</v>
      </c>
      <c r="C759" s="2" t="s">
        <v>69</v>
      </c>
      <c r="D759" s="13"/>
      <c r="E759" s="13"/>
      <c r="F759" s="44" t="s">
        <v>1860</v>
      </c>
      <c r="G759" s="43">
        <v>2.0</v>
      </c>
      <c r="H759" s="42"/>
      <c r="I759" s="43">
        <v>2.0</v>
      </c>
      <c r="J759" s="27" t="s">
        <v>460</v>
      </c>
      <c r="K759" s="43"/>
    </row>
    <row r="760" ht="39.75" customHeight="1">
      <c r="A760" s="1">
        <v>759.0</v>
      </c>
      <c r="B760" s="2" t="s">
        <v>17</v>
      </c>
      <c r="C760" s="2" t="s">
        <v>69</v>
      </c>
      <c r="D760" s="13"/>
      <c r="E760" s="13"/>
      <c r="F760" s="45"/>
      <c r="G760" s="42"/>
      <c r="H760" s="42"/>
      <c r="I760" s="43"/>
      <c r="J760" s="27" t="s">
        <v>77</v>
      </c>
      <c r="K760" s="42"/>
    </row>
    <row r="761" ht="39.75" customHeight="1">
      <c r="A761" s="1">
        <v>760.0</v>
      </c>
      <c r="B761" s="2" t="s">
        <v>331</v>
      </c>
      <c r="C761" s="2" t="s">
        <v>542</v>
      </c>
      <c r="D761" s="13"/>
      <c r="E761" s="13"/>
      <c r="F761" s="44"/>
      <c r="G761" s="42"/>
      <c r="H761" s="42"/>
      <c r="I761" s="42"/>
      <c r="J761" s="22"/>
      <c r="K761" s="42"/>
    </row>
    <row r="762" ht="39.75" customHeight="1">
      <c r="A762" s="1">
        <v>761.0</v>
      </c>
      <c r="B762" s="2" t="s">
        <v>21</v>
      </c>
      <c r="C762" s="2"/>
      <c r="D762" s="13"/>
      <c r="E762" s="13"/>
      <c r="F762" s="44" t="s">
        <v>577</v>
      </c>
      <c r="G762" s="43">
        <v>1.0</v>
      </c>
      <c r="H762" s="42"/>
      <c r="I762" s="42"/>
      <c r="J762" s="22"/>
      <c r="K762" s="42"/>
    </row>
    <row r="763" ht="39.75" customHeight="1">
      <c r="A763" s="1">
        <v>762.0</v>
      </c>
      <c r="B763" s="2" t="s">
        <v>22</v>
      </c>
      <c r="C763" s="2" t="s">
        <v>39</v>
      </c>
      <c r="D763" s="13"/>
      <c r="E763" s="13"/>
      <c r="F763" s="44" t="s">
        <v>1861</v>
      </c>
      <c r="G763" s="43">
        <v>1.0</v>
      </c>
      <c r="H763" s="42"/>
      <c r="I763" s="42"/>
      <c r="J763" s="22"/>
      <c r="K763" s="42"/>
    </row>
    <row r="764" ht="39.75" customHeight="1">
      <c r="A764" s="1">
        <v>763.0</v>
      </c>
      <c r="B764" s="2" t="s">
        <v>23</v>
      </c>
      <c r="C764" s="2" t="s">
        <v>27</v>
      </c>
      <c r="D764" s="13"/>
      <c r="E764" s="13"/>
      <c r="F764" s="44" t="s">
        <v>1862</v>
      </c>
      <c r="G764" s="43">
        <v>2.0</v>
      </c>
      <c r="H764" s="42"/>
      <c r="I764" s="43">
        <v>2.0</v>
      </c>
      <c r="J764" s="22"/>
      <c r="K764" s="42"/>
    </row>
    <row r="765" ht="39.75" customHeight="1">
      <c r="A765" s="1">
        <v>764.0</v>
      </c>
      <c r="B765" s="2" t="s">
        <v>24</v>
      </c>
      <c r="C765" s="2"/>
      <c r="D765" s="13"/>
      <c r="E765" s="13"/>
      <c r="F765" s="44" t="s">
        <v>1389</v>
      </c>
      <c r="G765" s="42"/>
      <c r="H765" s="42"/>
      <c r="I765" s="42"/>
      <c r="J765" s="22"/>
      <c r="K765" s="42"/>
    </row>
    <row r="766" ht="39.75" customHeight="1">
      <c r="A766" s="1">
        <v>765.0</v>
      </c>
      <c r="B766" s="2" t="s">
        <v>25</v>
      </c>
      <c r="C766" s="2" t="s">
        <v>54</v>
      </c>
      <c r="D766" s="13"/>
      <c r="E766" s="13"/>
      <c r="F766" s="45"/>
      <c r="G766" s="42"/>
      <c r="H766" s="42"/>
      <c r="I766" s="42"/>
      <c r="J766" s="22"/>
      <c r="K766" s="42"/>
    </row>
    <row r="767" ht="39.75" customHeight="1">
      <c r="A767" s="1">
        <v>766.0</v>
      </c>
      <c r="B767" s="2" t="s">
        <v>26</v>
      </c>
      <c r="C767" s="2" t="s">
        <v>54</v>
      </c>
      <c r="D767" s="13"/>
      <c r="E767" s="13"/>
      <c r="F767" s="44" t="s">
        <v>1863</v>
      </c>
      <c r="G767" s="43">
        <v>1.0</v>
      </c>
      <c r="H767" s="42"/>
      <c r="I767" s="42"/>
      <c r="J767" s="22"/>
      <c r="K767" s="42"/>
    </row>
    <row r="768" ht="39.75" customHeight="1">
      <c r="A768" s="1">
        <v>767.0</v>
      </c>
      <c r="B768" s="2" t="s">
        <v>29</v>
      </c>
      <c r="C768" s="2"/>
      <c r="D768" s="13"/>
      <c r="E768" s="13"/>
      <c r="F768" s="45"/>
      <c r="G768" s="42"/>
      <c r="H768" s="42"/>
      <c r="I768" s="42"/>
      <c r="J768" s="22"/>
      <c r="K768" s="42"/>
    </row>
    <row r="769" ht="39.75" customHeight="1">
      <c r="A769" s="1">
        <v>768.0</v>
      </c>
      <c r="B769" s="2" t="s">
        <v>30</v>
      </c>
      <c r="C769" s="2" t="s">
        <v>64</v>
      </c>
      <c r="D769" s="13"/>
      <c r="E769" s="13"/>
      <c r="F769" s="45"/>
      <c r="G769" s="42"/>
      <c r="H769" s="42"/>
      <c r="I769" s="42"/>
      <c r="J769" s="22"/>
      <c r="K769" s="42"/>
    </row>
    <row r="770" ht="39.75" customHeight="1">
      <c r="A770" s="1">
        <v>769.0</v>
      </c>
      <c r="B770" s="2" t="s">
        <v>31</v>
      </c>
      <c r="C770" s="2"/>
      <c r="D770" s="13"/>
      <c r="E770" s="13"/>
      <c r="F770" s="44" t="s">
        <v>472</v>
      </c>
      <c r="G770" s="42"/>
      <c r="H770" s="42"/>
      <c r="I770" s="42"/>
      <c r="J770" s="22"/>
      <c r="K770" s="42"/>
    </row>
    <row r="771" ht="39.75" customHeight="1">
      <c r="A771" s="1">
        <v>770.0</v>
      </c>
      <c r="B771" s="2" t="s">
        <v>32</v>
      </c>
      <c r="C771" s="2"/>
      <c r="D771" s="13"/>
      <c r="E771" s="13"/>
      <c r="F771" s="44" t="s">
        <v>1864</v>
      </c>
      <c r="G771" s="43">
        <v>1.0</v>
      </c>
      <c r="H771" s="42"/>
      <c r="I771" s="42"/>
      <c r="J771" s="22"/>
      <c r="K771" s="42"/>
    </row>
    <row r="772" ht="39.75" hidden="1" customHeight="1">
      <c r="A772" s="1">
        <v>771.0</v>
      </c>
      <c r="B772" s="2" t="s">
        <v>67</v>
      </c>
      <c r="C772" s="2" t="s">
        <v>58</v>
      </c>
      <c r="D772" s="13"/>
      <c r="E772" s="13"/>
      <c r="F772" s="45"/>
      <c r="G772" s="42"/>
      <c r="H772" s="42"/>
      <c r="I772" s="42"/>
      <c r="J772" s="22"/>
      <c r="K772" s="42"/>
    </row>
    <row r="773" ht="39.75" customHeight="1">
      <c r="A773" s="1">
        <v>772.0</v>
      </c>
      <c r="B773" s="2" t="s">
        <v>34</v>
      </c>
      <c r="C773" s="2" t="s">
        <v>69</v>
      </c>
      <c r="D773" s="13"/>
      <c r="E773" s="13"/>
      <c r="F773" s="44" t="s">
        <v>1865</v>
      </c>
      <c r="G773" s="43">
        <v>1.0</v>
      </c>
      <c r="H773" s="42"/>
      <c r="I773" s="43">
        <v>1.0</v>
      </c>
      <c r="J773" s="22"/>
      <c r="K773" s="42"/>
    </row>
    <row r="774" ht="39.75" customHeight="1">
      <c r="A774" s="1">
        <v>773.0</v>
      </c>
      <c r="B774" s="2" t="s">
        <v>35</v>
      </c>
      <c r="C774" s="2" t="s">
        <v>44</v>
      </c>
      <c r="D774" s="13"/>
      <c r="E774" s="13"/>
      <c r="F774" s="45"/>
      <c r="G774" s="42"/>
      <c r="H774" s="42"/>
      <c r="I774" s="42"/>
      <c r="J774" s="22"/>
      <c r="K774" s="42"/>
    </row>
    <row r="775" ht="39.75" customHeight="1">
      <c r="A775" s="1">
        <v>774.0</v>
      </c>
      <c r="B775" s="2" t="s">
        <v>36</v>
      </c>
      <c r="C775" s="2" t="s">
        <v>54</v>
      </c>
      <c r="D775" s="2"/>
      <c r="E775" s="13"/>
      <c r="F775" s="44" t="s">
        <v>1866</v>
      </c>
      <c r="G775" s="43">
        <v>1.0</v>
      </c>
      <c r="H775" s="43">
        <v>1.0</v>
      </c>
      <c r="I775" s="42"/>
      <c r="J775" s="22"/>
      <c r="K775" s="42"/>
    </row>
    <row r="776" ht="39.75" customHeight="1">
      <c r="A776" s="1">
        <v>775.0</v>
      </c>
      <c r="B776" s="2" t="s">
        <v>38</v>
      </c>
      <c r="C776" s="2"/>
      <c r="D776" s="13"/>
      <c r="E776" s="13"/>
      <c r="F776" s="44" t="s">
        <v>1867</v>
      </c>
      <c r="G776" s="43">
        <v>1.0</v>
      </c>
      <c r="H776" s="42"/>
      <c r="I776" s="43">
        <v>1.0</v>
      </c>
      <c r="J776" s="22"/>
      <c r="K776" s="42"/>
    </row>
    <row r="777" ht="39.75" hidden="1" customHeight="1">
      <c r="A777" s="1">
        <v>776.0</v>
      </c>
      <c r="B777" s="2" t="s">
        <v>41</v>
      </c>
      <c r="C777" s="2" t="s">
        <v>58</v>
      </c>
      <c r="D777" s="13"/>
      <c r="E777" s="13"/>
      <c r="F777" s="45"/>
      <c r="G777" s="42"/>
      <c r="H777" s="42"/>
      <c r="I777" s="42"/>
      <c r="J777" s="22"/>
      <c r="K777" s="42"/>
    </row>
    <row r="778" ht="39.75" customHeight="1">
      <c r="A778" s="1">
        <v>777.0</v>
      </c>
      <c r="B778" s="2" t="s">
        <v>42</v>
      </c>
      <c r="C778" s="2" t="s">
        <v>39</v>
      </c>
      <c r="D778" s="13"/>
      <c r="E778" s="13"/>
      <c r="F778" s="44" t="s">
        <v>1868</v>
      </c>
      <c r="G778" s="43">
        <v>1.0</v>
      </c>
      <c r="H778" s="42"/>
      <c r="I778" s="42"/>
      <c r="J778" s="22"/>
      <c r="K778" s="42"/>
    </row>
    <row r="779" ht="39.75" customHeight="1">
      <c r="A779" s="1">
        <v>778.0</v>
      </c>
      <c r="B779" s="2" t="s">
        <v>43</v>
      </c>
      <c r="C779" s="2"/>
      <c r="D779" s="13"/>
      <c r="E779" s="13"/>
      <c r="F779" s="44" t="s">
        <v>1869</v>
      </c>
      <c r="G779" s="43">
        <v>1.0</v>
      </c>
      <c r="H779" s="42"/>
      <c r="I779" s="43">
        <v>1.0</v>
      </c>
      <c r="J779" s="22"/>
      <c r="K779" s="42"/>
    </row>
    <row r="780" ht="39.75" customHeight="1">
      <c r="A780" s="1">
        <v>779.0</v>
      </c>
      <c r="B780" s="2" t="s">
        <v>45</v>
      </c>
      <c r="C780" s="2" t="s">
        <v>54</v>
      </c>
      <c r="D780" s="13"/>
      <c r="E780" s="13"/>
      <c r="F780" s="44" t="s">
        <v>1870</v>
      </c>
      <c r="G780" s="43">
        <v>1.0</v>
      </c>
      <c r="H780" s="42"/>
      <c r="I780" s="42"/>
      <c r="J780" s="22"/>
      <c r="K780" s="42"/>
    </row>
    <row r="781" ht="39.75" hidden="1" customHeight="1">
      <c r="A781" s="1">
        <v>780.0</v>
      </c>
      <c r="B781" s="2" t="s">
        <v>46</v>
      </c>
      <c r="C781" s="2" t="s">
        <v>58</v>
      </c>
      <c r="D781" s="13"/>
      <c r="E781" s="13"/>
      <c r="F781" s="45"/>
      <c r="G781" s="42"/>
      <c r="H781" s="42"/>
      <c r="I781" s="42"/>
      <c r="J781" s="22"/>
      <c r="K781" s="42"/>
    </row>
    <row r="782" ht="39.75" hidden="1" customHeight="1">
      <c r="A782" s="1">
        <v>781.0</v>
      </c>
      <c r="B782" s="2" t="s">
        <v>47</v>
      </c>
      <c r="C782" s="2" t="s">
        <v>66</v>
      </c>
      <c r="D782" s="13"/>
      <c r="E782" s="13"/>
      <c r="F782" s="45"/>
      <c r="G782" s="42"/>
      <c r="H782" s="42"/>
      <c r="I782" s="42"/>
      <c r="J782" s="22"/>
      <c r="K782" s="42"/>
    </row>
    <row r="783" ht="39.75" hidden="1" customHeight="1">
      <c r="A783" s="1">
        <v>782.0</v>
      </c>
      <c r="B783" s="2" t="s">
        <v>48</v>
      </c>
      <c r="C783" s="2" t="s">
        <v>58</v>
      </c>
      <c r="D783" s="13"/>
      <c r="E783" s="13"/>
      <c r="F783" s="45"/>
      <c r="G783" s="42"/>
      <c r="H783" s="42"/>
      <c r="I783" s="42"/>
      <c r="J783" s="22"/>
      <c r="K783" s="42"/>
    </row>
    <row r="784" ht="39.75" customHeight="1">
      <c r="A784" s="1">
        <v>783.0</v>
      </c>
      <c r="B784" s="21"/>
      <c r="C784" s="21"/>
      <c r="D784" s="21"/>
      <c r="E784" s="21"/>
      <c r="F784" s="46"/>
      <c r="G784" s="47"/>
      <c r="H784" s="47"/>
      <c r="I784" s="47"/>
      <c r="J784" s="48"/>
      <c r="K784" s="47"/>
      <c r="L784" s="49"/>
      <c r="M784" s="49"/>
      <c r="N784" s="49"/>
    </row>
    <row r="785" ht="39.75" customHeight="1">
      <c r="A785" s="1">
        <v>784.0</v>
      </c>
      <c r="B785" s="2" t="s">
        <v>116</v>
      </c>
      <c r="C785" s="2" t="s">
        <v>1466</v>
      </c>
      <c r="D785" s="13"/>
      <c r="E785" s="51">
        <v>0.8333333333333334</v>
      </c>
      <c r="F785" s="44" t="s">
        <v>1871</v>
      </c>
      <c r="G785" s="43">
        <v>1.0</v>
      </c>
      <c r="H785" s="42"/>
      <c r="I785" s="42"/>
      <c r="J785" s="27" t="s">
        <v>1544</v>
      </c>
      <c r="K785" s="42"/>
      <c r="L785" s="15" t="s">
        <v>467</v>
      </c>
    </row>
    <row r="786" ht="39.75" customHeight="1">
      <c r="A786" s="1">
        <v>785.0</v>
      </c>
      <c r="B786" s="2" t="s">
        <v>16</v>
      </c>
      <c r="C786" s="2"/>
      <c r="D786" s="13"/>
      <c r="E786" s="13"/>
      <c r="F786" s="44" t="s">
        <v>1389</v>
      </c>
      <c r="G786" s="43">
        <v>1.0</v>
      </c>
      <c r="H786" s="42"/>
      <c r="I786" s="43">
        <v>1.0</v>
      </c>
      <c r="J786" s="27" t="s">
        <v>467</v>
      </c>
      <c r="K786" s="43"/>
    </row>
    <row r="787" ht="39.75" customHeight="1">
      <c r="A787" s="1">
        <v>786.0</v>
      </c>
      <c r="B787" s="2" t="s">
        <v>17</v>
      </c>
      <c r="C787" s="2"/>
      <c r="D787" s="13"/>
      <c r="E787" s="13"/>
      <c r="F787" s="44" t="s">
        <v>1872</v>
      </c>
      <c r="G787" s="43">
        <v>1.0</v>
      </c>
      <c r="H787" s="42"/>
      <c r="I787" s="42"/>
      <c r="J787" s="27" t="s">
        <v>95</v>
      </c>
      <c r="K787" s="42"/>
    </row>
    <row r="788" ht="39.75" customHeight="1">
      <c r="A788" s="1">
        <v>787.0</v>
      </c>
      <c r="B788" s="2" t="s">
        <v>331</v>
      </c>
      <c r="C788" s="2" t="s">
        <v>542</v>
      </c>
      <c r="D788" s="13"/>
      <c r="E788" s="13"/>
      <c r="F788" s="44"/>
      <c r="G788" s="42"/>
      <c r="H788" s="42"/>
      <c r="I788" s="42"/>
      <c r="J788" s="22"/>
      <c r="K788" s="42"/>
    </row>
    <row r="789" ht="39.75" customHeight="1">
      <c r="A789" s="1">
        <v>788.0</v>
      </c>
      <c r="B789" s="2" t="s">
        <v>21</v>
      </c>
      <c r="C789" s="2"/>
      <c r="D789" s="13"/>
      <c r="E789" s="13"/>
      <c r="F789" s="44" t="s">
        <v>1873</v>
      </c>
      <c r="G789" s="43">
        <v>1.0</v>
      </c>
      <c r="H789" s="42"/>
      <c r="I789" s="42"/>
      <c r="J789" s="22"/>
      <c r="K789" s="42"/>
    </row>
    <row r="790" ht="39.75" customHeight="1">
      <c r="A790" s="1">
        <v>789.0</v>
      </c>
      <c r="B790" s="2" t="s">
        <v>22</v>
      </c>
      <c r="C790" s="2" t="s">
        <v>69</v>
      </c>
      <c r="D790" s="13"/>
      <c r="E790" s="13"/>
      <c r="F790" s="44" t="s">
        <v>1874</v>
      </c>
      <c r="G790" s="43">
        <v>1.0</v>
      </c>
      <c r="H790" s="42"/>
      <c r="I790" s="42"/>
      <c r="J790" s="22"/>
      <c r="K790" s="42"/>
    </row>
    <row r="791" ht="39.75" customHeight="1">
      <c r="A791" s="1">
        <v>790.0</v>
      </c>
      <c r="B791" s="2" t="s">
        <v>23</v>
      </c>
      <c r="C791" s="2" t="s">
        <v>44</v>
      </c>
      <c r="D791" s="13"/>
      <c r="E791" s="55">
        <v>0.3333333333333333</v>
      </c>
      <c r="F791" s="52" t="s">
        <v>1875</v>
      </c>
      <c r="G791" s="56">
        <v>1.0</v>
      </c>
      <c r="H791" s="42"/>
      <c r="I791" s="42"/>
      <c r="J791" s="22"/>
      <c r="K791" s="42"/>
    </row>
    <row r="792" ht="39.75" customHeight="1">
      <c r="A792" s="1">
        <v>791.0</v>
      </c>
      <c r="B792" s="2" t="s">
        <v>24</v>
      </c>
      <c r="C792" s="2"/>
      <c r="D792" s="13"/>
      <c r="E792" s="13"/>
      <c r="F792" s="44" t="s">
        <v>1876</v>
      </c>
      <c r="G792" s="43">
        <v>1.0</v>
      </c>
      <c r="H792" s="42"/>
      <c r="I792" s="42"/>
      <c r="J792" s="22"/>
      <c r="K792" s="42"/>
    </row>
    <row r="793" ht="39.75" customHeight="1">
      <c r="A793" s="1">
        <v>792.0</v>
      </c>
      <c r="B793" s="2" t="s">
        <v>25</v>
      </c>
      <c r="C793" s="2" t="s">
        <v>54</v>
      </c>
      <c r="D793" s="13"/>
      <c r="E793" s="13"/>
      <c r="F793" s="44" t="s">
        <v>1877</v>
      </c>
      <c r="G793" s="43">
        <v>1.0</v>
      </c>
      <c r="H793" s="42"/>
      <c r="I793" s="43">
        <v>1.0</v>
      </c>
      <c r="J793" s="22"/>
      <c r="K793" s="42"/>
    </row>
    <row r="794" ht="39.75" customHeight="1">
      <c r="A794" s="1">
        <v>793.0</v>
      </c>
      <c r="B794" s="2" t="s">
        <v>26</v>
      </c>
      <c r="C794" s="2" t="s">
        <v>54</v>
      </c>
      <c r="D794" s="13"/>
      <c r="E794" s="13"/>
      <c r="F794" s="44" t="s">
        <v>1878</v>
      </c>
      <c r="G794" s="43">
        <v>1.0</v>
      </c>
      <c r="H794" s="42"/>
      <c r="I794" s="43">
        <v>1.0</v>
      </c>
      <c r="J794" s="22"/>
      <c r="K794" s="42"/>
    </row>
    <row r="795" ht="39.75" customHeight="1">
      <c r="A795" s="1">
        <v>794.0</v>
      </c>
      <c r="B795" s="2" t="s">
        <v>29</v>
      </c>
      <c r="C795" s="2" t="s">
        <v>69</v>
      </c>
      <c r="D795" s="13"/>
      <c r="E795" s="13"/>
      <c r="F795" s="44" t="s">
        <v>1879</v>
      </c>
      <c r="G795" s="43">
        <v>1.0</v>
      </c>
      <c r="H795" s="42"/>
      <c r="I795" s="43">
        <v>1.0</v>
      </c>
      <c r="J795" s="22"/>
      <c r="K795" s="42"/>
    </row>
    <row r="796" ht="39.75" customHeight="1">
      <c r="A796" s="1">
        <v>795.0</v>
      </c>
      <c r="B796" s="2" t="s">
        <v>30</v>
      </c>
      <c r="C796" s="2" t="s">
        <v>64</v>
      </c>
      <c r="D796" s="13"/>
      <c r="E796" s="13"/>
      <c r="F796" s="45"/>
      <c r="G796" s="42"/>
      <c r="H796" s="42"/>
      <c r="I796" s="42"/>
      <c r="J796" s="22"/>
      <c r="K796" s="42"/>
    </row>
    <row r="797" ht="39.75" customHeight="1">
      <c r="A797" s="1">
        <v>796.0</v>
      </c>
      <c r="B797" s="2" t="s">
        <v>31</v>
      </c>
      <c r="C797" s="2" t="s">
        <v>39</v>
      </c>
      <c r="D797" s="13"/>
      <c r="E797" s="13"/>
      <c r="F797" s="44" t="s">
        <v>1880</v>
      </c>
      <c r="G797" s="43">
        <v>1.0</v>
      </c>
      <c r="H797" s="42"/>
      <c r="I797" s="42"/>
      <c r="J797" s="22"/>
      <c r="K797" s="42"/>
    </row>
    <row r="798" ht="39.75" hidden="1" customHeight="1">
      <c r="A798" s="1">
        <v>797.0</v>
      </c>
      <c r="B798" s="2" t="s">
        <v>32</v>
      </c>
      <c r="C798" s="2" t="s">
        <v>66</v>
      </c>
      <c r="D798" s="13"/>
      <c r="E798" s="13"/>
      <c r="F798" s="45"/>
      <c r="G798" s="42"/>
      <c r="H798" s="42"/>
      <c r="I798" s="42"/>
      <c r="J798" s="22"/>
      <c r="K798" s="42"/>
    </row>
    <row r="799" ht="39.75" hidden="1" customHeight="1">
      <c r="A799" s="1">
        <v>798.0</v>
      </c>
      <c r="B799" s="2" t="s">
        <v>67</v>
      </c>
      <c r="C799" s="2" t="s">
        <v>58</v>
      </c>
      <c r="D799" s="13"/>
      <c r="E799" s="13"/>
      <c r="F799" s="45"/>
      <c r="G799" s="42"/>
      <c r="H799" s="42"/>
      <c r="I799" s="42"/>
      <c r="J799" s="22"/>
      <c r="K799" s="42"/>
    </row>
    <row r="800" ht="39.75" customHeight="1">
      <c r="A800" s="1">
        <v>799.0</v>
      </c>
      <c r="B800" s="2" t="s">
        <v>34</v>
      </c>
      <c r="C800" s="2" t="s">
        <v>69</v>
      </c>
      <c r="D800" s="13"/>
      <c r="E800" s="51">
        <v>0.9444444444444444</v>
      </c>
      <c r="F800" s="44" t="s">
        <v>1881</v>
      </c>
      <c r="G800" s="43">
        <v>1.0</v>
      </c>
      <c r="H800" s="42"/>
      <c r="I800" s="43">
        <v>1.0</v>
      </c>
      <c r="J800" s="22"/>
      <c r="K800" s="42"/>
    </row>
    <row r="801" ht="39.75" hidden="1" customHeight="1">
      <c r="A801" s="1">
        <v>800.0</v>
      </c>
      <c r="B801" s="2" t="s">
        <v>35</v>
      </c>
      <c r="C801" s="2" t="s">
        <v>58</v>
      </c>
      <c r="D801" s="13"/>
      <c r="E801" s="13"/>
      <c r="F801" s="45"/>
      <c r="G801" s="42"/>
      <c r="H801" s="42"/>
      <c r="I801" s="42"/>
      <c r="J801" s="22"/>
      <c r="K801" s="42"/>
    </row>
    <row r="802" ht="39.75" customHeight="1">
      <c r="A802" s="1">
        <v>801.0</v>
      </c>
      <c r="B802" s="2" t="s">
        <v>36</v>
      </c>
      <c r="C802" s="2" t="s">
        <v>54</v>
      </c>
      <c r="D802" s="13"/>
      <c r="E802" s="13"/>
      <c r="F802" s="44" t="s">
        <v>1882</v>
      </c>
      <c r="G802" s="43">
        <v>1.0</v>
      </c>
      <c r="H802" s="43">
        <v>1.0</v>
      </c>
      <c r="I802" s="42"/>
      <c r="J802" s="22"/>
      <c r="K802" s="42"/>
    </row>
    <row r="803" ht="39.75" customHeight="1">
      <c r="A803" s="1">
        <v>802.0</v>
      </c>
      <c r="B803" s="2" t="s">
        <v>38</v>
      </c>
      <c r="C803" s="2"/>
      <c r="D803" s="13"/>
      <c r="E803" s="13"/>
      <c r="F803" s="44" t="s">
        <v>1883</v>
      </c>
      <c r="G803" s="43">
        <v>1.0</v>
      </c>
      <c r="H803" s="42"/>
      <c r="I803" s="43">
        <v>1.0</v>
      </c>
      <c r="J803" s="22"/>
      <c r="K803" s="42"/>
    </row>
    <row r="804" ht="39.75" hidden="1" customHeight="1">
      <c r="A804" s="1">
        <v>803.0</v>
      </c>
      <c r="B804" s="2" t="s">
        <v>41</v>
      </c>
      <c r="C804" s="2" t="s">
        <v>58</v>
      </c>
      <c r="D804" s="13"/>
      <c r="E804" s="13"/>
      <c r="F804" s="45"/>
      <c r="G804" s="42"/>
      <c r="H804" s="42"/>
      <c r="I804" s="42"/>
      <c r="J804" s="22"/>
      <c r="K804" s="42"/>
    </row>
    <row r="805" ht="39.75" hidden="1" customHeight="1">
      <c r="A805" s="1">
        <v>804.0</v>
      </c>
      <c r="B805" s="2" t="s">
        <v>42</v>
      </c>
      <c r="C805" s="2" t="s">
        <v>58</v>
      </c>
      <c r="D805" s="13"/>
      <c r="E805" s="13"/>
      <c r="F805" s="45"/>
      <c r="G805" s="42"/>
      <c r="H805" s="42"/>
      <c r="I805" s="42"/>
      <c r="J805" s="22"/>
      <c r="K805" s="42"/>
    </row>
    <row r="806" ht="39.75" customHeight="1">
      <c r="A806" s="1">
        <v>805.0</v>
      </c>
      <c r="B806" s="2" t="s">
        <v>43</v>
      </c>
      <c r="C806" s="2"/>
      <c r="D806" s="13"/>
      <c r="E806" s="13"/>
      <c r="F806" s="44" t="s">
        <v>1884</v>
      </c>
      <c r="G806" s="43">
        <v>1.0</v>
      </c>
      <c r="H806" s="42"/>
      <c r="I806" s="43"/>
      <c r="J806" s="22"/>
      <c r="K806" s="42"/>
    </row>
    <row r="807" ht="39.75" customHeight="1">
      <c r="A807" s="1">
        <v>806.0</v>
      </c>
      <c r="B807" s="2" t="s">
        <v>45</v>
      </c>
      <c r="C807" s="2" t="s">
        <v>54</v>
      </c>
      <c r="D807" s="13"/>
      <c r="E807" s="13"/>
      <c r="F807" s="44" t="s">
        <v>1885</v>
      </c>
      <c r="G807" s="43">
        <v>2.0</v>
      </c>
      <c r="H807" s="42"/>
      <c r="I807" s="42"/>
      <c r="J807" s="22"/>
      <c r="K807" s="42"/>
    </row>
    <row r="808" ht="39.75" customHeight="1">
      <c r="A808" s="1">
        <v>807.0</v>
      </c>
      <c r="B808" s="2" t="s">
        <v>46</v>
      </c>
      <c r="C808" s="13"/>
      <c r="D808" s="13"/>
      <c r="E808" s="13"/>
      <c r="F808" s="44" t="s">
        <v>1886</v>
      </c>
      <c r="G808" s="43">
        <v>1.0</v>
      </c>
      <c r="H808" s="42"/>
      <c r="I808" s="42"/>
      <c r="J808" s="22"/>
      <c r="K808" s="42"/>
    </row>
    <row r="809" ht="39.75" customHeight="1">
      <c r="A809" s="1">
        <v>808.0</v>
      </c>
      <c r="B809" s="2" t="s">
        <v>47</v>
      </c>
      <c r="C809" s="2" t="s">
        <v>39</v>
      </c>
      <c r="D809" s="13"/>
      <c r="E809" s="13"/>
      <c r="F809" s="44" t="s">
        <v>1887</v>
      </c>
      <c r="G809" s="43">
        <v>1.0</v>
      </c>
      <c r="H809" s="42"/>
      <c r="I809" s="42"/>
      <c r="J809" s="22"/>
      <c r="K809" s="42"/>
    </row>
    <row r="810" ht="39.75" customHeight="1">
      <c r="A810" s="1">
        <v>809.0</v>
      </c>
      <c r="B810" s="2" t="s">
        <v>48</v>
      </c>
      <c r="C810" s="2" t="s">
        <v>27</v>
      </c>
      <c r="D810" s="13"/>
      <c r="E810" s="13"/>
      <c r="F810" s="44" t="s">
        <v>1888</v>
      </c>
      <c r="G810" s="43">
        <v>1.0</v>
      </c>
      <c r="H810" s="42"/>
      <c r="I810" s="43">
        <v>1.0</v>
      </c>
      <c r="J810" s="22"/>
      <c r="K810" s="42"/>
    </row>
    <row r="811" ht="39.75" customHeight="1">
      <c r="A811" s="1">
        <v>810.0</v>
      </c>
      <c r="B811" s="21"/>
      <c r="C811" s="21"/>
      <c r="D811" s="21"/>
      <c r="E811" s="21"/>
      <c r="F811" s="46"/>
      <c r="G811" s="47"/>
      <c r="H811" s="47"/>
      <c r="I811" s="47"/>
      <c r="J811" s="48"/>
      <c r="K811" s="47"/>
      <c r="L811" s="49"/>
      <c r="M811" s="49"/>
      <c r="N811" s="49"/>
    </row>
    <row r="812" ht="39.75" customHeight="1">
      <c r="A812" s="1">
        <v>811.0</v>
      </c>
      <c r="B812" s="2" t="s">
        <v>12</v>
      </c>
      <c r="C812" s="2" t="s">
        <v>1889</v>
      </c>
      <c r="D812" s="13"/>
      <c r="E812" s="13"/>
      <c r="F812" s="45"/>
      <c r="G812" s="42"/>
      <c r="H812" s="42"/>
      <c r="I812" s="42"/>
      <c r="J812" s="22"/>
      <c r="K812" s="42"/>
      <c r="L812" s="15"/>
    </row>
    <row r="813" ht="39.75" customHeight="1">
      <c r="A813" s="1">
        <v>812.0</v>
      </c>
      <c r="B813" s="2" t="s">
        <v>16</v>
      </c>
      <c r="C813" s="2" t="s">
        <v>1889</v>
      </c>
      <c r="D813" s="13"/>
      <c r="E813" s="13"/>
      <c r="F813" s="45"/>
      <c r="G813" s="42"/>
      <c r="H813" s="42"/>
      <c r="I813" s="42"/>
      <c r="J813" s="27"/>
      <c r="K813" s="43"/>
    </row>
    <row r="814" ht="39.75" customHeight="1">
      <c r="A814" s="1">
        <v>813.0</v>
      </c>
      <c r="B814" s="2" t="s">
        <v>17</v>
      </c>
      <c r="C814" s="2"/>
      <c r="D814" s="13"/>
      <c r="E814" s="13"/>
      <c r="F814" s="45"/>
      <c r="G814" s="42"/>
      <c r="H814" s="42"/>
      <c r="I814" s="42"/>
      <c r="J814" s="22"/>
      <c r="K814" s="42"/>
    </row>
    <row r="815" ht="39.75" customHeight="1">
      <c r="A815" s="1">
        <v>814.0</v>
      </c>
      <c r="B815" s="2" t="s">
        <v>331</v>
      </c>
      <c r="C815" s="13"/>
      <c r="D815" s="13"/>
      <c r="E815" s="13"/>
      <c r="F815" s="44"/>
      <c r="G815" s="42"/>
      <c r="H815" s="42"/>
      <c r="I815" s="42"/>
      <c r="J815" s="22"/>
      <c r="K815" s="42"/>
    </row>
    <row r="816" ht="39.75" customHeight="1">
      <c r="A816" s="1">
        <v>815.0</v>
      </c>
      <c r="B816" s="2" t="s">
        <v>21</v>
      </c>
      <c r="C816" s="2">
        <v>1.0</v>
      </c>
      <c r="D816" s="13"/>
      <c r="E816" s="13"/>
      <c r="F816" s="45"/>
      <c r="G816" s="42"/>
      <c r="H816" s="42"/>
      <c r="I816" s="42"/>
      <c r="J816" s="22"/>
      <c r="K816" s="42"/>
    </row>
    <row r="817" ht="39.75" customHeight="1">
      <c r="A817" s="1">
        <v>816.0</v>
      </c>
      <c r="B817" s="2" t="s">
        <v>22</v>
      </c>
      <c r="C817" s="2" t="s">
        <v>1889</v>
      </c>
      <c r="D817" s="13"/>
      <c r="E817" s="13"/>
      <c r="F817" s="45"/>
      <c r="G817" s="42"/>
      <c r="H817" s="42"/>
      <c r="I817" s="42"/>
      <c r="J817" s="22"/>
      <c r="K817" s="42"/>
    </row>
    <row r="818" ht="39.75" customHeight="1">
      <c r="A818" s="1">
        <v>817.0</v>
      </c>
      <c r="B818" s="2" t="s">
        <v>23</v>
      </c>
      <c r="C818" s="2" t="s">
        <v>1889</v>
      </c>
      <c r="D818" s="13"/>
      <c r="E818" s="13"/>
      <c r="F818" s="45"/>
      <c r="G818" s="42"/>
      <c r="H818" s="42"/>
      <c r="I818" s="42"/>
      <c r="J818" s="22"/>
      <c r="K818" s="42"/>
    </row>
    <row r="819" ht="39.75" customHeight="1">
      <c r="A819" s="1">
        <v>818.0</v>
      </c>
      <c r="B819" s="2" t="s">
        <v>24</v>
      </c>
      <c r="C819" s="2" t="s">
        <v>1889</v>
      </c>
      <c r="D819" s="13"/>
      <c r="E819" s="13"/>
      <c r="F819" s="45"/>
      <c r="G819" s="42"/>
      <c r="H819" s="42"/>
      <c r="I819" s="42"/>
      <c r="J819" s="22"/>
      <c r="K819" s="42"/>
    </row>
    <row r="820" ht="39.75" customHeight="1">
      <c r="A820" s="1">
        <v>819.0</v>
      </c>
      <c r="B820" s="2" t="s">
        <v>25</v>
      </c>
      <c r="C820" s="2" t="s">
        <v>1889</v>
      </c>
      <c r="D820" s="13"/>
      <c r="E820" s="13"/>
      <c r="F820" s="45"/>
      <c r="G820" s="42"/>
      <c r="H820" s="42"/>
      <c r="I820" s="42"/>
      <c r="J820" s="22"/>
      <c r="K820" s="42"/>
    </row>
    <row r="821" ht="39.75" customHeight="1">
      <c r="A821" s="1">
        <v>820.0</v>
      </c>
      <c r="B821" s="2" t="s">
        <v>26</v>
      </c>
      <c r="C821" s="2"/>
      <c r="D821" s="13"/>
      <c r="E821" s="13"/>
      <c r="F821" s="45"/>
      <c r="G821" s="42"/>
      <c r="H821" s="42"/>
      <c r="I821" s="42"/>
      <c r="J821" s="22"/>
      <c r="K821" s="42"/>
    </row>
    <row r="822" ht="39.75" customHeight="1">
      <c r="A822" s="1">
        <v>821.0</v>
      </c>
      <c r="B822" s="2" t="s">
        <v>29</v>
      </c>
      <c r="C822" s="2"/>
      <c r="D822" s="13"/>
      <c r="E822" s="13"/>
      <c r="F822" s="45"/>
      <c r="G822" s="42"/>
      <c r="H822" s="42"/>
      <c r="I822" s="42"/>
      <c r="J822" s="22"/>
      <c r="K822" s="42"/>
    </row>
    <row r="823" ht="39.75" customHeight="1">
      <c r="A823" s="1">
        <v>822.0</v>
      </c>
      <c r="B823" s="2" t="s">
        <v>30</v>
      </c>
      <c r="C823" s="2">
        <v>2.0</v>
      </c>
      <c r="D823" s="13"/>
      <c r="E823" s="13"/>
      <c r="F823" s="45"/>
      <c r="G823" s="42"/>
      <c r="H823" s="42"/>
      <c r="I823" s="42"/>
      <c r="J823" s="22"/>
      <c r="K823" s="42"/>
    </row>
    <row r="824" ht="39.75" customHeight="1">
      <c r="A824" s="1">
        <v>823.0</v>
      </c>
      <c r="B824" s="2" t="s">
        <v>31</v>
      </c>
      <c r="C824" s="2"/>
      <c r="D824" s="13"/>
      <c r="E824" s="13"/>
      <c r="F824" s="45"/>
      <c r="G824" s="42"/>
      <c r="H824" s="42"/>
      <c r="I824" s="42"/>
      <c r="J824" s="22"/>
      <c r="K824" s="42"/>
    </row>
    <row r="825" ht="39.75" customHeight="1">
      <c r="A825" s="1">
        <v>824.0</v>
      </c>
      <c r="B825" s="2" t="s">
        <v>32</v>
      </c>
      <c r="C825" s="2" t="s">
        <v>1889</v>
      </c>
      <c r="D825" s="13"/>
      <c r="E825" s="13"/>
      <c r="F825" s="45"/>
      <c r="G825" s="42"/>
      <c r="H825" s="42"/>
      <c r="I825" s="42"/>
      <c r="J825" s="22"/>
      <c r="K825" s="42"/>
    </row>
    <row r="826" ht="39.75" customHeight="1">
      <c r="A826" s="1">
        <v>825.0</v>
      </c>
      <c r="B826" s="2" t="s">
        <v>67</v>
      </c>
      <c r="C826" s="2">
        <v>3.0</v>
      </c>
      <c r="D826" s="13"/>
      <c r="E826" s="13"/>
      <c r="F826" s="45"/>
      <c r="G826" s="42"/>
      <c r="H826" s="42"/>
      <c r="I826" s="42"/>
      <c r="J826" s="22"/>
      <c r="K826" s="42"/>
    </row>
    <row r="827" ht="39.75" customHeight="1">
      <c r="A827" s="1">
        <v>826.0</v>
      </c>
      <c r="B827" s="2" t="s">
        <v>34</v>
      </c>
      <c r="C827" s="2" t="s">
        <v>1889</v>
      </c>
      <c r="D827" s="13"/>
      <c r="E827" s="13"/>
      <c r="F827" s="45"/>
      <c r="G827" s="42"/>
      <c r="H827" s="42"/>
      <c r="I827" s="42"/>
      <c r="J827" s="22"/>
      <c r="K827" s="42"/>
    </row>
    <row r="828" ht="39.75" customHeight="1">
      <c r="A828" s="1">
        <v>827.0</v>
      </c>
      <c r="B828" s="2" t="s">
        <v>35</v>
      </c>
      <c r="C828" s="2">
        <v>4.0</v>
      </c>
      <c r="D828" s="13"/>
      <c r="E828" s="13"/>
      <c r="F828" s="45"/>
      <c r="G828" s="42"/>
      <c r="H828" s="42"/>
      <c r="I828" s="42"/>
      <c r="J828" s="22"/>
      <c r="K828" s="42"/>
    </row>
    <row r="829" ht="39.75" customHeight="1">
      <c r="A829" s="1">
        <v>828.0</v>
      </c>
      <c r="B829" s="2" t="s">
        <v>36</v>
      </c>
      <c r="C829" s="2">
        <v>5.0</v>
      </c>
      <c r="D829" s="13"/>
      <c r="E829" s="13"/>
      <c r="F829" s="45"/>
      <c r="G829" s="42"/>
      <c r="H829" s="42"/>
      <c r="I829" s="42"/>
      <c r="J829" s="22"/>
      <c r="K829" s="42"/>
    </row>
    <row r="830" ht="39.75" customHeight="1">
      <c r="A830" s="1">
        <v>829.0</v>
      </c>
      <c r="B830" s="2" t="s">
        <v>38</v>
      </c>
      <c r="C830" s="2" t="s">
        <v>1889</v>
      </c>
      <c r="D830" s="13"/>
      <c r="E830" s="13"/>
      <c r="F830" s="45"/>
      <c r="G830" s="42"/>
      <c r="H830" s="42"/>
      <c r="I830" s="42"/>
      <c r="J830" s="22"/>
      <c r="K830" s="42"/>
    </row>
    <row r="831" ht="39.75" customHeight="1">
      <c r="A831" s="1">
        <v>830.0</v>
      </c>
      <c r="B831" s="2" t="s">
        <v>41</v>
      </c>
      <c r="C831" s="2" t="s">
        <v>1889</v>
      </c>
      <c r="D831" s="13"/>
      <c r="E831" s="13"/>
      <c r="F831" s="45"/>
      <c r="G831" s="42"/>
      <c r="H831" s="42"/>
      <c r="I831" s="42"/>
      <c r="J831" s="22"/>
      <c r="K831" s="42"/>
    </row>
    <row r="832" ht="39.75" customHeight="1">
      <c r="A832" s="1">
        <v>831.0</v>
      </c>
      <c r="B832" s="2" t="s">
        <v>42</v>
      </c>
      <c r="C832" s="2"/>
      <c r="D832" s="13"/>
      <c r="E832" s="13"/>
      <c r="F832" s="45"/>
      <c r="G832" s="42"/>
      <c r="H832" s="42"/>
      <c r="I832" s="42"/>
      <c r="J832" s="22"/>
      <c r="K832" s="42"/>
    </row>
    <row r="833" ht="39.75" customHeight="1">
      <c r="A833" s="1">
        <v>832.0</v>
      </c>
      <c r="B833" s="2" t="s">
        <v>43</v>
      </c>
      <c r="C833" s="2" t="s">
        <v>1889</v>
      </c>
      <c r="D833" s="13"/>
      <c r="E833" s="13"/>
      <c r="F833" s="45"/>
      <c r="G833" s="42"/>
      <c r="H833" s="42"/>
      <c r="I833" s="42"/>
      <c r="J833" s="22"/>
      <c r="K833" s="42"/>
    </row>
    <row r="834" ht="39.75" customHeight="1">
      <c r="A834" s="1">
        <v>833.0</v>
      </c>
      <c r="B834" s="2" t="s">
        <v>45</v>
      </c>
      <c r="C834" s="2"/>
      <c r="D834" s="13"/>
      <c r="E834" s="13"/>
      <c r="F834" s="45"/>
      <c r="G834" s="42"/>
      <c r="H834" s="42"/>
      <c r="I834" s="42"/>
      <c r="J834" s="22"/>
      <c r="K834" s="42"/>
    </row>
    <row r="835" ht="39.75" customHeight="1">
      <c r="A835" s="1">
        <v>834.0</v>
      </c>
      <c r="B835" s="2" t="s">
        <v>46</v>
      </c>
      <c r="C835" s="13"/>
      <c r="D835" s="13"/>
      <c r="E835" s="13"/>
      <c r="F835" s="45"/>
      <c r="G835" s="42"/>
      <c r="H835" s="42"/>
      <c r="I835" s="42"/>
      <c r="J835" s="22"/>
      <c r="K835" s="42"/>
    </row>
    <row r="836" ht="39.75" customHeight="1">
      <c r="A836" s="1">
        <v>835.0</v>
      </c>
      <c r="B836" s="2" t="s">
        <v>47</v>
      </c>
      <c r="C836" s="2">
        <v>6.0</v>
      </c>
      <c r="D836" s="13"/>
      <c r="E836" s="13"/>
      <c r="F836" s="45"/>
      <c r="G836" s="42"/>
      <c r="H836" s="42"/>
      <c r="I836" s="42"/>
      <c r="J836" s="22"/>
      <c r="K836" s="42"/>
    </row>
    <row r="837" ht="39.75" customHeight="1">
      <c r="A837" s="1">
        <v>836.0</v>
      </c>
      <c r="B837" s="2" t="s">
        <v>48</v>
      </c>
      <c r="C837" s="2">
        <v>7.0</v>
      </c>
      <c r="D837" s="13"/>
      <c r="E837" s="13"/>
      <c r="F837" s="45"/>
      <c r="G837" s="42"/>
      <c r="H837" s="42"/>
      <c r="I837" s="42"/>
      <c r="J837" s="22"/>
      <c r="K837" s="42"/>
    </row>
    <row r="838" ht="39.75" customHeight="1">
      <c r="A838" s="1">
        <v>837.0</v>
      </c>
      <c r="B838" s="21"/>
      <c r="C838" s="21"/>
      <c r="D838" s="21"/>
      <c r="E838" s="21"/>
      <c r="F838" s="46"/>
      <c r="G838" s="47"/>
      <c r="H838" s="47"/>
      <c r="I838" s="47"/>
      <c r="J838" s="48"/>
      <c r="K838" s="47"/>
      <c r="L838" s="49"/>
      <c r="M838" s="49"/>
      <c r="N838" s="49"/>
    </row>
    <row r="839" ht="39.75" hidden="1" customHeight="1">
      <c r="A839" s="1"/>
      <c r="B839" s="2" t="s">
        <v>12</v>
      </c>
      <c r="C839" s="21"/>
      <c r="D839" s="21"/>
      <c r="E839" s="21"/>
      <c r="F839" s="46"/>
      <c r="G839" s="62">
        <f>SUMIF(B3:B837,"*이동현*",G3:G837)</f>
        <v>7</v>
      </c>
      <c r="H839" s="47"/>
      <c r="I839" s="47"/>
      <c r="J839" s="48"/>
      <c r="K839" s="47"/>
      <c r="L839" s="49"/>
      <c r="M839" s="49"/>
      <c r="N839" s="49"/>
    </row>
    <row r="840" ht="39.75" hidden="1" customHeight="1">
      <c r="A840" s="1"/>
      <c r="B840" s="2" t="s">
        <v>16</v>
      </c>
      <c r="C840" s="21"/>
      <c r="D840" s="21"/>
      <c r="E840" s="21"/>
      <c r="F840" s="46"/>
      <c r="G840" s="62">
        <f>SUMIF(B4:B837,"*반일훈*",G4:G837)</f>
        <v>14</v>
      </c>
      <c r="H840" s="47"/>
      <c r="I840" s="47"/>
      <c r="J840" s="48"/>
      <c r="K840" s="47"/>
      <c r="L840" s="49"/>
      <c r="M840" s="49"/>
      <c r="N840" s="49"/>
    </row>
    <row r="841" ht="39.75" hidden="1" customHeight="1">
      <c r="A841" s="1"/>
      <c r="B841" s="2" t="s">
        <v>116</v>
      </c>
      <c r="C841" s="21"/>
      <c r="D841" s="21"/>
      <c r="E841" s="21"/>
      <c r="F841" s="46"/>
      <c r="G841" s="62">
        <f>SUMIF(B5:B837,"*김재식*",G5:G837)</f>
        <v>2</v>
      </c>
      <c r="H841" s="47"/>
      <c r="I841" s="47"/>
      <c r="J841" s="48"/>
      <c r="K841" s="47"/>
      <c r="L841" s="49"/>
      <c r="M841" s="49"/>
      <c r="N841" s="49"/>
    </row>
    <row r="842" ht="39.75" hidden="1" customHeight="1">
      <c r="A842" s="1"/>
      <c r="B842" s="2" t="s">
        <v>17</v>
      </c>
      <c r="C842" s="21"/>
      <c r="D842" s="21"/>
      <c r="E842" s="21"/>
      <c r="F842" s="46"/>
      <c r="G842" s="62">
        <f>SUMIF(B5:B837,"*신동환*",G5:G837)</f>
        <v>15</v>
      </c>
      <c r="H842" s="47"/>
      <c r="I842" s="47"/>
      <c r="J842" s="48"/>
      <c r="K842" s="47"/>
      <c r="L842" s="49"/>
      <c r="M842" s="49"/>
      <c r="N842" s="49"/>
    </row>
    <row r="843" ht="39.75" hidden="1" customHeight="1">
      <c r="A843" s="1"/>
      <c r="B843" s="2" t="s">
        <v>331</v>
      </c>
      <c r="C843" s="21"/>
      <c r="D843" s="21"/>
      <c r="E843" s="21"/>
      <c r="F843" s="46"/>
      <c r="G843" s="62">
        <f>SUMIF(B5:B837,"*장후원*",G5:G837)</f>
        <v>11</v>
      </c>
      <c r="H843" s="47"/>
      <c r="I843" s="47"/>
      <c r="J843" s="48"/>
      <c r="K843" s="47"/>
      <c r="L843" s="49"/>
      <c r="M843" s="49"/>
      <c r="N843" s="49"/>
    </row>
    <row r="844" ht="39.75" hidden="1" customHeight="1">
      <c r="A844" s="1"/>
      <c r="B844" s="2" t="s">
        <v>21</v>
      </c>
      <c r="C844" s="21"/>
      <c r="D844" s="21"/>
      <c r="E844" s="21"/>
      <c r="F844" s="46"/>
      <c r="G844" s="62">
        <f>SUMIF(B5:B837,"*구본준*",G5:G837)</f>
        <v>10</v>
      </c>
      <c r="H844" s="47"/>
      <c r="I844" s="47"/>
      <c r="J844" s="48"/>
      <c r="K844" s="47"/>
      <c r="L844" s="49"/>
      <c r="M844" s="49"/>
      <c r="N844" s="49"/>
    </row>
    <row r="845" ht="39.75" hidden="1" customHeight="1">
      <c r="A845" s="1"/>
      <c r="B845" s="2" t="s">
        <v>22</v>
      </c>
      <c r="C845" s="21"/>
      <c r="D845" s="21"/>
      <c r="E845" s="21"/>
      <c r="F845" s="46"/>
      <c r="G845" s="62">
        <f>SUMIF(B5:B837,"*이학진*",G5:G837)</f>
        <v>15</v>
      </c>
      <c r="H845" s="47"/>
      <c r="I845" s="47"/>
      <c r="J845" s="48"/>
      <c r="K845" s="47"/>
      <c r="L845" s="49"/>
      <c r="M845" s="49"/>
      <c r="N845" s="49"/>
    </row>
    <row r="846" ht="39.75" hidden="1" customHeight="1">
      <c r="A846" s="1"/>
      <c r="B846" s="2" t="s">
        <v>23</v>
      </c>
      <c r="C846" s="21"/>
      <c r="D846" s="21"/>
      <c r="E846" s="21"/>
      <c r="F846" s="46"/>
      <c r="G846" s="62">
        <f>SUMIF(B5:B837,"*황현우*",G5:G837)</f>
        <v>17</v>
      </c>
      <c r="H846" s="47"/>
      <c r="I846" s="47"/>
      <c r="J846" s="48"/>
      <c r="K846" s="47"/>
      <c r="L846" s="49"/>
      <c r="M846" s="49"/>
      <c r="N846" s="49"/>
    </row>
    <row r="847" ht="39.75" hidden="1" customHeight="1">
      <c r="A847" s="1"/>
      <c r="B847" s="2" t="s">
        <v>24</v>
      </c>
      <c r="C847" s="21"/>
      <c r="D847" s="21"/>
      <c r="E847" s="21"/>
      <c r="F847" s="46"/>
      <c r="G847" s="62">
        <f>SUMIF(B5:B837,"*김미란*",G5:G837)</f>
        <v>15</v>
      </c>
      <c r="H847" s="47"/>
      <c r="I847" s="47"/>
      <c r="J847" s="48"/>
      <c r="K847" s="47"/>
      <c r="L847" s="49"/>
      <c r="M847" s="49"/>
      <c r="N847" s="49"/>
    </row>
    <row r="848" ht="39.75" hidden="1" customHeight="1">
      <c r="A848" s="1"/>
      <c r="B848" s="2" t="s">
        <v>25</v>
      </c>
      <c r="C848" s="21"/>
      <c r="D848" s="21"/>
      <c r="E848" s="21"/>
      <c r="F848" s="46"/>
      <c r="G848" s="62">
        <f>SUMIF(B5:B837,"*유규열*",G5:G837)</f>
        <v>16</v>
      </c>
      <c r="H848" s="47"/>
      <c r="I848" s="47"/>
      <c r="J848" s="48"/>
      <c r="K848" s="47"/>
      <c r="L848" s="49"/>
      <c r="M848" s="49"/>
      <c r="N848" s="49"/>
    </row>
    <row r="849" ht="39.75" hidden="1" customHeight="1">
      <c r="A849" s="1"/>
      <c r="B849" s="2" t="s">
        <v>26</v>
      </c>
      <c r="C849" s="21"/>
      <c r="D849" s="21"/>
      <c r="E849" s="21"/>
      <c r="F849" s="46"/>
      <c r="G849" s="62">
        <f>SUMIF(B5:B837,"*김준택*",G5:G837)</f>
        <v>15</v>
      </c>
      <c r="H849" s="47"/>
      <c r="I849" s="47"/>
      <c r="J849" s="48"/>
      <c r="K849" s="47"/>
      <c r="L849" s="49"/>
      <c r="M849" s="49"/>
      <c r="N849" s="49"/>
    </row>
    <row r="850" ht="39.75" hidden="1" customHeight="1">
      <c r="A850" s="1"/>
      <c r="B850" s="2" t="s">
        <v>29</v>
      </c>
      <c r="C850" s="21"/>
      <c r="D850" s="21"/>
      <c r="E850" s="21"/>
      <c r="F850" s="46"/>
      <c r="G850" s="62">
        <f>SUMIF(B5:B837,"*방극철*",G5:G837)</f>
        <v>14</v>
      </c>
      <c r="H850" s="47"/>
      <c r="I850" s="47"/>
      <c r="J850" s="48"/>
      <c r="K850" s="47"/>
      <c r="L850" s="49"/>
      <c r="M850" s="49"/>
      <c r="N850" s="49"/>
    </row>
    <row r="851" ht="39.75" hidden="1" customHeight="1">
      <c r="A851" s="1"/>
      <c r="B851" s="2" t="s">
        <v>30</v>
      </c>
      <c r="C851" s="21"/>
      <c r="D851" s="21"/>
      <c r="E851" s="21"/>
      <c r="F851" s="46"/>
      <c r="G851" s="62">
        <f>SUMIF(B5:B837,"*홍승재*",G5:G837)</f>
        <v>3</v>
      </c>
      <c r="H851" s="47"/>
      <c r="I851" s="47"/>
      <c r="J851" s="48"/>
      <c r="K851" s="47"/>
      <c r="L851" s="49"/>
      <c r="M851" s="49"/>
      <c r="N851" s="49"/>
    </row>
    <row r="852" ht="39.75" hidden="1" customHeight="1">
      <c r="A852" s="1"/>
      <c r="B852" s="2" t="s">
        <v>31</v>
      </c>
      <c r="C852" s="21"/>
      <c r="D852" s="21"/>
      <c r="E852" s="21"/>
      <c r="F852" s="46"/>
      <c r="G852" s="62">
        <f>SUMIF(B5:B837,"*이   경*",G5:G837)</f>
        <v>19</v>
      </c>
      <c r="H852" s="47"/>
      <c r="I852" s="47"/>
      <c r="J852" s="48"/>
      <c r="K852" s="47"/>
      <c r="L852" s="49"/>
      <c r="M852" s="49"/>
      <c r="N852" s="49"/>
    </row>
    <row r="853" ht="39.75" hidden="1" customHeight="1">
      <c r="A853" s="1"/>
      <c r="B853" s="2" t="s">
        <v>32</v>
      </c>
      <c r="C853" s="21"/>
      <c r="D853" s="21"/>
      <c r="E853" s="21"/>
      <c r="F853" s="46"/>
      <c r="G853" s="62">
        <f>SUMIF(B5:B837,"*정상원*",G5:G837)</f>
        <v>20</v>
      </c>
      <c r="H853" s="47"/>
      <c r="I853" s="47"/>
      <c r="J853" s="48"/>
      <c r="K853" s="47"/>
      <c r="L853" s="49"/>
      <c r="M853" s="49"/>
      <c r="N853" s="49"/>
    </row>
    <row r="854" ht="39.75" hidden="1" customHeight="1">
      <c r="A854" s="1"/>
      <c r="B854" s="2" t="s">
        <v>67</v>
      </c>
      <c r="C854" s="21"/>
      <c r="D854" s="21"/>
      <c r="E854" s="21"/>
      <c r="F854" s="46"/>
      <c r="G854" s="62">
        <f>SUMIF(B5:B837,"*이주원*",G5:G837)</f>
        <v>14</v>
      </c>
      <c r="H854" s="47"/>
      <c r="I854" s="47"/>
      <c r="J854" s="48"/>
      <c r="K854" s="47"/>
      <c r="L854" s="49"/>
      <c r="M854" s="49"/>
      <c r="N854" s="49"/>
    </row>
    <row r="855" ht="39.75" hidden="1" customHeight="1">
      <c r="A855" s="1"/>
      <c r="B855" s="2" t="s">
        <v>35</v>
      </c>
      <c r="C855" s="21"/>
      <c r="D855" s="21"/>
      <c r="E855" s="21"/>
      <c r="F855" s="46"/>
      <c r="G855" s="62">
        <f>SUMIF(B5:B837,"*최무룡*",G5:G837)</f>
        <v>19</v>
      </c>
      <c r="H855" s="47"/>
      <c r="I855" s="47"/>
      <c r="J855" s="48"/>
      <c r="K855" s="47"/>
      <c r="L855" s="49"/>
      <c r="M855" s="49"/>
      <c r="N855" s="49"/>
    </row>
    <row r="856" ht="39.75" hidden="1" customHeight="1">
      <c r="A856" s="1"/>
      <c r="B856" s="2" t="s">
        <v>36</v>
      </c>
      <c r="C856" s="21"/>
      <c r="D856" s="21"/>
      <c r="E856" s="21"/>
      <c r="F856" s="46"/>
      <c r="G856" s="62">
        <f>SUMIF(B5:B837,"*정철원*",G5:G837)</f>
        <v>19</v>
      </c>
      <c r="H856" s="47"/>
      <c r="I856" s="47"/>
      <c r="J856" s="48"/>
      <c r="K856" s="47"/>
      <c r="L856" s="49"/>
      <c r="M856" s="49"/>
      <c r="N856" s="49"/>
    </row>
    <row r="857" ht="39.75" hidden="1" customHeight="1">
      <c r="A857" s="1"/>
      <c r="B857" s="2" t="s">
        <v>38</v>
      </c>
      <c r="C857" s="21"/>
      <c r="D857" s="21"/>
      <c r="E857" s="21"/>
      <c r="F857" s="46"/>
      <c r="G857" s="62">
        <f>SUMIF(B5:B837,"*김진광*",G5:G837)</f>
        <v>17</v>
      </c>
      <c r="H857" s="47"/>
      <c r="I857" s="47"/>
      <c r="J857" s="48"/>
      <c r="K857" s="47"/>
      <c r="L857" s="49"/>
      <c r="M857" s="49"/>
      <c r="N857" s="49"/>
    </row>
    <row r="858" ht="39.75" hidden="1" customHeight="1">
      <c r="A858" s="1"/>
      <c r="B858" s="2" t="s">
        <v>41</v>
      </c>
      <c r="C858" s="21"/>
      <c r="D858" s="21"/>
      <c r="E858" s="21"/>
      <c r="F858" s="46"/>
      <c r="G858" s="62">
        <f>SUMIF(B5:B837,"*조용희*",G5:G837)</f>
        <v>0</v>
      </c>
      <c r="H858" s="47"/>
      <c r="I858" s="47"/>
      <c r="J858" s="48"/>
      <c r="K858" s="47"/>
      <c r="L858" s="49"/>
      <c r="M858" s="49"/>
      <c r="N858" s="49"/>
    </row>
    <row r="859" ht="39.75" hidden="1" customHeight="1">
      <c r="A859" s="1"/>
      <c r="B859" s="2" t="s">
        <v>42</v>
      </c>
      <c r="C859" s="21"/>
      <c r="D859" s="21"/>
      <c r="E859" s="21"/>
      <c r="F859" s="46"/>
      <c r="G859" s="62">
        <f>SUMIF(B5:B837,"*이완근*",G5:G837)</f>
        <v>16</v>
      </c>
      <c r="H859" s="47"/>
      <c r="I859" s="47"/>
      <c r="J859" s="48"/>
      <c r="K859" s="47"/>
      <c r="L859" s="49"/>
      <c r="M859" s="49"/>
      <c r="N859" s="49"/>
    </row>
    <row r="860" ht="39.75" hidden="1" customHeight="1">
      <c r="A860" s="1"/>
      <c r="B860" s="2" t="s">
        <v>43</v>
      </c>
      <c r="C860" s="21"/>
      <c r="D860" s="21"/>
      <c r="E860" s="21"/>
      <c r="F860" s="46"/>
      <c r="G860" s="62">
        <f>SUMIF(B5:B837,"*박대권*",G5:G837)</f>
        <v>15</v>
      </c>
      <c r="H860" s="47"/>
      <c r="I860" s="47"/>
      <c r="J860" s="48"/>
      <c r="K860" s="47"/>
      <c r="L860" s="49"/>
      <c r="M860" s="49"/>
      <c r="N860" s="49"/>
    </row>
    <row r="861" ht="39.75" hidden="1" customHeight="1">
      <c r="A861" s="1"/>
      <c r="B861" s="2" t="s">
        <v>45</v>
      </c>
      <c r="C861" s="21"/>
      <c r="D861" s="21"/>
      <c r="E861" s="21"/>
      <c r="F861" s="46"/>
      <c r="G861" s="62">
        <f>SUMIF(B5:B837,"*김대호*",G5:G837)</f>
        <v>25</v>
      </c>
      <c r="H861" s="47"/>
      <c r="I861" s="47"/>
      <c r="J861" s="48"/>
      <c r="K861" s="47"/>
      <c r="L861" s="49"/>
      <c r="M861" s="49"/>
      <c r="N861" s="49"/>
    </row>
    <row r="862" ht="39.75" hidden="1" customHeight="1">
      <c r="A862" s="1"/>
      <c r="B862" s="2" t="s">
        <v>46</v>
      </c>
      <c r="C862" s="21"/>
      <c r="D862" s="21"/>
      <c r="E862" s="21"/>
      <c r="F862" s="46"/>
      <c r="G862" s="62">
        <f>SUMIF(B5:B837,"*이현일*",G5:G837)</f>
        <v>17</v>
      </c>
      <c r="H862" s="47"/>
      <c r="I862" s="47"/>
      <c r="J862" s="48"/>
      <c r="K862" s="47"/>
      <c r="L862" s="49"/>
      <c r="M862" s="49"/>
      <c r="N862" s="49"/>
    </row>
    <row r="863" ht="39.75" hidden="1" customHeight="1">
      <c r="A863" s="1"/>
      <c r="B863" s="2" t="s">
        <v>47</v>
      </c>
      <c r="C863" s="21"/>
      <c r="D863" s="21"/>
      <c r="E863" s="21"/>
      <c r="F863" s="46"/>
      <c r="G863" s="62">
        <f>SUMIF(B5:B837,"*유연경*",G5:G837)</f>
        <v>19</v>
      </c>
      <c r="H863" s="47"/>
      <c r="I863" s="47"/>
      <c r="J863" s="48"/>
      <c r="K863" s="47"/>
      <c r="L863" s="49"/>
      <c r="M863" s="49"/>
      <c r="N863" s="49"/>
    </row>
    <row r="864" ht="39.75" hidden="1" customHeight="1">
      <c r="A864" s="1"/>
      <c r="B864" s="2" t="s">
        <v>48</v>
      </c>
      <c r="C864" s="21"/>
      <c r="D864" s="21"/>
      <c r="E864" s="21"/>
      <c r="F864" s="46"/>
      <c r="G864" s="62">
        <f>SUMIF(B5:B837,"*정재우*",G5:G837)</f>
        <v>21</v>
      </c>
      <c r="H864" s="47"/>
      <c r="I864" s="47"/>
      <c r="J864" s="48"/>
      <c r="K864" s="47"/>
      <c r="L864" s="49"/>
      <c r="M864" s="49"/>
      <c r="N864" s="49"/>
    </row>
  </sheetData>
  <mergeCells count="31">
    <mergeCell ref="L2:N27"/>
    <mergeCell ref="L29:N54"/>
    <mergeCell ref="L56:N81"/>
    <mergeCell ref="L83:N108"/>
    <mergeCell ref="L110:N135"/>
    <mergeCell ref="L137:N162"/>
    <mergeCell ref="L164:N189"/>
    <mergeCell ref="L191:N216"/>
    <mergeCell ref="L218:N243"/>
    <mergeCell ref="L245:N270"/>
    <mergeCell ref="L272:N297"/>
    <mergeCell ref="L299:N324"/>
    <mergeCell ref="L326:N351"/>
    <mergeCell ref="L353:N378"/>
    <mergeCell ref="L380:N405"/>
    <mergeCell ref="L407:N432"/>
    <mergeCell ref="L434:N459"/>
    <mergeCell ref="L461:N486"/>
    <mergeCell ref="L488:N513"/>
    <mergeCell ref="L515:N540"/>
    <mergeCell ref="L542:N567"/>
    <mergeCell ref="L758:N783"/>
    <mergeCell ref="L785:N810"/>
    <mergeCell ref="L812:N837"/>
    <mergeCell ref="L569:N594"/>
    <mergeCell ref="L596:N621"/>
    <mergeCell ref="L623:N648"/>
    <mergeCell ref="L650:N675"/>
    <mergeCell ref="L677:N702"/>
    <mergeCell ref="L704:N729"/>
    <mergeCell ref="L731:N756"/>
  </mergeCells>
  <conditionalFormatting sqref="B2:I864">
    <cfRule type="expression" dxfId="6" priority="1">
      <formula>$C2="휴가"</formula>
    </cfRule>
  </conditionalFormatting>
  <conditionalFormatting sqref="B2:I864">
    <cfRule type="expression" dxfId="6" priority="2">
      <formula>$C2="휴무"</formula>
    </cfRule>
  </conditionalFormatting>
  <conditionalFormatting sqref="B2:I864">
    <cfRule type="expression" dxfId="6" priority="3">
      <formula>$C2="제크"</formula>
    </cfRule>
  </conditionalFormatting>
  <conditionalFormatting sqref="B2:I864">
    <cfRule type="expression" dxfId="7" priority="4">
      <formula>$C2="야퇴"</formula>
    </cfRule>
  </conditionalFormatting>
  <conditionalFormatting sqref="B2:I864">
    <cfRule type="expression" dxfId="8" priority="5">
      <formula>$C2="대통령실"</formula>
    </cfRule>
  </conditionalFormatting>
  <conditionalFormatting sqref="B2:I864">
    <cfRule type="expression" dxfId="8" priority="6">
      <formula>$C2="헌법재판소"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8.25"/>
    <col customWidth="1" min="3" max="3" width="10.75"/>
    <col customWidth="1" min="4" max="5" width="8.88"/>
    <col customWidth="1" min="6" max="6" width="50.13"/>
    <col customWidth="1" min="7" max="7" width="8.88"/>
    <col customWidth="1" min="8" max="8" width="10.63"/>
    <col customWidth="1" min="9" max="9" width="11.38"/>
    <col customWidth="1" min="10" max="10" width="8.5"/>
    <col customWidth="1" min="11" max="11" width="11.38"/>
    <col customWidth="1" min="12" max="14" width="12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36"/>
      <c r="K1" s="2" t="s">
        <v>1160</v>
      </c>
      <c r="L1" s="37" t="s">
        <v>490</v>
      </c>
      <c r="M1" s="38" t="s">
        <v>10</v>
      </c>
      <c r="N1" s="39" t="s">
        <v>11</v>
      </c>
    </row>
    <row r="2" ht="39.75" hidden="1" customHeight="1">
      <c r="A2" s="1">
        <v>1.0</v>
      </c>
      <c r="B2" s="2" t="s">
        <v>12</v>
      </c>
      <c r="C2" s="2" t="s">
        <v>58</v>
      </c>
      <c r="D2" s="40"/>
      <c r="E2" s="40"/>
      <c r="F2" s="45"/>
      <c r="G2" s="42"/>
      <c r="H2" s="42"/>
      <c r="I2" s="42"/>
      <c r="J2" s="14" t="s">
        <v>1890</v>
      </c>
      <c r="K2" s="43"/>
      <c r="L2" s="15" t="s">
        <v>15</v>
      </c>
    </row>
    <row r="3" ht="39.75" customHeight="1">
      <c r="A3" s="1">
        <v>2.0</v>
      </c>
      <c r="B3" s="2" t="s">
        <v>16</v>
      </c>
      <c r="C3" s="2" t="s">
        <v>27</v>
      </c>
      <c r="D3" s="13"/>
      <c r="E3" s="13"/>
      <c r="F3" s="44" t="s">
        <v>1891</v>
      </c>
      <c r="G3" s="43">
        <v>1.0</v>
      </c>
      <c r="H3" s="42"/>
      <c r="I3" s="42"/>
      <c r="J3" s="14" t="s">
        <v>15</v>
      </c>
      <c r="K3" s="43"/>
    </row>
    <row r="4" ht="39.75" customHeight="1">
      <c r="A4" s="1">
        <v>3.0</v>
      </c>
      <c r="B4" s="2" t="s">
        <v>17</v>
      </c>
      <c r="C4" s="2"/>
      <c r="D4" s="13"/>
      <c r="E4" s="13"/>
      <c r="F4" s="44" t="s">
        <v>1892</v>
      </c>
      <c r="G4" s="43">
        <v>1.0</v>
      </c>
      <c r="H4" s="42"/>
      <c r="I4" s="42"/>
      <c r="J4" s="14" t="s">
        <v>111</v>
      </c>
      <c r="K4" s="43"/>
    </row>
    <row r="5" ht="39.75" customHeight="1">
      <c r="A5" s="1">
        <v>4.0</v>
      </c>
      <c r="B5" s="2" t="s">
        <v>331</v>
      </c>
      <c r="C5" s="2" t="s">
        <v>542</v>
      </c>
      <c r="D5" s="13"/>
      <c r="E5" s="13"/>
      <c r="F5" s="44"/>
      <c r="G5" s="42"/>
      <c r="H5" s="42"/>
      <c r="I5" s="42"/>
      <c r="J5" s="14"/>
      <c r="K5" s="43"/>
    </row>
    <row r="6" ht="39.75" hidden="1" customHeight="1">
      <c r="A6" s="1">
        <v>5.0</v>
      </c>
      <c r="B6" s="2" t="s">
        <v>21</v>
      </c>
      <c r="C6" s="2" t="s">
        <v>13</v>
      </c>
      <c r="D6" s="13"/>
      <c r="E6" s="13"/>
      <c r="F6" s="45"/>
      <c r="G6" s="42"/>
      <c r="H6" s="42"/>
      <c r="I6" s="42"/>
      <c r="J6" s="14"/>
      <c r="K6" s="43"/>
    </row>
    <row r="7" ht="39.75" customHeight="1">
      <c r="A7" s="1">
        <v>6.0</v>
      </c>
      <c r="B7" s="2" t="s">
        <v>22</v>
      </c>
      <c r="C7" s="2"/>
      <c r="D7" s="13"/>
      <c r="E7" s="13"/>
      <c r="F7" s="44" t="s">
        <v>1893</v>
      </c>
      <c r="G7" s="43">
        <v>1.0</v>
      </c>
      <c r="H7" s="42"/>
      <c r="I7" s="42"/>
      <c r="J7" s="14"/>
      <c r="K7" s="43"/>
    </row>
    <row r="8" ht="39.75" customHeight="1">
      <c r="A8" s="1">
        <v>7.0</v>
      </c>
      <c r="B8" s="2" t="s">
        <v>23</v>
      </c>
      <c r="C8" s="2" t="s">
        <v>69</v>
      </c>
      <c r="D8" s="13"/>
      <c r="E8" s="13"/>
      <c r="F8" s="44" t="s">
        <v>1894</v>
      </c>
      <c r="G8" s="43">
        <v>2.0</v>
      </c>
      <c r="H8" s="42"/>
      <c r="I8" s="42"/>
      <c r="J8" s="14"/>
      <c r="K8" s="43"/>
    </row>
    <row r="9" ht="39.75" hidden="1" customHeight="1">
      <c r="A9" s="1">
        <v>8.0</v>
      </c>
      <c r="B9" s="2" t="s">
        <v>24</v>
      </c>
      <c r="C9" s="2" t="s">
        <v>13</v>
      </c>
      <c r="D9" s="13"/>
      <c r="E9" s="13"/>
      <c r="F9" s="45"/>
      <c r="G9" s="42"/>
      <c r="H9" s="42"/>
      <c r="I9" s="42"/>
      <c r="J9" s="14"/>
      <c r="K9" s="43"/>
    </row>
    <row r="10" ht="39.75" customHeight="1">
      <c r="A10" s="1">
        <v>9.0</v>
      </c>
      <c r="B10" s="2" t="s">
        <v>25</v>
      </c>
      <c r="C10" s="2" t="s">
        <v>54</v>
      </c>
      <c r="D10" s="53">
        <v>0.3055555555555556</v>
      </c>
      <c r="E10" s="13"/>
      <c r="F10" s="44" t="s">
        <v>1895</v>
      </c>
      <c r="G10" s="43">
        <v>1.0</v>
      </c>
      <c r="H10" s="43">
        <v>1.0</v>
      </c>
      <c r="I10" s="43"/>
      <c r="J10" s="14"/>
      <c r="K10" s="43"/>
    </row>
    <row r="11" ht="39.75" customHeight="1">
      <c r="A11" s="1">
        <v>10.0</v>
      </c>
      <c r="B11" s="2" t="s">
        <v>26</v>
      </c>
      <c r="C11" s="2" t="s">
        <v>54</v>
      </c>
      <c r="D11" s="13"/>
      <c r="E11" s="51">
        <v>0.8125</v>
      </c>
      <c r="F11" s="44" t="s">
        <v>1896</v>
      </c>
      <c r="G11" s="43">
        <v>1.0</v>
      </c>
      <c r="H11" s="42"/>
      <c r="I11" s="42"/>
      <c r="J11" s="14"/>
      <c r="K11" s="43"/>
    </row>
    <row r="12" ht="39.75" customHeight="1">
      <c r="A12" s="1">
        <v>11.0</v>
      </c>
      <c r="B12" s="2" t="s">
        <v>29</v>
      </c>
      <c r="C12" s="2"/>
      <c r="D12" s="13"/>
      <c r="E12" s="13"/>
      <c r="F12" s="44"/>
      <c r="G12" s="42"/>
      <c r="H12" s="42"/>
      <c r="I12" s="42"/>
      <c r="J12" s="14"/>
      <c r="K12" s="43"/>
    </row>
    <row r="13" ht="39.75" customHeight="1">
      <c r="A13" s="1">
        <v>12.0</v>
      </c>
      <c r="B13" s="2" t="s">
        <v>30</v>
      </c>
      <c r="C13" s="2" t="s">
        <v>64</v>
      </c>
      <c r="D13" s="13"/>
      <c r="E13" s="13"/>
      <c r="F13" s="44"/>
      <c r="G13" s="42"/>
      <c r="H13" s="42"/>
      <c r="I13" s="42"/>
      <c r="J13" s="14"/>
      <c r="K13" s="43"/>
    </row>
    <row r="14" ht="39.75" customHeight="1">
      <c r="A14" s="1">
        <v>13.0</v>
      </c>
      <c r="B14" s="2" t="s">
        <v>31</v>
      </c>
      <c r="C14" s="13"/>
      <c r="D14" s="13"/>
      <c r="E14" s="13"/>
      <c r="F14" s="44" t="s">
        <v>472</v>
      </c>
      <c r="G14" s="42"/>
      <c r="H14" s="42"/>
      <c r="I14" s="42"/>
      <c r="J14" s="14"/>
      <c r="K14" s="43"/>
    </row>
    <row r="15" ht="39.75" customHeight="1">
      <c r="A15" s="1">
        <v>14.0</v>
      </c>
      <c r="B15" s="2" t="s">
        <v>32</v>
      </c>
      <c r="C15" s="2"/>
      <c r="D15" s="13"/>
      <c r="E15" s="13"/>
      <c r="F15" s="45"/>
      <c r="G15" s="42"/>
      <c r="H15" s="42"/>
      <c r="I15" s="42"/>
      <c r="J15" s="14"/>
      <c r="K15" s="43"/>
    </row>
    <row r="16" ht="39.75" customHeight="1">
      <c r="A16" s="1">
        <v>15.0</v>
      </c>
      <c r="B16" s="2" t="s">
        <v>67</v>
      </c>
      <c r="C16" s="2" t="s">
        <v>39</v>
      </c>
      <c r="D16" s="53">
        <v>0.2847222222222222</v>
      </c>
      <c r="E16" s="13"/>
      <c r="F16" s="44" t="s">
        <v>1897</v>
      </c>
      <c r="G16" s="43">
        <v>1.0</v>
      </c>
      <c r="H16" s="42"/>
      <c r="I16" s="43">
        <v>1.0</v>
      </c>
      <c r="J16" s="14"/>
      <c r="K16" s="43"/>
    </row>
    <row r="17" ht="39.75" hidden="1" customHeight="1">
      <c r="A17" s="1">
        <v>16.0</v>
      </c>
      <c r="B17" s="2" t="s">
        <v>34</v>
      </c>
      <c r="C17" s="2" t="s">
        <v>13</v>
      </c>
      <c r="D17" s="13"/>
      <c r="E17" s="13"/>
      <c r="F17" s="44"/>
      <c r="G17" s="42"/>
      <c r="H17" s="43"/>
      <c r="I17" s="43"/>
      <c r="J17" s="14"/>
      <c r="K17" s="43"/>
    </row>
    <row r="18" ht="39.75" customHeight="1">
      <c r="A18" s="1">
        <v>17.0</v>
      </c>
      <c r="B18" s="2" t="s">
        <v>35</v>
      </c>
      <c r="C18" s="2" t="s">
        <v>39</v>
      </c>
      <c r="D18" s="13"/>
      <c r="E18" s="13"/>
      <c r="F18" s="44" t="s">
        <v>1898</v>
      </c>
      <c r="G18" s="43">
        <v>1.0</v>
      </c>
      <c r="H18" s="42"/>
      <c r="I18" s="42"/>
      <c r="J18" s="14"/>
      <c r="K18" s="43"/>
    </row>
    <row r="19" ht="39.75" customHeight="1">
      <c r="A19" s="1">
        <v>18.0</v>
      </c>
      <c r="B19" s="2" t="s">
        <v>36</v>
      </c>
      <c r="C19" s="2" t="s">
        <v>54</v>
      </c>
      <c r="D19" s="13"/>
      <c r="E19" s="13"/>
      <c r="F19" s="44" t="s">
        <v>1899</v>
      </c>
      <c r="G19" s="43">
        <v>1.0</v>
      </c>
      <c r="H19" s="43">
        <v>1.0</v>
      </c>
      <c r="I19" s="42"/>
      <c r="J19" s="14"/>
      <c r="K19" s="43"/>
    </row>
    <row r="20" ht="39.75" customHeight="1">
      <c r="A20" s="1">
        <v>19.0</v>
      </c>
      <c r="B20" s="2" t="s">
        <v>38</v>
      </c>
      <c r="C20" s="2"/>
      <c r="D20" s="13"/>
      <c r="E20" s="13"/>
      <c r="F20" s="44" t="s">
        <v>1900</v>
      </c>
      <c r="G20" s="43">
        <v>1.0</v>
      </c>
      <c r="H20" s="42"/>
      <c r="I20" s="42"/>
      <c r="J20" s="14"/>
      <c r="K20" s="43"/>
    </row>
    <row r="21" ht="39.75" hidden="1" customHeight="1">
      <c r="A21" s="1">
        <v>20.0</v>
      </c>
      <c r="B21" s="2" t="s">
        <v>41</v>
      </c>
      <c r="C21" s="2" t="s">
        <v>13</v>
      </c>
      <c r="D21" s="13"/>
      <c r="E21" s="13"/>
      <c r="F21" s="44"/>
      <c r="G21" s="42"/>
      <c r="H21" s="42"/>
      <c r="I21" s="42"/>
      <c r="J21" s="14"/>
      <c r="K21" s="43"/>
    </row>
    <row r="22" ht="39.75" hidden="1" customHeight="1">
      <c r="A22" s="1">
        <v>21.0</v>
      </c>
      <c r="B22" s="2" t="s">
        <v>42</v>
      </c>
      <c r="C22" s="2" t="s">
        <v>13</v>
      </c>
      <c r="D22" s="13"/>
      <c r="E22" s="13"/>
      <c r="F22" s="45"/>
      <c r="G22" s="42"/>
      <c r="H22" s="42"/>
      <c r="I22" s="42"/>
      <c r="J22" s="14"/>
      <c r="K22" s="43"/>
    </row>
    <row r="23" ht="39.75" customHeight="1">
      <c r="A23" s="1">
        <v>22.0</v>
      </c>
      <c r="B23" s="2" t="s">
        <v>43</v>
      </c>
      <c r="C23" s="2" t="s">
        <v>69</v>
      </c>
      <c r="D23" s="13"/>
      <c r="E23" s="13"/>
      <c r="F23" s="44" t="s">
        <v>1901</v>
      </c>
      <c r="G23" s="43">
        <v>1.0</v>
      </c>
      <c r="H23" s="42"/>
      <c r="I23" s="42"/>
      <c r="J23" s="14"/>
      <c r="K23" s="43"/>
    </row>
    <row r="24" ht="39.75" customHeight="1">
      <c r="A24" s="1">
        <v>23.0</v>
      </c>
      <c r="B24" s="2" t="s">
        <v>45</v>
      </c>
      <c r="C24" s="2" t="s">
        <v>54</v>
      </c>
      <c r="D24" s="13"/>
      <c r="E24" s="13"/>
      <c r="F24" s="44" t="s">
        <v>1902</v>
      </c>
      <c r="G24" s="43">
        <v>1.0</v>
      </c>
      <c r="H24" s="42"/>
      <c r="I24" s="43">
        <v>1.0</v>
      </c>
      <c r="J24" s="14"/>
      <c r="K24" s="43"/>
    </row>
    <row r="25" ht="39.75" hidden="1" customHeight="1">
      <c r="A25" s="1">
        <v>24.0</v>
      </c>
      <c r="B25" s="2" t="s">
        <v>46</v>
      </c>
      <c r="C25" s="2" t="s">
        <v>13</v>
      </c>
      <c r="D25" s="40"/>
      <c r="E25" s="13"/>
      <c r="F25" s="44"/>
      <c r="G25" s="42"/>
      <c r="H25" s="42"/>
      <c r="I25" s="42"/>
      <c r="J25" s="14"/>
      <c r="K25" s="43"/>
    </row>
    <row r="26" ht="39.75" customHeight="1">
      <c r="A26" s="1">
        <v>25.0</v>
      </c>
      <c r="B26" s="2" t="s">
        <v>47</v>
      </c>
      <c r="C26" s="2" t="s">
        <v>69</v>
      </c>
      <c r="D26" s="13"/>
      <c r="E26" s="13"/>
      <c r="F26" s="44" t="s">
        <v>1903</v>
      </c>
      <c r="G26" s="43">
        <v>1.0</v>
      </c>
      <c r="H26" s="42"/>
      <c r="I26" s="43">
        <v>1.0</v>
      </c>
      <c r="J26" s="14"/>
      <c r="K26" s="43"/>
    </row>
    <row r="27" ht="39.75" customHeight="1">
      <c r="A27" s="1">
        <v>26.0</v>
      </c>
      <c r="B27" s="2" t="s">
        <v>48</v>
      </c>
      <c r="C27" s="2" t="s">
        <v>44</v>
      </c>
      <c r="D27" s="13"/>
      <c r="E27" s="13"/>
      <c r="F27" s="45"/>
      <c r="G27" s="42"/>
      <c r="H27" s="42"/>
      <c r="I27" s="42"/>
      <c r="J27" s="14"/>
      <c r="K27" s="43"/>
    </row>
    <row r="28" ht="39.75" customHeight="1">
      <c r="A28" s="1">
        <v>27.0</v>
      </c>
      <c r="B28" s="21"/>
      <c r="C28" s="21"/>
      <c r="D28" s="21"/>
      <c r="E28" s="21"/>
      <c r="F28" s="46"/>
      <c r="G28" s="47"/>
      <c r="H28" s="47"/>
      <c r="I28" s="47"/>
      <c r="J28" s="48"/>
      <c r="K28" s="47"/>
      <c r="L28" s="49"/>
      <c r="M28" s="49"/>
      <c r="N28" s="49"/>
    </row>
    <row r="29" ht="39.75" hidden="1" customHeight="1">
      <c r="A29" s="1">
        <v>28.0</v>
      </c>
      <c r="B29" s="2" t="s">
        <v>12</v>
      </c>
      <c r="C29" s="2" t="s">
        <v>58</v>
      </c>
      <c r="D29" s="13"/>
      <c r="E29" s="13"/>
      <c r="F29" s="45"/>
      <c r="G29" s="42"/>
      <c r="H29" s="42"/>
      <c r="I29" s="42"/>
      <c r="J29" s="14" t="s">
        <v>1890</v>
      </c>
      <c r="K29" s="43"/>
      <c r="L29" s="15" t="s">
        <v>52</v>
      </c>
    </row>
    <row r="30" ht="39.75" customHeight="1">
      <c r="A30" s="1">
        <v>29.0</v>
      </c>
      <c r="B30" s="2" t="s">
        <v>16</v>
      </c>
      <c r="C30" s="2" t="s">
        <v>44</v>
      </c>
      <c r="D30" s="13"/>
      <c r="E30" s="13"/>
      <c r="F30" s="45"/>
      <c r="G30" s="42"/>
      <c r="H30" s="42"/>
      <c r="I30" s="42"/>
      <c r="J30" s="14" t="s">
        <v>52</v>
      </c>
      <c r="K30" s="43"/>
    </row>
    <row r="31" ht="39.75" customHeight="1">
      <c r="A31" s="1">
        <v>30.0</v>
      </c>
      <c r="B31" s="2" t="s">
        <v>17</v>
      </c>
      <c r="C31" s="2" t="s">
        <v>39</v>
      </c>
      <c r="D31" s="53">
        <v>0.25</v>
      </c>
      <c r="E31" s="13"/>
      <c r="F31" s="44" t="s">
        <v>1904</v>
      </c>
      <c r="G31" s="43">
        <v>1.0</v>
      </c>
      <c r="H31" s="42"/>
      <c r="I31" s="42"/>
      <c r="J31" s="14" t="s">
        <v>131</v>
      </c>
      <c r="K31" s="43"/>
    </row>
    <row r="32" ht="39.75" hidden="1" customHeight="1">
      <c r="A32" s="1">
        <v>31.0</v>
      </c>
      <c r="B32" s="2" t="s">
        <v>331</v>
      </c>
      <c r="C32" s="2" t="s">
        <v>58</v>
      </c>
      <c r="D32" s="13"/>
      <c r="E32" s="13"/>
      <c r="F32" s="45"/>
      <c r="G32" s="42"/>
      <c r="H32" s="42"/>
      <c r="I32" s="42"/>
      <c r="J32" s="14"/>
      <c r="K32" s="43"/>
    </row>
    <row r="33" ht="39.75" hidden="1" customHeight="1">
      <c r="A33" s="1">
        <v>32.0</v>
      </c>
      <c r="B33" s="2" t="s">
        <v>21</v>
      </c>
      <c r="C33" s="2" t="s">
        <v>58</v>
      </c>
      <c r="D33" s="13"/>
      <c r="E33" s="13"/>
      <c r="F33" s="45"/>
      <c r="G33" s="42"/>
      <c r="H33" s="42"/>
      <c r="I33" s="42"/>
      <c r="J33" s="14"/>
      <c r="K33" s="43"/>
    </row>
    <row r="34" ht="39.75" customHeight="1">
      <c r="A34" s="1">
        <v>33.0</v>
      </c>
      <c r="B34" s="2" t="s">
        <v>22</v>
      </c>
      <c r="C34" s="2" t="s">
        <v>27</v>
      </c>
      <c r="D34" s="59">
        <v>0.7013888888888888</v>
      </c>
      <c r="E34" s="13"/>
      <c r="F34" s="79" t="s">
        <v>1905</v>
      </c>
      <c r="G34" s="42"/>
      <c r="H34" s="42"/>
      <c r="I34" s="42"/>
      <c r="J34" s="14"/>
      <c r="K34" s="43"/>
    </row>
    <row r="35" ht="39.75" customHeight="1">
      <c r="A35" s="1">
        <v>34.0</v>
      </c>
      <c r="B35" s="2" t="s">
        <v>23</v>
      </c>
      <c r="C35" s="2" t="s">
        <v>39</v>
      </c>
      <c r="D35" s="13"/>
      <c r="E35" s="13"/>
      <c r="F35" s="44" t="s">
        <v>1906</v>
      </c>
      <c r="G35" s="43">
        <v>1.0</v>
      </c>
      <c r="H35" s="42"/>
      <c r="I35" s="42"/>
      <c r="J35" s="14"/>
      <c r="K35" s="43"/>
    </row>
    <row r="36" ht="39.75" customHeight="1">
      <c r="A36" s="1">
        <v>35.0</v>
      </c>
      <c r="B36" s="2" t="s">
        <v>24</v>
      </c>
      <c r="C36" s="2"/>
      <c r="D36" s="13"/>
      <c r="E36" s="13"/>
      <c r="F36" s="44" t="s">
        <v>1907</v>
      </c>
      <c r="G36" s="43">
        <v>1.0</v>
      </c>
      <c r="H36" s="42"/>
      <c r="I36" s="42"/>
      <c r="J36" s="14"/>
      <c r="K36" s="43"/>
    </row>
    <row r="37" ht="39.75" customHeight="1">
      <c r="A37" s="1">
        <v>36.0</v>
      </c>
      <c r="B37" s="2" t="s">
        <v>25</v>
      </c>
      <c r="C37" s="2" t="s">
        <v>54</v>
      </c>
      <c r="D37" s="13"/>
      <c r="E37" s="13"/>
      <c r="F37" s="44" t="s">
        <v>1895</v>
      </c>
      <c r="G37" s="43">
        <v>1.0</v>
      </c>
      <c r="H37" s="43">
        <v>1.0</v>
      </c>
      <c r="I37" s="42"/>
      <c r="J37" s="14"/>
      <c r="K37" s="43"/>
    </row>
    <row r="38" ht="39.75" customHeight="1">
      <c r="A38" s="1">
        <v>37.0</v>
      </c>
      <c r="B38" s="2" t="s">
        <v>26</v>
      </c>
      <c r="C38" s="2" t="s">
        <v>54</v>
      </c>
      <c r="D38" s="13"/>
      <c r="E38" s="13"/>
      <c r="F38" s="44"/>
      <c r="G38" s="43"/>
      <c r="H38" s="42"/>
      <c r="I38" s="42"/>
      <c r="J38" s="14"/>
      <c r="K38" s="43"/>
    </row>
    <row r="39" ht="39.75" hidden="1" customHeight="1">
      <c r="A39" s="1">
        <v>38.0</v>
      </c>
      <c r="B39" s="2" t="s">
        <v>29</v>
      </c>
      <c r="C39" s="2" t="s">
        <v>58</v>
      </c>
      <c r="D39" s="13"/>
      <c r="E39" s="13"/>
      <c r="F39" s="45"/>
      <c r="G39" s="42"/>
      <c r="H39" s="42"/>
      <c r="I39" s="42"/>
      <c r="J39" s="14"/>
      <c r="K39" s="43"/>
    </row>
    <row r="40" ht="39.75" hidden="1" customHeight="1">
      <c r="A40" s="1">
        <v>39.0</v>
      </c>
      <c r="B40" s="2" t="s">
        <v>30</v>
      </c>
      <c r="C40" s="2" t="s">
        <v>66</v>
      </c>
      <c r="D40" s="13"/>
      <c r="E40" s="13"/>
      <c r="F40" s="45"/>
      <c r="G40" s="42"/>
      <c r="H40" s="42"/>
      <c r="I40" s="42"/>
      <c r="J40" s="14"/>
      <c r="K40" s="43"/>
    </row>
    <row r="41" ht="39.75" customHeight="1">
      <c r="A41" s="1">
        <v>40.0</v>
      </c>
      <c r="B41" s="2" t="s">
        <v>31</v>
      </c>
      <c r="C41" s="2"/>
      <c r="D41" s="13"/>
      <c r="E41" s="13"/>
      <c r="F41" s="44" t="s">
        <v>472</v>
      </c>
      <c r="G41" s="42"/>
      <c r="H41" s="42"/>
      <c r="I41" s="42"/>
      <c r="J41" s="14"/>
      <c r="K41" s="43"/>
    </row>
    <row r="42" ht="39.75" customHeight="1">
      <c r="A42" s="1">
        <v>41.0</v>
      </c>
      <c r="B42" s="2" t="s">
        <v>32</v>
      </c>
      <c r="C42" s="2"/>
      <c r="D42" s="13"/>
      <c r="E42" s="13"/>
      <c r="F42" s="44" t="s">
        <v>1908</v>
      </c>
      <c r="G42" s="43">
        <v>1.0</v>
      </c>
      <c r="H42" s="42"/>
      <c r="I42" s="42"/>
      <c r="J42" s="14"/>
      <c r="K42" s="43"/>
    </row>
    <row r="43" ht="39.75" customHeight="1">
      <c r="A43" s="1">
        <v>42.0</v>
      </c>
      <c r="B43" s="2" t="s">
        <v>67</v>
      </c>
      <c r="C43" s="2"/>
      <c r="D43" s="13"/>
      <c r="E43" s="13"/>
      <c r="F43" s="44" t="s">
        <v>1909</v>
      </c>
      <c r="G43" s="43">
        <v>2.0</v>
      </c>
      <c r="H43" s="42"/>
      <c r="I43" s="43">
        <v>1.0</v>
      </c>
      <c r="J43" s="14"/>
      <c r="K43" s="43"/>
    </row>
    <row r="44" ht="39.75" hidden="1" customHeight="1">
      <c r="A44" s="1">
        <v>43.0</v>
      </c>
      <c r="B44" s="2" t="s">
        <v>34</v>
      </c>
      <c r="C44" s="2" t="s">
        <v>66</v>
      </c>
      <c r="D44" s="13"/>
      <c r="E44" s="13"/>
      <c r="F44" s="45"/>
      <c r="G44" s="42"/>
      <c r="H44" s="42"/>
      <c r="I44" s="42"/>
      <c r="J44" s="14"/>
      <c r="K44" s="43"/>
    </row>
    <row r="45" ht="39.75" customHeight="1">
      <c r="A45" s="1">
        <v>44.0</v>
      </c>
      <c r="B45" s="2" t="s">
        <v>35</v>
      </c>
      <c r="C45" s="2"/>
      <c r="D45" s="13"/>
      <c r="E45" s="13"/>
      <c r="F45" s="44" t="s">
        <v>1910</v>
      </c>
      <c r="G45" s="43">
        <v>1.0</v>
      </c>
      <c r="H45" s="42"/>
      <c r="I45" s="42"/>
      <c r="J45" s="14"/>
      <c r="K45" s="43"/>
    </row>
    <row r="46" ht="39.75" customHeight="1">
      <c r="A46" s="1">
        <v>45.0</v>
      </c>
      <c r="B46" s="2" t="s">
        <v>36</v>
      </c>
      <c r="C46" s="2" t="s">
        <v>54</v>
      </c>
      <c r="D46" s="13"/>
      <c r="E46" s="13"/>
      <c r="F46" s="45"/>
      <c r="G46" s="42"/>
      <c r="H46" s="42"/>
      <c r="I46" s="42"/>
      <c r="J46" s="14"/>
      <c r="K46" s="43"/>
    </row>
    <row r="47" ht="39.75" customHeight="1">
      <c r="A47" s="1">
        <v>46.0</v>
      </c>
      <c r="B47" s="2" t="s">
        <v>38</v>
      </c>
      <c r="C47" s="2" t="s">
        <v>69</v>
      </c>
      <c r="D47" s="13"/>
      <c r="E47" s="13"/>
      <c r="F47" s="45"/>
      <c r="G47" s="42"/>
      <c r="H47" s="42"/>
      <c r="I47" s="42"/>
      <c r="J47" s="14"/>
      <c r="K47" s="43"/>
    </row>
    <row r="48" ht="39.75" hidden="1" customHeight="1">
      <c r="A48" s="1">
        <v>47.0</v>
      </c>
      <c r="B48" s="2" t="s">
        <v>41</v>
      </c>
      <c r="C48" s="2" t="s">
        <v>58</v>
      </c>
      <c r="D48" s="13"/>
      <c r="E48" s="13"/>
      <c r="F48" s="45"/>
      <c r="G48" s="42"/>
      <c r="H48" s="42"/>
      <c r="I48" s="42"/>
      <c r="J48" s="14"/>
      <c r="K48" s="43"/>
    </row>
    <row r="49" ht="39.75" hidden="1" customHeight="1">
      <c r="A49" s="1">
        <v>48.0</v>
      </c>
      <c r="B49" s="2" t="s">
        <v>42</v>
      </c>
      <c r="C49" s="2" t="s">
        <v>58</v>
      </c>
      <c r="D49" s="13"/>
      <c r="E49" s="13"/>
      <c r="F49" s="45"/>
      <c r="G49" s="42"/>
      <c r="H49" s="42"/>
      <c r="I49" s="42"/>
      <c r="J49" s="14"/>
      <c r="K49" s="43"/>
    </row>
    <row r="50" ht="39.75" customHeight="1">
      <c r="A50" s="1">
        <v>49.0</v>
      </c>
      <c r="B50" s="2" t="s">
        <v>43</v>
      </c>
      <c r="C50" s="2" t="s">
        <v>69</v>
      </c>
      <c r="D50" s="13"/>
      <c r="E50" s="13"/>
      <c r="F50" s="45"/>
      <c r="G50" s="42"/>
      <c r="H50" s="42"/>
      <c r="I50" s="42"/>
      <c r="J50" s="14"/>
      <c r="K50" s="43"/>
    </row>
    <row r="51" ht="39.75" customHeight="1">
      <c r="A51" s="1">
        <v>50.0</v>
      </c>
      <c r="B51" s="2" t="s">
        <v>45</v>
      </c>
      <c r="C51" s="2" t="s">
        <v>54</v>
      </c>
      <c r="D51" s="13"/>
      <c r="E51" s="13"/>
      <c r="F51" s="44" t="s">
        <v>1911</v>
      </c>
      <c r="G51" s="43">
        <v>1.0</v>
      </c>
      <c r="H51" s="42"/>
      <c r="I51" s="42"/>
      <c r="J51" s="14"/>
      <c r="K51" s="43"/>
    </row>
    <row r="52" ht="39.75" customHeight="1">
      <c r="A52" s="1">
        <v>51.0</v>
      </c>
      <c r="B52" s="2" t="s">
        <v>46</v>
      </c>
      <c r="C52" s="2"/>
      <c r="D52" s="13"/>
      <c r="E52" s="13"/>
      <c r="F52" s="44" t="s">
        <v>1285</v>
      </c>
      <c r="G52" s="42"/>
      <c r="H52" s="42"/>
      <c r="I52" s="42"/>
      <c r="J52" s="14"/>
      <c r="K52" s="43"/>
    </row>
    <row r="53" ht="39.75" customHeight="1">
      <c r="A53" s="1">
        <v>52.0</v>
      </c>
      <c r="B53" s="2" t="s">
        <v>47</v>
      </c>
      <c r="C53" s="13"/>
      <c r="D53" s="13"/>
      <c r="E53" s="13"/>
      <c r="F53" s="44" t="s">
        <v>1912</v>
      </c>
      <c r="G53" s="43">
        <v>1.0</v>
      </c>
      <c r="H53" s="42"/>
      <c r="I53" s="42"/>
      <c r="J53" s="14"/>
      <c r="K53" s="43"/>
    </row>
    <row r="54" ht="39.75" customHeight="1">
      <c r="A54" s="1">
        <v>53.0</v>
      </c>
      <c r="B54" s="2" t="s">
        <v>48</v>
      </c>
      <c r="C54" s="2" t="s">
        <v>69</v>
      </c>
      <c r="D54" s="13"/>
      <c r="E54" s="13"/>
      <c r="F54" s="44" t="s">
        <v>1913</v>
      </c>
      <c r="G54" s="43">
        <v>1.0</v>
      </c>
      <c r="H54" s="42"/>
      <c r="I54" s="43">
        <v>1.0</v>
      </c>
      <c r="J54" s="14"/>
      <c r="K54" s="43"/>
    </row>
    <row r="55" ht="39.75" customHeight="1">
      <c r="A55" s="1">
        <v>54.0</v>
      </c>
      <c r="B55" s="21"/>
      <c r="C55" s="21"/>
      <c r="D55" s="21"/>
      <c r="E55" s="21"/>
      <c r="F55" s="46"/>
      <c r="G55" s="47"/>
      <c r="H55" s="47"/>
      <c r="I55" s="47"/>
      <c r="J55" s="48"/>
      <c r="K55" s="47"/>
      <c r="L55" s="49"/>
      <c r="M55" s="49"/>
      <c r="N55" s="49"/>
    </row>
    <row r="56" ht="39.75" hidden="1" customHeight="1">
      <c r="A56" s="1">
        <v>55.0</v>
      </c>
      <c r="B56" s="2" t="s">
        <v>12</v>
      </c>
      <c r="C56" s="2" t="s">
        <v>13</v>
      </c>
      <c r="D56" s="13"/>
      <c r="E56" s="13"/>
      <c r="F56" s="45"/>
      <c r="G56" s="42"/>
      <c r="H56" s="42"/>
      <c r="I56" s="42"/>
      <c r="J56" s="14" t="s">
        <v>1890</v>
      </c>
      <c r="K56" s="43"/>
      <c r="L56" s="15" t="s">
        <v>74</v>
      </c>
    </row>
    <row r="57" ht="39.75" customHeight="1">
      <c r="A57" s="1">
        <v>56.0</v>
      </c>
      <c r="B57" s="2" t="s">
        <v>16</v>
      </c>
      <c r="C57" s="2" t="s">
        <v>27</v>
      </c>
      <c r="D57" s="13"/>
      <c r="E57" s="13"/>
      <c r="F57" s="44" t="s">
        <v>1914</v>
      </c>
      <c r="G57" s="43">
        <v>1.0</v>
      </c>
      <c r="H57" s="42"/>
      <c r="I57" s="42"/>
      <c r="J57" s="14" t="s">
        <v>74</v>
      </c>
      <c r="K57" s="43"/>
    </row>
    <row r="58" ht="39.75" customHeight="1">
      <c r="A58" s="1">
        <v>57.0</v>
      </c>
      <c r="B58" s="2" t="s">
        <v>17</v>
      </c>
      <c r="C58" s="2"/>
      <c r="D58" s="40">
        <v>0.375</v>
      </c>
      <c r="E58" s="13"/>
      <c r="F58" s="44" t="s">
        <v>1915</v>
      </c>
      <c r="G58" s="43">
        <v>1.0</v>
      </c>
      <c r="H58" s="42"/>
      <c r="I58" s="42"/>
      <c r="J58" s="14" t="s">
        <v>149</v>
      </c>
      <c r="K58" s="43"/>
    </row>
    <row r="59" ht="39.75" customHeight="1">
      <c r="A59" s="1">
        <v>58.0</v>
      </c>
      <c r="B59" s="2" t="s">
        <v>331</v>
      </c>
      <c r="C59" s="2" t="s">
        <v>542</v>
      </c>
      <c r="D59" s="40">
        <v>0.375</v>
      </c>
      <c r="E59" s="13"/>
      <c r="F59" s="44" t="s">
        <v>1916</v>
      </c>
      <c r="G59" s="43">
        <v>1.0</v>
      </c>
      <c r="H59" s="42"/>
      <c r="I59" s="43">
        <v>1.0</v>
      </c>
      <c r="J59" s="14" t="s">
        <v>410</v>
      </c>
      <c r="K59" s="43"/>
    </row>
    <row r="60" ht="39.75" customHeight="1">
      <c r="A60" s="1">
        <v>59.0</v>
      </c>
      <c r="B60" s="2" t="s">
        <v>263</v>
      </c>
      <c r="C60" s="2" t="s">
        <v>272</v>
      </c>
      <c r="D60" s="13"/>
      <c r="E60" s="13"/>
      <c r="F60" s="44" t="s">
        <v>1186</v>
      </c>
      <c r="G60" s="43">
        <v>1.0</v>
      </c>
      <c r="H60" s="42"/>
      <c r="I60" s="43">
        <v>1.0</v>
      </c>
      <c r="J60" s="14" t="s">
        <v>412</v>
      </c>
      <c r="K60" s="43"/>
    </row>
    <row r="61" ht="39.75" customHeight="1">
      <c r="A61" s="1">
        <v>60.0</v>
      </c>
      <c r="B61" s="2" t="s">
        <v>22</v>
      </c>
      <c r="C61" s="2" t="s">
        <v>44</v>
      </c>
      <c r="D61" s="13"/>
      <c r="E61" s="13"/>
      <c r="F61" s="45"/>
      <c r="G61" s="42"/>
      <c r="H61" s="42"/>
      <c r="I61" s="42"/>
      <c r="J61" s="14" t="s">
        <v>413</v>
      </c>
      <c r="K61" s="43"/>
    </row>
    <row r="62" ht="39.75" hidden="1" customHeight="1">
      <c r="A62" s="1">
        <v>61.0</v>
      </c>
      <c r="B62" s="2" t="s">
        <v>23</v>
      </c>
      <c r="C62" s="2" t="s">
        <v>13</v>
      </c>
      <c r="D62" s="13"/>
      <c r="E62" s="13"/>
      <c r="F62" s="45"/>
      <c r="G62" s="42"/>
      <c r="H62" s="42"/>
      <c r="I62" s="42"/>
      <c r="J62" s="14"/>
      <c r="K62" s="43"/>
    </row>
    <row r="63" ht="39.75" customHeight="1">
      <c r="A63" s="1">
        <v>62.0</v>
      </c>
      <c r="B63" s="2" t="s">
        <v>24</v>
      </c>
      <c r="C63" s="2" t="s">
        <v>63</v>
      </c>
      <c r="D63" s="13"/>
      <c r="E63" s="13"/>
      <c r="F63" s="45"/>
      <c r="G63" s="42"/>
      <c r="H63" s="42"/>
      <c r="I63" s="42"/>
      <c r="J63" s="14"/>
      <c r="K63" s="43"/>
    </row>
    <row r="64" ht="39.75" hidden="1" customHeight="1">
      <c r="A64" s="1">
        <v>63.0</v>
      </c>
      <c r="B64" s="2" t="s">
        <v>25</v>
      </c>
      <c r="C64" s="2" t="s">
        <v>13</v>
      </c>
      <c r="D64" s="13"/>
      <c r="E64" s="13"/>
      <c r="F64" s="45"/>
      <c r="G64" s="42"/>
      <c r="H64" s="42"/>
      <c r="I64" s="42"/>
      <c r="J64" s="14"/>
      <c r="K64" s="43"/>
    </row>
    <row r="65" ht="39.75" hidden="1" customHeight="1">
      <c r="A65" s="1">
        <v>64.0</v>
      </c>
      <c r="B65" s="2" t="s">
        <v>26</v>
      </c>
      <c r="C65" s="2" t="s">
        <v>13</v>
      </c>
      <c r="D65" s="13"/>
      <c r="E65" s="13"/>
      <c r="F65" s="45"/>
      <c r="G65" s="42"/>
      <c r="H65" s="42"/>
      <c r="I65" s="42"/>
      <c r="J65" s="14"/>
      <c r="K65" s="43"/>
    </row>
    <row r="66" ht="39.75" hidden="1" customHeight="1">
      <c r="A66" s="1">
        <v>65.0</v>
      </c>
      <c r="B66" s="2" t="s">
        <v>29</v>
      </c>
      <c r="C66" s="2" t="s">
        <v>13</v>
      </c>
      <c r="D66" s="13"/>
      <c r="E66" s="13"/>
      <c r="F66" s="45"/>
      <c r="G66" s="42"/>
      <c r="H66" s="42"/>
      <c r="I66" s="42"/>
      <c r="J66" s="14"/>
      <c r="K66" s="43"/>
    </row>
    <row r="67" ht="39.75" hidden="1" customHeight="1">
      <c r="A67" s="1">
        <v>66.0</v>
      </c>
      <c r="B67" s="2" t="s">
        <v>30</v>
      </c>
      <c r="C67" s="2" t="s">
        <v>13</v>
      </c>
      <c r="D67" s="13"/>
      <c r="E67" s="13"/>
      <c r="F67" s="45"/>
      <c r="G67" s="42"/>
      <c r="H67" s="42"/>
      <c r="I67" s="42"/>
      <c r="J67" s="14"/>
      <c r="K67" s="43"/>
    </row>
    <row r="68" ht="39.75" customHeight="1">
      <c r="A68" s="1">
        <v>67.0</v>
      </c>
      <c r="B68" s="2" t="s">
        <v>33</v>
      </c>
      <c r="C68" s="2" t="s">
        <v>272</v>
      </c>
      <c r="D68" s="13"/>
      <c r="E68" s="13"/>
      <c r="F68" s="44" t="s">
        <v>1186</v>
      </c>
      <c r="G68" s="43">
        <v>1.0</v>
      </c>
      <c r="H68" s="42"/>
      <c r="I68" s="43">
        <v>1.0</v>
      </c>
      <c r="J68" s="14"/>
      <c r="K68" s="43"/>
    </row>
    <row r="69" ht="39.75" hidden="1" customHeight="1">
      <c r="A69" s="1">
        <v>68.0</v>
      </c>
      <c r="B69" s="2" t="s">
        <v>32</v>
      </c>
      <c r="C69" s="2" t="s">
        <v>13</v>
      </c>
      <c r="D69" s="13"/>
      <c r="E69" s="13"/>
      <c r="F69" s="45"/>
      <c r="G69" s="42"/>
      <c r="H69" s="42"/>
      <c r="I69" s="42"/>
      <c r="J69" s="14"/>
      <c r="K69" s="43"/>
    </row>
    <row r="70" ht="39.75" hidden="1" customHeight="1">
      <c r="A70" s="1">
        <v>69.0</v>
      </c>
      <c r="B70" s="2" t="s">
        <v>67</v>
      </c>
      <c r="C70" s="2" t="s">
        <v>13</v>
      </c>
      <c r="D70" s="13"/>
      <c r="E70" s="13"/>
      <c r="F70" s="45"/>
      <c r="G70" s="42"/>
      <c r="H70" s="42"/>
      <c r="I70" s="42"/>
      <c r="J70" s="14"/>
      <c r="K70" s="43"/>
    </row>
    <row r="71" ht="39.75" hidden="1" customHeight="1">
      <c r="A71" s="1">
        <v>70.0</v>
      </c>
      <c r="B71" s="2" t="s">
        <v>34</v>
      </c>
      <c r="C71" s="2" t="s">
        <v>13</v>
      </c>
      <c r="D71" s="13"/>
      <c r="E71" s="13"/>
      <c r="F71" s="45"/>
      <c r="G71" s="42"/>
      <c r="H71" s="42"/>
      <c r="I71" s="42"/>
      <c r="J71" s="14"/>
      <c r="K71" s="43"/>
    </row>
    <row r="72" ht="39.75" hidden="1" customHeight="1">
      <c r="A72" s="1">
        <v>71.0</v>
      </c>
      <c r="B72" s="2" t="s">
        <v>35</v>
      </c>
      <c r="C72" s="2" t="s">
        <v>13</v>
      </c>
      <c r="D72" s="13"/>
      <c r="E72" s="13"/>
      <c r="F72" s="45"/>
      <c r="G72" s="42"/>
      <c r="H72" s="42"/>
      <c r="I72" s="42"/>
      <c r="J72" s="14"/>
      <c r="K72" s="43"/>
    </row>
    <row r="73" ht="39.75" hidden="1" customHeight="1">
      <c r="A73" s="1">
        <v>72.0</v>
      </c>
      <c r="B73" s="2" t="s">
        <v>36</v>
      </c>
      <c r="C73" s="2" t="s">
        <v>13</v>
      </c>
      <c r="D73" s="13"/>
      <c r="E73" s="13"/>
      <c r="F73" s="45"/>
      <c r="G73" s="42"/>
      <c r="H73" s="42"/>
      <c r="I73" s="42"/>
      <c r="J73" s="14"/>
      <c r="K73" s="43"/>
    </row>
    <row r="74" ht="39.75" customHeight="1">
      <c r="A74" s="1">
        <v>73.0</v>
      </c>
      <c r="B74" s="2" t="s">
        <v>38</v>
      </c>
      <c r="C74" s="2" t="s">
        <v>49</v>
      </c>
      <c r="D74" s="13"/>
      <c r="E74" s="13"/>
      <c r="F74" s="44" t="s">
        <v>1917</v>
      </c>
      <c r="G74" s="43">
        <v>1.0</v>
      </c>
      <c r="H74" s="42"/>
      <c r="I74" s="43">
        <v>1.0</v>
      </c>
      <c r="J74" s="14"/>
      <c r="K74" s="43"/>
    </row>
    <row r="75" ht="39.75" hidden="1" customHeight="1">
      <c r="A75" s="1">
        <v>74.0</v>
      </c>
      <c r="B75" s="2" t="s">
        <v>41</v>
      </c>
      <c r="C75" s="2" t="s">
        <v>13</v>
      </c>
      <c r="D75" s="13"/>
      <c r="E75" s="13"/>
      <c r="F75" s="45"/>
      <c r="G75" s="42"/>
      <c r="H75" s="42"/>
      <c r="I75" s="42"/>
      <c r="J75" s="14"/>
      <c r="K75" s="43"/>
    </row>
    <row r="76" ht="39.75" hidden="1" customHeight="1">
      <c r="A76" s="1">
        <v>75.0</v>
      </c>
      <c r="B76" s="2" t="s">
        <v>42</v>
      </c>
      <c r="C76" s="2" t="s">
        <v>13</v>
      </c>
      <c r="D76" s="13"/>
      <c r="E76" s="13"/>
      <c r="F76" s="45"/>
      <c r="G76" s="42"/>
      <c r="H76" s="42"/>
      <c r="I76" s="42"/>
      <c r="J76" s="14"/>
      <c r="K76" s="43"/>
    </row>
    <row r="77" ht="39.75" hidden="1" customHeight="1">
      <c r="A77" s="1">
        <v>76.0</v>
      </c>
      <c r="B77" s="2" t="s">
        <v>43</v>
      </c>
      <c r="C77" s="2" t="s">
        <v>13</v>
      </c>
      <c r="D77" s="13"/>
      <c r="E77" s="13"/>
      <c r="F77" s="45"/>
      <c r="G77" s="42"/>
      <c r="H77" s="42"/>
      <c r="I77" s="42"/>
      <c r="J77" s="14"/>
      <c r="K77" s="43"/>
    </row>
    <row r="78" ht="39.75" hidden="1" customHeight="1">
      <c r="A78" s="1">
        <v>77.0</v>
      </c>
      <c r="B78" s="2" t="s">
        <v>45</v>
      </c>
      <c r="C78" s="2" t="s">
        <v>13</v>
      </c>
      <c r="D78" s="13"/>
      <c r="E78" s="13"/>
      <c r="F78" s="45"/>
      <c r="G78" s="42"/>
      <c r="H78" s="42"/>
      <c r="I78" s="42"/>
      <c r="J78" s="14"/>
      <c r="K78" s="43"/>
    </row>
    <row r="79" ht="39.75" customHeight="1">
      <c r="A79" s="1">
        <v>78.0</v>
      </c>
      <c r="B79" s="2" t="s">
        <v>46</v>
      </c>
      <c r="C79" s="2" t="s">
        <v>39</v>
      </c>
      <c r="D79" s="53">
        <v>0.3645833333333333</v>
      </c>
      <c r="E79" s="13"/>
      <c r="F79" s="44" t="s">
        <v>1918</v>
      </c>
      <c r="G79" s="43">
        <v>2.0</v>
      </c>
      <c r="H79" s="42"/>
      <c r="I79" s="43">
        <v>1.0</v>
      </c>
      <c r="J79" s="14"/>
      <c r="K79" s="43"/>
    </row>
    <row r="80" ht="39.75" hidden="1" customHeight="1">
      <c r="A80" s="1">
        <v>79.0</v>
      </c>
      <c r="B80" s="2" t="s">
        <v>47</v>
      </c>
      <c r="C80" s="2" t="s">
        <v>13</v>
      </c>
      <c r="D80" s="13"/>
      <c r="E80" s="13"/>
      <c r="F80" s="45"/>
      <c r="G80" s="42"/>
      <c r="H80" s="42"/>
      <c r="I80" s="42"/>
      <c r="J80" s="14"/>
      <c r="K80" s="43"/>
    </row>
    <row r="81" ht="39.75" hidden="1" customHeight="1">
      <c r="A81" s="1">
        <v>80.0</v>
      </c>
      <c r="B81" s="2" t="s">
        <v>48</v>
      </c>
      <c r="C81" s="2" t="s">
        <v>13</v>
      </c>
      <c r="D81" s="13"/>
      <c r="E81" s="13"/>
      <c r="F81" s="45"/>
      <c r="G81" s="42"/>
      <c r="H81" s="42"/>
      <c r="I81" s="42"/>
      <c r="J81" s="14"/>
      <c r="K81" s="43"/>
    </row>
    <row r="82" ht="39.75" customHeight="1">
      <c r="A82" s="1">
        <v>81.0</v>
      </c>
      <c r="B82" s="21"/>
      <c r="C82" s="21"/>
      <c r="D82" s="21"/>
      <c r="E82" s="21"/>
      <c r="F82" s="46"/>
      <c r="G82" s="47"/>
      <c r="H82" s="47"/>
      <c r="I82" s="47"/>
      <c r="J82" s="48"/>
      <c r="K82" s="47"/>
      <c r="L82" s="49"/>
      <c r="M82" s="49"/>
      <c r="N82" s="49"/>
    </row>
    <row r="83" ht="39.75" hidden="1" customHeight="1">
      <c r="A83" s="1">
        <v>82.0</v>
      </c>
      <c r="B83" s="2" t="s">
        <v>12</v>
      </c>
      <c r="C83" s="2" t="s">
        <v>13</v>
      </c>
      <c r="D83" s="13"/>
      <c r="E83" s="13"/>
      <c r="F83" s="45"/>
      <c r="G83" s="42"/>
      <c r="H83" s="42"/>
      <c r="I83" s="42"/>
      <c r="J83" s="14" t="s">
        <v>1890</v>
      </c>
      <c r="K83" s="43"/>
      <c r="L83" s="15" t="s">
        <v>94</v>
      </c>
    </row>
    <row r="84" ht="39.75" customHeight="1">
      <c r="A84" s="1">
        <v>83.0</v>
      </c>
      <c r="B84" s="2" t="s">
        <v>16</v>
      </c>
      <c r="C84" s="2" t="s">
        <v>44</v>
      </c>
      <c r="D84" s="13"/>
      <c r="E84" s="13"/>
      <c r="F84" s="45"/>
      <c r="G84" s="42"/>
      <c r="H84" s="42"/>
      <c r="I84" s="42"/>
      <c r="J84" s="14" t="s">
        <v>94</v>
      </c>
      <c r="K84" s="43"/>
    </row>
    <row r="85" ht="39.75" customHeight="1">
      <c r="A85" s="1">
        <v>84.0</v>
      </c>
      <c r="B85" s="2" t="s">
        <v>20</v>
      </c>
      <c r="C85" s="2" t="s">
        <v>271</v>
      </c>
      <c r="D85" s="13"/>
      <c r="E85" s="13"/>
      <c r="F85" s="44"/>
      <c r="G85" s="42"/>
      <c r="H85" s="42"/>
      <c r="I85" s="42"/>
      <c r="J85" s="14" t="s">
        <v>19</v>
      </c>
      <c r="K85" s="43"/>
    </row>
    <row r="86" ht="39.75" customHeight="1">
      <c r="A86" s="1">
        <v>85.0</v>
      </c>
      <c r="B86" s="2" t="s">
        <v>266</v>
      </c>
      <c r="C86" s="2" t="s">
        <v>272</v>
      </c>
      <c r="D86" s="13"/>
      <c r="E86" s="13"/>
      <c r="F86" s="45"/>
      <c r="G86" s="42"/>
      <c r="H86" s="42"/>
      <c r="I86" s="42"/>
      <c r="J86" s="14" t="s">
        <v>165</v>
      </c>
      <c r="K86" s="43"/>
    </row>
    <row r="87" ht="39.75" hidden="1" customHeight="1">
      <c r="A87" s="1">
        <v>86.0</v>
      </c>
      <c r="B87" s="2" t="s">
        <v>21</v>
      </c>
      <c r="C87" s="2" t="s">
        <v>13</v>
      </c>
      <c r="D87" s="13"/>
      <c r="E87" s="13"/>
      <c r="F87" s="45"/>
      <c r="G87" s="42"/>
      <c r="H87" s="42"/>
      <c r="I87" s="42"/>
      <c r="J87" s="14" t="s">
        <v>166</v>
      </c>
      <c r="K87" s="43"/>
    </row>
    <row r="88" ht="39.75" hidden="1" customHeight="1">
      <c r="A88" s="1">
        <v>87.0</v>
      </c>
      <c r="B88" s="2" t="s">
        <v>22</v>
      </c>
      <c r="C88" s="2" t="s">
        <v>13</v>
      </c>
      <c r="D88" s="13"/>
      <c r="E88" s="13"/>
      <c r="F88" s="45"/>
      <c r="G88" s="42"/>
      <c r="H88" s="42"/>
      <c r="I88" s="42"/>
      <c r="J88" s="14" t="s">
        <v>167</v>
      </c>
      <c r="K88" s="43"/>
    </row>
    <row r="89" ht="39.75" hidden="1" customHeight="1">
      <c r="A89" s="1">
        <v>88.0</v>
      </c>
      <c r="B89" s="2" t="s">
        <v>23</v>
      </c>
      <c r="C89" s="2" t="s">
        <v>13</v>
      </c>
      <c r="D89" s="13"/>
      <c r="E89" s="13"/>
      <c r="F89" s="45"/>
      <c r="G89" s="42"/>
      <c r="H89" s="42"/>
      <c r="I89" s="42"/>
      <c r="J89" s="14"/>
      <c r="K89" s="43"/>
    </row>
    <row r="90" ht="39.75" customHeight="1">
      <c r="A90" s="1">
        <v>89.0</v>
      </c>
      <c r="B90" s="2" t="s">
        <v>24</v>
      </c>
      <c r="C90" s="2" t="s">
        <v>63</v>
      </c>
      <c r="D90" s="13"/>
      <c r="E90" s="13"/>
      <c r="F90" s="45"/>
      <c r="G90" s="42"/>
      <c r="H90" s="42"/>
      <c r="I90" s="42"/>
      <c r="J90" s="14"/>
      <c r="K90" s="43"/>
    </row>
    <row r="91" ht="39.75" hidden="1" customHeight="1">
      <c r="A91" s="1">
        <v>90.0</v>
      </c>
      <c r="B91" s="2" t="s">
        <v>25</v>
      </c>
      <c r="C91" s="2" t="s">
        <v>13</v>
      </c>
      <c r="D91" s="13"/>
      <c r="E91" s="13"/>
      <c r="F91" s="45"/>
      <c r="G91" s="42"/>
      <c r="H91" s="42"/>
      <c r="I91" s="42"/>
      <c r="J91" s="14"/>
      <c r="K91" s="43"/>
    </row>
    <row r="92" ht="39.75" hidden="1" customHeight="1">
      <c r="A92" s="1">
        <v>91.0</v>
      </c>
      <c r="B92" s="2" t="s">
        <v>26</v>
      </c>
      <c r="C92" s="2" t="s">
        <v>13</v>
      </c>
      <c r="D92" s="13"/>
      <c r="E92" s="13"/>
      <c r="F92" s="45"/>
      <c r="G92" s="42"/>
      <c r="H92" s="42"/>
      <c r="I92" s="42"/>
      <c r="J92" s="14"/>
      <c r="K92" s="43"/>
    </row>
    <row r="93" ht="39.75" hidden="1" customHeight="1">
      <c r="A93" s="1">
        <v>92.0</v>
      </c>
      <c r="B93" s="2" t="s">
        <v>29</v>
      </c>
      <c r="C93" s="2" t="s">
        <v>13</v>
      </c>
      <c r="D93" s="13"/>
      <c r="E93" s="13"/>
      <c r="F93" s="45"/>
      <c r="G93" s="42"/>
      <c r="H93" s="42"/>
      <c r="I93" s="42"/>
      <c r="J93" s="14"/>
      <c r="K93" s="43"/>
    </row>
    <row r="94" ht="39.75" hidden="1" customHeight="1">
      <c r="A94" s="1">
        <v>93.0</v>
      </c>
      <c r="B94" s="2" t="s">
        <v>30</v>
      </c>
      <c r="C94" s="2" t="s">
        <v>13</v>
      </c>
      <c r="D94" s="13"/>
      <c r="E94" s="13"/>
      <c r="F94" s="45"/>
      <c r="G94" s="42"/>
      <c r="H94" s="42"/>
      <c r="I94" s="42"/>
      <c r="J94" s="14"/>
      <c r="K94" s="43"/>
    </row>
    <row r="95" ht="39.75" hidden="1" customHeight="1">
      <c r="A95" s="1">
        <v>94.0</v>
      </c>
      <c r="B95" s="2" t="s">
        <v>31</v>
      </c>
      <c r="C95" s="2" t="s">
        <v>13</v>
      </c>
      <c r="D95" s="13"/>
      <c r="E95" s="13"/>
      <c r="F95" s="45"/>
      <c r="G95" s="42"/>
      <c r="H95" s="42"/>
      <c r="I95" s="42"/>
      <c r="J95" s="14"/>
      <c r="K95" s="43"/>
    </row>
    <row r="96" ht="39.75" hidden="1" customHeight="1">
      <c r="A96" s="1">
        <v>95.0</v>
      </c>
      <c r="B96" s="2" t="s">
        <v>32</v>
      </c>
      <c r="C96" s="2" t="s">
        <v>13</v>
      </c>
      <c r="D96" s="13"/>
      <c r="E96" s="13"/>
      <c r="F96" s="45"/>
      <c r="G96" s="42"/>
      <c r="H96" s="42"/>
      <c r="I96" s="42"/>
      <c r="J96" s="14"/>
      <c r="K96" s="43"/>
    </row>
    <row r="97" ht="39.75" hidden="1" customHeight="1">
      <c r="A97" s="1">
        <v>96.0</v>
      </c>
      <c r="B97" s="2" t="s">
        <v>67</v>
      </c>
      <c r="C97" s="2" t="s">
        <v>13</v>
      </c>
      <c r="D97" s="13"/>
      <c r="E97" s="13"/>
      <c r="F97" s="45"/>
      <c r="G97" s="42"/>
      <c r="H97" s="42"/>
      <c r="I97" s="42"/>
      <c r="J97" s="14"/>
      <c r="K97" s="43"/>
    </row>
    <row r="98" ht="39.75" customHeight="1">
      <c r="A98" s="1">
        <v>97.0</v>
      </c>
      <c r="B98" s="2" t="s">
        <v>34</v>
      </c>
      <c r="C98" s="2" t="s">
        <v>49</v>
      </c>
      <c r="D98" s="13"/>
      <c r="E98" s="13"/>
      <c r="F98" s="45"/>
      <c r="G98" s="42"/>
      <c r="H98" s="42"/>
      <c r="I98" s="42"/>
      <c r="J98" s="14"/>
      <c r="K98" s="43"/>
    </row>
    <row r="99" ht="39.75" customHeight="1">
      <c r="A99" s="1">
        <v>98.0</v>
      </c>
      <c r="B99" s="2" t="s">
        <v>35</v>
      </c>
      <c r="C99" s="2" t="s">
        <v>27</v>
      </c>
      <c r="D99" s="13"/>
      <c r="E99" s="13"/>
      <c r="F99" s="44" t="s">
        <v>1919</v>
      </c>
      <c r="G99" s="43">
        <v>1.0</v>
      </c>
      <c r="H99" s="42"/>
      <c r="I99" s="43"/>
      <c r="J99" s="14"/>
      <c r="K99" s="43"/>
    </row>
    <row r="100" ht="39.75" hidden="1" customHeight="1">
      <c r="A100" s="1">
        <v>99.0</v>
      </c>
      <c r="B100" s="2" t="s">
        <v>36</v>
      </c>
      <c r="C100" s="2" t="s">
        <v>13</v>
      </c>
      <c r="D100" s="13"/>
      <c r="E100" s="13"/>
      <c r="F100" s="45"/>
      <c r="G100" s="42"/>
      <c r="H100" s="42"/>
      <c r="I100" s="42"/>
      <c r="J100" s="14"/>
      <c r="K100" s="43"/>
    </row>
    <row r="101" ht="39.75" hidden="1" customHeight="1">
      <c r="A101" s="1">
        <v>100.0</v>
      </c>
      <c r="B101" s="2" t="s">
        <v>38</v>
      </c>
      <c r="C101" s="2" t="s">
        <v>13</v>
      </c>
      <c r="D101" s="13"/>
      <c r="E101" s="13"/>
      <c r="F101" s="45"/>
      <c r="G101" s="42"/>
      <c r="H101" s="42"/>
      <c r="I101" s="42"/>
      <c r="J101" s="14"/>
      <c r="K101" s="43"/>
    </row>
    <row r="102" ht="39.75" hidden="1" customHeight="1">
      <c r="A102" s="1">
        <v>101.0</v>
      </c>
      <c r="B102" s="2" t="s">
        <v>41</v>
      </c>
      <c r="C102" s="2" t="s">
        <v>13</v>
      </c>
      <c r="D102" s="13"/>
      <c r="E102" s="13"/>
      <c r="F102" s="45"/>
      <c r="G102" s="42"/>
      <c r="H102" s="42"/>
      <c r="I102" s="42"/>
      <c r="J102" s="14"/>
      <c r="K102" s="43"/>
    </row>
    <row r="103" ht="39.75" hidden="1" customHeight="1">
      <c r="A103" s="1">
        <v>102.0</v>
      </c>
      <c r="B103" s="2" t="s">
        <v>42</v>
      </c>
      <c r="C103" s="2" t="s">
        <v>13</v>
      </c>
      <c r="D103" s="13"/>
      <c r="E103" s="13"/>
      <c r="F103" s="45"/>
      <c r="G103" s="42"/>
      <c r="H103" s="42"/>
      <c r="I103" s="42"/>
      <c r="J103" s="14"/>
      <c r="K103" s="43"/>
    </row>
    <row r="104" ht="39.75" hidden="1" customHeight="1">
      <c r="A104" s="1">
        <v>103.0</v>
      </c>
      <c r="B104" s="2" t="s">
        <v>43</v>
      </c>
      <c r="C104" s="2" t="s">
        <v>13</v>
      </c>
      <c r="D104" s="13"/>
      <c r="E104" s="13"/>
      <c r="F104" s="45"/>
      <c r="G104" s="42"/>
      <c r="H104" s="42"/>
      <c r="I104" s="42"/>
      <c r="J104" s="14"/>
      <c r="K104" s="43"/>
    </row>
    <row r="105" ht="39.75" hidden="1" customHeight="1">
      <c r="A105" s="1">
        <v>104.0</v>
      </c>
      <c r="B105" s="2" t="s">
        <v>45</v>
      </c>
      <c r="C105" s="2" t="s">
        <v>13</v>
      </c>
      <c r="D105" s="13"/>
      <c r="E105" s="13"/>
      <c r="F105" s="45"/>
      <c r="G105" s="42"/>
      <c r="H105" s="42"/>
      <c r="I105" s="42"/>
      <c r="J105" s="14"/>
      <c r="K105" s="43"/>
    </row>
    <row r="106" ht="39.75" customHeight="1">
      <c r="A106" s="1">
        <v>105.0</v>
      </c>
      <c r="B106" s="2" t="s">
        <v>46</v>
      </c>
      <c r="C106" s="13"/>
      <c r="D106" s="40">
        <v>0.375</v>
      </c>
      <c r="E106" s="13"/>
      <c r="F106" s="44" t="s">
        <v>1920</v>
      </c>
      <c r="G106" s="43">
        <v>2.0</v>
      </c>
      <c r="H106" s="42"/>
      <c r="I106" s="43">
        <v>1.0</v>
      </c>
      <c r="J106" s="14"/>
      <c r="K106" s="43"/>
    </row>
    <row r="107" ht="39.75" customHeight="1">
      <c r="A107" s="1">
        <v>106.0</v>
      </c>
      <c r="B107" s="2" t="s">
        <v>47</v>
      </c>
      <c r="C107" s="2" t="s">
        <v>39</v>
      </c>
      <c r="D107" s="13"/>
      <c r="E107" s="13"/>
      <c r="F107" s="44" t="s">
        <v>1921</v>
      </c>
      <c r="G107" s="43">
        <v>1.0</v>
      </c>
      <c r="H107" s="42"/>
      <c r="I107" s="42"/>
      <c r="J107" s="14"/>
      <c r="K107" s="43"/>
    </row>
    <row r="108" ht="39.75" customHeight="1">
      <c r="A108" s="1">
        <v>107.0</v>
      </c>
      <c r="B108" s="2" t="s">
        <v>48</v>
      </c>
      <c r="C108" s="2"/>
      <c r="D108" s="40">
        <v>0.375</v>
      </c>
      <c r="E108" s="13"/>
      <c r="F108" s="44" t="s">
        <v>1922</v>
      </c>
      <c r="G108" s="43">
        <v>1.0</v>
      </c>
      <c r="H108" s="42"/>
      <c r="I108" s="42"/>
      <c r="J108" s="14"/>
      <c r="K108" s="43"/>
    </row>
    <row r="109" ht="39.75" customHeight="1">
      <c r="A109" s="1">
        <v>108.0</v>
      </c>
      <c r="B109" s="21"/>
      <c r="C109" s="21"/>
      <c r="D109" s="21"/>
      <c r="E109" s="21"/>
      <c r="F109" s="46"/>
      <c r="G109" s="47"/>
      <c r="H109" s="47"/>
      <c r="I109" s="47"/>
      <c r="J109" s="54"/>
      <c r="K109" s="72"/>
      <c r="L109" s="49"/>
      <c r="M109" s="49"/>
      <c r="N109" s="49"/>
    </row>
    <row r="110" ht="39.75" customHeight="1">
      <c r="A110" s="1">
        <v>109.0</v>
      </c>
      <c r="B110" s="2" t="s">
        <v>12</v>
      </c>
      <c r="C110" s="2" t="s">
        <v>39</v>
      </c>
      <c r="D110" s="13"/>
      <c r="E110" s="13"/>
      <c r="F110" s="44" t="s">
        <v>1923</v>
      </c>
      <c r="G110" s="43">
        <v>1.0</v>
      </c>
      <c r="H110" s="42"/>
      <c r="I110" s="42"/>
      <c r="J110" s="27" t="s">
        <v>1890</v>
      </c>
      <c r="K110" s="43"/>
      <c r="L110" s="15" t="s">
        <v>109</v>
      </c>
    </row>
    <row r="111" ht="39.75" hidden="1" customHeight="1">
      <c r="A111" s="1">
        <v>110.0</v>
      </c>
      <c r="B111" s="2" t="s">
        <v>16</v>
      </c>
      <c r="C111" s="2" t="s">
        <v>13</v>
      </c>
      <c r="D111" s="13"/>
      <c r="E111" s="13"/>
      <c r="F111" s="45"/>
      <c r="G111" s="42"/>
      <c r="H111" s="42"/>
      <c r="I111" s="42"/>
      <c r="J111" s="27" t="s">
        <v>109</v>
      </c>
      <c r="K111" s="43"/>
    </row>
    <row r="112" ht="39.75" customHeight="1">
      <c r="A112" s="1">
        <v>111.0</v>
      </c>
      <c r="B112" s="2" t="s">
        <v>17</v>
      </c>
      <c r="C112" s="2" t="s">
        <v>27</v>
      </c>
      <c r="D112" s="13"/>
      <c r="E112" s="13"/>
      <c r="F112" s="45"/>
      <c r="G112" s="42"/>
      <c r="H112" s="42"/>
      <c r="I112" s="42"/>
      <c r="J112" s="27" t="s">
        <v>56</v>
      </c>
      <c r="K112" s="43"/>
    </row>
    <row r="113" ht="39.75" customHeight="1">
      <c r="A113" s="1">
        <v>112.0</v>
      </c>
      <c r="B113" s="2" t="s">
        <v>266</v>
      </c>
      <c r="C113" s="2" t="s">
        <v>272</v>
      </c>
      <c r="D113" s="13"/>
      <c r="E113" s="13"/>
      <c r="F113" s="44" t="s">
        <v>1924</v>
      </c>
      <c r="G113" s="42"/>
      <c r="H113" s="42"/>
      <c r="I113" s="42"/>
      <c r="J113" s="27" t="s">
        <v>262</v>
      </c>
      <c r="K113" s="42"/>
    </row>
    <row r="114" ht="39.75" hidden="1" customHeight="1">
      <c r="A114" s="1">
        <v>113.0</v>
      </c>
      <c r="B114" s="2" t="s">
        <v>21</v>
      </c>
      <c r="C114" s="2" t="s">
        <v>13</v>
      </c>
      <c r="D114" s="13"/>
      <c r="E114" s="13"/>
      <c r="F114" s="45"/>
      <c r="G114" s="42"/>
      <c r="H114" s="42"/>
      <c r="I114" s="42"/>
      <c r="J114" s="27" t="s">
        <v>264</v>
      </c>
      <c r="K114" s="42"/>
    </row>
    <row r="115" ht="39.75" hidden="1" customHeight="1">
      <c r="A115" s="1">
        <v>114.0</v>
      </c>
      <c r="B115" s="2" t="s">
        <v>22</v>
      </c>
      <c r="C115" s="2" t="s">
        <v>13</v>
      </c>
      <c r="D115" s="13"/>
      <c r="E115" s="13"/>
      <c r="F115" s="45"/>
      <c r="G115" s="42"/>
      <c r="H115" s="42"/>
      <c r="I115" s="42"/>
      <c r="J115" s="27" t="s">
        <v>265</v>
      </c>
      <c r="K115" s="42"/>
    </row>
    <row r="116" ht="39.75" hidden="1" customHeight="1">
      <c r="A116" s="1">
        <v>115.0</v>
      </c>
      <c r="B116" s="2" t="s">
        <v>23</v>
      </c>
      <c r="C116" s="2" t="s">
        <v>13</v>
      </c>
      <c r="D116" s="13"/>
      <c r="E116" s="13"/>
      <c r="F116" s="45"/>
      <c r="G116" s="42"/>
      <c r="H116" s="42"/>
      <c r="I116" s="42"/>
      <c r="J116" s="22"/>
      <c r="K116" s="42"/>
    </row>
    <row r="117" ht="39.75" customHeight="1">
      <c r="A117" s="1">
        <v>116.0</v>
      </c>
      <c r="B117" s="2" t="s">
        <v>24</v>
      </c>
      <c r="C117" s="2" t="s">
        <v>63</v>
      </c>
      <c r="D117" s="13"/>
      <c r="E117" s="13"/>
      <c r="F117" s="45"/>
      <c r="G117" s="42"/>
      <c r="H117" s="42"/>
      <c r="I117" s="42"/>
      <c r="J117" s="22"/>
      <c r="K117" s="42"/>
    </row>
    <row r="118" ht="39.75" hidden="1" customHeight="1">
      <c r="A118" s="1">
        <v>117.0</v>
      </c>
      <c r="B118" s="2" t="s">
        <v>25</v>
      </c>
      <c r="C118" s="2" t="s">
        <v>13</v>
      </c>
      <c r="D118" s="13"/>
      <c r="E118" s="13"/>
      <c r="F118" s="45"/>
      <c r="G118" s="42"/>
      <c r="H118" s="42"/>
      <c r="I118" s="42"/>
      <c r="J118" s="22"/>
      <c r="K118" s="42"/>
    </row>
    <row r="119" ht="39.75" hidden="1" customHeight="1">
      <c r="A119" s="1">
        <v>118.0</v>
      </c>
      <c r="B119" s="2" t="s">
        <v>26</v>
      </c>
      <c r="C119" s="2" t="s">
        <v>13</v>
      </c>
      <c r="D119" s="13"/>
      <c r="E119" s="13"/>
      <c r="F119" s="45"/>
      <c r="G119" s="42"/>
      <c r="H119" s="42"/>
      <c r="I119" s="42"/>
      <c r="J119" s="22"/>
      <c r="K119" s="42"/>
    </row>
    <row r="120" ht="39.75" hidden="1" customHeight="1">
      <c r="A120" s="1">
        <v>119.0</v>
      </c>
      <c r="B120" s="2" t="s">
        <v>29</v>
      </c>
      <c r="C120" s="2" t="s">
        <v>13</v>
      </c>
      <c r="D120" s="13"/>
      <c r="E120" s="13"/>
      <c r="F120" s="45"/>
      <c r="G120" s="42"/>
      <c r="H120" s="42"/>
      <c r="I120" s="42"/>
      <c r="J120" s="22"/>
      <c r="K120" s="42"/>
    </row>
    <row r="121" ht="39.75" hidden="1" customHeight="1">
      <c r="A121" s="1">
        <v>120.0</v>
      </c>
      <c r="B121" s="2" t="s">
        <v>30</v>
      </c>
      <c r="C121" s="2" t="s">
        <v>13</v>
      </c>
      <c r="D121" s="13"/>
      <c r="E121" s="13"/>
      <c r="F121" s="45"/>
      <c r="G121" s="42"/>
      <c r="H121" s="42"/>
      <c r="I121" s="42"/>
      <c r="J121" s="22"/>
      <c r="K121" s="42"/>
    </row>
    <row r="122" ht="39.75" hidden="1" customHeight="1">
      <c r="A122" s="1">
        <v>121.0</v>
      </c>
      <c r="B122" s="2" t="s">
        <v>31</v>
      </c>
      <c r="C122" s="2" t="s">
        <v>13</v>
      </c>
      <c r="D122" s="13"/>
      <c r="E122" s="13"/>
      <c r="F122" s="45"/>
      <c r="G122" s="42"/>
      <c r="H122" s="42"/>
      <c r="I122" s="42"/>
      <c r="J122" s="22"/>
      <c r="K122" s="42"/>
    </row>
    <row r="123" ht="39.75" hidden="1" customHeight="1">
      <c r="A123" s="1">
        <v>122.0</v>
      </c>
      <c r="B123" s="2" t="s">
        <v>32</v>
      </c>
      <c r="C123" s="2" t="s">
        <v>13</v>
      </c>
      <c r="D123" s="13"/>
      <c r="E123" s="13"/>
      <c r="F123" s="45"/>
      <c r="G123" s="42"/>
      <c r="H123" s="42"/>
      <c r="I123" s="42"/>
      <c r="J123" s="22"/>
      <c r="K123" s="42"/>
    </row>
    <row r="124" ht="39.75" customHeight="1">
      <c r="A124" s="1">
        <v>123.0</v>
      </c>
      <c r="B124" s="2" t="s">
        <v>67</v>
      </c>
      <c r="C124" s="2"/>
      <c r="D124" s="40">
        <v>0.375</v>
      </c>
      <c r="E124" s="13"/>
      <c r="F124" s="44" t="s">
        <v>1925</v>
      </c>
      <c r="G124" s="43">
        <v>2.0</v>
      </c>
      <c r="H124" s="42"/>
      <c r="I124" s="42"/>
      <c r="J124" s="22"/>
      <c r="K124" s="42"/>
    </row>
    <row r="125" ht="39.75" hidden="1" customHeight="1">
      <c r="A125" s="1">
        <v>124.0</v>
      </c>
      <c r="B125" s="2" t="s">
        <v>34</v>
      </c>
      <c r="C125" s="2" t="s">
        <v>13</v>
      </c>
      <c r="D125" s="13"/>
      <c r="E125" s="13"/>
      <c r="F125" s="45"/>
      <c r="G125" s="42"/>
      <c r="H125" s="42"/>
      <c r="I125" s="42"/>
      <c r="J125" s="22"/>
      <c r="K125" s="42"/>
    </row>
    <row r="126" ht="39.75" customHeight="1">
      <c r="A126" s="1">
        <v>125.0</v>
      </c>
      <c r="B126" s="2" t="s">
        <v>35</v>
      </c>
      <c r="C126" s="2" t="s">
        <v>44</v>
      </c>
      <c r="D126" s="13"/>
      <c r="E126" s="13"/>
      <c r="F126" s="45"/>
      <c r="G126" s="42"/>
      <c r="H126" s="42"/>
      <c r="I126" s="42"/>
      <c r="J126" s="22"/>
      <c r="K126" s="42"/>
    </row>
    <row r="127" ht="39.75" customHeight="1">
      <c r="A127" s="1">
        <v>126.0</v>
      </c>
      <c r="B127" s="2" t="s">
        <v>36</v>
      </c>
      <c r="C127" s="2" t="s">
        <v>69</v>
      </c>
      <c r="D127" s="13"/>
      <c r="E127" s="13"/>
      <c r="F127" s="44" t="s">
        <v>1926</v>
      </c>
      <c r="G127" s="43">
        <v>1.0</v>
      </c>
      <c r="H127" s="42"/>
      <c r="I127" s="42"/>
      <c r="J127" s="22"/>
      <c r="K127" s="42"/>
    </row>
    <row r="128" ht="39.75" customHeight="1">
      <c r="A128" s="1">
        <v>127.0</v>
      </c>
      <c r="B128" s="2" t="s">
        <v>38</v>
      </c>
      <c r="C128" s="2" t="s">
        <v>69</v>
      </c>
      <c r="D128" s="13"/>
      <c r="E128" s="13"/>
      <c r="F128" s="44" t="s">
        <v>1927</v>
      </c>
      <c r="G128" s="43">
        <v>1.0</v>
      </c>
      <c r="H128" s="42"/>
      <c r="I128" s="42"/>
      <c r="J128" s="22"/>
      <c r="K128" s="42"/>
    </row>
    <row r="129" ht="39.75" hidden="1" customHeight="1">
      <c r="A129" s="1">
        <v>128.0</v>
      </c>
      <c r="B129" s="2" t="s">
        <v>41</v>
      </c>
      <c r="C129" s="2" t="s">
        <v>13</v>
      </c>
      <c r="D129" s="13"/>
      <c r="E129" s="13"/>
      <c r="F129" s="45"/>
      <c r="G129" s="42"/>
      <c r="H129" s="42"/>
      <c r="I129" s="42"/>
      <c r="J129" s="22"/>
      <c r="K129" s="42"/>
    </row>
    <row r="130" ht="39.75" hidden="1" customHeight="1">
      <c r="A130" s="1">
        <v>129.0</v>
      </c>
      <c r="B130" s="2" t="s">
        <v>42</v>
      </c>
      <c r="C130" s="2" t="s">
        <v>13</v>
      </c>
      <c r="D130" s="13"/>
      <c r="E130" s="13"/>
      <c r="F130" s="45"/>
      <c r="G130" s="42"/>
      <c r="H130" s="42"/>
      <c r="I130" s="42"/>
      <c r="J130" s="22"/>
      <c r="K130" s="42"/>
    </row>
    <row r="131" ht="39.75" hidden="1" customHeight="1">
      <c r="A131" s="1">
        <v>130.0</v>
      </c>
      <c r="B131" s="2" t="s">
        <v>43</v>
      </c>
      <c r="C131" s="2" t="s">
        <v>13</v>
      </c>
      <c r="D131" s="13"/>
      <c r="E131" s="13"/>
      <c r="F131" s="45"/>
      <c r="G131" s="42"/>
      <c r="H131" s="42"/>
      <c r="I131" s="42"/>
      <c r="J131" s="22"/>
      <c r="K131" s="42"/>
    </row>
    <row r="132" ht="39.75" customHeight="1">
      <c r="A132" s="1">
        <v>131.0</v>
      </c>
      <c r="B132" s="2" t="s">
        <v>45</v>
      </c>
      <c r="C132" s="2" t="s">
        <v>54</v>
      </c>
      <c r="D132" s="13"/>
      <c r="E132" s="13"/>
      <c r="F132" s="44" t="s">
        <v>1928</v>
      </c>
      <c r="G132" s="43">
        <v>1.0</v>
      </c>
      <c r="H132" s="42"/>
      <c r="I132" s="42"/>
      <c r="J132" s="22"/>
      <c r="K132" s="42"/>
    </row>
    <row r="133" ht="39.75" hidden="1" customHeight="1">
      <c r="A133" s="1">
        <v>132.0</v>
      </c>
      <c r="B133" s="2" t="s">
        <v>46</v>
      </c>
      <c r="C133" s="2" t="s">
        <v>13</v>
      </c>
      <c r="D133" s="13"/>
      <c r="E133" s="13"/>
      <c r="F133" s="45"/>
      <c r="G133" s="42"/>
      <c r="H133" s="42"/>
      <c r="I133" s="42"/>
      <c r="J133" s="22"/>
      <c r="K133" s="42"/>
    </row>
    <row r="134" ht="39.75" hidden="1" customHeight="1">
      <c r="A134" s="1">
        <v>133.0</v>
      </c>
      <c r="B134" s="2" t="s">
        <v>47</v>
      </c>
      <c r="C134" s="2" t="s">
        <v>13</v>
      </c>
      <c r="D134" s="13"/>
      <c r="E134" s="13"/>
      <c r="F134" s="45"/>
      <c r="G134" s="42"/>
      <c r="H134" s="42"/>
      <c r="I134" s="42"/>
      <c r="J134" s="22"/>
      <c r="K134" s="42"/>
    </row>
    <row r="135" ht="39.75" customHeight="1">
      <c r="A135" s="1">
        <v>134.0</v>
      </c>
      <c r="B135" s="2" t="s">
        <v>48</v>
      </c>
      <c r="C135" s="2" t="s">
        <v>54</v>
      </c>
      <c r="D135" s="13"/>
      <c r="E135" s="13"/>
      <c r="F135" s="44" t="s">
        <v>1929</v>
      </c>
      <c r="G135" s="43">
        <v>1.0</v>
      </c>
      <c r="H135" s="42"/>
      <c r="I135" s="42"/>
      <c r="J135" s="22"/>
      <c r="K135" s="42"/>
    </row>
    <row r="136" ht="39.75" customHeight="1">
      <c r="A136" s="1">
        <v>135.0</v>
      </c>
      <c r="B136" s="21"/>
      <c r="C136" s="21"/>
      <c r="D136" s="21"/>
      <c r="E136" s="21"/>
      <c r="F136" s="46"/>
      <c r="G136" s="47"/>
      <c r="H136" s="47"/>
      <c r="I136" s="47"/>
      <c r="J136" s="48"/>
      <c r="K136" s="47"/>
      <c r="L136" s="49"/>
      <c r="M136" s="49"/>
      <c r="N136" s="49"/>
    </row>
    <row r="137" ht="39.75" hidden="1" customHeight="1">
      <c r="A137" s="1">
        <v>136.0</v>
      </c>
      <c r="B137" s="2" t="s">
        <v>12</v>
      </c>
      <c r="C137" s="2" t="s">
        <v>13</v>
      </c>
      <c r="D137" s="13"/>
      <c r="E137" s="13"/>
      <c r="F137" s="45"/>
      <c r="G137" s="42"/>
      <c r="H137" s="42"/>
      <c r="I137" s="42"/>
      <c r="J137" s="27" t="s">
        <v>1890</v>
      </c>
      <c r="K137" s="43"/>
      <c r="L137" s="15" t="s">
        <v>128</v>
      </c>
    </row>
    <row r="138" ht="39.75" hidden="1" customHeight="1">
      <c r="A138" s="1">
        <v>137.0</v>
      </c>
      <c r="B138" s="2" t="s">
        <v>16</v>
      </c>
      <c r="C138" s="2" t="s">
        <v>13</v>
      </c>
      <c r="D138" s="13"/>
      <c r="E138" s="13"/>
      <c r="F138" s="45"/>
      <c r="G138" s="42"/>
      <c r="H138" s="42"/>
      <c r="I138" s="42"/>
      <c r="J138" s="27" t="s">
        <v>128</v>
      </c>
      <c r="K138" s="43"/>
    </row>
    <row r="139" ht="39.75" customHeight="1">
      <c r="A139" s="1">
        <v>138.0</v>
      </c>
      <c r="B139" s="2" t="s">
        <v>17</v>
      </c>
      <c r="C139" s="2" t="s">
        <v>44</v>
      </c>
      <c r="D139" s="13"/>
      <c r="E139" s="13"/>
      <c r="F139" s="45"/>
      <c r="G139" s="42"/>
      <c r="H139" s="42"/>
      <c r="I139" s="42"/>
      <c r="J139" s="27" t="s">
        <v>77</v>
      </c>
      <c r="K139" s="43"/>
    </row>
    <row r="140" ht="39.75" customHeight="1">
      <c r="A140" s="1">
        <v>139.0</v>
      </c>
      <c r="B140" s="2" t="s">
        <v>331</v>
      </c>
      <c r="C140" s="2" t="s">
        <v>69</v>
      </c>
      <c r="D140" s="13"/>
      <c r="E140" s="13"/>
      <c r="F140" s="44" t="s">
        <v>1930</v>
      </c>
      <c r="G140" s="43">
        <v>1.0</v>
      </c>
      <c r="H140" s="42"/>
      <c r="I140" s="42"/>
      <c r="J140" s="27" t="s">
        <v>165</v>
      </c>
      <c r="K140" s="43"/>
    </row>
    <row r="141" ht="39.75" customHeight="1">
      <c r="A141" s="1">
        <v>140.0</v>
      </c>
      <c r="B141" s="2" t="s">
        <v>268</v>
      </c>
      <c r="C141" s="2" t="s">
        <v>63</v>
      </c>
      <c r="D141" s="13"/>
      <c r="E141" s="13"/>
      <c r="F141" s="45"/>
      <c r="G141" s="42"/>
      <c r="H141" s="42"/>
      <c r="I141" s="42"/>
      <c r="J141" s="27" t="s">
        <v>166</v>
      </c>
      <c r="K141" s="43"/>
    </row>
    <row r="142" ht="39.75" customHeight="1">
      <c r="A142" s="1">
        <v>141.0</v>
      </c>
      <c r="B142" s="2" t="s">
        <v>22</v>
      </c>
      <c r="C142" s="2" t="s">
        <v>39</v>
      </c>
      <c r="D142" s="13"/>
      <c r="E142" s="13"/>
      <c r="F142" s="44" t="s">
        <v>1931</v>
      </c>
      <c r="G142" s="43">
        <v>1.0</v>
      </c>
      <c r="H142" s="42"/>
      <c r="I142" s="43">
        <v>1.0</v>
      </c>
      <c r="J142" s="27" t="s">
        <v>167</v>
      </c>
      <c r="K142" s="43"/>
    </row>
    <row r="143" ht="39.75" customHeight="1">
      <c r="A143" s="1">
        <v>142.0</v>
      </c>
      <c r="B143" s="2" t="s">
        <v>23</v>
      </c>
      <c r="C143" s="2" t="s">
        <v>27</v>
      </c>
      <c r="D143" s="13"/>
      <c r="E143" s="13"/>
      <c r="F143" s="44" t="s">
        <v>1932</v>
      </c>
      <c r="G143" s="43">
        <v>1.0</v>
      </c>
      <c r="H143" s="42"/>
      <c r="I143" s="42"/>
      <c r="J143" s="22"/>
      <c r="K143" s="42"/>
    </row>
    <row r="144" ht="39.75" hidden="1" customHeight="1">
      <c r="A144" s="1">
        <v>143.0</v>
      </c>
      <c r="B144" s="2" t="s">
        <v>24</v>
      </c>
      <c r="C144" s="2" t="s">
        <v>13</v>
      </c>
      <c r="D144" s="13"/>
      <c r="E144" s="13"/>
      <c r="F144" s="45"/>
      <c r="G144" s="42"/>
      <c r="H144" s="42"/>
      <c r="I144" s="42"/>
      <c r="J144" s="22"/>
      <c r="K144" s="42"/>
    </row>
    <row r="145" ht="39.75" customHeight="1">
      <c r="A145" s="1">
        <v>144.0</v>
      </c>
      <c r="B145" s="2" t="s">
        <v>25</v>
      </c>
      <c r="C145" s="2"/>
      <c r="D145" s="40">
        <v>0.375</v>
      </c>
      <c r="E145" s="13"/>
      <c r="F145" s="44" t="s">
        <v>1933</v>
      </c>
      <c r="G145" s="43">
        <v>1.0</v>
      </c>
      <c r="H145" s="42"/>
      <c r="I145" s="42"/>
      <c r="J145" s="22"/>
      <c r="K145" s="42"/>
    </row>
    <row r="146" ht="39.75" customHeight="1">
      <c r="A146" s="1">
        <v>145.0</v>
      </c>
      <c r="B146" s="2" t="s">
        <v>26</v>
      </c>
      <c r="C146" s="2"/>
      <c r="D146" s="40">
        <v>0.375</v>
      </c>
      <c r="E146" s="13"/>
      <c r="F146" s="44" t="s">
        <v>1934</v>
      </c>
      <c r="G146" s="43">
        <v>1.0</v>
      </c>
      <c r="H146" s="42"/>
      <c r="I146" s="42"/>
      <c r="J146" s="22"/>
      <c r="K146" s="42"/>
    </row>
    <row r="147" ht="39.75" customHeight="1">
      <c r="A147" s="1">
        <v>146.0</v>
      </c>
      <c r="B147" s="2" t="s">
        <v>29</v>
      </c>
      <c r="C147" s="2" t="s">
        <v>54</v>
      </c>
      <c r="D147" s="13"/>
      <c r="E147" s="13"/>
      <c r="F147" s="44" t="s">
        <v>1935</v>
      </c>
      <c r="G147" s="43">
        <v>1.0</v>
      </c>
      <c r="H147" s="42"/>
      <c r="I147" s="42"/>
      <c r="J147" s="22"/>
      <c r="K147" s="42"/>
    </row>
    <row r="148" ht="39.75" hidden="1" customHeight="1">
      <c r="A148" s="1">
        <v>147.0</v>
      </c>
      <c r="B148" s="2" t="s">
        <v>30</v>
      </c>
      <c r="C148" s="2" t="s">
        <v>13</v>
      </c>
      <c r="D148" s="13"/>
      <c r="E148" s="13"/>
      <c r="F148" s="45"/>
      <c r="G148" s="42"/>
      <c r="H148" s="42"/>
      <c r="I148" s="42"/>
      <c r="J148" s="22"/>
      <c r="K148" s="42"/>
    </row>
    <row r="149" ht="39.75" customHeight="1">
      <c r="A149" s="1">
        <v>148.0</v>
      </c>
      <c r="B149" s="2" t="s">
        <v>31</v>
      </c>
      <c r="C149" s="2" t="s">
        <v>69</v>
      </c>
      <c r="D149" s="13"/>
      <c r="E149" s="13"/>
      <c r="F149" s="44" t="s">
        <v>1936</v>
      </c>
      <c r="G149" s="43">
        <v>1.0</v>
      </c>
      <c r="H149" s="42"/>
      <c r="I149" s="43">
        <v>1.0</v>
      </c>
      <c r="J149" s="22"/>
      <c r="K149" s="42"/>
    </row>
    <row r="150" ht="39.75" customHeight="1">
      <c r="A150" s="1">
        <v>149.0</v>
      </c>
      <c r="B150" s="2" t="s">
        <v>33</v>
      </c>
      <c r="C150" s="2" t="s">
        <v>272</v>
      </c>
      <c r="D150" s="13"/>
      <c r="E150" s="13"/>
      <c r="F150" s="45"/>
      <c r="G150" s="42"/>
      <c r="H150" s="42"/>
      <c r="I150" s="42"/>
      <c r="J150" s="22"/>
      <c r="K150" s="42"/>
    </row>
    <row r="151" ht="39.75" hidden="1" customHeight="1">
      <c r="A151" s="1">
        <v>150.0</v>
      </c>
      <c r="B151" s="2" t="s">
        <v>67</v>
      </c>
      <c r="C151" s="2" t="s">
        <v>13</v>
      </c>
      <c r="D151" s="13"/>
      <c r="E151" s="13"/>
      <c r="F151" s="45"/>
      <c r="G151" s="42"/>
      <c r="H151" s="42"/>
      <c r="I151" s="42"/>
      <c r="J151" s="22"/>
      <c r="K151" s="42"/>
    </row>
    <row r="152" ht="39.75" hidden="1" customHeight="1">
      <c r="A152" s="1">
        <v>151.0</v>
      </c>
      <c r="B152" s="2" t="s">
        <v>34</v>
      </c>
      <c r="C152" s="2" t="s">
        <v>13</v>
      </c>
      <c r="D152" s="13"/>
      <c r="E152" s="13"/>
      <c r="F152" s="45"/>
      <c r="G152" s="42"/>
      <c r="H152" s="42"/>
      <c r="I152" s="42"/>
      <c r="J152" s="22"/>
      <c r="K152" s="42"/>
    </row>
    <row r="153" ht="39.75" hidden="1" customHeight="1">
      <c r="A153" s="1">
        <v>152.0</v>
      </c>
      <c r="B153" s="2" t="s">
        <v>35</v>
      </c>
      <c r="C153" s="2" t="s">
        <v>13</v>
      </c>
      <c r="D153" s="13"/>
      <c r="E153" s="13"/>
      <c r="F153" s="45"/>
      <c r="G153" s="42"/>
      <c r="H153" s="42"/>
      <c r="I153" s="42"/>
      <c r="J153" s="22"/>
      <c r="K153" s="42"/>
    </row>
    <row r="154" ht="39.75" hidden="1" customHeight="1">
      <c r="A154" s="1">
        <v>153.0</v>
      </c>
      <c r="B154" s="2" t="s">
        <v>36</v>
      </c>
      <c r="C154" s="2" t="s">
        <v>13</v>
      </c>
      <c r="D154" s="13"/>
      <c r="E154" s="13"/>
      <c r="F154" s="45"/>
      <c r="G154" s="42"/>
      <c r="H154" s="42"/>
      <c r="I154" s="42"/>
      <c r="J154" s="22"/>
      <c r="K154" s="42"/>
    </row>
    <row r="155" ht="39.75" hidden="1" customHeight="1">
      <c r="A155" s="1">
        <v>154.0</v>
      </c>
      <c r="B155" s="2" t="s">
        <v>38</v>
      </c>
      <c r="C155" s="2" t="s">
        <v>13</v>
      </c>
      <c r="D155" s="13"/>
      <c r="E155" s="13"/>
      <c r="F155" s="45"/>
      <c r="G155" s="42"/>
      <c r="H155" s="42"/>
      <c r="I155" s="42"/>
      <c r="J155" s="22"/>
      <c r="K155" s="42"/>
    </row>
    <row r="156" ht="39.75" hidden="1" customHeight="1">
      <c r="A156" s="1">
        <v>155.0</v>
      </c>
      <c r="B156" s="2" t="s">
        <v>41</v>
      </c>
      <c r="C156" s="2" t="s">
        <v>13</v>
      </c>
      <c r="D156" s="13"/>
      <c r="E156" s="13"/>
      <c r="F156" s="45"/>
      <c r="G156" s="42"/>
      <c r="H156" s="42"/>
      <c r="I156" s="42"/>
      <c r="J156" s="22"/>
      <c r="K156" s="42"/>
    </row>
    <row r="157" ht="39.75" hidden="1" customHeight="1">
      <c r="A157" s="1">
        <v>156.0</v>
      </c>
      <c r="B157" s="2" t="s">
        <v>42</v>
      </c>
      <c r="C157" s="2" t="s">
        <v>13</v>
      </c>
      <c r="D157" s="13"/>
      <c r="E157" s="13"/>
      <c r="F157" s="45"/>
      <c r="G157" s="42"/>
      <c r="H157" s="42"/>
      <c r="I157" s="42"/>
      <c r="J157" s="22"/>
      <c r="K157" s="42"/>
    </row>
    <row r="158" ht="39.75" hidden="1" customHeight="1">
      <c r="A158" s="1">
        <v>157.0</v>
      </c>
      <c r="B158" s="2" t="s">
        <v>43</v>
      </c>
      <c r="C158" s="2" t="s">
        <v>13</v>
      </c>
      <c r="D158" s="13"/>
      <c r="E158" s="13"/>
      <c r="F158" s="45"/>
      <c r="G158" s="42"/>
      <c r="H158" s="42"/>
      <c r="I158" s="42"/>
      <c r="J158" s="22"/>
      <c r="K158" s="42"/>
    </row>
    <row r="159" ht="39.75" hidden="1" customHeight="1">
      <c r="A159" s="1">
        <v>158.0</v>
      </c>
      <c r="B159" s="2" t="s">
        <v>45</v>
      </c>
      <c r="C159" s="2" t="s">
        <v>13</v>
      </c>
      <c r="D159" s="13"/>
      <c r="E159" s="13"/>
      <c r="F159" s="45"/>
      <c r="G159" s="42"/>
      <c r="H159" s="42"/>
      <c r="I159" s="42"/>
      <c r="J159" s="22"/>
      <c r="K159" s="42"/>
    </row>
    <row r="160" ht="39.75" hidden="1" customHeight="1">
      <c r="A160" s="1">
        <v>159.0</v>
      </c>
      <c r="B160" s="2" t="s">
        <v>46</v>
      </c>
      <c r="C160" s="2" t="s">
        <v>13</v>
      </c>
      <c r="D160" s="13"/>
      <c r="E160" s="13"/>
      <c r="F160" s="45"/>
      <c r="G160" s="42"/>
      <c r="H160" s="42"/>
      <c r="I160" s="42"/>
      <c r="J160" s="22"/>
      <c r="K160" s="42"/>
    </row>
    <row r="161" ht="39.75" hidden="1" customHeight="1">
      <c r="A161" s="1">
        <v>160.0</v>
      </c>
      <c r="B161" s="2" t="s">
        <v>47</v>
      </c>
      <c r="C161" s="2" t="s">
        <v>13</v>
      </c>
      <c r="D161" s="13"/>
      <c r="E161" s="13"/>
      <c r="F161" s="45"/>
      <c r="G161" s="42"/>
      <c r="H161" s="42"/>
      <c r="I161" s="42"/>
      <c r="J161" s="22"/>
      <c r="K161" s="42"/>
    </row>
    <row r="162" ht="39.75" customHeight="1">
      <c r="A162" s="1">
        <v>161.0</v>
      </c>
      <c r="B162" s="2" t="s">
        <v>48</v>
      </c>
      <c r="C162" s="2" t="s">
        <v>54</v>
      </c>
      <c r="D162" s="13"/>
      <c r="E162" s="13"/>
      <c r="F162" s="44" t="s">
        <v>1937</v>
      </c>
      <c r="G162" s="43">
        <v>1.0</v>
      </c>
      <c r="H162" s="42"/>
      <c r="I162" s="42"/>
      <c r="J162" s="22"/>
      <c r="K162" s="42"/>
    </row>
    <row r="163" ht="39.75" customHeight="1">
      <c r="A163" s="1">
        <v>162.0</v>
      </c>
      <c r="B163" s="21"/>
      <c r="C163" s="21"/>
      <c r="D163" s="21"/>
      <c r="E163" s="21"/>
      <c r="F163" s="46"/>
      <c r="G163" s="47"/>
      <c r="H163" s="47"/>
      <c r="I163" s="47"/>
      <c r="J163" s="48"/>
      <c r="K163" s="47"/>
      <c r="L163" s="49"/>
      <c r="M163" s="49"/>
      <c r="N163" s="49"/>
    </row>
    <row r="164" ht="39.75" customHeight="1">
      <c r="A164" s="1">
        <v>163.0</v>
      </c>
      <c r="B164" s="2" t="s">
        <v>12</v>
      </c>
      <c r="C164" s="2" t="s">
        <v>62</v>
      </c>
      <c r="D164" s="13"/>
      <c r="E164" s="13"/>
      <c r="F164" s="45"/>
      <c r="G164" s="42"/>
      <c r="H164" s="42"/>
      <c r="I164" s="42"/>
      <c r="J164" s="27" t="s">
        <v>1890</v>
      </c>
      <c r="K164" s="43"/>
      <c r="L164" s="15" t="s">
        <v>147</v>
      </c>
    </row>
    <row r="165" ht="39.75" customHeight="1">
      <c r="A165" s="1">
        <v>164.0</v>
      </c>
      <c r="B165" s="2" t="s">
        <v>16</v>
      </c>
      <c r="C165" s="2"/>
      <c r="D165" s="13"/>
      <c r="E165" s="13"/>
      <c r="F165" s="44" t="s">
        <v>1938</v>
      </c>
      <c r="G165" s="43">
        <v>1.0</v>
      </c>
      <c r="H165" s="42"/>
      <c r="I165" s="42"/>
      <c r="J165" s="27" t="s">
        <v>147</v>
      </c>
      <c r="K165" s="43"/>
    </row>
    <row r="166" ht="39.75" hidden="1" customHeight="1">
      <c r="A166" s="1">
        <v>165.0</v>
      </c>
      <c r="B166" s="2" t="s">
        <v>17</v>
      </c>
      <c r="C166" s="2" t="s">
        <v>58</v>
      </c>
      <c r="D166" s="13"/>
      <c r="E166" s="13"/>
      <c r="F166" s="45"/>
      <c r="G166" s="42"/>
      <c r="H166" s="42"/>
      <c r="I166" s="42"/>
      <c r="J166" s="27" t="s">
        <v>95</v>
      </c>
      <c r="K166" s="43"/>
    </row>
    <row r="167" ht="39.75" customHeight="1">
      <c r="A167" s="1">
        <v>166.0</v>
      </c>
      <c r="B167" s="2" t="s">
        <v>331</v>
      </c>
      <c r="C167" s="2" t="s">
        <v>542</v>
      </c>
      <c r="D167" s="13"/>
      <c r="E167" s="13"/>
      <c r="F167" s="44"/>
      <c r="G167" s="42"/>
      <c r="H167" s="42"/>
      <c r="I167" s="42"/>
      <c r="J167" s="27"/>
      <c r="K167" s="43"/>
    </row>
    <row r="168" ht="39.75" customHeight="1">
      <c r="A168" s="1">
        <v>167.0</v>
      </c>
      <c r="B168" s="2" t="s">
        <v>21</v>
      </c>
      <c r="C168" s="2"/>
      <c r="D168" s="13"/>
      <c r="E168" s="13"/>
      <c r="F168" s="44" t="s">
        <v>1939</v>
      </c>
      <c r="G168" s="43">
        <v>1.0</v>
      </c>
      <c r="H168" s="42"/>
      <c r="I168" s="42"/>
      <c r="J168" s="27"/>
      <c r="K168" s="43"/>
    </row>
    <row r="169" ht="39.75" customHeight="1">
      <c r="A169" s="1">
        <v>168.0</v>
      </c>
      <c r="B169" s="2" t="s">
        <v>22</v>
      </c>
      <c r="C169" s="2" t="s">
        <v>54</v>
      </c>
      <c r="D169" s="13"/>
      <c r="E169" s="13"/>
      <c r="F169" s="45"/>
      <c r="G169" s="42"/>
      <c r="H169" s="42"/>
      <c r="I169" s="42"/>
      <c r="J169" s="27"/>
      <c r="K169" s="43"/>
    </row>
    <row r="170" ht="39.75" customHeight="1">
      <c r="A170" s="1">
        <v>169.0</v>
      </c>
      <c r="B170" s="2" t="s">
        <v>23</v>
      </c>
      <c r="C170" s="2" t="s">
        <v>44</v>
      </c>
      <c r="D170" s="13"/>
      <c r="E170" s="13"/>
      <c r="F170" s="45"/>
      <c r="G170" s="42"/>
      <c r="H170" s="42"/>
      <c r="I170" s="42"/>
      <c r="J170" s="22"/>
      <c r="K170" s="42"/>
    </row>
    <row r="171" ht="39.75" hidden="1" customHeight="1">
      <c r="A171" s="1">
        <v>170.0</v>
      </c>
      <c r="B171" s="2" t="s">
        <v>24</v>
      </c>
      <c r="C171" s="2" t="s">
        <v>58</v>
      </c>
      <c r="D171" s="13"/>
      <c r="E171" s="13"/>
      <c r="F171" s="45"/>
      <c r="G171" s="42"/>
      <c r="H171" s="42"/>
      <c r="I171" s="42"/>
      <c r="J171" s="22"/>
      <c r="K171" s="42"/>
    </row>
    <row r="172" ht="39.75" customHeight="1">
      <c r="A172" s="1">
        <v>171.0</v>
      </c>
      <c r="B172" s="2" t="s">
        <v>25</v>
      </c>
      <c r="C172" s="2" t="s">
        <v>27</v>
      </c>
      <c r="D172" s="13"/>
      <c r="E172" s="13"/>
      <c r="F172" s="44" t="s">
        <v>1940</v>
      </c>
      <c r="G172" s="43">
        <v>1.0</v>
      </c>
      <c r="H172" s="42"/>
      <c r="I172" s="42"/>
      <c r="J172" s="22"/>
      <c r="K172" s="42"/>
    </row>
    <row r="173" ht="39.75" hidden="1" customHeight="1">
      <c r="A173" s="1">
        <v>172.0</v>
      </c>
      <c r="B173" s="2" t="s">
        <v>26</v>
      </c>
      <c r="C173" s="2" t="s">
        <v>58</v>
      </c>
      <c r="D173" s="13"/>
      <c r="E173" s="13"/>
      <c r="F173" s="45"/>
      <c r="G173" s="42"/>
      <c r="H173" s="42"/>
      <c r="I173" s="42"/>
      <c r="J173" s="22"/>
      <c r="K173" s="42"/>
    </row>
    <row r="174" ht="39.75" customHeight="1">
      <c r="A174" s="1">
        <v>173.0</v>
      </c>
      <c r="B174" s="2" t="s">
        <v>29</v>
      </c>
      <c r="C174" s="2" t="s">
        <v>39</v>
      </c>
      <c r="D174" s="13"/>
      <c r="E174" s="13"/>
      <c r="F174" s="44" t="s">
        <v>1941</v>
      </c>
      <c r="G174" s="43">
        <v>1.0</v>
      </c>
      <c r="H174" s="42"/>
      <c r="I174" s="43">
        <v>1.0</v>
      </c>
      <c r="J174" s="22"/>
      <c r="K174" s="42"/>
    </row>
    <row r="175" ht="39.75" customHeight="1">
      <c r="A175" s="1">
        <v>174.0</v>
      </c>
      <c r="B175" s="2" t="s">
        <v>30</v>
      </c>
      <c r="C175" s="2" t="s">
        <v>64</v>
      </c>
      <c r="D175" s="13"/>
      <c r="E175" s="13"/>
      <c r="F175" s="45"/>
      <c r="G175" s="42"/>
      <c r="H175" s="42"/>
      <c r="I175" s="42"/>
      <c r="J175" s="22"/>
      <c r="K175" s="42"/>
    </row>
    <row r="176" ht="39.75" customHeight="1">
      <c r="A176" s="1">
        <v>175.0</v>
      </c>
      <c r="B176" s="2" t="s">
        <v>31</v>
      </c>
      <c r="C176" s="2" t="s">
        <v>69</v>
      </c>
      <c r="D176" s="13"/>
      <c r="E176" s="13"/>
      <c r="F176" s="44" t="s">
        <v>1942</v>
      </c>
      <c r="G176" s="43">
        <v>3.0</v>
      </c>
      <c r="H176" s="42"/>
      <c r="I176" s="43">
        <v>3.0</v>
      </c>
      <c r="J176" s="22"/>
      <c r="K176" s="42"/>
    </row>
    <row r="177" ht="39.75" customHeight="1">
      <c r="A177" s="1">
        <v>176.0</v>
      </c>
      <c r="B177" s="2" t="s">
        <v>32</v>
      </c>
      <c r="C177" s="2" t="s">
        <v>54</v>
      </c>
      <c r="D177" s="13"/>
      <c r="E177" s="13"/>
      <c r="F177" s="45"/>
      <c r="G177" s="42"/>
      <c r="H177" s="42"/>
      <c r="I177" s="42"/>
      <c r="J177" s="22"/>
      <c r="K177" s="42"/>
    </row>
    <row r="178" ht="39.75" customHeight="1">
      <c r="A178" s="1">
        <v>177.0</v>
      </c>
      <c r="B178" s="2" t="s">
        <v>67</v>
      </c>
      <c r="C178" s="2" t="s">
        <v>54</v>
      </c>
      <c r="D178" s="13"/>
      <c r="E178" s="13"/>
      <c r="F178" s="44" t="s">
        <v>1943</v>
      </c>
      <c r="G178" s="43">
        <v>1.0</v>
      </c>
      <c r="H178" s="42"/>
      <c r="I178" s="42"/>
      <c r="J178" s="22"/>
      <c r="K178" s="42"/>
    </row>
    <row r="179" ht="39.75" customHeight="1">
      <c r="A179" s="1">
        <v>178.0</v>
      </c>
      <c r="B179" s="2" t="s">
        <v>34</v>
      </c>
      <c r="C179" s="2"/>
      <c r="D179" s="13"/>
      <c r="E179" s="13"/>
      <c r="F179" s="44" t="s">
        <v>1944</v>
      </c>
      <c r="G179" s="43">
        <v>1.0</v>
      </c>
      <c r="H179" s="42"/>
      <c r="I179" s="42"/>
      <c r="J179" s="22"/>
      <c r="K179" s="42"/>
    </row>
    <row r="180" ht="39.75" hidden="1" customHeight="1">
      <c r="A180" s="1">
        <v>179.0</v>
      </c>
      <c r="B180" s="2" t="s">
        <v>35</v>
      </c>
      <c r="C180" s="2" t="s">
        <v>58</v>
      </c>
      <c r="D180" s="13"/>
      <c r="E180" s="13"/>
      <c r="F180" s="45"/>
      <c r="G180" s="42"/>
      <c r="H180" s="42"/>
      <c r="I180" s="42"/>
      <c r="J180" s="22"/>
      <c r="K180" s="42"/>
    </row>
    <row r="181" ht="39.75" customHeight="1">
      <c r="A181" s="1">
        <v>180.0</v>
      </c>
      <c r="B181" s="2" t="s">
        <v>36</v>
      </c>
      <c r="C181" s="13"/>
      <c r="D181" s="59">
        <v>0.3854166666666667</v>
      </c>
      <c r="E181" s="13"/>
      <c r="F181" s="44" t="s">
        <v>1945</v>
      </c>
      <c r="G181" s="43">
        <v>1.0</v>
      </c>
      <c r="H181" s="42"/>
      <c r="I181" s="43">
        <v>1.0</v>
      </c>
      <c r="J181" s="22"/>
      <c r="K181" s="42"/>
    </row>
    <row r="182" ht="39.75" customHeight="1">
      <c r="A182" s="1">
        <v>181.0</v>
      </c>
      <c r="B182" s="2" t="s">
        <v>38</v>
      </c>
      <c r="C182" s="2" t="s">
        <v>39</v>
      </c>
      <c r="D182" s="13"/>
      <c r="E182" s="13"/>
      <c r="F182" s="44" t="s">
        <v>1946</v>
      </c>
      <c r="G182" s="43">
        <v>1.0</v>
      </c>
      <c r="H182" s="42"/>
      <c r="I182" s="42"/>
      <c r="J182" s="22"/>
      <c r="K182" s="42"/>
    </row>
    <row r="183" ht="39.75" hidden="1" customHeight="1">
      <c r="A183" s="1">
        <v>182.0</v>
      </c>
      <c r="B183" s="2" t="s">
        <v>41</v>
      </c>
      <c r="C183" s="2" t="s">
        <v>58</v>
      </c>
      <c r="D183" s="13"/>
      <c r="E183" s="13"/>
      <c r="F183" s="45"/>
      <c r="G183" s="42"/>
      <c r="H183" s="42"/>
      <c r="I183" s="42"/>
      <c r="J183" s="22"/>
      <c r="K183" s="42"/>
    </row>
    <row r="184" ht="39.75" customHeight="1">
      <c r="A184" s="1">
        <v>183.0</v>
      </c>
      <c r="B184" s="2" t="s">
        <v>42</v>
      </c>
      <c r="C184" s="2" t="s">
        <v>69</v>
      </c>
      <c r="D184" s="13"/>
      <c r="E184" s="13"/>
      <c r="F184" s="45"/>
      <c r="G184" s="42"/>
      <c r="H184" s="42"/>
      <c r="I184" s="42"/>
      <c r="J184" s="22"/>
      <c r="K184" s="42"/>
    </row>
    <row r="185" ht="39.75" customHeight="1">
      <c r="A185" s="1">
        <v>184.0</v>
      </c>
      <c r="B185" s="2" t="s">
        <v>43</v>
      </c>
      <c r="C185" s="2" t="s">
        <v>69</v>
      </c>
      <c r="D185" s="13"/>
      <c r="E185" s="13"/>
      <c r="F185" s="64" t="s">
        <v>1947</v>
      </c>
      <c r="G185" s="43">
        <v>1.0</v>
      </c>
      <c r="H185" s="42"/>
      <c r="I185" s="42"/>
      <c r="J185" s="22"/>
      <c r="K185" s="42"/>
    </row>
    <row r="186" ht="39.75" customHeight="1">
      <c r="A186" s="1">
        <v>185.0</v>
      </c>
      <c r="B186" s="2" t="s">
        <v>45</v>
      </c>
      <c r="C186" s="2"/>
      <c r="D186" s="13"/>
      <c r="E186" s="13"/>
      <c r="F186" s="44" t="s">
        <v>1948</v>
      </c>
      <c r="G186" s="43">
        <v>1.0</v>
      </c>
      <c r="H186" s="42"/>
      <c r="I186" s="42"/>
      <c r="J186" s="22"/>
      <c r="K186" s="42"/>
    </row>
    <row r="187" ht="39.75" customHeight="1">
      <c r="A187" s="1">
        <v>186.0</v>
      </c>
      <c r="B187" s="2" t="s">
        <v>46</v>
      </c>
      <c r="C187" s="2" t="s">
        <v>54</v>
      </c>
      <c r="D187" s="13"/>
      <c r="E187" s="51">
        <v>0.9166666666666666</v>
      </c>
      <c r="F187" s="44" t="s">
        <v>1949</v>
      </c>
      <c r="G187" s="43">
        <v>1.0</v>
      </c>
      <c r="H187" s="43">
        <v>1.0</v>
      </c>
      <c r="I187" s="42"/>
      <c r="J187" s="22"/>
      <c r="K187" s="42"/>
    </row>
    <row r="188" ht="39.75" hidden="1" customHeight="1">
      <c r="A188" s="1">
        <v>187.0</v>
      </c>
      <c r="B188" s="2" t="s">
        <v>47</v>
      </c>
      <c r="C188" s="2" t="s">
        <v>66</v>
      </c>
      <c r="D188" s="13"/>
      <c r="E188" s="13"/>
      <c r="F188" s="45"/>
      <c r="G188" s="42"/>
      <c r="H188" s="42"/>
      <c r="I188" s="42"/>
      <c r="J188" s="22"/>
      <c r="K188" s="42"/>
    </row>
    <row r="189" ht="39.75" customHeight="1">
      <c r="A189" s="1">
        <v>188.0</v>
      </c>
      <c r="B189" s="2" t="s">
        <v>48</v>
      </c>
      <c r="C189" s="13"/>
      <c r="D189" s="13"/>
      <c r="E189" s="13"/>
      <c r="F189" s="44" t="s">
        <v>1950</v>
      </c>
      <c r="G189" s="43">
        <v>1.0</v>
      </c>
      <c r="H189" s="42"/>
      <c r="I189" s="42"/>
      <c r="J189" s="22"/>
      <c r="K189" s="42"/>
    </row>
    <row r="190" ht="39.75" customHeight="1">
      <c r="A190" s="1">
        <v>189.0</v>
      </c>
      <c r="B190" s="21"/>
      <c r="C190" s="21"/>
      <c r="D190" s="21"/>
      <c r="E190" s="21"/>
      <c r="F190" s="46"/>
      <c r="G190" s="47"/>
      <c r="H190" s="47"/>
      <c r="I190" s="47"/>
      <c r="J190" s="48"/>
      <c r="K190" s="47"/>
      <c r="L190" s="49"/>
      <c r="M190" s="49"/>
      <c r="N190" s="49"/>
    </row>
    <row r="191" ht="39.75" hidden="1" customHeight="1">
      <c r="A191" s="1">
        <v>190.0</v>
      </c>
      <c r="B191" s="2" t="s">
        <v>12</v>
      </c>
      <c r="C191" s="2" t="s">
        <v>66</v>
      </c>
      <c r="D191" s="13"/>
      <c r="E191" s="13"/>
      <c r="F191" s="45"/>
      <c r="G191" s="42"/>
      <c r="H191" s="42"/>
      <c r="I191" s="42"/>
      <c r="J191" s="27" t="s">
        <v>1890</v>
      </c>
      <c r="K191" s="42"/>
      <c r="L191" s="15" t="s">
        <v>163</v>
      </c>
    </row>
    <row r="192" ht="39.75" customHeight="1">
      <c r="A192" s="1">
        <v>191.0</v>
      </c>
      <c r="B192" s="2" t="s">
        <v>16</v>
      </c>
      <c r="C192" s="2" t="s">
        <v>69</v>
      </c>
      <c r="D192" s="13"/>
      <c r="E192" s="13"/>
      <c r="F192" s="44" t="s">
        <v>1951</v>
      </c>
      <c r="G192" s="43">
        <v>1.0</v>
      </c>
      <c r="H192" s="42"/>
      <c r="I192" s="42"/>
      <c r="J192" s="27" t="s">
        <v>163</v>
      </c>
      <c r="K192" s="43"/>
    </row>
    <row r="193" ht="39.75" customHeight="1">
      <c r="A193" s="1">
        <v>192.0</v>
      </c>
      <c r="B193" s="2" t="s">
        <v>17</v>
      </c>
      <c r="C193" s="2"/>
      <c r="D193" s="13"/>
      <c r="E193" s="13"/>
      <c r="F193" s="44" t="s">
        <v>1952</v>
      </c>
      <c r="G193" s="43">
        <v>1.0</v>
      </c>
      <c r="H193" s="42"/>
      <c r="I193" s="42"/>
      <c r="J193" s="27" t="s">
        <v>111</v>
      </c>
      <c r="K193" s="42"/>
    </row>
    <row r="194" ht="39.75" customHeight="1">
      <c r="A194" s="1">
        <v>193.0</v>
      </c>
      <c r="B194" s="2" t="s">
        <v>331</v>
      </c>
      <c r="C194" s="2" t="s">
        <v>542</v>
      </c>
      <c r="D194" s="13"/>
      <c r="E194" s="51">
        <v>0.7916666666666666</v>
      </c>
      <c r="F194" s="44" t="s">
        <v>1953</v>
      </c>
      <c r="G194" s="43">
        <v>2.0</v>
      </c>
      <c r="H194" s="42"/>
      <c r="I194" s="42"/>
      <c r="J194" s="22"/>
      <c r="K194" s="42"/>
    </row>
    <row r="195" ht="39.75" customHeight="1">
      <c r="A195" s="1">
        <v>194.0</v>
      </c>
      <c r="B195" s="2" t="s">
        <v>21</v>
      </c>
      <c r="C195" s="2"/>
      <c r="D195" s="13"/>
      <c r="E195" s="13"/>
      <c r="F195" s="44" t="s">
        <v>1954</v>
      </c>
      <c r="G195" s="43">
        <v>1.0</v>
      </c>
      <c r="H195" s="42"/>
      <c r="I195" s="42"/>
      <c r="J195" s="22"/>
      <c r="K195" s="42"/>
    </row>
    <row r="196" ht="39.75" customHeight="1">
      <c r="A196" s="1">
        <v>195.0</v>
      </c>
      <c r="B196" s="2" t="s">
        <v>22</v>
      </c>
      <c r="C196" s="2" t="s">
        <v>54</v>
      </c>
      <c r="D196" s="13"/>
      <c r="E196" s="13"/>
      <c r="F196" s="44" t="s">
        <v>1955</v>
      </c>
      <c r="G196" s="43">
        <v>1.0</v>
      </c>
      <c r="H196" s="42"/>
      <c r="I196" s="42"/>
      <c r="J196" s="22"/>
      <c r="K196" s="42"/>
    </row>
    <row r="197" ht="39.75" customHeight="1">
      <c r="A197" s="1">
        <v>196.0</v>
      </c>
      <c r="B197" s="2" t="s">
        <v>23</v>
      </c>
      <c r="C197" s="2" t="s">
        <v>69</v>
      </c>
      <c r="D197" s="13"/>
      <c r="E197" s="13"/>
      <c r="F197" s="44" t="s">
        <v>1956</v>
      </c>
      <c r="G197" s="43">
        <v>1.0</v>
      </c>
      <c r="H197" s="42"/>
      <c r="I197" s="42"/>
      <c r="J197" s="22"/>
      <c r="K197" s="42"/>
    </row>
    <row r="198" ht="39.75" customHeight="1">
      <c r="A198" s="1">
        <v>197.0</v>
      </c>
      <c r="B198" s="2" t="s">
        <v>24</v>
      </c>
      <c r="C198" s="2"/>
      <c r="D198" s="13"/>
      <c r="E198" s="13"/>
      <c r="F198" s="44" t="s">
        <v>1957</v>
      </c>
      <c r="G198" s="43">
        <v>2.0</v>
      </c>
      <c r="H198" s="42"/>
      <c r="I198" s="42"/>
      <c r="J198" s="22"/>
      <c r="K198" s="42"/>
    </row>
    <row r="199" ht="39.75" customHeight="1">
      <c r="A199" s="1">
        <v>198.0</v>
      </c>
      <c r="B199" s="2" t="s">
        <v>25</v>
      </c>
      <c r="C199" s="2" t="s">
        <v>44</v>
      </c>
      <c r="D199" s="13"/>
      <c r="E199" s="13"/>
      <c r="F199" s="45"/>
      <c r="G199" s="42"/>
      <c r="H199" s="42"/>
      <c r="I199" s="42"/>
      <c r="J199" s="22"/>
      <c r="K199" s="42"/>
    </row>
    <row r="200" ht="39.75" hidden="1" customHeight="1">
      <c r="A200" s="1">
        <v>199.0</v>
      </c>
      <c r="B200" s="2" t="s">
        <v>26</v>
      </c>
      <c r="C200" s="2" t="s">
        <v>58</v>
      </c>
      <c r="D200" s="13"/>
      <c r="E200" s="13"/>
      <c r="F200" s="45"/>
      <c r="G200" s="42"/>
      <c r="H200" s="42"/>
      <c r="I200" s="42"/>
      <c r="J200" s="22"/>
      <c r="K200" s="42"/>
    </row>
    <row r="201" ht="39.75" customHeight="1">
      <c r="A201" s="1">
        <v>200.0</v>
      </c>
      <c r="B201" s="2" t="s">
        <v>29</v>
      </c>
      <c r="C201" s="2" t="s">
        <v>69</v>
      </c>
      <c r="D201" s="13"/>
      <c r="E201" s="13"/>
      <c r="F201" s="44" t="s">
        <v>1958</v>
      </c>
      <c r="G201" s="43">
        <v>2.0</v>
      </c>
      <c r="H201" s="42"/>
      <c r="I201" s="42"/>
      <c r="J201" s="22"/>
      <c r="K201" s="42"/>
    </row>
    <row r="202" ht="39.75" customHeight="1">
      <c r="A202" s="1">
        <v>201.0</v>
      </c>
      <c r="B202" s="2" t="s">
        <v>30</v>
      </c>
      <c r="C202" s="2" t="s">
        <v>64</v>
      </c>
      <c r="D202" s="13"/>
      <c r="E202" s="13"/>
      <c r="F202" s="45"/>
      <c r="G202" s="42"/>
      <c r="H202" s="42"/>
      <c r="I202" s="42"/>
      <c r="J202" s="22"/>
      <c r="K202" s="42"/>
    </row>
    <row r="203" ht="39.75" customHeight="1">
      <c r="A203" s="1">
        <v>202.0</v>
      </c>
      <c r="B203" s="2" t="s">
        <v>31</v>
      </c>
      <c r="C203" s="2"/>
      <c r="D203" s="13"/>
      <c r="E203" s="13"/>
      <c r="F203" s="44" t="s">
        <v>1959</v>
      </c>
      <c r="G203" s="43">
        <v>1.0</v>
      </c>
      <c r="H203" s="42"/>
      <c r="I203" s="43">
        <v>1.0</v>
      </c>
      <c r="J203" s="22"/>
      <c r="K203" s="42"/>
    </row>
    <row r="204" ht="39.75" customHeight="1">
      <c r="A204" s="1">
        <v>203.0</v>
      </c>
      <c r="B204" s="2" t="s">
        <v>32</v>
      </c>
      <c r="C204" s="2" t="s">
        <v>54</v>
      </c>
      <c r="D204" s="13"/>
      <c r="E204" s="13"/>
      <c r="F204" s="44" t="s">
        <v>1960</v>
      </c>
      <c r="G204" s="43">
        <v>2.0</v>
      </c>
      <c r="H204" s="43"/>
      <c r="I204" s="43">
        <v>1.0</v>
      </c>
      <c r="J204" s="22"/>
      <c r="K204" s="42"/>
    </row>
    <row r="205" ht="39.75" customHeight="1">
      <c r="A205" s="1">
        <v>204.0</v>
      </c>
      <c r="B205" s="2" t="s">
        <v>67</v>
      </c>
      <c r="C205" s="2" t="s">
        <v>54</v>
      </c>
      <c r="D205" s="13"/>
      <c r="E205" s="13"/>
      <c r="F205" s="44" t="s">
        <v>1961</v>
      </c>
      <c r="G205" s="43">
        <v>1.0</v>
      </c>
      <c r="H205" s="42"/>
      <c r="I205" s="43">
        <v>1.0</v>
      </c>
      <c r="J205" s="22"/>
      <c r="K205" s="42"/>
    </row>
    <row r="206" ht="39.75" customHeight="1">
      <c r="A206" s="1">
        <v>205.0</v>
      </c>
      <c r="B206" s="2" t="s">
        <v>34</v>
      </c>
      <c r="C206" s="2" t="s">
        <v>27</v>
      </c>
      <c r="D206" s="13"/>
      <c r="E206" s="13"/>
      <c r="F206" s="44" t="s">
        <v>1962</v>
      </c>
      <c r="G206" s="43"/>
      <c r="H206" s="42"/>
      <c r="I206" s="42"/>
      <c r="J206" s="22"/>
      <c r="K206" s="42"/>
    </row>
    <row r="207" ht="39.75" hidden="1" customHeight="1">
      <c r="A207" s="1">
        <v>206.0</v>
      </c>
      <c r="B207" s="2" t="s">
        <v>35</v>
      </c>
      <c r="C207" s="2" t="s">
        <v>58</v>
      </c>
      <c r="D207" s="13"/>
      <c r="E207" s="13"/>
      <c r="F207" s="45"/>
      <c r="G207" s="42"/>
      <c r="H207" s="42"/>
      <c r="I207" s="42"/>
      <c r="J207" s="22"/>
      <c r="K207" s="42"/>
    </row>
    <row r="208" ht="39.75" customHeight="1">
      <c r="A208" s="1">
        <v>207.0</v>
      </c>
      <c r="B208" s="2" t="s">
        <v>36</v>
      </c>
      <c r="C208" s="2" t="s">
        <v>39</v>
      </c>
      <c r="D208" s="13"/>
      <c r="E208" s="13"/>
      <c r="F208" s="44" t="s">
        <v>1963</v>
      </c>
      <c r="G208" s="43">
        <v>1.0</v>
      </c>
      <c r="H208" s="42"/>
      <c r="I208" s="43">
        <v>1.0</v>
      </c>
      <c r="J208" s="22"/>
      <c r="K208" s="42"/>
    </row>
    <row r="209" ht="39.75" hidden="1" customHeight="1">
      <c r="A209" s="1">
        <v>208.0</v>
      </c>
      <c r="B209" s="2" t="s">
        <v>38</v>
      </c>
      <c r="C209" s="2" t="s">
        <v>58</v>
      </c>
      <c r="D209" s="13"/>
      <c r="E209" s="13"/>
      <c r="F209" s="44"/>
      <c r="G209" s="42"/>
      <c r="H209" s="42"/>
      <c r="I209" s="42"/>
      <c r="J209" s="22"/>
      <c r="K209" s="42"/>
    </row>
    <row r="210" ht="39.75" hidden="1" customHeight="1">
      <c r="A210" s="1">
        <v>209.0</v>
      </c>
      <c r="B210" s="2" t="s">
        <v>41</v>
      </c>
      <c r="C210" s="2" t="s">
        <v>58</v>
      </c>
      <c r="D210" s="13"/>
      <c r="E210" s="13"/>
      <c r="F210" s="45"/>
      <c r="G210" s="42"/>
      <c r="H210" s="42"/>
      <c r="I210" s="42"/>
      <c r="J210" s="22"/>
      <c r="K210" s="42"/>
    </row>
    <row r="211" ht="39.75" customHeight="1">
      <c r="A211" s="1">
        <v>210.0</v>
      </c>
      <c r="B211" s="2" t="s">
        <v>42</v>
      </c>
      <c r="C211" s="2" t="s">
        <v>39</v>
      </c>
      <c r="D211" s="13"/>
      <c r="E211" s="13"/>
      <c r="F211" s="44" t="s">
        <v>1964</v>
      </c>
      <c r="G211" s="43">
        <v>1.0</v>
      </c>
      <c r="H211" s="42"/>
      <c r="I211" s="42"/>
      <c r="J211" s="22"/>
      <c r="K211" s="42"/>
    </row>
    <row r="212" ht="39.75" customHeight="1">
      <c r="A212" s="1">
        <v>211.0</v>
      </c>
      <c r="B212" s="2" t="s">
        <v>43</v>
      </c>
      <c r="C212" s="2"/>
      <c r="D212" s="13"/>
      <c r="E212" s="13"/>
      <c r="F212" s="44" t="s">
        <v>1957</v>
      </c>
      <c r="G212" s="43">
        <v>2.0</v>
      </c>
      <c r="H212" s="42"/>
      <c r="I212" s="42"/>
      <c r="J212" s="22"/>
      <c r="K212" s="42"/>
    </row>
    <row r="213" ht="39.75" customHeight="1">
      <c r="A213" s="1">
        <v>212.0</v>
      </c>
      <c r="B213" s="2" t="s">
        <v>45</v>
      </c>
      <c r="C213" s="2"/>
      <c r="D213" s="13"/>
      <c r="E213" s="13"/>
      <c r="F213" s="44" t="s">
        <v>1965</v>
      </c>
      <c r="G213" s="43">
        <v>1.0</v>
      </c>
      <c r="H213" s="42"/>
      <c r="I213" s="42"/>
      <c r="J213" s="22"/>
      <c r="K213" s="42"/>
    </row>
    <row r="214" ht="39.75" customHeight="1">
      <c r="A214" s="1">
        <v>213.0</v>
      </c>
      <c r="B214" s="2" t="s">
        <v>46</v>
      </c>
      <c r="C214" s="2" t="s">
        <v>54</v>
      </c>
      <c r="D214" s="13"/>
      <c r="E214" s="13"/>
      <c r="F214" s="44" t="s">
        <v>1966</v>
      </c>
      <c r="G214" s="43">
        <v>1.0</v>
      </c>
      <c r="H214" s="42"/>
      <c r="I214" s="43">
        <v>1.0</v>
      </c>
      <c r="J214" s="22"/>
      <c r="K214" s="42"/>
    </row>
    <row r="215" ht="39.75" hidden="1" customHeight="1">
      <c r="A215" s="1">
        <v>214.0</v>
      </c>
      <c r="B215" s="2" t="s">
        <v>47</v>
      </c>
      <c r="C215" s="2" t="s">
        <v>58</v>
      </c>
      <c r="D215" s="13"/>
      <c r="E215" s="13"/>
      <c r="F215" s="45"/>
      <c r="G215" s="42"/>
      <c r="H215" s="42"/>
      <c r="I215" s="42"/>
      <c r="J215" s="22"/>
      <c r="K215" s="42"/>
    </row>
    <row r="216" ht="39.75" hidden="1" customHeight="1">
      <c r="A216" s="1">
        <v>215.0</v>
      </c>
      <c r="B216" s="2" t="s">
        <v>48</v>
      </c>
      <c r="C216" s="2" t="s">
        <v>66</v>
      </c>
      <c r="D216" s="13"/>
      <c r="E216" s="13"/>
      <c r="F216" s="45"/>
      <c r="G216" s="42"/>
      <c r="H216" s="42"/>
      <c r="I216" s="42"/>
      <c r="J216" s="22"/>
      <c r="K216" s="42"/>
    </row>
    <row r="217" ht="39.75" customHeight="1">
      <c r="A217" s="1">
        <v>216.0</v>
      </c>
      <c r="B217" s="21"/>
      <c r="C217" s="21"/>
      <c r="D217" s="21"/>
      <c r="E217" s="21"/>
      <c r="F217" s="46"/>
      <c r="G217" s="47"/>
      <c r="H217" s="47"/>
      <c r="I217" s="47"/>
      <c r="J217" s="48"/>
      <c r="K217" s="47"/>
      <c r="L217" s="49"/>
      <c r="M217" s="49"/>
      <c r="N217" s="49"/>
    </row>
    <row r="218" ht="39.75" customHeight="1">
      <c r="A218" s="1">
        <v>217.0</v>
      </c>
      <c r="B218" s="2" t="s">
        <v>12</v>
      </c>
      <c r="C218" s="2" t="s">
        <v>62</v>
      </c>
      <c r="D218" s="13"/>
      <c r="E218" s="13"/>
      <c r="F218" s="45"/>
      <c r="G218" s="42"/>
      <c r="H218" s="42"/>
      <c r="I218" s="42"/>
      <c r="J218" s="27" t="s">
        <v>1890</v>
      </c>
      <c r="K218" s="42"/>
      <c r="L218" s="15" t="s">
        <v>175</v>
      </c>
    </row>
    <row r="219" ht="39.75" customHeight="1">
      <c r="A219" s="1">
        <v>218.0</v>
      </c>
      <c r="B219" s="2" t="s">
        <v>16</v>
      </c>
      <c r="C219" s="2" t="s">
        <v>39</v>
      </c>
      <c r="D219" s="13"/>
      <c r="E219" s="13"/>
      <c r="F219" s="44" t="s">
        <v>1967</v>
      </c>
      <c r="G219" s="43">
        <v>1.0</v>
      </c>
      <c r="H219" s="42"/>
      <c r="I219" s="42"/>
      <c r="J219" s="27" t="s">
        <v>175</v>
      </c>
      <c r="K219" s="43"/>
    </row>
    <row r="220" ht="39.75" hidden="1" customHeight="1">
      <c r="A220" s="1">
        <v>219.0</v>
      </c>
      <c r="B220" s="2" t="s">
        <v>17</v>
      </c>
      <c r="C220" s="2" t="s">
        <v>58</v>
      </c>
      <c r="D220" s="13"/>
      <c r="E220" s="13"/>
      <c r="F220" s="45"/>
      <c r="G220" s="42"/>
      <c r="H220" s="42"/>
      <c r="I220" s="42"/>
      <c r="J220" s="27" t="s">
        <v>131</v>
      </c>
      <c r="K220" s="42"/>
    </row>
    <row r="221" ht="39.75" customHeight="1">
      <c r="A221" s="1">
        <v>220.0</v>
      </c>
      <c r="B221" s="2" t="s">
        <v>331</v>
      </c>
      <c r="C221" s="2" t="s">
        <v>542</v>
      </c>
      <c r="D221" s="13"/>
      <c r="E221" s="13"/>
      <c r="F221" s="44"/>
      <c r="G221" s="42"/>
      <c r="H221" s="42"/>
      <c r="I221" s="42"/>
      <c r="J221" s="22"/>
      <c r="K221" s="42"/>
    </row>
    <row r="222" ht="39.75" hidden="1" customHeight="1">
      <c r="A222" s="1">
        <v>221.0</v>
      </c>
      <c r="B222" s="2" t="s">
        <v>21</v>
      </c>
      <c r="C222" s="2" t="s">
        <v>58</v>
      </c>
      <c r="D222" s="13"/>
      <c r="E222" s="13"/>
      <c r="F222" s="45"/>
      <c r="G222" s="42"/>
      <c r="H222" s="42"/>
      <c r="I222" s="42"/>
      <c r="J222" s="22"/>
      <c r="K222" s="42"/>
    </row>
    <row r="223" ht="39.75" customHeight="1">
      <c r="A223" s="1">
        <v>222.0</v>
      </c>
      <c r="B223" s="2" t="s">
        <v>22</v>
      </c>
      <c r="C223" s="2" t="s">
        <v>54</v>
      </c>
      <c r="D223" s="13"/>
      <c r="E223" s="13"/>
      <c r="F223" s="44" t="s">
        <v>1968</v>
      </c>
      <c r="G223" s="43">
        <v>1.0</v>
      </c>
      <c r="H223" s="42"/>
      <c r="I223" s="42"/>
      <c r="J223" s="22"/>
      <c r="K223" s="42"/>
    </row>
    <row r="224" ht="39.75" customHeight="1">
      <c r="A224" s="1">
        <v>223.0</v>
      </c>
      <c r="B224" s="2" t="s">
        <v>23</v>
      </c>
      <c r="C224" s="2"/>
      <c r="D224" s="13"/>
      <c r="E224" s="13"/>
      <c r="F224" s="44" t="s">
        <v>1969</v>
      </c>
      <c r="G224" s="43">
        <v>1.0</v>
      </c>
      <c r="H224" s="42"/>
      <c r="I224" s="43">
        <v>1.0</v>
      </c>
      <c r="J224" s="22"/>
      <c r="K224" s="42"/>
    </row>
    <row r="225" ht="39.75" customHeight="1">
      <c r="A225" s="1">
        <v>224.0</v>
      </c>
      <c r="B225" s="2" t="s">
        <v>24</v>
      </c>
      <c r="C225" s="2"/>
      <c r="D225" s="13"/>
      <c r="E225" s="13"/>
      <c r="F225" s="44" t="s">
        <v>1970</v>
      </c>
      <c r="G225" s="43">
        <v>1.0</v>
      </c>
      <c r="H225" s="42"/>
      <c r="I225" s="43">
        <v>1.0</v>
      </c>
      <c r="J225" s="22"/>
      <c r="K225" s="42"/>
    </row>
    <row r="226" ht="39.75" customHeight="1">
      <c r="A226" s="1">
        <v>225.0</v>
      </c>
      <c r="B226" s="2" t="s">
        <v>25</v>
      </c>
      <c r="C226" s="2"/>
      <c r="D226" s="13"/>
      <c r="E226" s="13"/>
      <c r="F226" s="44" t="s">
        <v>1971</v>
      </c>
      <c r="G226" s="43">
        <v>3.0</v>
      </c>
      <c r="H226" s="42"/>
      <c r="I226" s="42"/>
      <c r="J226" s="22"/>
      <c r="K226" s="42"/>
    </row>
    <row r="227" ht="39.75" customHeight="1">
      <c r="A227" s="1">
        <v>226.0</v>
      </c>
      <c r="B227" s="2" t="s">
        <v>26</v>
      </c>
      <c r="C227" s="2" t="s">
        <v>69</v>
      </c>
      <c r="D227" s="13"/>
      <c r="E227" s="13"/>
      <c r="F227" s="44" t="s">
        <v>1972</v>
      </c>
      <c r="G227" s="43">
        <v>1.0</v>
      </c>
      <c r="H227" s="42"/>
      <c r="I227" s="42"/>
      <c r="J227" s="22"/>
      <c r="K227" s="42"/>
    </row>
    <row r="228" ht="39.75" customHeight="1">
      <c r="A228" s="1">
        <v>227.0</v>
      </c>
      <c r="B228" s="2" t="s">
        <v>29</v>
      </c>
      <c r="C228" s="2" t="s">
        <v>27</v>
      </c>
      <c r="D228" s="13"/>
      <c r="E228" s="13"/>
      <c r="F228" s="44" t="s">
        <v>1973</v>
      </c>
      <c r="G228" s="43">
        <v>1.0</v>
      </c>
      <c r="H228" s="42"/>
      <c r="I228" s="42"/>
      <c r="J228" s="22"/>
      <c r="K228" s="42"/>
    </row>
    <row r="229" ht="39.75" customHeight="1">
      <c r="A229" s="1">
        <v>228.0</v>
      </c>
      <c r="B229" s="2" t="s">
        <v>30</v>
      </c>
      <c r="C229" s="2" t="s">
        <v>64</v>
      </c>
      <c r="D229" s="13"/>
      <c r="E229" s="13"/>
      <c r="F229" s="45"/>
      <c r="G229" s="42"/>
      <c r="H229" s="42"/>
      <c r="I229" s="42"/>
      <c r="J229" s="22"/>
      <c r="K229" s="42"/>
    </row>
    <row r="230" ht="39.75" hidden="1" customHeight="1">
      <c r="A230" s="1">
        <v>229.0</v>
      </c>
      <c r="B230" s="2" t="s">
        <v>31</v>
      </c>
      <c r="C230" s="2" t="s">
        <v>66</v>
      </c>
      <c r="D230" s="13"/>
      <c r="E230" s="13"/>
      <c r="F230" s="45"/>
      <c r="G230" s="42"/>
      <c r="H230" s="42"/>
      <c r="I230" s="42"/>
      <c r="J230" s="22"/>
      <c r="K230" s="42"/>
    </row>
    <row r="231" ht="39.75" customHeight="1">
      <c r="A231" s="1">
        <v>230.0</v>
      </c>
      <c r="B231" s="2" t="s">
        <v>32</v>
      </c>
      <c r="C231" s="2" t="s">
        <v>54</v>
      </c>
      <c r="D231" s="13"/>
      <c r="E231" s="13"/>
      <c r="F231" s="44" t="s">
        <v>1974</v>
      </c>
      <c r="G231" s="43">
        <v>1.0</v>
      </c>
      <c r="H231" s="42"/>
      <c r="I231" s="42"/>
      <c r="J231" s="22"/>
      <c r="K231" s="42"/>
    </row>
    <row r="232" ht="39.75" customHeight="1">
      <c r="A232" s="1">
        <v>231.0</v>
      </c>
      <c r="B232" s="2" t="s">
        <v>67</v>
      </c>
      <c r="C232" s="2" t="s">
        <v>54</v>
      </c>
      <c r="D232" s="13"/>
      <c r="E232" s="13"/>
      <c r="F232" s="44" t="s">
        <v>1975</v>
      </c>
      <c r="G232" s="43">
        <v>1.0</v>
      </c>
      <c r="H232" s="42"/>
      <c r="I232" s="42"/>
      <c r="J232" s="22"/>
      <c r="K232" s="42"/>
    </row>
    <row r="233" ht="39.75" customHeight="1">
      <c r="A233" s="1">
        <v>232.0</v>
      </c>
      <c r="B233" s="2" t="s">
        <v>34</v>
      </c>
      <c r="C233" s="2" t="s">
        <v>44</v>
      </c>
      <c r="D233" s="13"/>
      <c r="E233" s="13"/>
      <c r="F233" s="45"/>
      <c r="G233" s="42"/>
      <c r="H233" s="42"/>
      <c r="I233" s="42"/>
      <c r="J233" s="22"/>
      <c r="K233" s="42"/>
    </row>
    <row r="234" ht="39.75" hidden="1" customHeight="1">
      <c r="A234" s="1">
        <v>233.0</v>
      </c>
      <c r="B234" s="2" t="s">
        <v>35</v>
      </c>
      <c r="C234" s="2" t="s">
        <v>58</v>
      </c>
      <c r="D234" s="13"/>
      <c r="E234" s="13"/>
      <c r="F234" s="45"/>
      <c r="G234" s="42"/>
      <c r="H234" s="42"/>
      <c r="I234" s="42"/>
      <c r="J234" s="22"/>
      <c r="K234" s="42"/>
    </row>
    <row r="235" ht="39.75" customHeight="1">
      <c r="A235" s="1">
        <v>234.0</v>
      </c>
      <c r="B235" s="2" t="s">
        <v>36</v>
      </c>
      <c r="C235" s="13"/>
      <c r="D235" s="13"/>
      <c r="E235" s="13"/>
      <c r="F235" s="44" t="s">
        <v>1976</v>
      </c>
      <c r="G235" s="43">
        <v>1.0</v>
      </c>
      <c r="H235" s="42"/>
      <c r="I235" s="42"/>
      <c r="J235" s="22"/>
      <c r="K235" s="42"/>
    </row>
    <row r="236" ht="39.75" hidden="1" customHeight="1">
      <c r="A236" s="1">
        <v>235.0</v>
      </c>
      <c r="B236" s="2" t="s">
        <v>38</v>
      </c>
      <c r="C236" s="2" t="s">
        <v>66</v>
      </c>
      <c r="D236" s="13"/>
      <c r="E236" s="13"/>
      <c r="F236" s="45"/>
      <c r="G236" s="42"/>
      <c r="H236" s="42"/>
      <c r="I236" s="42"/>
      <c r="J236" s="22"/>
      <c r="K236" s="42"/>
    </row>
    <row r="237" ht="39.75" hidden="1" customHeight="1">
      <c r="A237" s="1">
        <v>236.0</v>
      </c>
      <c r="B237" s="2" t="s">
        <v>41</v>
      </c>
      <c r="C237" s="2" t="s">
        <v>58</v>
      </c>
      <c r="D237" s="13"/>
      <c r="E237" s="13"/>
      <c r="F237" s="45"/>
      <c r="G237" s="42"/>
      <c r="H237" s="42"/>
      <c r="I237" s="42"/>
      <c r="J237" s="22"/>
      <c r="K237" s="42"/>
    </row>
    <row r="238" ht="39.75" customHeight="1">
      <c r="A238" s="1">
        <v>237.0</v>
      </c>
      <c r="B238" s="2" t="s">
        <v>42</v>
      </c>
      <c r="C238" s="2" t="s">
        <v>39</v>
      </c>
      <c r="D238" s="13"/>
      <c r="E238" s="13"/>
      <c r="F238" s="44" t="s">
        <v>1977</v>
      </c>
      <c r="G238" s="43">
        <v>2.0</v>
      </c>
      <c r="H238" s="42"/>
      <c r="I238" s="43">
        <v>1.0</v>
      </c>
      <c r="J238" s="22"/>
      <c r="K238" s="42"/>
    </row>
    <row r="239" ht="39.75" customHeight="1">
      <c r="A239" s="1">
        <v>238.0</v>
      </c>
      <c r="B239" s="2" t="s">
        <v>43</v>
      </c>
      <c r="C239" s="2" t="s">
        <v>69</v>
      </c>
      <c r="D239" s="13"/>
      <c r="E239" s="13"/>
      <c r="F239" s="44" t="s">
        <v>1978</v>
      </c>
      <c r="G239" s="43">
        <v>2.0</v>
      </c>
      <c r="H239" s="42"/>
      <c r="I239" s="43">
        <v>1.0</v>
      </c>
      <c r="J239" s="22"/>
      <c r="K239" s="42"/>
    </row>
    <row r="240" ht="39.75" customHeight="1">
      <c r="A240" s="1">
        <v>239.0</v>
      </c>
      <c r="B240" s="2" t="s">
        <v>45</v>
      </c>
      <c r="C240" s="2"/>
      <c r="D240" s="13"/>
      <c r="E240" s="13"/>
      <c r="F240" s="44" t="s">
        <v>1979</v>
      </c>
      <c r="G240" s="43">
        <v>1.0</v>
      </c>
      <c r="H240" s="42"/>
      <c r="I240" s="43">
        <v>1.0</v>
      </c>
      <c r="J240" s="22"/>
      <c r="K240" s="42"/>
    </row>
    <row r="241" ht="39.75" customHeight="1">
      <c r="A241" s="1">
        <v>240.0</v>
      </c>
      <c r="B241" s="2" t="s">
        <v>46</v>
      </c>
      <c r="C241" s="2" t="s">
        <v>54</v>
      </c>
      <c r="D241" s="13"/>
      <c r="E241" s="13"/>
      <c r="F241" s="44" t="s">
        <v>1980</v>
      </c>
      <c r="G241" s="43">
        <v>1.0</v>
      </c>
      <c r="H241" s="42"/>
      <c r="I241" s="42"/>
      <c r="J241" s="22"/>
      <c r="K241" s="42"/>
    </row>
    <row r="242" ht="39.75" customHeight="1">
      <c r="A242" s="1">
        <v>241.0</v>
      </c>
      <c r="B242" s="2" t="s">
        <v>47</v>
      </c>
      <c r="C242" s="2" t="s">
        <v>69</v>
      </c>
      <c r="D242" s="13"/>
      <c r="E242" s="13"/>
      <c r="F242" s="44" t="s">
        <v>1981</v>
      </c>
      <c r="G242" s="43">
        <v>1.0</v>
      </c>
      <c r="H242" s="42"/>
      <c r="I242" s="42"/>
      <c r="J242" s="22"/>
      <c r="K242" s="42"/>
    </row>
    <row r="243" ht="39.75" hidden="1" customHeight="1">
      <c r="A243" s="1">
        <v>242.0</v>
      </c>
      <c r="B243" s="2" t="s">
        <v>48</v>
      </c>
      <c r="C243" s="2" t="s">
        <v>58</v>
      </c>
      <c r="D243" s="13"/>
      <c r="E243" s="13"/>
      <c r="F243" s="45"/>
      <c r="G243" s="42"/>
      <c r="H243" s="42"/>
      <c r="I243" s="42"/>
      <c r="J243" s="22"/>
      <c r="K243" s="42"/>
    </row>
    <row r="244" ht="39.75" customHeight="1">
      <c r="A244" s="1">
        <v>243.0</v>
      </c>
      <c r="B244" s="21"/>
      <c r="C244" s="21"/>
      <c r="D244" s="21"/>
      <c r="E244" s="21"/>
      <c r="F244" s="46"/>
      <c r="G244" s="47"/>
      <c r="H244" s="47"/>
      <c r="I244" s="47"/>
      <c r="J244" s="48"/>
      <c r="K244" s="47"/>
      <c r="L244" s="49"/>
      <c r="M244" s="49"/>
      <c r="N244" s="49"/>
    </row>
    <row r="245" ht="39.75" hidden="1" customHeight="1">
      <c r="A245" s="1">
        <v>244.0</v>
      </c>
      <c r="B245" s="2" t="s">
        <v>12</v>
      </c>
      <c r="C245" s="2" t="s">
        <v>13</v>
      </c>
      <c r="D245" s="13"/>
      <c r="E245" s="13"/>
      <c r="F245" s="45"/>
      <c r="G245" s="42"/>
      <c r="H245" s="42"/>
      <c r="I245" s="42"/>
      <c r="J245" s="27" t="s">
        <v>1890</v>
      </c>
      <c r="K245" s="42"/>
      <c r="L245" s="15" t="s">
        <v>192</v>
      </c>
    </row>
    <row r="246" ht="39.75" hidden="1" customHeight="1">
      <c r="A246" s="1">
        <v>245.0</v>
      </c>
      <c r="B246" s="2" t="s">
        <v>16</v>
      </c>
      <c r="C246" s="2" t="s">
        <v>13</v>
      </c>
      <c r="D246" s="13"/>
      <c r="E246" s="13"/>
      <c r="F246" s="45"/>
      <c r="G246" s="42"/>
      <c r="H246" s="42"/>
      <c r="I246" s="42"/>
      <c r="J246" s="27" t="s">
        <v>192</v>
      </c>
      <c r="K246" s="43"/>
    </row>
    <row r="247" ht="39.75" hidden="1" customHeight="1">
      <c r="A247" s="1">
        <v>246.0</v>
      </c>
      <c r="B247" s="2" t="s">
        <v>17</v>
      </c>
      <c r="C247" s="2" t="s">
        <v>13</v>
      </c>
      <c r="D247" s="13"/>
      <c r="E247" s="13"/>
      <c r="F247" s="45"/>
      <c r="G247" s="42"/>
      <c r="H247" s="42"/>
      <c r="I247" s="42"/>
      <c r="J247" s="27" t="s">
        <v>149</v>
      </c>
      <c r="K247" s="42"/>
    </row>
    <row r="248" ht="39.75" hidden="1" customHeight="1">
      <c r="A248" s="1">
        <v>247.0</v>
      </c>
      <c r="B248" s="2" t="s">
        <v>331</v>
      </c>
      <c r="C248" s="2" t="s">
        <v>13</v>
      </c>
      <c r="D248" s="13"/>
      <c r="E248" s="13"/>
      <c r="F248" s="44"/>
      <c r="G248" s="42"/>
      <c r="H248" s="42"/>
      <c r="I248" s="42"/>
      <c r="J248" s="27" t="s">
        <v>262</v>
      </c>
      <c r="K248" s="42"/>
    </row>
    <row r="249" ht="39.75" customHeight="1">
      <c r="A249" s="1">
        <v>248.0</v>
      </c>
      <c r="B249" s="2" t="s">
        <v>21</v>
      </c>
      <c r="C249" s="2" t="s">
        <v>63</v>
      </c>
      <c r="D249" s="13"/>
      <c r="E249" s="13"/>
      <c r="F249" s="45"/>
      <c r="G249" s="42"/>
      <c r="H249" s="42"/>
      <c r="I249" s="42"/>
      <c r="J249" s="27" t="s">
        <v>264</v>
      </c>
      <c r="K249" s="42"/>
    </row>
    <row r="250" ht="39.75" hidden="1" customHeight="1">
      <c r="A250" s="1">
        <v>249.0</v>
      </c>
      <c r="B250" s="2" t="s">
        <v>22</v>
      </c>
      <c r="C250" s="2" t="s">
        <v>13</v>
      </c>
      <c r="D250" s="13"/>
      <c r="E250" s="13"/>
      <c r="F250" s="45"/>
      <c r="G250" s="42"/>
      <c r="H250" s="42"/>
      <c r="I250" s="42"/>
      <c r="J250" s="27" t="s">
        <v>265</v>
      </c>
      <c r="K250" s="42"/>
    </row>
    <row r="251" ht="39.75" customHeight="1">
      <c r="A251" s="1">
        <v>250.0</v>
      </c>
      <c r="B251" s="2" t="s">
        <v>23</v>
      </c>
      <c r="C251" s="2" t="s">
        <v>39</v>
      </c>
      <c r="D251" s="13"/>
      <c r="E251" s="13"/>
      <c r="F251" s="44" t="s">
        <v>1982</v>
      </c>
      <c r="G251" s="43">
        <v>1.0</v>
      </c>
      <c r="H251" s="42"/>
      <c r="I251" s="42"/>
      <c r="J251" s="22"/>
      <c r="K251" s="42"/>
    </row>
    <row r="252" ht="39.75" hidden="1" customHeight="1">
      <c r="A252" s="1">
        <v>251.0</v>
      </c>
      <c r="B252" s="2" t="s">
        <v>24</v>
      </c>
      <c r="C252" s="2" t="s">
        <v>13</v>
      </c>
      <c r="D252" s="13"/>
      <c r="E252" s="13"/>
      <c r="F252" s="45"/>
      <c r="G252" s="42"/>
      <c r="H252" s="42"/>
      <c r="I252" s="42"/>
      <c r="J252" s="22"/>
      <c r="K252" s="42"/>
    </row>
    <row r="253" ht="39.75" customHeight="1">
      <c r="A253" s="1">
        <v>252.0</v>
      </c>
      <c r="B253" s="2" t="s">
        <v>25</v>
      </c>
      <c r="C253" s="2"/>
      <c r="D253" s="40">
        <v>0.375</v>
      </c>
      <c r="E253" s="51">
        <v>0.8125</v>
      </c>
      <c r="F253" s="44" t="s">
        <v>1983</v>
      </c>
      <c r="G253" s="43">
        <v>1.0</v>
      </c>
      <c r="H253" s="42"/>
      <c r="I253" s="43">
        <v>1.0</v>
      </c>
      <c r="J253" s="22"/>
      <c r="K253" s="42"/>
    </row>
    <row r="254" ht="39.75" hidden="1" customHeight="1">
      <c r="A254" s="1">
        <v>253.0</v>
      </c>
      <c r="B254" s="2" t="s">
        <v>26</v>
      </c>
      <c r="C254" s="2" t="s">
        <v>13</v>
      </c>
      <c r="D254" s="13"/>
      <c r="E254" s="13"/>
      <c r="F254" s="45"/>
      <c r="G254" s="42"/>
      <c r="H254" s="42"/>
      <c r="I254" s="42"/>
      <c r="J254" s="22"/>
      <c r="K254" s="42"/>
    </row>
    <row r="255" ht="39.75" customHeight="1">
      <c r="A255" s="1">
        <v>254.0</v>
      </c>
      <c r="B255" s="2" t="s">
        <v>29</v>
      </c>
      <c r="C255" s="2" t="s">
        <v>44</v>
      </c>
      <c r="D255" s="13"/>
      <c r="E255" s="13"/>
      <c r="F255" s="45"/>
      <c r="G255" s="42"/>
      <c r="H255" s="42"/>
      <c r="I255" s="42"/>
      <c r="J255" s="22"/>
      <c r="K255" s="42"/>
    </row>
    <row r="256" ht="39.75" hidden="1" customHeight="1">
      <c r="A256" s="1">
        <v>255.0</v>
      </c>
      <c r="B256" s="2" t="s">
        <v>30</v>
      </c>
      <c r="C256" s="2" t="s">
        <v>13</v>
      </c>
      <c r="D256" s="13"/>
      <c r="E256" s="13"/>
      <c r="F256" s="45"/>
      <c r="G256" s="42"/>
      <c r="H256" s="42"/>
      <c r="I256" s="42"/>
      <c r="J256" s="22"/>
      <c r="K256" s="42"/>
    </row>
    <row r="257" ht="39.75" hidden="1" customHeight="1">
      <c r="A257" s="1">
        <v>256.0</v>
      </c>
      <c r="B257" s="2" t="s">
        <v>31</v>
      </c>
      <c r="C257" s="2" t="s">
        <v>13</v>
      </c>
      <c r="D257" s="13"/>
      <c r="E257" s="13"/>
      <c r="F257" s="45"/>
      <c r="G257" s="42"/>
      <c r="H257" s="42"/>
      <c r="I257" s="42"/>
      <c r="J257" s="22"/>
      <c r="K257" s="42"/>
    </row>
    <row r="258" ht="39.75" customHeight="1">
      <c r="A258" s="1">
        <v>257.0</v>
      </c>
      <c r="B258" s="2" t="s">
        <v>33</v>
      </c>
      <c r="C258" s="2" t="s">
        <v>272</v>
      </c>
      <c r="D258" s="13"/>
      <c r="E258" s="13"/>
      <c r="F258" s="44" t="s">
        <v>1984</v>
      </c>
      <c r="G258" s="43">
        <v>1.0</v>
      </c>
      <c r="H258" s="42"/>
      <c r="I258" s="43">
        <v>1.0</v>
      </c>
      <c r="J258" s="22"/>
      <c r="K258" s="42"/>
    </row>
    <row r="259" ht="39.75" customHeight="1">
      <c r="A259" s="1">
        <v>258.0</v>
      </c>
      <c r="B259" s="2" t="s">
        <v>67</v>
      </c>
      <c r="C259" s="2"/>
      <c r="D259" s="40">
        <v>0.375</v>
      </c>
      <c r="E259" s="13"/>
      <c r="F259" s="44" t="s">
        <v>1985</v>
      </c>
      <c r="G259" s="43">
        <v>1.0</v>
      </c>
      <c r="H259" s="42"/>
      <c r="I259" s="43">
        <v>1.0</v>
      </c>
      <c r="J259" s="22"/>
      <c r="K259" s="42"/>
    </row>
    <row r="260" ht="39.75" hidden="1" customHeight="1">
      <c r="A260" s="1">
        <v>259.0</v>
      </c>
      <c r="B260" s="2" t="s">
        <v>34</v>
      </c>
      <c r="C260" s="2" t="s">
        <v>13</v>
      </c>
      <c r="D260" s="13"/>
      <c r="E260" s="13"/>
      <c r="F260" s="45"/>
      <c r="G260" s="42"/>
      <c r="H260" s="42"/>
      <c r="I260" s="42"/>
      <c r="J260" s="22"/>
      <c r="K260" s="42"/>
    </row>
    <row r="261" ht="39.75" hidden="1" customHeight="1">
      <c r="A261" s="1">
        <v>260.0</v>
      </c>
      <c r="B261" s="2" t="s">
        <v>35</v>
      </c>
      <c r="C261" s="2" t="s">
        <v>13</v>
      </c>
      <c r="D261" s="13"/>
      <c r="E261" s="13"/>
      <c r="F261" s="45"/>
      <c r="G261" s="42"/>
      <c r="H261" s="42"/>
      <c r="I261" s="42"/>
      <c r="J261" s="22"/>
      <c r="K261" s="42"/>
    </row>
    <row r="262" ht="39.75" hidden="1" customHeight="1">
      <c r="A262" s="1">
        <v>261.0</v>
      </c>
      <c r="B262" s="2" t="s">
        <v>36</v>
      </c>
      <c r="C262" s="2" t="s">
        <v>13</v>
      </c>
      <c r="D262" s="13"/>
      <c r="E262" s="13"/>
      <c r="F262" s="45"/>
      <c r="G262" s="42"/>
      <c r="H262" s="42"/>
      <c r="I262" s="42"/>
      <c r="J262" s="22"/>
      <c r="K262" s="42"/>
    </row>
    <row r="263" ht="39.75" hidden="1" customHeight="1">
      <c r="A263" s="1">
        <v>262.0</v>
      </c>
      <c r="B263" s="2" t="s">
        <v>38</v>
      </c>
      <c r="C263" s="2" t="s">
        <v>13</v>
      </c>
      <c r="D263" s="13"/>
      <c r="E263" s="13"/>
      <c r="F263" s="45"/>
      <c r="G263" s="42"/>
      <c r="H263" s="42"/>
      <c r="I263" s="42"/>
      <c r="J263" s="22"/>
      <c r="K263" s="42"/>
    </row>
    <row r="264" ht="39.75" hidden="1" customHeight="1">
      <c r="A264" s="1">
        <v>263.0</v>
      </c>
      <c r="B264" s="2" t="s">
        <v>41</v>
      </c>
      <c r="C264" s="2" t="s">
        <v>13</v>
      </c>
      <c r="D264" s="13"/>
      <c r="E264" s="13"/>
      <c r="F264" s="45"/>
      <c r="G264" s="42"/>
      <c r="H264" s="42"/>
      <c r="I264" s="42"/>
      <c r="J264" s="22"/>
      <c r="K264" s="42"/>
    </row>
    <row r="265" ht="39.75" customHeight="1">
      <c r="A265" s="1">
        <v>264.0</v>
      </c>
      <c r="B265" s="2" t="s">
        <v>267</v>
      </c>
      <c r="C265" s="2" t="s">
        <v>272</v>
      </c>
      <c r="D265" s="13"/>
      <c r="E265" s="13"/>
      <c r="F265" s="44" t="s">
        <v>1986</v>
      </c>
      <c r="G265" s="43">
        <v>1.0</v>
      </c>
      <c r="H265" s="42"/>
      <c r="I265" s="43">
        <v>1.0</v>
      </c>
      <c r="J265" s="22"/>
      <c r="K265" s="42"/>
    </row>
    <row r="266" ht="39.75" customHeight="1">
      <c r="A266" s="1">
        <v>265.0</v>
      </c>
      <c r="B266" s="2" t="s">
        <v>43</v>
      </c>
      <c r="C266" s="2" t="s">
        <v>27</v>
      </c>
      <c r="D266" s="13"/>
      <c r="E266" s="13"/>
      <c r="F266" s="44" t="s">
        <v>1987</v>
      </c>
      <c r="G266" s="43">
        <v>1.0</v>
      </c>
      <c r="H266" s="42"/>
      <c r="I266" s="43">
        <v>1.0</v>
      </c>
      <c r="J266" s="22"/>
      <c r="K266" s="42"/>
    </row>
    <row r="267" ht="39.75" hidden="1" customHeight="1">
      <c r="A267" s="1">
        <v>266.0</v>
      </c>
      <c r="B267" s="2" t="s">
        <v>45</v>
      </c>
      <c r="C267" s="2" t="s">
        <v>13</v>
      </c>
      <c r="D267" s="13"/>
      <c r="E267" s="13"/>
      <c r="F267" s="45"/>
      <c r="G267" s="42"/>
      <c r="H267" s="42"/>
      <c r="I267" s="42"/>
      <c r="J267" s="22"/>
      <c r="K267" s="42"/>
    </row>
    <row r="268" ht="39.75" hidden="1" customHeight="1">
      <c r="A268" s="1">
        <v>267.0</v>
      </c>
      <c r="B268" s="2" t="s">
        <v>46</v>
      </c>
      <c r="C268" s="2" t="s">
        <v>13</v>
      </c>
      <c r="D268" s="13"/>
      <c r="E268" s="13"/>
      <c r="F268" s="45"/>
      <c r="G268" s="42"/>
      <c r="H268" s="42"/>
      <c r="I268" s="42"/>
      <c r="J268" s="22"/>
      <c r="K268" s="42"/>
    </row>
    <row r="269" ht="39.75" customHeight="1">
      <c r="A269" s="1">
        <v>268.0</v>
      </c>
      <c r="B269" s="2" t="s">
        <v>47</v>
      </c>
      <c r="C269" s="2" t="s">
        <v>49</v>
      </c>
      <c r="D269" s="13"/>
      <c r="E269" s="13"/>
      <c r="F269" s="61" t="s">
        <v>1988</v>
      </c>
      <c r="G269" s="43">
        <v>1.0</v>
      </c>
      <c r="H269" s="42"/>
      <c r="I269" s="42"/>
      <c r="J269" s="22"/>
      <c r="K269" s="42"/>
    </row>
    <row r="270" ht="39.75" hidden="1" customHeight="1">
      <c r="A270" s="1">
        <v>269.0</v>
      </c>
      <c r="B270" s="2" t="s">
        <v>48</v>
      </c>
      <c r="C270" s="2" t="s">
        <v>13</v>
      </c>
      <c r="D270" s="13"/>
      <c r="E270" s="13"/>
      <c r="F270" s="45"/>
      <c r="G270" s="42"/>
      <c r="H270" s="42"/>
      <c r="I270" s="42"/>
      <c r="J270" s="22"/>
      <c r="K270" s="42"/>
    </row>
    <row r="271" ht="39.75" customHeight="1">
      <c r="A271" s="1">
        <v>270.0</v>
      </c>
      <c r="B271" s="21"/>
      <c r="C271" s="21"/>
      <c r="D271" s="21"/>
      <c r="E271" s="21"/>
      <c r="F271" s="46"/>
      <c r="G271" s="47"/>
      <c r="H271" s="47"/>
      <c r="I271" s="47"/>
      <c r="J271" s="48"/>
      <c r="K271" s="47"/>
      <c r="L271" s="49"/>
      <c r="M271" s="49"/>
      <c r="N271" s="49"/>
    </row>
    <row r="272" ht="39.75" hidden="1" customHeight="1">
      <c r="A272" s="1">
        <v>271.0</v>
      </c>
      <c r="B272" s="2" t="s">
        <v>12</v>
      </c>
      <c r="C272" s="2" t="s">
        <v>13</v>
      </c>
      <c r="D272" s="13"/>
      <c r="E272" s="13"/>
      <c r="F272" s="45"/>
      <c r="G272" s="42"/>
      <c r="H272" s="42"/>
      <c r="I272" s="42"/>
      <c r="J272" s="27" t="s">
        <v>1890</v>
      </c>
      <c r="K272" s="42"/>
      <c r="L272" s="15" t="s">
        <v>209</v>
      </c>
    </row>
    <row r="273" ht="39.75" customHeight="1">
      <c r="A273" s="1">
        <v>272.0</v>
      </c>
      <c r="B273" s="2" t="s">
        <v>16</v>
      </c>
      <c r="C273" s="2"/>
      <c r="D273" s="40">
        <v>0.375</v>
      </c>
      <c r="E273" s="13"/>
      <c r="F273" s="44" t="s">
        <v>1989</v>
      </c>
      <c r="G273" s="43">
        <v>1.0</v>
      </c>
      <c r="H273" s="42"/>
      <c r="I273" s="43"/>
      <c r="J273" s="27" t="s">
        <v>209</v>
      </c>
      <c r="K273" s="43"/>
    </row>
    <row r="274" ht="39.75" hidden="1" customHeight="1">
      <c r="A274" s="1">
        <v>273.0</v>
      </c>
      <c r="B274" s="2" t="s">
        <v>17</v>
      </c>
      <c r="C274" s="2" t="s">
        <v>13</v>
      </c>
      <c r="D274" s="13"/>
      <c r="E274" s="13"/>
      <c r="F274" s="45"/>
      <c r="G274" s="42"/>
      <c r="H274" s="42"/>
      <c r="I274" s="42"/>
      <c r="J274" s="27" t="s">
        <v>19</v>
      </c>
      <c r="K274" s="42"/>
    </row>
    <row r="275" ht="39.75" hidden="1" customHeight="1">
      <c r="A275" s="1">
        <v>274.0</v>
      </c>
      <c r="B275" s="2" t="s">
        <v>331</v>
      </c>
      <c r="C275" s="2" t="s">
        <v>13</v>
      </c>
      <c r="D275" s="13"/>
      <c r="E275" s="13"/>
      <c r="F275" s="44"/>
      <c r="G275" s="42"/>
      <c r="H275" s="42"/>
      <c r="I275" s="42"/>
      <c r="J275" s="27" t="s">
        <v>410</v>
      </c>
      <c r="K275" s="42"/>
    </row>
    <row r="276" ht="39.75" customHeight="1">
      <c r="A276" s="1">
        <v>275.0</v>
      </c>
      <c r="B276" s="2" t="s">
        <v>21</v>
      </c>
      <c r="C276" s="2" t="s">
        <v>63</v>
      </c>
      <c r="D276" s="13"/>
      <c r="E276" s="13"/>
      <c r="F276" s="45"/>
      <c r="G276" s="42"/>
      <c r="H276" s="42"/>
      <c r="I276" s="42"/>
      <c r="J276" s="27" t="s">
        <v>412</v>
      </c>
      <c r="K276" s="42"/>
    </row>
    <row r="277" ht="39.75" customHeight="1">
      <c r="A277" s="1">
        <v>276.0</v>
      </c>
      <c r="B277" s="2" t="s">
        <v>266</v>
      </c>
      <c r="C277" s="2" t="s">
        <v>272</v>
      </c>
      <c r="D277" s="13"/>
      <c r="E277" s="13"/>
      <c r="F277" s="44" t="s">
        <v>1986</v>
      </c>
      <c r="G277" s="43">
        <v>1.0</v>
      </c>
      <c r="H277" s="42"/>
      <c r="I277" s="43">
        <v>1.0</v>
      </c>
      <c r="J277" s="27" t="s">
        <v>413</v>
      </c>
      <c r="K277" s="42"/>
    </row>
    <row r="278" ht="39.75" hidden="1" customHeight="1">
      <c r="A278" s="1">
        <v>277.0</v>
      </c>
      <c r="B278" s="2" t="s">
        <v>23</v>
      </c>
      <c r="C278" s="2" t="s">
        <v>13</v>
      </c>
      <c r="D278" s="13"/>
      <c r="E278" s="13"/>
      <c r="F278" s="45"/>
      <c r="G278" s="42"/>
      <c r="H278" s="42"/>
      <c r="I278" s="42"/>
      <c r="J278" s="22"/>
      <c r="K278" s="42"/>
    </row>
    <row r="279" ht="39.75" hidden="1" customHeight="1">
      <c r="A279" s="1">
        <v>278.0</v>
      </c>
      <c r="B279" s="2" t="s">
        <v>24</v>
      </c>
      <c r="C279" s="2" t="s">
        <v>13</v>
      </c>
      <c r="D279" s="13"/>
      <c r="E279" s="13"/>
      <c r="F279" s="45"/>
      <c r="G279" s="42"/>
      <c r="H279" s="42"/>
      <c r="I279" s="42"/>
      <c r="J279" s="22"/>
      <c r="K279" s="42"/>
    </row>
    <row r="280" ht="39.75" hidden="1" customHeight="1">
      <c r="A280" s="1">
        <v>279.0</v>
      </c>
      <c r="B280" s="2" t="s">
        <v>25</v>
      </c>
      <c r="C280" s="2" t="s">
        <v>13</v>
      </c>
      <c r="D280" s="13"/>
      <c r="E280" s="13"/>
      <c r="F280" s="45"/>
      <c r="G280" s="42"/>
      <c r="H280" s="42"/>
      <c r="I280" s="42"/>
      <c r="J280" s="22"/>
      <c r="K280" s="42"/>
    </row>
    <row r="281" ht="39.75" hidden="1" customHeight="1">
      <c r="A281" s="1">
        <v>280.0</v>
      </c>
      <c r="B281" s="2" t="s">
        <v>26</v>
      </c>
      <c r="C281" s="2" t="s">
        <v>13</v>
      </c>
      <c r="D281" s="13"/>
      <c r="E281" s="13"/>
      <c r="F281" s="45"/>
      <c r="G281" s="42"/>
      <c r="H281" s="42"/>
      <c r="I281" s="42"/>
      <c r="J281" s="22"/>
      <c r="K281" s="42"/>
    </row>
    <row r="282" ht="39.75" hidden="1" customHeight="1">
      <c r="A282" s="1">
        <v>281.0</v>
      </c>
      <c r="B282" s="2" t="s">
        <v>29</v>
      </c>
      <c r="C282" s="2" t="s">
        <v>13</v>
      </c>
      <c r="D282" s="13"/>
      <c r="E282" s="13"/>
      <c r="F282" s="45"/>
      <c r="G282" s="42"/>
      <c r="H282" s="42"/>
      <c r="I282" s="42"/>
      <c r="J282" s="22"/>
      <c r="K282" s="42"/>
    </row>
    <row r="283" ht="39.75" customHeight="1">
      <c r="A283" s="1">
        <v>282.0</v>
      </c>
      <c r="B283" s="2" t="s">
        <v>30</v>
      </c>
      <c r="C283" s="2"/>
      <c r="D283" s="40">
        <v>0.375</v>
      </c>
      <c r="E283" s="13"/>
      <c r="F283" s="44" t="s">
        <v>1990</v>
      </c>
      <c r="G283" s="43">
        <v>1.0</v>
      </c>
      <c r="H283" s="42"/>
      <c r="I283" s="43">
        <v>1.0</v>
      </c>
      <c r="J283" s="22"/>
      <c r="K283" s="42"/>
    </row>
    <row r="284" ht="39.75" customHeight="1">
      <c r="A284" s="1">
        <v>283.0</v>
      </c>
      <c r="B284" s="2" t="s">
        <v>33</v>
      </c>
      <c r="C284" s="2" t="s">
        <v>272</v>
      </c>
      <c r="D284" s="13"/>
      <c r="E284" s="13"/>
      <c r="F284" s="44" t="s">
        <v>1984</v>
      </c>
      <c r="G284" s="43">
        <v>1.0</v>
      </c>
      <c r="H284" s="42"/>
      <c r="I284" s="43">
        <v>1.0</v>
      </c>
      <c r="J284" s="22"/>
      <c r="K284" s="42"/>
    </row>
    <row r="285" ht="39.75" customHeight="1">
      <c r="A285" s="1">
        <v>284.0</v>
      </c>
      <c r="B285" s="2" t="s">
        <v>32</v>
      </c>
      <c r="C285" s="2" t="s">
        <v>27</v>
      </c>
      <c r="D285" s="13"/>
      <c r="E285" s="13"/>
      <c r="F285" s="45"/>
      <c r="G285" s="42"/>
      <c r="H285" s="42"/>
      <c r="I285" s="42"/>
      <c r="J285" s="22"/>
      <c r="K285" s="42"/>
    </row>
    <row r="286" ht="39.75" hidden="1" customHeight="1">
      <c r="A286" s="1">
        <v>285.0</v>
      </c>
      <c r="B286" s="2" t="s">
        <v>67</v>
      </c>
      <c r="C286" s="2" t="s">
        <v>13</v>
      </c>
      <c r="D286" s="13"/>
      <c r="E286" s="13"/>
      <c r="F286" s="45"/>
      <c r="G286" s="42"/>
      <c r="H286" s="42"/>
      <c r="I286" s="42"/>
      <c r="J286" s="22"/>
      <c r="K286" s="42"/>
    </row>
    <row r="287" ht="39.75" hidden="1" customHeight="1">
      <c r="A287" s="1">
        <v>286.0</v>
      </c>
      <c r="B287" s="2" t="s">
        <v>34</v>
      </c>
      <c r="C287" s="2" t="s">
        <v>13</v>
      </c>
      <c r="D287" s="13"/>
      <c r="E287" s="13"/>
      <c r="F287" s="45"/>
      <c r="G287" s="42"/>
      <c r="H287" s="42"/>
      <c r="I287" s="42"/>
      <c r="J287" s="22"/>
      <c r="K287" s="42"/>
    </row>
    <row r="288" ht="39.75" hidden="1" customHeight="1">
      <c r="A288" s="1">
        <v>287.0</v>
      </c>
      <c r="B288" s="2" t="s">
        <v>35</v>
      </c>
      <c r="C288" s="2" t="s">
        <v>13</v>
      </c>
      <c r="D288" s="13"/>
      <c r="E288" s="13"/>
      <c r="F288" s="45"/>
      <c r="G288" s="42"/>
      <c r="H288" s="42"/>
      <c r="I288" s="42"/>
      <c r="J288" s="22"/>
      <c r="K288" s="42"/>
    </row>
    <row r="289" ht="39.75" customHeight="1">
      <c r="A289" s="1">
        <v>288.0</v>
      </c>
      <c r="B289" s="2" t="s">
        <v>36</v>
      </c>
      <c r="C289" s="2" t="s">
        <v>39</v>
      </c>
      <c r="D289" s="13"/>
      <c r="E289" s="13"/>
      <c r="F289" s="61" t="s">
        <v>1991</v>
      </c>
      <c r="G289" s="43">
        <v>1.0</v>
      </c>
      <c r="H289" s="42"/>
      <c r="I289" s="42"/>
      <c r="J289" s="22"/>
      <c r="K289" s="42"/>
    </row>
    <row r="290" ht="39.75" customHeight="1">
      <c r="A290" s="1">
        <v>289.0</v>
      </c>
      <c r="B290" s="2" t="s">
        <v>38</v>
      </c>
      <c r="C290" s="2" t="s">
        <v>49</v>
      </c>
      <c r="D290" s="13"/>
      <c r="E290" s="13"/>
      <c r="F290" s="44" t="s">
        <v>1992</v>
      </c>
      <c r="G290" s="43">
        <v>1.0</v>
      </c>
      <c r="H290" s="42"/>
      <c r="I290" s="42"/>
      <c r="J290" s="22"/>
      <c r="K290" s="42"/>
    </row>
    <row r="291" ht="39.75" hidden="1" customHeight="1">
      <c r="A291" s="1">
        <v>290.0</v>
      </c>
      <c r="B291" s="2" t="s">
        <v>41</v>
      </c>
      <c r="C291" s="2" t="s">
        <v>13</v>
      </c>
      <c r="D291" s="13"/>
      <c r="E291" s="13"/>
      <c r="F291" s="45"/>
      <c r="G291" s="42"/>
      <c r="H291" s="42"/>
      <c r="I291" s="42"/>
      <c r="J291" s="22"/>
      <c r="K291" s="42"/>
    </row>
    <row r="292" ht="39.75" hidden="1" customHeight="1">
      <c r="A292" s="1">
        <v>291.0</v>
      </c>
      <c r="B292" s="2" t="s">
        <v>42</v>
      </c>
      <c r="C292" s="2" t="s">
        <v>13</v>
      </c>
      <c r="D292" s="13"/>
      <c r="E292" s="13"/>
      <c r="F292" s="45"/>
      <c r="G292" s="42"/>
      <c r="H292" s="42"/>
      <c r="I292" s="42"/>
      <c r="J292" s="22"/>
      <c r="K292" s="42"/>
    </row>
    <row r="293" ht="39.75" customHeight="1">
      <c r="A293" s="1">
        <v>292.0</v>
      </c>
      <c r="B293" s="2" t="s">
        <v>43</v>
      </c>
      <c r="C293" s="2" t="s">
        <v>44</v>
      </c>
      <c r="D293" s="13"/>
      <c r="E293" s="13"/>
      <c r="F293" s="45"/>
      <c r="G293" s="42"/>
      <c r="H293" s="42"/>
      <c r="I293" s="42"/>
      <c r="J293" s="22"/>
      <c r="K293" s="42"/>
    </row>
    <row r="294" ht="39.75" hidden="1" customHeight="1">
      <c r="A294" s="1">
        <v>293.0</v>
      </c>
      <c r="B294" s="2" t="s">
        <v>45</v>
      </c>
      <c r="C294" s="2" t="s">
        <v>13</v>
      </c>
      <c r="D294" s="13"/>
      <c r="E294" s="13"/>
      <c r="F294" s="45"/>
      <c r="G294" s="42"/>
      <c r="H294" s="42"/>
      <c r="I294" s="42"/>
      <c r="J294" s="22"/>
      <c r="K294" s="42"/>
    </row>
    <row r="295" ht="39.75" hidden="1" customHeight="1">
      <c r="A295" s="1">
        <v>294.0</v>
      </c>
      <c r="B295" s="2" t="s">
        <v>46</v>
      </c>
      <c r="C295" s="2" t="s">
        <v>13</v>
      </c>
      <c r="D295" s="13"/>
      <c r="E295" s="13"/>
      <c r="F295" s="45"/>
      <c r="G295" s="42"/>
      <c r="H295" s="42"/>
      <c r="I295" s="42"/>
      <c r="J295" s="22"/>
      <c r="K295" s="42"/>
    </row>
    <row r="296" ht="39.75" hidden="1" customHeight="1">
      <c r="A296" s="1">
        <v>295.0</v>
      </c>
      <c r="B296" s="2" t="s">
        <v>47</v>
      </c>
      <c r="C296" s="2" t="s">
        <v>13</v>
      </c>
      <c r="D296" s="13"/>
      <c r="E296" s="13"/>
      <c r="F296" s="45"/>
      <c r="G296" s="42"/>
      <c r="H296" s="42"/>
      <c r="I296" s="42"/>
      <c r="J296" s="22"/>
      <c r="K296" s="42"/>
    </row>
    <row r="297" ht="39.75" hidden="1" customHeight="1">
      <c r="A297" s="1">
        <v>296.0</v>
      </c>
      <c r="B297" s="2" t="s">
        <v>48</v>
      </c>
      <c r="C297" s="2" t="s">
        <v>13</v>
      </c>
      <c r="D297" s="13"/>
      <c r="E297" s="13"/>
      <c r="F297" s="45"/>
      <c r="G297" s="42"/>
      <c r="H297" s="42"/>
      <c r="I297" s="42"/>
      <c r="J297" s="22"/>
      <c r="K297" s="42"/>
    </row>
    <row r="298" ht="39.75" customHeight="1">
      <c r="A298" s="1">
        <v>297.0</v>
      </c>
      <c r="B298" s="21"/>
      <c r="C298" s="21"/>
      <c r="D298" s="21"/>
      <c r="E298" s="21"/>
      <c r="F298" s="46"/>
      <c r="G298" s="47"/>
      <c r="H298" s="47"/>
      <c r="I298" s="47"/>
      <c r="J298" s="48"/>
      <c r="K298" s="47"/>
      <c r="L298" s="49"/>
      <c r="M298" s="49"/>
      <c r="N298" s="49"/>
    </row>
    <row r="299" ht="39.75" customHeight="1">
      <c r="A299" s="1">
        <v>298.0</v>
      </c>
      <c r="B299" s="2" t="s">
        <v>12</v>
      </c>
      <c r="C299" s="2" t="s">
        <v>62</v>
      </c>
      <c r="D299" s="13"/>
      <c r="E299" s="13"/>
      <c r="F299" s="44" t="s">
        <v>1993</v>
      </c>
      <c r="G299" s="43">
        <v>1.0</v>
      </c>
      <c r="H299" s="42"/>
      <c r="I299" s="43">
        <v>1.0</v>
      </c>
      <c r="J299" s="27" t="s">
        <v>1890</v>
      </c>
      <c r="K299" s="42"/>
      <c r="L299" s="15" t="s">
        <v>228</v>
      </c>
    </row>
    <row r="300" ht="39.75" customHeight="1">
      <c r="A300" s="1">
        <v>299.0</v>
      </c>
      <c r="B300" s="2" t="s">
        <v>16</v>
      </c>
      <c r="C300" s="2" t="s">
        <v>69</v>
      </c>
      <c r="D300" s="13"/>
      <c r="E300" s="40">
        <v>0.8333333333333334</v>
      </c>
      <c r="F300" s="44" t="s">
        <v>1994</v>
      </c>
      <c r="G300" s="43">
        <v>1.0</v>
      </c>
      <c r="H300" s="42"/>
      <c r="I300" s="43">
        <v>1.0</v>
      </c>
      <c r="J300" s="27" t="s">
        <v>228</v>
      </c>
      <c r="K300" s="43"/>
    </row>
    <row r="301" ht="39.75" hidden="1" customHeight="1">
      <c r="A301" s="1">
        <v>300.0</v>
      </c>
      <c r="B301" s="2" t="s">
        <v>17</v>
      </c>
      <c r="C301" s="2" t="s">
        <v>66</v>
      </c>
      <c r="D301" s="13"/>
      <c r="E301" s="13"/>
      <c r="F301" s="45"/>
      <c r="G301" s="42"/>
      <c r="H301" s="42"/>
      <c r="I301" s="42"/>
      <c r="J301" s="27" t="s">
        <v>56</v>
      </c>
      <c r="K301" s="42"/>
    </row>
    <row r="302" ht="39.75" customHeight="1">
      <c r="A302" s="1">
        <v>301.0</v>
      </c>
      <c r="B302" s="2" t="s">
        <v>331</v>
      </c>
      <c r="C302" s="2" t="s">
        <v>542</v>
      </c>
      <c r="D302" s="13"/>
      <c r="E302" s="13"/>
      <c r="F302" s="44" t="s">
        <v>1995</v>
      </c>
      <c r="G302" s="43">
        <v>2.0</v>
      </c>
      <c r="H302" s="42"/>
      <c r="I302" s="42"/>
      <c r="J302" s="22"/>
      <c r="K302" s="42"/>
    </row>
    <row r="303" ht="39.75" customHeight="1">
      <c r="A303" s="1">
        <v>302.0</v>
      </c>
      <c r="B303" s="2" t="s">
        <v>21</v>
      </c>
      <c r="C303" s="2"/>
      <c r="D303" s="13"/>
      <c r="E303" s="13"/>
      <c r="F303" s="44" t="s">
        <v>1996</v>
      </c>
      <c r="G303" s="43">
        <v>1.0</v>
      </c>
      <c r="H303" s="42"/>
      <c r="I303" s="42"/>
      <c r="J303" s="22"/>
      <c r="K303" s="42"/>
    </row>
    <row r="304" ht="39.75" customHeight="1">
      <c r="A304" s="1">
        <v>303.0</v>
      </c>
      <c r="B304" s="2" t="s">
        <v>22</v>
      </c>
      <c r="C304" s="2"/>
      <c r="D304" s="13"/>
      <c r="E304" s="13"/>
      <c r="F304" s="44" t="s">
        <v>1997</v>
      </c>
      <c r="G304" s="43">
        <v>1.0</v>
      </c>
      <c r="H304" s="42"/>
      <c r="I304" s="42"/>
      <c r="J304" s="22"/>
      <c r="K304" s="42"/>
    </row>
    <row r="305" ht="39.75" customHeight="1">
      <c r="A305" s="1">
        <v>304.0</v>
      </c>
      <c r="B305" s="2" t="s">
        <v>23</v>
      </c>
      <c r="C305" s="2" t="s">
        <v>54</v>
      </c>
      <c r="D305" s="13"/>
      <c r="E305" s="13"/>
      <c r="F305" s="44" t="s">
        <v>1998</v>
      </c>
      <c r="G305" s="43">
        <v>1.0</v>
      </c>
      <c r="H305" s="42"/>
      <c r="I305" s="42"/>
      <c r="J305" s="22"/>
      <c r="K305" s="42"/>
    </row>
    <row r="306" ht="39.75" customHeight="1">
      <c r="A306" s="1">
        <v>305.0</v>
      </c>
      <c r="B306" s="2" t="s">
        <v>24</v>
      </c>
      <c r="C306" s="2"/>
      <c r="D306" s="13"/>
      <c r="E306" s="13"/>
      <c r="F306" s="44" t="s">
        <v>1999</v>
      </c>
      <c r="G306" s="43">
        <v>1.0</v>
      </c>
      <c r="H306" s="42"/>
      <c r="I306" s="42"/>
      <c r="J306" s="22"/>
      <c r="K306" s="42"/>
    </row>
    <row r="307" ht="39.75" customHeight="1">
      <c r="A307" s="1">
        <v>306.0</v>
      </c>
      <c r="B307" s="2" t="s">
        <v>25</v>
      </c>
      <c r="C307" s="2"/>
      <c r="D307" s="13"/>
      <c r="E307" s="13"/>
      <c r="F307" s="44" t="s">
        <v>2000</v>
      </c>
      <c r="G307" s="43">
        <v>1.0</v>
      </c>
      <c r="H307" s="42"/>
      <c r="I307" s="42"/>
      <c r="J307" s="22"/>
      <c r="K307" s="42"/>
    </row>
    <row r="308" ht="39.75" customHeight="1">
      <c r="A308" s="1">
        <v>307.0</v>
      </c>
      <c r="B308" s="2" t="s">
        <v>26</v>
      </c>
      <c r="C308" s="2" t="s">
        <v>27</v>
      </c>
      <c r="D308" s="13"/>
      <c r="E308" s="13"/>
      <c r="F308" s="45"/>
      <c r="G308" s="42"/>
      <c r="H308" s="42"/>
      <c r="I308" s="42"/>
      <c r="J308" s="22"/>
      <c r="K308" s="42"/>
    </row>
    <row r="309" ht="39.75" customHeight="1">
      <c r="A309" s="1">
        <v>308.0</v>
      </c>
      <c r="B309" s="2" t="s">
        <v>29</v>
      </c>
      <c r="C309" s="2" t="s">
        <v>54</v>
      </c>
      <c r="D309" s="13"/>
      <c r="E309" s="13"/>
      <c r="F309" s="44" t="s">
        <v>2001</v>
      </c>
      <c r="G309" s="43">
        <v>1.0</v>
      </c>
      <c r="H309" s="42"/>
      <c r="I309" s="42"/>
      <c r="J309" s="22"/>
      <c r="K309" s="42"/>
    </row>
    <row r="310" ht="39.75" hidden="1" customHeight="1">
      <c r="A310" s="1">
        <v>309.0</v>
      </c>
      <c r="B310" s="2" t="s">
        <v>30</v>
      </c>
      <c r="C310" s="2" t="s">
        <v>58</v>
      </c>
      <c r="D310" s="13"/>
      <c r="E310" s="13"/>
      <c r="F310" s="45"/>
      <c r="G310" s="42"/>
      <c r="H310" s="42"/>
      <c r="I310" s="42"/>
      <c r="J310" s="22"/>
      <c r="K310" s="42"/>
    </row>
    <row r="311" ht="39.75" customHeight="1">
      <c r="A311" s="1">
        <v>310.0</v>
      </c>
      <c r="B311" s="2" t="s">
        <v>31</v>
      </c>
      <c r="C311" s="2" t="s">
        <v>69</v>
      </c>
      <c r="D311" s="13"/>
      <c r="E311" s="13"/>
      <c r="F311" s="44" t="s">
        <v>2002</v>
      </c>
      <c r="G311" s="43">
        <v>1.0</v>
      </c>
      <c r="H311" s="42"/>
      <c r="I311" s="42"/>
      <c r="J311" s="22"/>
      <c r="K311" s="42"/>
    </row>
    <row r="312" ht="39.75" customHeight="1">
      <c r="A312" s="1">
        <v>311.0</v>
      </c>
      <c r="B312" s="2" t="s">
        <v>32</v>
      </c>
      <c r="C312" s="2" t="s">
        <v>44</v>
      </c>
      <c r="D312" s="13"/>
      <c r="E312" s="13"/>
      <c r="F312" s="52" t="s">
        <v>2003</v>
      </c>
      <c r="G312" s="56">
        <v>1.0</v>
      </c>
      <c r="H312" s="42"/>
      <c r="I312" s="42"/>
      <c r="J312" s="22"/>
      <c r="K312" s="42"/>
    </row>
    <row r="313" ht="39.75" customHeight="1">
      <c r="A313" s="1">
        <v>312.0</v>
      </c>
      <c r="B313" s="2" t="s">
        <v>67</v>
      </c>
      <c r="C313" s="2" t="s">
        <v>39</v>
      </c>
      <c r="D313" s="13"/>
      <c r="E313" s="13"/>
      <c r="F313" s="44" t="s">
        <v>2004</v>
      </c>
      <c r="G313" s="43">
        <v>1.0</v>
      </c>
      <c r="H313" s="42"/>
      <c r="I313" s="43">
        <v>1.0</v>
      </c>
      <c r="J313" s="22"/>
      <c r="K313" s="42"/>
    </row>
    <row r="314" ht="39.75" hidden="1" customHeight="1">
      <c r="A314" s="1">
        <v>313.0</v>
      </c>
      <c r="B314" s="2" t="s">
        <v>34</v>
      </c>
      <c r="C314" s="2" t="s">
        <v>58</v>
      </c>
      <c r="D314" s="13"/>
      <c r="E314" s="13"/>
      <c r="F314" s="45"/>
      <c r="G314" s="42"/>
      <c r="H314" s="42"/>
      <c r="I314" s="42"/>
      <c r="J314" s="22"/>
      <c r="K314" s="42"/>
    </row>
    <row r="315" ht="39.75" hidden="1" customHeight="1">
      <c r="A315" s="1">
        <v>314.0</v>
      </c>
      <c r="B315" s="2" t="s">
        <v>35</v>
      </c>
      <c r="C315" s="2" t="s">
        <v>58</v>
      </c>
      <c r="D315" s="13"/>
      <c r="E315" s="13"/>
      <c r="F315" s="45"/>
      <c r="G315" s="42"/>
      <c r="H315" s="42"/>
      <c r="I315" s="42"/>
      <c r="J315" s="22"/>
      <c r="K315" s="42"/>
    </row>
    <row r="316" ht="39.75" hidden="1" customHeight="1">
      <c r="A316" s="1">
        <v>315.0</v>
      </c>
      <c r="B316" s="2" t="s">
        <v>36</v>
      </c>
      <c r="C316" s="2" t="s">
        <v>58</v>
      </c>
      <c r="D316" s="13"/>
      <c r="E316" s="13"/>
      <c r="F316" s="45"/>
      <c r="G316" s="42"/>
      <c r="H316" s="42"/>
      <c r="I316" s="42"/>
      <c r="J316" s="22"/>
      <c r="K316" s="42"/>
    </row>
    <row r="317" ht="39.75" customHeight="1">
      <c r="A317" s="1">
        <v>316.0</v>
      </c>
      <c r="B317" s="2" t="s">
        <v>38</v>
      </c>
      <c r="C317" s="2" t="s">
        <v>54</v>
      </c>
      <c r="D317" s="53">
        <v>0.3125</v>
      </c>
      <c r="E317" s="13"/>
      <c r="F317" s="44" t="s">
        <v>2005</v>
      </c>
      <c r="G317" s="43">
        <v>1.0</v>
      </c>
      <c r="H317" s="42"/>
      <c r="I317" s="43">
        <v>1.0</v>
      </c>
      <c r="J317" s="22"/>
      <c r="K317" s="42"/>
    </row>
    <row r="318" ht="39.75" hidden="1" customHeight="1">
      <c r="A318" s="1">
        <v>317.0</v>
      </c>
      <c r="B318" s="2" t="s">
        <v>41</v>
      </c>
      <c r="C318" s="2" t="s">
        <v>58</v>
      </c>
      <c r="D318" s="13"/>
      <c r="E318" s="13"/>
      <c r="F318" s="45"/>
      <c r="G318" s="42"/>
      <c r="H318" s="42"/>
      <c r="I318" s="42"/>
      <c r="J318" s="22"/>
      <c r="K318" s="42"/>
    </row>
    <row r="319" ht="39.75" customHeight="1">
      <c r="A319" s="1">
        <v>318.0</v>
      </c>
      <c r="B319" s="2" t="s">
        <v>42</v>
      </c>
      <c r="C319" s="2" t="s">
        <v>54</v>
      </c>
      <c r="D319" s="53">
        <v>0.375</v>
      </c>
      <c r="E319" s="51">
        <v>0.8333333333333334</v>
      </c>
      <c r="F319" s="44" t="s">
        <v>2006</v>
      </c>
      <c r="G319" s="43">
        <v>1.0</v>
      </c>
      <c r="H319" s="43">
        <v>1.0</v>
      </c>
      <c r="I319" s="42"/>
      <c r="J319" s="22"/>
      <c r="K319" s="42"/>
    </row>
    <row r="320" ht="39.75" customHeight="1">
      <c r="A320" s="1">
        <v>319.0</v>
      </c>
      <c r="B320" s="2" t="s">
        <v>43</v>
      </c>
      <c r="C320" s="2" t="s">
        <v>69</v>
      </c>
      <c r="D320" s="13"/>
      <c r="E320" s="40">
        <v>0.8263888888888888</v>
      </c>
      <c r="F320" s="44" t="s">
        <v>2007</v>
      </c>
      <c r="G320" s="43">
        <v>1.0</v>
      </c>
      <c r="H320" s="42"/>
      <c r="I320" s="43">
        <v>1.0</v>
      </c>
      <c r="J320" s="22"/>
      <c r="K320" s="42"/>
    </row>
    <row r="321" ht="39.75" customHeight="1">
      <c r="A321" s="1">
        <v>320.0</v>
      </c>
      <c r="B321" s="2" t="s">
        <v>45</v>
      </c>
      <c r="C321" s="2"/>
      <c r="D321" s="53">
        <v>0.3680555555555556</v>
      </c>
      <c r="E321" s="13"/>
      <c r="F321" s="44" t="s">
        <v>2008</v>
      </c>
      <c r="G321" s="43">
        <v>2.0</v>
      </c>
      <c r="H321" s="42"/>
      <c r="I321" s="43">
        <v>1.0</v>
      </c>
      <c r="J321" s="22"/>
      <c r="K321" s="42"/>
    </row>
    <row r="322" ht="39.75" customHeight="1">
      <c r="A322" s="1">
        <v>321.0</v>
      </c>
      <c r="B322" s="2" t="s">
        <v>46</v>
      </c>
      <c r="C322" s="2" t="s">
        <v>39</v>
      </c>
      <c r="D322" s="13"/>
      <c r="E322" s="13"/>
      <c r="F322" s="44" t="s">
        <v>2009</v>
      </c>
      <c r="G322" s="43">
        <v>1.0</v>
      </c>
      <c r="H322" s="42"/>
      <c r="I322" s="42"/>
      <c r="J322" s="22"/>
      <c r="K322" s="42"/>
    </row>
    <row r="323" ht="39.75" customHeight="1">
      <c r="A323" s="1">
        <v>322.0</v>
      </c>
      <c r="B323" s="2" t="s">
        <v>47</v>
      </c>
      <c r="C323" s="13"/>
      <c r="D323" s="13"/>
      <c r="E323" s="13"/>
      <c r="F323" s="44" t="s">
        <v>2010</v>
      </c>
      <c r="G323" s="43">
        <v>1.0</v>
      </c>
      <c r="H323" s="42"/>
      <c r="I323" s="42"/>
      <c r="J323" s="22"/>
      <c r="K323" s="42"/>
    </row>
    <row r="324" ht="39.75" customHeight="1">
      <c r="A324" s="1">
        <v>323.0</v>
      </c>
      <c r="B324" s="2" t="s">
        <v>48</v>
      </c>
      <c r="C324" s="13"/>
      <c r="D324" s="13"/>
      <c r="E324" s="13"/>
      <c r="F324" s="44" t="s">
        <v>1285</v>
      </c>
      <c r="G324" s="43">
        <v>1.0</v>
      </c>
      <c r="H324" s="42"/>
      <c r="I324" s="43">
        <v>1.0</v>
      </c>
      <c r="J324" s="22"/>
      <c r="K324" s="42"/>
    </row>
    <row r="325" ht="39.75" customHeight="1">
      <c r="A325" s="1">
        <v>324.0</v>
      </c>
      <c r="B325" s="21"/>
      <c r="C325" s="21"/>
      <c r="D325" s="21"/>
      <c r="E325" s="21"/>
      <c r="F325" s="46"/>
      <c r="G325" s="47"/>
      <c r="H325" s="47"/>
      <c r="I325" s="47"/>
      <c r="J325" s="48"/>
      <c r="K325" s="47"/>
      <c r="L325" s="49"/>
      <c r="M325" s="49"/>
      <c r="N325" s="49"/>
    </row>
    <row r="326" ht="39.75" customHeight="1">
      <c r="A326" s="1">
        <v>325.0</v>
      </c>
      <c r="B326" s="2" t="s">
        <v>12</v>
      </c>
      <c r="C326" s="2" t="s">
        <v>62</v>
      </c>
      <c r="D326" s="13"/>
      <c r="E326" s="13"/>
      <c r="F326" s="44" t="s">
        <v>2011</v>
      </c>
      <c r="G326" s="43">
        <v>1.0</v>
      </c>
      <c r="H326" s="42"/>
      <c r="I326" s="43">
        <v>1.0</v>
      </c>
      <c r="J326" s="27" t="s">
        <v>1890</v>
      </c>
      <c r="K326" s="42"/>
      <c r="L326" s="15" t="s">
        <v>244</v>
      </c>
    </row>
    <row r="327" ht="39.75" customHeight="1">
      <c r="A327" s="1">
        <v>326.0</v>
      </c>
      <c r="B327" s="2" t="s">
        <v>16</v>
      </c>
      <c r="C327" s="2"/>
      <c r="D327" s="13"/>
      <c r="E327" s="13"/>
      <c r="F327" s="44" t="s">
        <v>2012</v>
      </c>
      <c r="G327" s="43">
        <v>1.0</v>
      </c>
      <c r="H327" s="42"/>
      <c r="I327" s="42"/>
      <c r="J327" s="27" t="s">
        <v>244</v>
      </c>
      <c r="K327" s="43"/>
    </row>
    <row r="328" ht="39.75" customHeight="1">
      <c r="A328" s="1">
        <v>327.0</v>
      </c>
      <c r="B328" s="2" t="s">
        <v>17</v>
      </c>
      <c r="C328" s="2" t="s">
        <v>27</v>
      </c>
      <c r="D328" s="13"/>
      <c r="E328" s="13"/>
      <c r="F328" s="44" t="s">
        <v>2013</v>
      </c>
      <c r="G328" s="43">
        <v>1.0</v>
      </c>
      <c r="H328" s="42"/>
      <c r="I328" s="42"/>
      <c r="J328" s="27" t="s">
        <v>77</v>
      </c>
      <c r="K328" s="42"/>
    </row>
    <row r="329" ht="39.75" customHeight="1">
      <c r="A329" s="1">
        <v>328.0</v>
      </c>
      <c r="B329" s="2" t="s">
        <v>331</v>
      </c>
      <c r="C329" s="2" t="s">
        <v>542</v>
      </c>
      <c r="D329" s="13"/>
      <c r="E329" s="13"/>
      <c r="F329" s="44" t="s">
        <v>2014</v>
      </c>
      <c r="G329" s="43">
        <v>1.0</v>
      </c>
      <c r="H329" s="42"/>
      <c r="I329" s="42"/>
      <c r="J329" s="22"/>
      <c r="K329" s="42"/>
    </row>
    <row r="330" ht="39.75" hidden="1" customHeight="1">
      <c r="A330" s="1">
        <v>329.0</v>
      </c>
      <c r="B330" s="2" t="s">
        <v>21</v>
      </c>
      <c r="C330" s="2" t="s">
        <v>66</v>
      </c>
      <c r="D330" s="13"/>
      <c r="E330" s="13"/>
      <c r="F330" s="45"/>
      <c r="G330" s="42"/>
      <c r="H330" s="42"/>
      <c r="I330" s="42"/>
      <c r="J330" s="22"/>
      <c r="K330" s="42"/>
    </row>
    <row r="331" ht="39.75" hidden="1" customHeight="1">
      <c r="A331" s="1">
        <v>330.0</v>
      </c>
      <c r="B331" s="2" t="s">
        <v>22</v>
      </c>
      <c r="C331" s="2" t="s">
        <v>58</v>
      </c>
      <c r="D331" s="13"/>
      <c r="E331" s="13"/>
      <c r="F331" s="45"/>
      <c r="G331" s="42"/>
      <c r="H331" s="42"/>
      <c r="I331" s="42"/>
      <c r="J331" s="22"/>
      <c r="K331" s="42"/>
    </row>
    <row r="332" ht="39.75" customHeight="1">
      <c r="A332" s="1">
        <v>331.0</v>
      </c>
      <c r="B332" s="2" t="s">
        <v>23</v>
      </c>
      <c r="C332" s="2"/>
      <c r="D332" s="13"/>
      <c r="E332" s="13"/>
      <c r="F332" s="44" t="s">
        <v>2015</v>
      </c>
      <c r="G332" s="43">
        <v>1.0</v>
      </c>
      <c r="H332" s="42"/>
      <c r="I332" s="42"/>
      <c r="J332" s="22"/>
      <c r="K332" s="42"/>
    </row>
    <row r="333" ht="39.75" hidden="1" customHeight="1">
      <c r="A333" s="1">
        <v>332.0</v>
      </c>
      <c r="B333" s="2" t="s">
        <v>24</v>
      </c>
      <c r="C333" s="2" t="s">
        <v>58</v>
      </c>
      <c r="D333" s="13"/>
      <c r="E333" s="13"/>
      <c r="F333" s="45"/>
      <c r="G333" s="42"/>
      <c r="H333" s="42"/>
      <c r="I333" s="42"/>
      <c r="J333" s="22"/>
      <c r="K333" s="42"/>
    </row>
    <row r="334" ht="39.75" customHeight="1">
      <c r="A334" s="1">
        <v>333.0</v>
      </c>
      <c r="B334" s="2" t="s">
        <v>25</v>
      </c>
      <c r="C334" s="2" t="s">
        <v>69</v>
      </c>
      <c r="D334" s="13"/>
      <c r="E334" s="13"/>
      <c r="F334" s="44"/>
      <c r="G334" s="43"/>
      <c r="H334" s="42"/>
      <c r="I334" s="43"/>
      <c r="J334" s="22"/>
      <c r="K334" s="42"/>
    </row>
    <row r="335" ht="39.75" customHeight="1">
      <c r="A335" s="1">
        <v>334.0</v>
      </c>
      <c r="B335" s="2" t="s">
        <v>26</v>
      </c>
      <c r="C335" s="2" t="s">
        <v>44</v>
      </c>
      <c r="D335" s="13"/>
      <c r="E335" s="13"/>
      <c r="F335" s="45"/>
      <c r="G335" s="42"/>
      <c r="H335" s="42"/>
      <c r="I335" s="42"/>
      <c r="J335" s="22"/>
      <c r="K335" s="42"/>
    </row>
    <row r="336" ht="39.75" customHeight="1">
      <c r="A336" s="1">
        <v>335.0</v>
      </c>
      <c r="B336" s="2" t="s">
        <v>29</v>
      </c>
      <c r="C336" s="2" t="s">
        <v>69</v>
      </c>
      <c r="D336" s="13"/>
      <c r="E336" s="13"/>
      <c r="F336" s="44" t="s">
        <v>2016</v>
      </c>
      <c r="G336" s="43">
        <v>1.0</v>
      </c>
      <c r="H336" s="42"/>
      <c r="I336" s="43">
        <v>1.0</v>
      </c>
      <c r="J336" s="22"/>
      <c r="K336" s="42"/>
    </row>
    <row r="337" ht="39.75" customHeight="1">
      <c r="A337" s="1">
        <v>336.0</v>
      </c>
      <c r="B337" s="2" t="s">
        <v>30</v>
      </c>
      <c r="C337" s="2" t="s">
        <v>64</v>
      </c>
      <c r="D337" s="13"/>
      <c r="E337" s="13"/>
      <c r="F337" s="44" t="s">
        <v>2017</v>
      </c>
      <c r="G337" s="43">
        <v>1.0</v>
      </c>
      <c r="H337" s="42"/>
      <c r="I337" s="43">
        <v>1.0</v>
      </c>
      <c r="J337" s="22"/>
      <c r="K337" s="42"/>
    </row>
    <row r="338" ht="39.75" customHeight="1">
      <c r="A338" s="1">
        <v>337.0</v>
      </c>
      <c r="B338" s="2" t="s">
        <v>31</v>
      </c>
      <c r="C338" s="2"/>
      <c r="D338" s="13"/>
      <c r="E338" s="13"/>
      <c r="F338" s="44" t="s">
        <v>2018</v>
      </c>
      <c r="G338" s="43">
        <v>1.0</v>
      </c>
      <c r="H338" s="42"/>
      <c r="I338" s="43">
        <v>1.0</v>
      </c>
      <c r="J338" s="22"/>
      <c r="K338" s="42"/>
    </row>
    <row r="339" ht="39.75" hidden="1" customHeight="1">
      <c r="A339" s="1">
        <v>338.0</v>
      </c>
      <c r="B339" s="2" t="s">
        <v>32</v>
      </c>
      <c r="C339" s="2" t="s">
        <v>58</v>
      </c>
      <c r="D339" s="13"/>
      <c r="E339" s="13"/>
      <c r="F339" s="45"/>
      <c r="G339" s="42"/>
      <c r="H339" s="42"/>
      <c r="I339" s="42"/>
      <c r="J339" s="22"/>
      <c r="K339" s="42"/>
    </row>
    <row r="340" ht="39.75" customHeight="1">
      <c r="A340" s="1">
        <v>339.0</v>
      </c>
      <c r="B340" s="2" t="s">
        <v>67</v>
      </c>
      <c r="C340" s="2"/>
      <c r="D340" s="13"/>
      <c r="E340" s="13"/>
      <c r="F340" s="44" t="s">
        <v>2019</v>
      </c>
      <c r="G340" s="43">
        <v>1.0</v>
      </c>
      <c r="H340" s="42"/>
      <c r="I340" s="42"/>
      <c r="J340" s="22"/>
      <c r="K340" s="42"/>
    </row>
    <row r="341" ht="39.75" customHeight="1">
      <c r="A341" s="1">
        <v>340.0</v>
      </c>
      <c r="B341" s="2" t="s">
        <v>34</v>
      </c>
      <c r="C341" s="2"/>
      <c r="D341" s="13"/>
      <c r="E341" s="13"/>
      <c r="F341" s="61" t="s">
        <v>2020</v>
      </c>
      <c r="G341" s="43">
        <v>2.0</v>
      </c>
      <c r="H341" s="42"/>
      <c r="I341" s="43">
        <v>1.0</v>
      </c>
      <c r="J341" s="22"/>
      <c r="K341" s="42"/>
    </row>
    <row r="342" ht="39.75" customHeight="1">
      <c r="A342" s="1">
        <v>341.0</v>
      </c>
      <c r="B342" s="2" t="s">
        <v>35</v>
      </c>
      <c r="C342" s="2" t="s">
        <v>54</v>
      </c>
      <c r="D342" s="13"/>
      <c r="E342" s="13"/>
      <c r="F342" s="44" t="s">
        <v>2021</v>
      </c>
      <c r="G342" s="43">
        <v>1.0</v>
      </c>
      <c r="H342" s="43">
        <v>1.0</v>
      </c>
      <c r="I342" s="42"/>
      <c r="J342" s="22"/>
      <c r="K342" s="42"/>
    </row>
    <row r="343" ht="39.75" hidden="1" customHeight="1">
      <c r="A343" s="1">
        <v>342.0</v>
      </c>
      <c r="B343" s="2" t="s">
        <v>36</v>
      </c>
      <c r="C343" s="2" t="s">
        <v>58</v>
      </c>
      <c r="D343" s="13"/>
      <c r="E343" s="13"/>
      <c r="F343" s="45"/>
      <c r="G343" s="42"/>
      <c r="H343" s="42"/>
      <c r="I343" s="42"/>
      <c r="J343" s="22"/>
      <c r="K343" s="42"/>
    </row>
    <row r="344" ht="39.75" customHeight="1">
      <c r="A344" s="1">
        <v>343.0</v>
      </c>
      <c r="B344" s="2" t="s">
        <v>38</v>
      </c>
      <c r="C344" s="2" t="s">
        <v>39</v>
      </c>
      <c r="D344" s="13"/>
      <c r="E344" s="13"/>
      <c r="F344" s="44" t="s">
        <v>2022</v>
      </c>
      <c r="G344" s="43">
        <v>1.0</v>
      </c>
      <c r="H344" s="42"/>
      <c r="I344" s="42"/>
      <c r="J344" s="22"/>
      <c r="K344" s="42"/>
    </row>
    <row r="345" ht="39.75" hidden="1" customHeight="1">
      <c r="A345" s="1">
        <v>344.0</v>
      </c>
      <c r="B345" s="2" t="s">
        <v>41</v>
      </c>
      <c r="C345" s="2" t="s">
        <v>58</v>
      </c>
      <c r="D345" s="13"/>
      <c r="E345" s="13"/>
      <c r="F345" s="45"/>
      <c r="G345" s="42"/>
      <c r="H345" s="42"/>
      <c r="I345" s="42"/>
      <c r="J345" s="22"/>
      <c r="K345" s="42"/>
    </row>
    <row r="346" ht="39.75" customHeight="1">
      <c r="A346" s="1">
        <v>345.0</v>
      </c>
      <c r="B346" s="2" t="s">
        <v>42</v>
      </c>
      <c r="C346" s="2" t="s">
        <v>54</v>
      </c>
      <c r="D346" s="13"/>
      <c r="E346" s="40">
        <v>0.75</v>
      </c>
      <c r="F346" s="44" t="s">
        <v>2006</v>
      </c>
      <c r="G346" s="43">
        <v>1.0</v>
      </c>
      <c r="H346" s="43">
        <v>1.0</v>
      </c>
      <c r="I346" s="42"/>
      <c r="J346" s="22"/>
      <c r="K346" s="42"/>
    </row>
    <row r="347" ht="39.75" customHeight="1">
      <c r="A347" s="1">
        <v>346.0</v>
      </c>
      <c r="B347" s="2" t="s">
        <v>43</v>
      </c>
      <c r="C347" s="2" t="s">
        <v>54</v>
      </c>
      <c r="D347" s="13"/>
      <c r="E347" s="13"/>
      <c r="F347" s="44" t="s">
        <v>2023</v>
      </c>
      <c r="G347" s="43">
        <v>1.0</v>
      </c>
      <c r="H347" s="42"/>
      <c r="I347" s="42"/>
      <c r="J347" s="22"/>
      <c r="K347" s="42"/>
    </row>
    <row r="348" ht="39.75" customHeight="1">
      <c r="A348" s="1">
        <v>347.0</v>
      </c>
      <c r="B348" s="2" t="s">
        <v>45</v>
      </c>
      <c r="C348" s="2" t="s">
        <v>39</v>
      </c>
      <c r="D348" s="13"/>
      <c r="E348" s="13"/>
      <c r="F348" s="44" t="s">
        <v>2024</v>
      </c>
      <c r="G348" s="43">
        <v>1.0</v>
      </c>
      <c r="H348" s="42"/>
      <c r="I348" s="42"/>
      <c r="J348" s="22"/>
      <c r="K348" s="42"/>
    </row>
    <row r="349" ht="39.75" customHeight="1">
      <c r="A349" s="1">
        <v>348.0</v>
      </c>
      <c r="B349" s="2" t="s">
        <v>46</v>
      </c>
      <c r="C349" s="2" t="s">
        <v>69</v>
      </c>
      <c r="D349" s="13"/>
      <c r="E349" s="13"/>
      <c r="F349" s="44" t="s">
        <v>2025</v>
      </c>
      <c r="G349" s="43">
        <v>1.0</v>
      </c>
      <c r="H349" s="42"/>
      <c r="I349" s="43">
        <v>1.0</v>
      </c>
      <c r="J349" s="22"/>
      <c r="K349" s="42"/>
    </row>
    <row r="350" ht="39.75" customHeight="1">
      <c r="A350" s="1">
        <v>349.0</v>
      </c>
      <c r="B350" s="2" t="s">
        <v>47</v>
      </c>
      <c r="C350" s="13"/>
      <c r="D350" s="13"/>
      <c r="E350" s="13"/>
      <c r="F350" s="61" t="s">
        <v>2026</v>
      </c>
      <c r="G350" s="43">
        <v>2.0</v>
      </c>
      <c r="H350" s="42"/>
      <c r="I350" s="42"/>
      <c r="J350" s="22"/>
      <c r="K350" s="42"/>
    </row>
    <row r="351" ht="39.75" customHeight="1">
      <c r="A351" s="1">
        <v>350.0</v>
      </c>
      <c r="B351" s="2" t="s">
        <v>48</v>
      </c>
      <c r="C351" s="2" t="s">
        <v>54</v>
      </c>
      <c r="D351" s="13"/>
      <c r="E351" s="13"/>
      <c r="F351" s="44" t="s">
        <v>2027</v>
      </c>
      <c r="G351" s="43">
        <v>2.0</v>
      </c>
      <c r="H351" s="42"/>
      <c r="I351" s="43">
        <v>1.0</v>
      </c>
      <c r="J351" s="22"/>
      <c r="K351" s="42"/>
    </row>
    <row r="352" ht="39.75" customHeight="1">
      <c r="A352" s="1">
        <v>351.0</v>
      </c>
      <c r="B352" s="21"/>
      <c r="C352" s="21"/>
      <c r="D352" s="21"/>
      <c r="E352" s="21"/>
      <c r="F352" s="46"/>
      <c r="G352" s="47"/>
      <c r="H352" s="47"/>
      <c r="I352" s="47"/>
      <c r="J352" s="48"/>
      <c r="K352" s="47"/>
      <c r="L352" s="49"/>
      <c r="M352" s="49"/>
      <c r="N352" s="49"/>
    </row>
    <row r="353" ht="39.75" hidden="1" customHeight="1">
      <c r="A353" s="1">
        <v>352.0</v>
      </c>
      <c r="B353" s="2" t="s">
        <v>12</v>
      </c>
      <c r="C353" s="2" t="s">
        <v>58</v>
      </c>
      <c r="D353" s="13"/>
      <c r="E353" s="13"/>
      <c r="F353" s="45"/>
      <c r="G353" s="42"/>
      <c r="H353" s="42"/>
      <c r="I353" s="42"/>
      <c r="J353" s="27" t="s">
        <v>1890</v>
      </c>
      <c r="K353" s="42"/>
      <c r="L353" s="15" t="s">
        <v>260</v>
      </c>
    </row>
    <row r="354" ht="39.75" customHeight="1">
      <c r="A354" s="1">
        <v>353.0</v>
      </c>
      <c r="B354" s="2" t="s">
        <v>16</v>
      </c>
      <c r="C354" s="2"/>
      <c r="D354" s="13"/>
      <c r="E354" s="13"/>
      <c r="F354" s="44" t="s">
        <v>2028</v>
      </c>
      <c r="G354" s="43">
        <v>1.0</v>
      </c>
      <c r="H354" s="42"/>
      <c r="I354" s="42"/>
      <c r="J354" s="27" t="s">
        <v>260</v>
      </c>
      <c r="K354" s="43"/>
    </row>
    <row r="355" ht="39.75" customHeight="1">
      <c r="A355" s="1">
        <v>354.0</v>
      </c>
      <c r="B355" s="2" t="s">
        <v>17</v>
      </c>
      <c r="C355" s="2" t="s">
        <v>44</v>
      </c>
      <c r="D355" s="13"/>
      <c r="E355" s="13"/>
      <c r="F355" s="45"/>
      <c r="G355" s="42"/>
      <c r="H355" s="42"/>
      <c r="I355" s="42"/>
      <c r="J355" s="27" t="s">
        <v>95</v>
      </c>
      <c r="K355" s="42"/>
    </row>
    <row r="356" ht="39.75" customHeight="1">
      <c r="A356" s="1">
        <v>355.0</v>
      </c>
      <c r="B356" s="2" t="s">
        <v>331</v>
      </c>
      <c r="C356" s="2" t="s">
        <v>542</v>
      </c>
      <c r="D356" s="13"/>
      <c r="E356" s="13"/>
      <c r="F356" s="44" t="s">
        <v>2029</v>
      </c>
      <c r="G356" s="43">
        <v>1.0</v>
      </c>
      <c r="H356" s="42"/>
      <c r="I356" s="42"/>
      <c r="J356" s="22"/>
      <c r="K356" s="42"/>
    </row>
    <row r="357" ht="39.75" hidden="1" customHeight="1">
      <c r="A357" s="1">
        <v>356.0</v>
      </c>
      <c r="B357" s="2" t="s">
        <v>21</v>
      </c>
      <c r="C357" s="2" t="s">
        <v>58</v>
      </c>
      <c r="D357" s="13"/>
      <c r="E357" s="13"/>
      <c r="F357" s="45"/>
      <c r="G357" s="42"/>
      <c r="H357" s="42"/>
      <c r="I357" s="42"/>
      <c r="J357" s="22"/>
      <c r="K357" s="42"/>
    </row>
    <row r="358" ht="39.75" hidden="1" customHeight="1">
      <c r="A358" s="1">
        <v>357.0</v>
      </c>
      <c r="B358" s="2" t="s">
        <v>22</v>
      </c>
      <c r="C358" s="2" t="s">
        <v>58</v>
      </c>
      <c r="D358" s="13"/>
      <c r="E358" s="13"/>
      <c r="F358" s="45"/>
      <c r="G358" s="42"/>
      <c r="H358" s="42"/>
      <c r="I358" s="42"/>
      <c r="J358" s="22"/>
      <c r="K358" s="42"/>
    </row>
    <row r="359" ht="39.75" customHeight="1">
      <c r="A359" s="1">
        <v>358.0</v>
      </c>
      <c r="B359" s="2" t="s">
        <v>23</v>
      </c>
      <c r="C359" s="2"/>
      <c r="D359" s="13"/>
      <c r="E359" s="13"/>
      <c r="F359" s="45"/>
      <c r="G359" s="42"/>
      <c r="H359" s="42"/>
      <c r="I359" s="42"/>
      <c r="J359" s="22"/>
      <c r="K359" s="42"/>
    </row>
    <row r="360" ht="39.75" customHeight="1">
      <c r="A360" s="1">
        <v>359.0</v>
      </c>
      <c r="B360" s="2" t="s">
        <v>24</v>
      </c>
      <c r="C360" s="2"/>
      <c r="D360" s="13"/>
      <c r="E360" s="13"/>
      <c r="F360" s="44" t="s">
        <v>2030</v>
      </c>
      <c r="G360" s="43">
        <v>1.0</v>
      </c>
      <c r="H360" s="42"/>
      <c r="I360" s="42"/>
      <c r="J360" s="22"/>
      <c r="K360" s="42"/>
    </row>
    <row r="361" ht="39.75" customHeight="1">
      <c r="A361" s="1">
        <v>360.0</v>
      </c>
      <c r="B361" s="2" t="s">
        <v>25</v>
      </c>
      <c r="C361" s="2" t="s">
        <v>39</v>
      </c>
      <c r="D361" s="13"/>
      <c r="E361" s="13"/>
      <c r="F361" s="44" t="s">
        <v>2031</v>
      </c>
      <c r="G361" s="43">
        <v>1.0</v>
      </c>
      <c r="H361" s="42"/>
      <c r="I361" s="42"/>
      <c r="J361" s="22"/>
      <c r="K361" s="42"/>
    </row>
    <row r="362" ht="39.75" customHeight="1">
      <c r="A362" s="1">
        <v>361.0</v>
      </c>
      <c r="B362" s="2" t="s">
        <v>26</v>
      </c>
      <c r="C362" s="2" t="s">
        <v>39</v>
      </c>
      <c r="D362" s="13"/>
      <c r="E362" s="13"/>
      <c r="F362" s="44" t="s">
        <v>2032</v>
      </c>
      <c r="G362" s="43">
        <v>1.0</v>
      </c>
      <c r="H362" s="42"/>
      <c r="I362" s="43">
        <v>1.0</v>
      </c>
      <c r="J362" s="22"/>
      <c r="K362" s="42"/>
    </row>
    <row r="363" ht="39.75" customHeight="1">
      <c r="A363" s="1">
        <v>362.0</v>
      </c>
      <c r="B363" s="2" t="s">
        <v>29</v>
      </c>
      <c r="C363" s="2" t="s">
        <v>54</v>
      </c>
      <c r="D363" s="13"/>
      <c r="E363" s="13"/>
      <c r="F363" s="44" t="s">
        <v>2033</v>
      </c>
      <c r="G363" s="43">
        <v>1.0</v>
      </c>
      <c r="H363" s="42"/>
      <c r="I363" s="42"/>
      <c r="J363" s="22"/>
      <c r="K363" s="42"/>
    </row>
    <row r="364" ht="39.75" customHeight="1">
      <c r="A364" s="1">
        <v>363.0</v>
      </c>
      <c r="B364" s="2" t="s">
        <v>30</v>
      </c>
      <c r="C364" s="2" t="s">
        <v>64</v>
      </c>
      <c r="D364" s="13"/>
      <c r="E364" s="13"/>
      <c r="F364" s="44" t="s">
        <v>2034</v>
      </c>
      <c r="G364" s="43">
        <v>1.0</v>
      </c>
      <c r="H364" s="42"/>
      <c r="I364" s="43">
        <v>1.0</v>
      </c>
      <c r="J364" s="22"/>
      <c r="K364" s="42"/>
    </row>
    <row r="365" ht="39.75" customHeight="1">
      <c r="A365" s="1">
        <v>364.0</v>
      </c>
      <c r="B365" s="2" t="s">
        <v>31</v>
      </c>
      <c r="C365" s="2" t="s">
        <v>27</v>
      </c>
      <c r="D365" s="13"/>
      <c r="E365" s="13"/>
      <c r="F365" s="45"/>
      <c r="G365" s="42"/>
      <c r="H365" s="42"/>
      <c r="I365" s="42"/>
      <c r="J365" s="22"/>
      <c r="K365" s="42"/>
    </row>
    <row r="366" ht="39.75" customHeight="1">
      <c r="A366" s="1">
        <v>365.0</v>
      </c>
      <c r="B366" s="2" t="s">
        <v>32</v>
      </c>
      <c r="C366" s="2" t="s">
        <v>69</v>
      </c>
      <c r="D366" s="13"/>
      <c r="E366" s="40">
        <v>0.8541666666666666</v>
      </c>
      <c r="F366" s="44" t="s">
        <v>2035</v>
      </c>
      <c r="G366" s="43">
        <v>2.0</v>
      </c>
      <c r="H366" s="42"/>
      <c r="I366" s="42"/>
      <c r="J366" s="22"/>
      <c r="K366" s="42"/>
    </row>
    <row r="367" ht="39.75" hidden="1" customHeight="1">
      <c r="A367" s="1">
        <v>366.0</v>
      </c>
      <c r="B367" s="2" t="s">
        <v>67</v>
      </c>
      <c r="C367" s="2" t="s">
        <v>58</v>
      </c>
      <c r="D367" s="13"/>
      <c r="E367" s="13"/>
      <c r="F367" s="45"/>
      <c r="G367" s="42"/>
      <c r="H367" s="42"/>
      <c r="I367" s="42"/>
      <c r="J367" s="22"/>
      <c r="K367" s="42"/>
    </row>
    <row r="368" ht="39.75" customHeight="1">
      <c r="A368" s="1">
        <v>367.0</v>
      </c>
      <c r="B368" s="2" t="s">
        <v>34</v>
      </c>
      <c r="C368" s="2"/>
      <c r="D368" s="13"/>
      <c r="E368" s="13"/>
      <c r="F368" s="44" t="s">
        <v>2036</v>
      </c>
      <c r="G368" s="43">
        <v>2.0</v>
      </c>
      <c r="H368" s="42"/>
      <c r="I368" s="42"/>
      <c r="J368" s="22"/>
      <c r="K368" s="42"/>
    </row>
    <row r="369" ht="39.75" customHeight="1">
      <c r="A369" s="1">
        <v>368.0</v>
      </c>
      <c r="B369" s="2" t="s">
        <v>35</v>
      </c>
      <c r="C369" s="2" t="s">
        <v>54</v>
      </c>
      <c r="D369" s="13"/>
      <c r="E369" s="13"/>
      <c r="F369" s="45"/>
      <c r="G369" s="42"/>
      <c r="H369" s="42"/>
      <c r="I369" s="42"/>
      <c r="J369" s="22"/>
      <c r="K369" s="42"/>
    </row>
    <row r="370" ht="39.75" hidden="1" customHeight="1">
      <c r="A370" s="1">
        <v>369.0</v>
      </c>
      <c r="B370" s="2" t="s">
        <v>36</v>
      </c>
      <c r="C370" s="2" t="s">
        <v>58</v>
      </c>
      <c r="D370" s="13"/>
      <c r="E370" s="13"/>
      <c r="F370" s="45"/>
      <c r="G370" s="42"/>
      <c r="H370" s="42"/>
      <c r="I370" s="42"/>
      <c r="J370" s="22"/>
      <c r="K370" s="42"/>
    </row>
    <row r="371" ht="39.75" customHeight="1">
      <c r="A371" s="1">
        <v>370.0</v>
      </c>
      <c r="B371" s="2" t="s">
        <v>38</v>
      </c>
      <c r="C371" s="2" t="s">
        <v>69</v>
      </c>
      <c r="D371" s="13"/>
      <c r="E371" s="13"/>
      <c r="F371" s="45"/>
      <c r="G371" s="42"/>
      <c r="H371" s="42"/>
      <c r="I371" s="42"/>
      <c r="J371" s="22"/>
      <c r="K371" s="42"/>
    </row>
    <row r="372" ht="39.75" hidden="1" customHeight="1">
      <c r="A372" s="1">
        <v>371.0</v>
      </c>
      <c r="B372" s="2" t="s">
        <v>41</v>
      </c>
      <c r="C372" s="2" t="s">
        <v>58</v>
      </c>
      <c r="D372" s="13"/>
      <c r="E372" s="13"/>
      <c r="F372" s="45"/>
      <c r="G372" s="42"/>
      <c r="H372" s="42"/>
      <c r="I372" s="42"/>
      <c r="J372" s="22"/>
      <c r="K372" s="42"/>
    </row>
    <row r="373" ht="39.75" customHeight="1">
      <c r="A373" s="1">
        <v>372.0</v>
      </c>
      <c r="B373" s="2" t="s">
        <v>42</v>
      </c>
      <c r="C373" s="2" t="s">
        <v>54</v>
      </c>
      <c r="D373" s="13"/>
      <c r="E373" s="13"/>
      <c r="F373" s="45"/>
      <c r="G373" s="42"/>
      <c r="H373" s="42"/>
      <c r="I373" s="42"/>
      <c r="J373" s="22"/>
      <c r="K373" s="42"/>
    </row>
    <row r="374" ht="39.75" customHeight="1">
      <c r="A374" s="1">
        <v>373.0</v>
      </c>
      <c r="B374" s="2" t="s">
        <v>43</v>
      </c>
      <c r="C374" s="2" t="s">
        <v>54</v>
      </c>
      <c r="D374" s="13"/>
      <c r="E374" s="13"/>
      <c r="F374" s="45"/>
      <c r="G374" s="42"/>
      <c r="H374" s="42"/>
      <c r="I374" s="42"/>
      <c r="J374" s="22"/>
      <c r="K374" s="42"/>
    </row>
    <row r="375" ht="39.75" customHeight="1">
      <c r="A375" s="1">
        <v>374.0</v>
      </c>
      <c r="B375" s="2" t="s">
        <v>45</v>
      </c>
      <c r="C375" s="2" t="s">
        <v>69</v>
      </c>
      <c r="D375" s="13"/>
      <c r="E375" s="13"/>
      <c r="F375" s="44" t="s">
        <v>2037</v>
      </c>
      <c r="G375" s="43">
        <v>1.0</v>
      </c>
      <c r="H375" s="42"/>
      <c r="I375" s="42"/>
      <c r="J375" s="22"/>
      <c r="K375" s="42"/>
    </row>
    <row r="376" ht="39.75" hidden="1" customHeight="1">
      <c r="A376" s="1">
        <v>375.0</v>
      </c>
      <c r="B376" s="2" t="s">
        <v>46</v>
      </c>
      <c r="C376" s="2" t="s">
        <v>66</v>
      </c>
      <c r="D376" s="13"/>
      <c r="E376" s="13"/>
      <c r="F376" s="45"/>
      <c r="G376" s="42"/>
      <c r="H376" s="42"/>
      <c r="I376" s="42"/>
      <c r="J376" s="22"/>
      <c r="K376" s="42"/>
    </row>
    <row r="377" ht="39.75" customHeight="1">
      <c r="A377" s="1">
        <v>376.0</v>
      </c>
      <c r="B377" s="2" t="s">
        <v>47</v>
      </c>
      <c r="C377" s="2"/>
      <c r="D377" s="13"/>
      <c r="E377" s="13"/>
      <c r="F377" s="44" t="s">
        <v>2038</v>
      </c>
      <c r="G377" s="43">
        <v>1.0</v>
      </c>
      <c r="H377" s="42"/>
      <c r="I377" s="43">
        <v>1.0</v>
      </c>
      <c r="J377" s="22"/>
      <c r="K377" s="42"/>
    </row>
    <row r="378" ht="39.75" customHeight="1">
      <c r="A378" s="1">
        <v>377.0</v>
      </c>
      <c r="B378" s="2" t="s">
        <v>48</v>
      </c>
      <c r="C378" s="13"/>
      <c r="D378" s="13"/>
      <c r="E378" s="13"/>
      <c r="F378" s="44" t="s">
        <v>2039</v>
      </c>
      <c r="G378" s="43">
        <v>1.0</v>
      </c>
      <c r="H378" s="42"/>
      <c r="I378" s="42"/>
      <c r="J378" s="22"/>
      <c r="K378" s="42"/>
    </row>
    <row r="379" ht="39.75" customHeight="1">
      <c r="A379" s="1">
        <v>378.0</v>
      </c>
      <c r="B379" s="21"/>
      <c r="C379" s="21"/>
      <c r="D379" s="21"/>
      <c r="E379" s="21"/>
      <c r="F379" s="46"/>
      <c r="G379" s="47"/>
      <c r="H379" s="47"/>
      <c r="I379" s="47"/>
      <c r="J379" s="48"/>
      <c r="K379" s="47"/>
      <c r="L379" s="49"/>
      <c r="M379" s="49"/>
      <c r="N379" s="49"/>
    </row>
    <row r="380" ht="39.75" customHeight="1">
      <c r="A380" s="1">
        <v>379.0</v>
      </c>
      <c r="B380" s="2" t="s">
        <v>12</v>
      </c>
      <c r="C380" s="2" t="s">
        <v>62</v>
      </c>
      <c r="D380" s="13"/>
      <c r="E380" s="13"/>
      <c r="F380" s="44" t="s">
        <v>2011</v>
      </c>
      <c r="G380" s="43">
        <v>1.0</v>
      </c>
      <c r="H380" s="42"/>
      <c r="I380" s="43">
        <v>1.0</v>
      </c>
      <c r="J380" s="27" t="s">
        <v>1890</v>
      </c>
      <c r="K380" s="42"/>
      <c r="L380" s="15" t="s">
        <v>269</v>
      </c>
    </row>
    <row r="381" ht="39.75" customHeight="1">
      <c r="A381" s="1">
        <v>380.0</v>
      </c>
      <c r="B381" s="2" t="s">
        <v>16</v>
      </c>
      <c r="C381" s="2" t="s">
        <v>39</v>
      </c>
      <c r="D381" s="13"/>
      <c r="E381" s="13"/>
      <c r="F381" s="44" t="s">
        <v>2040</v>
      </c>
      <c r="G381" s="43">
        <v>1.0</v>
      </c>
      <c r="H381" s="42"/>
      <c r="I381" s="42"/>
      <c r="J381" s="27" t="s">
        <v>269</v>
      </c>
      <c r="K381" s="43"/>
    </row>
    <row r="382" ht="39.75" customHeight="1">
      <c r="A382" s="1">
        <v>381.0</v>
      </c>
      <c r="B382" s="2" t="s">
        <v>17</v>
      </c>
      <c r="C382" s="2"/>
      <c r="D382" s="13"/>
      <c r="E382" s="13"/>
      <c r="F382" s="44" t="s">
        <v>2041</v>
      </c>
      <c r="G382" s="43">
        <v>1.0</v>
      </c>
      <c r="H382" s="42"/>
      <c r="I382" s="42"/>
      <c r="J382" s="27" t="s">
        <v>111</v>
      </c>
      <c r="K382" s="42"/>
    </row>
    <row r="383" ht="39.75" hidden="1" customHeight="1">
      <c r="A383" s="1">
        <v>382.0</v>
      </c>
      <c r="B383" s="2" t="s">
        <v>331</v>
      </c>
      <c r="C383" s="2" t="s">
        <v>58</v>
      </c>
      <c r="D383" s="13"/>
      <c r="E383" s="13"/>
      <c r="F383" s="44"/>
      <c r="G383" s="42"/>
      <c r="H383" s="42"/>
      <c r="I383" s="42"/>
      <c r="J383" s="22"/>
      <c r="K383" s="42"/>
    </row>
    <row r="384" ht="39.75" customHeight="1">
      <c r="A384" s="1">
        <v>383.0</v>
      </c>
      <c r="B384" s="2" t="s">
        <v>21</v>
      </c>
      <c r="C384" s="2"/>
      <c r="D384" s="13"/>
      <c r="E384" s="13"/>
      <c r="F384" s="44" t="s">
        <v>2042</v>
      </c>
      <c r="G384" s="43">
        <v>1.0</v>
      </c>
      <c r="H384" s="42"/>
      <c r="I384" s="42"/>
      <c r="J384" s="22"/>
      <c r="K384" s="42"/>
    </row>
    <row r="385" ht="39.75" hidden="1" customHeight="1">
      <c r="A385" s="1">
        <v>384.0</v>
      </c>
      <c r="B385" s="2" t="s">
        <v>22</v>
      </c>
      <c r="C385" s="2" t="s">
        <v>66</v>
      </c>
      <c r="D385" s="13"/>
      <c r="E385" s="13"/>
      <c r="F385" s="45"/>
      <c r="G385" s="42"/>
      <c r="H385" s="42"/>
      <c r="I385" s="42"/>
      <c r="J385" s="22"/>
      <c r="K385" s="42"/>
    </row>
    <row r="386" ht="39.75" customHeight="1">
      <c r="A386" s="1">
        <v>385.0</v>
      </c>
      <c r="B386" s="2" t="s">
        <v>23</v>
      </c>
      <c r="C386" s="2"/>
      <c r="D386" s="13"/>
      <c r="E386" s="13"/>
      <c r="F386" s="44" t="s">
        <v>2043</v>
      </c>
      <c r="G386" s="43">
        <v>1.0</v>
      </c>
      <c r="H386" s="42"/>
      <c r="I386" s="42"/>
      <c r="J386" s="22"/>
      <c r="K386" s="42"/>
    </row>
    <row r="387" ht="39.75" customHeight="1">
      <c r="A387" s="1">
        <v>386.0</v>
      </c>
      <c r="B387" s="2" t="s">
        <v>24</v>
      </c>
      <c r="C387" s="2"/>
      <c r="D387" s="53">
        <v>0.3611111111111111</v>
      </c>
      <c r="E387" s="13"/>
      <c r="F387" s="44" t="s">
        <v>2044</v>
      </c>
      <c r="G387" s="43">
        <v>1.0</v>
      </c>
      <c r="H387" s="42"/>
      <c r="I387" s="42"/>
      <c r="J387" s="22"/>
      <c r="K387" s="42"/>
    </row>
    <row r="388" ht="39.75" customHeight="1">
      <c r="A388" s="1">
        <v>387.0</v>
      </c>
      <c r="B388" s="2" t="s">
        <v>25</v>
      </c>
      <c r="C388" s="2"/>
      <c r="D388" s="13"/>
      <c r="E388" s="13"/>
      <c r="F388" s="44" t="s">
        <v>2045</v>
      </c>
      <c r="G388" s="43">
        <v>1.0</v>
      </c>
      <c r="H388" s="42"/>
      <c r="I388" s="42"/>
      <c r="J388" s="22"/>
      <c r="K388" s="42"/>
    </row>
    <row r="389" ht="39.75" hidden="1" customHeight="1">
      <c r="A389" s="1">
        <v>388.0</v>
      </c>
      <c r="B389" s="2" t="s">
        <v>26</v>
      </c>
      <c r="C389" s="2" t="s">
        <v>58</v>
      </c>
      <c r="D389" s="13"/>
      <c r="E389" s="13"/>
      <c r="F389" s="45"/>
      <c r="G389" s="42"/>
      <c r="H389" s="42"/>
      <c r="I389" s="42"/>
      <c r="J389" s="22"/>
      <c r="K389" s="42"/>
    </row>
    <row r="390" ht="39.75" customHeight="1">
      <c r="A390" s="1">
        <v>389.0</v>
      </c>
      <c r="B390" s="2" t="s">
        <v>29</v>
      </c>
      <c r="C390" s="2" t="s">
        <v>54</v>
      </c>
      <c r="D390" s="13"/>
      <c r="E390" s="13"/>
      <c r="F390" s="44" t="s">
        <v>2046</v>
      </c>
      <c r="G390" s="43">
        <v>1.0</v>
      </c>
      <c r="H390" s="42"/>
      <c r="I390" s="43">
        <v>1.0</v>
      </c>
      <c r="J390" s="22"/>
      <c r="K390" s="42"/>
    </row>
    <row r="391" ht="39.75" customHeight="1">
      <c r="A391" s="1">
        <v>390.0</v>
      </c>
      <c r="B391" s="2" t="s">
        <v>30</v>
      </c>
      <c r="C391" s="2" t="s">
        <v>64</v>
      </c>
      <c r="D391" s="13"/>
      <c r="E391" s="13"/>
      <c r="F391" s="44" t="s">
        <v>2034</v>
      </c>
      <c r="G391" s="43">
        <v>1.0</v>
      </c>
      <c r="H391" s="42"/>
      <c r="I391" s="43">
        <v>1.0</v>
      </c>
      <c r="J391" s="22"/>
      <c r="K391" s="42"/>
    </row>
    <row r="392" ht="39.75" customHeight="1">
      <c r="A392" s="1">
        <v>391.0</v>
      </c>
      <c r="B392" s="2" t="s">
        <v>31</v>
      </c>
      <c r="C392" s="2" t="s">
        <v>44</v>
      </c>
      <c r="D392" s="13"/>
      <c r="E392" s="13"/>
      <c r="F392" s="45"/>
      <c r="G392" s="42"/>
      <c r="H392" s="42"/>
      <c r="I392" s="42"/>
      <c r="J392" s="22"/>
      <c r="K392" s="42"/>
    </row>
    <row r="393" ht="39.75" customHeight="1">
      <c r="A393" s="1">
        <v>392.0</v>
      </c>
      <c r="B393" s="2" t="s">
        <v>32</v>
      </c>
      <c r="C393" s="2"/>
      <c r="D393" s="53">
        <v>0.3333333333333333</v>
      </c>
      <c r="E393" s="51">
        <v>0.7986111111111112</v>
      </c>
      <c r="F393" s="44" t="s">
        <v>2047</v>
      </c>
      <c r="G393" s="43">
        <v>1.0</v>
      </c>
      <c r="H393" s="43">
        <v>1.0</v>
      </c>
      <c r="I393" s="42"/>
      <c r="J393" s="22"/>
      <c r="K393" s="42"/>
    </row>
    <row r="394" ht="39.75" customHeight="1">
      <c r="A394" s="1">
        <v>393.0</v>
      </c>
      <c r="B394" s="2" t="s">
        <v>67</v>
      </c>
      <c r="C394" s="2" t="s">
        <v>39</v>
      </c>
      <c r="D394" s="40">
        <v>0.2916666666666667</v>
      </c>
      <c r="E394" s="13"/>
      <c r="F394" s="44" t="s">
        <v>2048</v>
      </c>
      <c r="G394" s="43">
        <v>1.0</v>
      </c>
      <c r="H394" s="42"/>
      <c r="I394" s="42"/>
      <c r="J394" s="22"/>
      <c r="K394" s="42"/>
    </row>
    <row r="395" ht="39.75" customHeight="1">
      <c r="A395" s="1">
        <v>394.0</v>
      </c>
      <c r="B395" s="2" t="s">
        <v>34</v>
      </c>
      <c r="C395" s="2" t="s">
        <v>69</v>
      </c>
      <c r="D395" s="13"/>
      <c r="E395" s="13"/>
      <c r="F395" s="44"/>
      <c r="G395" s="43"/>
      <c r="H395" s="42"/>
      <c r="I395" s="43"/>
      <c r="J395" s="22"/>
      <c r="K395" s="42"/>
    </row>
    <row r="396" ht="39.75" customHeight="1">
      <c r="A396" s="1">
        <v>395.0</v>
      </c>
      <c r="B396" s="2" t="s">
        <v>35</v>
      </c>
      <c r="C396" s="2" t="s">
        <v>54</v>
      </c>
      <c r="D396" s="13"/>
      <c r="E396" s="13"/>
      <c r="F396" s="44" t="s">
        <v>2049</v>
      </c>
      <c r="G396" s="43">
        <v>1.0</v>
      </c>
      <c r="H396" s="42"/>
      <c r="I396" s="42"/>
      <c r="J396" s="22"/>
      <c r="K396" s="42"/>
    </row>
    <row r="397" ht="39.75" hidden="1" customHeight="1">
      <c r="A397" s="1">
        <v>396.0</v>
      </c>
      <c r="B397" s="2" t="s">
        <v>36</v>
      </c>
      <c r="C397" s="2" t="s">
        <v>58</v>
      </c>
      <c r="D397" s="13"/>
      <c r="E397" s="13"/>
      <c r="F397" s="45"/>
      <c r="G397" s="42"/>
      <c r="H397" s="42"/>
      <c r="I397" s="42"/>
      <c r="J397" s="22"/>
      <c r="K397" s="42"/>
    </row>
    <row r="398" ht="39.75" customHeight="1">
      <c r="A398" s="1">
        <v>397.0</v>
      </c>
      <c r="B398" s="2" t="s">
        <v>38</v>
      </c>
      <c r="C398" s="2"/>
      <c r="D398" s="59">
        <v>0.3840277777777778</v>
      </c>
      <c r="E398" s="13"/>
      <c r="F398" s="44" t="s">
        <v>2050</v>
      </c>
      <c r="G398" s="43">
        <v>1.0</v>
      </c>
      <c r="H398" s="42"/>
      <c r="I398" s="42"/>
      <c r="J398" s="22"/>
      <c r="K398" s="42"/>
    </row>
    <row r="399" ht="39.75" hidden="1" customHeight="1">
      <c r="A399" s="1">
        <v>398.0</v>
      </c>
      <c r="B399" s="2" t="s">
        <v>41</v>
      </c>
      <c r="C399" s="2" t="s">
        <v>58</v>
      </c>
      <c r="D399" s="13"/>
      <c r="E399" s="13"/>
      <c r="F399" s="45"/>
      <c r="G399" s="42"/>
      <c r="H399" s="42"/>
      <c r="I399" s="42"/>
      <c r="J399" s="22"/>
      <c r="K399" s="42"/>
    </row>
    <row r="400" ht="39.75" customHeight="1">
      <c r="A400" s="1">
        <v>399.0</v>
      </c>
      <c r="B400" s="2" t="s">
        <v>42</v>
      </c>
      <c r="C400" s="2" t="s">
        <v>54</v>
      </c>
      <c r="D400" s="13"/>
      <c r="E400" s="13"/>
      <c r="F400" s="44" t="s">
        <v>2051</v>
      </c>
      <c r="G400" s="43">
        <v>1.0</v>
      </c>
      <c r="H400" s="42"/>
      <c r="I400" s="42"/>
      <c r="J400" s="22"/>
      <c r="K400" s="42"/>
    </row>
    <row r="401" ht="39.75" customHeight="1">
      <c r="A401" s="1">
        <v>400.0</v>
      </c>
      <c r="B401" s="2" t="s">
        <v>43</v>
      </c>
      <c r="C401" s="2" t="s">
        <v>54</v>
      </c>
      <c r="D401" s="53">
        <v>0.25</v>
      </c>
      <c r="E401" s="13"/>
      <c r="F401" s="44" t="s">
        <v>2052</v>
      </c>
      <c r="G401" s="43">
        <v>1.0</v>
      </c>
      <c r="H401" s="43"/>
      <c r="I401" s="42"/>
      <c r="J401" s="22"/>
      <c r="K401" s="42"/>
    </row>
    <row r="402" ht="39.75" customHeight="1">
      <c r="A402" s="1">
        <v>401.0</v>
      </c>
      <c r="B402" s="2" t="s">
        <v>45</v>
      </c>
      <c r="C402" s="2" t="s">
        <v>27</v>
      </c>
      <c r="D402" s="13"/>
      <c r="E402" s="13"/>
      <c r="F402" s="44" t="s">
        <v>2053</v>
      </c>
      <c r="G402" s="43">
        <v>1.0</v>
      </c>
      <c r="H402" s="42"/>
      <c r="I402" s="42"/>
      <c r="J402" s="22"/>
      <c r="K402" s="42"/>
    </row>
    <row r="403" ht="39.75" hidden="1" customHeight="1">
      <c r="A403" s="1">
        <v>402.0</v>
      </c>
      <c r="B403" s="2" t="s">
        <v>46</v>
      </c>
      <c r="C403" s="2" t="s">
        <v>58</v>
      </c>
      <c r="D403" s="13"/>
      <c r="E403" s="13"/>
      <c r="F403" s="45"/>
      <c r="G403" s="42"/>
      <c r="H403" s="42"/>
      <c r="I403" s="42"/>
      <c r="J403" s="22"/>
      <c r="K403" s="42"/>
    </row>
    <row r="404" ht="39.75" customHeight="1">
      <c r="A404" s="1">
        <v>403.0</v>
      </c>
      <c r="B404" s="2" t="s">
        <v>47</v>
      </c>
      <c r="C404" s="2" t="s">
        <v>69</v>
      </c>
      <c r="D404" s="13"/>
      <c r="E404" s="13"/>
      <c r="F404" s="44" t="s">
        <v>2054</v>
      </c>
      <c r="G404" s="43">
        <v>1.0</v>
      </c>
      <c r="H404" s="42"/>
      <c r="I404" s="42"/>
      <c r="J404" s="22"/>
      <c r="K404" s="42"/>
    </row>
    <row r="405" ht="39.75" customHeight="1">
      <c r="A405" s="1">
        <v>404.0</v>
      </c>
      <c r="B405" s="2" t="s">
        <v>48</v>
      </c>
      <c r="C405" s="2" t="s">
        <v>69</v>
      </c>
      <c r="D405" s="13"/>
      <c r="E405" s="13"/>
      <c r="F405" s="44" t="s">
        <v>2055</v>
      </c>
      <c r="G405" s="43">
        <v>1.0</v>
      </c>
      <c r="H405" s="42"/>
      <c r="I405" s="42"/>
      <c r="J405" s="22"/>
      <c r="K405" s="42"/>
    </row>
    <row r="406" ht="39.75" customHeight="1">
      <c r="A406" s="1">
        <v>405.0</v>
      </c>
      <c r="B406" s="21"/>
      <c r="C406" s="21"/>
      <c r="D406" s="21"/>
      <c r="E406" s="21"/>
      <c r="F406" s="46"/>
      <c r="G406" s="47"/>
      <c r="H406" s="47"/>
      <c r="I406" s="47"/>
      <c r="J406" s="48"/>
      <c r="K406" s="47"/>
      <c r="L406" s="49"/>
      <c r="M406" s="49"/>
      <c r="N406" s="49"/>
    </row>
    <row r="407" ht="39.75" customHeight="1">
      <c r="A407" s="1">
        <v>406.0</v>
      </c>
      <c r="B407" s="2" t="s">
        <v>12</v>
      </c>
      <c r="C407" s="2" t="s">
        <v>62</v>
      </c>
      <c r="D407" s="40"/>
      <c r="E407" s="40"/>
      <c r="F407" s="44" t="s">
        <v>2011</v>
      </c>
      <c r="G407" s="43">
        <v>1.0</v>
      </c>
      <c r="H407" s="42"/>
      <c r="I407" s="43">
        <v>1.0</v>
      </c>
      <c r="J407" s="27" t="s">
        <v>1890</v>
      </c>
      <c r="K407" s="42"/>
      <c r="L407" s="15" t="s">
        <v>274</v>
      </c>
    </row>
    <row r="408" ht="39.75" hidden="1" customHeight="1">
      <c r="A408" s="1">
        <v>407.0</v>
      </c>
      <c r="B408" s="2" t="s">
        <v>16</v>
      </c>
      <c r="C408" s="2" t="s">
        <v>66</v>
      </c>
      <c r="D408" s="13"/>
      <c r="E408" s="13"/>
      <c r="F408" s="44"/>
      <c r="G408" s="42"/>
      <c r="H408" s="42"/>
      <c r="I408" s="42"/>
      <c r="J408" s="27" t="s">
        <v>274</v>
      </c>
      <c r="K408" s="43"/>
    </row>
    <row r="409" ht="39.75" customHeight="1">
      <c r="A409" s="1">
        <v>408.0</v>
      </c>
      <c r="B409" s="2" t="s">
        <v>17</v>
      </c>
      <c r="C409" s="2"/>
      <c r="D409" s="13"/>
      <c r="E409" s="13"/>
      <c r="F409" s="44" t="s">
        <v>2056</v>
      </c>
      <c r="G409" s="43">
        <v>1.0</v>
      </c>
      <c r="H409" s="42"/>
      <c r="I409" s="42"/>
      <c r="J409" s="27" t="s">
        <v>131</v>
      </c>
      <c r="K409" s="42"/>
    </row>
    <row r="410" ht="39.75" customHeight="1">
      <c r="A410" s="1">
        <v>409.0</v>
      </c>
      <c r="B410" s="2" t="s">
        <v>331</v>
      </c>
      <c r="C410" s="2" t="s">
        <v>542</v>
      </c>
      <c r="D410" s="13"/>
      <c r="E410" s="13"/>
      <c r="F410" s="44" t="s">
        <v>2057</v>
      </c>
      <c r="G410" s="43">
        <v>1.0</v>
      </c>
      <c r="H410" s="42"/>
      <c r="I410" s="42"/>
      <c r="J410" s="22"/>
      <c r="K410" s="42"/>
    </row>
    <row r="411" ht="39.75" customHeight="1">
      <c r="A411" s="1">
        <v>410.0</v>
      </c>
      <c r="B411" s="2" t="s">
        <v>21</v>
      </c>
      <c r="C411" s="2"/>
      <c r="D411" s="13"/>
      <c r="E411" s="13"/>
      <c r="F411" s="44" t="s">
        <v>2058</v>
      </c>
      <c r="G411" s="43">
        <v>1.0</v>
      </c>
      <c r="H411" s="42"/>
      <c r="I411" s="43">
        <v>1.0</v>
      </c>
      <c r="J411" s="22"/>
      <c r="K411" s="42"/>
    </row>
    <row r="412" ht="39.75" customHeight="1">
      <c r="A412" s="1">
        <v>411.0</v>
      </c>
      <c r="B412" s="2" t="s">
        <v>22</v>
      </c>
      <c r="C412" s="2" t="s">
        <v>69</v>
      </c>
      <c r="D412" s="13"/>
      <c r="E412" s="13"/>
      <c r="F412" s="44" t="s">
        <v>2059</v>
      </c>
      <c r="G412" s="43">
        <v>1.0</v>
      </c>
      <c r="H412" s="42"/>
      <c r="I412" s="42"/>
      <c r="J412" s="22"/>
      <c r="K412" s="42"/>
    </row>
    <row r="413" ht="39.75" customHeight="1">
      <c r="A413" s="1">
        <v>412.0</v>
      </c>
      <c r="B413" s="2" t="s">
        <v>23</v>
      </c>
      <c r="C413" s="2" t="s">
        <v>69</v>
      </c>
      <c r="D413" s="13"/>
      <c r="E413" s="13"/>
      <c r="F413" s="44" t="s">
        <v>2060</v>
      </c>
      <c r="G413" s="43">
        <v>1.0</v>
      </c>
      <c r="H413" s="42"/>
      <c r="I413" s="42"/>
      <c r="J413" s="22"/>
      <c r="K413" s="42"/>
    </row>
    <row r="414" ht="39.75" customHeight="1">
      <c r="A414" s="1">
        <v>413.0</v>
      </c>
      <c r="B414" s="2" t="s">
        <v>24</v>
      </c>
      <c r="C414" s="2"/>
      <c r="D414" s="13"/>
      <c r="E414" s="13"/>
      <c r="F414" s="44" t="s">
        <v>2061</v>
      </c>
      <c r="G414" s="43">
        <v>1.0</v>
      </c>
      <c r="H414" s="42"/>
      <c r="I414" s="42"/>
      <c r="J414" s="22"/>
      <c r="K414" s="42"/>
    </row>
    <row r="415" ht="39.75" hidden="1" customHeight="1">
      <c r="A415" s="1">
        <v>414.0</v>
      </c>
      <c r="B415" s="2" t="s">
        <v>25</v>
      </c>
      <c r="C415" s="2" t="s">
        <v>66</v>
      </c>
      <c r="D415" s="13"/>
      <c r="E415" s="13"/>
      <c r="F415" s="44"/>
      <c r="G415" s="42"/>
      <c r="H415" s="43"/>
      <c r="I415" s="43"/>
      <c r="J415" s="22"/>
      <c r="K415" s="42"/>
    </row>
    <row r="416" ht="39.75" customHeight="1">
      <c r="A416" s="1">
        <v>415.0</v>
      </c>
      <c r="B416" s="2" t="s">
        <v>26</v>
      </c>
      <c r="C416" s="2"/>
      <c r="D416" s="13"/>
      <c r="E416" s="13"/>
      <c r="F416" s="44" t="s">
        <v>2062</v>
      </c>
      <c r="G416" s="43">
        <v>1.0</v>
      </c>
      <c r="H416" s="42"/>
      <c r="I416" s="43">
        <v>1.0</v>
      </c>
      <c r="J416" s="22"/>
      <c r="K416" s="42"/>
    </row>
    <row r="417" ht="39.75" customHeight="1">
      <c r="A417" s="1">
        <v>416.0</v>
      </c>
      <c r="B417" s="2" t="s">
        <v>29</v>
      </c>
      <c r="C417" s="2" t="s">
        <v>54</v>
      </c>
      <c r="D417" s="13"/>
      <c r="E417" s="51">
        <v>0.9930555555555556</v>
      </c>
      <c r="F417" s="44" t="s">
        <v>2063</v>
      </c>
      <c r="G417" s="43">
        <v>1.0</v>
      </c>
      <c r="H417" s="43">
        <v>1.0</v>
      </c>
      <c r="I417" s="42"/>
      <c r="J417" s="22"/>
      <c r="K417" s="42"/>
    </row>
    <row r="418" ht="39.75" customHeight="1">
      <c r="A418" s="1">
        <v>417.0</v>
      </c>
      <c r="B418" s="2" t="s">
        <v>30</v>
      </c>
      <c r="C418" s="2" t="s">
        <v>64</v>
      </c>
      <c r="D418" s="13"/>
      <c r="E418" s="13"/>
      <c r="F418" s="44" t="s">
        <v>2034</v>
      </c>
      <c r="G418" s="43">
        <v>1.0</v>
      </c>
      <c r="H418" s="42"/>
      <c r="I418" s="43">
        <v>1.0</v>
      </c>
      <c r="J418" s="22"/>
      <c r="K418" s="42"/>
    </row>
    <row r="419" ht="39.75" customHeight="1">
      <c r="A419" s="1">
        <v>418.0</v>
      </c>
      <c r="B419" s="2" t="s">
        <v>31</v>
      </c>
      <c r="C419" s="2" t="s">
        <v>39</v>
      </c>
      <c r="D419" s="40">
        <v>0.2916666666666667</v>
      </c>
      <c r="E419" s="13"/>
      <c r="F419" s="44" t="s">
        <v>2064</v>
      </c>
      <c r="G419" s="43">
        <v>1.0</v>
      </c>
      <c r="H419" s="42"/>
      <c r="I419" s="42"/>
      <c r="J419" s="22"/>
      <c r="K419" s="42"/>
    </row>
    <row r="420" ht="39.75" customHeight="1">
      <c r="A420" s="1">
        <v>419.0</v>
      </c>
      <c r="B420" s="2" t="s">
        <v>32</v>
      </c>
      <c r="C420" s="2" t="s">
        <v>27</v>
      </c>
      <c r="D420" s="13"/>
      <c r="E420" s="13"/>
      <c r="F420" s="44" t="s">
        <v>2065</v>
      </c>
      <c r="G420" s="43">
        <v>1.0</v>
      </c>
      <c r="H420" s="42"/>
      <c r="I420" s="42"/>
      <c r="J420" s="22"/>
      <c r="K420" s="42"/>
    </row>
    <row r="421" ht="39.75" customHeight="1">
      <c r="A421" s="1">
        <v>420.0</v>
      </c>
      <c r="B421" s="2" t="s">
        <v>67</v>
      </c>
      <c r="C421" s="2" t="s">
        <v>69</v>
      </c>
      <c r="D421" s="13"/>
      <c r="E421" s="13"/>
      <c r="F421" s="44" t="s">
        <v>2066</v>
      </c>
      <c r="G421" s="43">
        <v>2.0</v>
      </c>
      <c r="H421" s="42"/>
      <c r="I421" s="43">
        <v>1.0</v>
      </c>
      <c r="J421" s="22"/>
      <c r="K421" s="42"/>
    </row>
    <row r="422" ht="39.75" customHeight="1">
      <c r="A422" s="1">
        <v>421.0</v>
      </c>
      <c r="B422" s="2" t="s">
        <v>34</v>
      </c>
      <c r="C422" s="2" t="s">
        <v>39</v>
      </c>
      <c r="D422" s="40">
        <v>0.2916666666666667</v>
      </c>
      <c r="E422" s="13"/>
      <c r="F422" s="44" t="s">
        <v>2067</v>
      </c>
      <c r="G422" s="43">
        <v>1.0</v>
      </c>
      <c r="H422" s="43"/>
      <c r="I422" s="43"/>
      <c r="J422" s="22"/>
      <c r="K422" s="42"/>
    </row>
    <row r="423" ht="39.75" customHeight="1">
      <c r="A423" s="1">
        <v>422.0</v>
      </c>
      <c r="B423" s="2" t="s">
        <v>35</v>
      </c>
      <c r="C423" s="2" t="s">
        <v>54</v>
      </c>
      <c r="D423" s="13"/>
      <c r="E423" s="51">
        <v>0.8888888888888888</v>
      </c>
      <c r="F423" s="44" t="s">
        <v>2068</v>
      </c>
      <c r="G423" s="43">
        <v>1.0</v>
      </c>
      <c r="H423" s="43">
        <v>1.0</v>
      </c>
      <c r="I423" s="42"/>
      <c r="J423" s="22"/>
      <c r="K423" s="42"/>
    </row>
    <row r="424" ht="39.75" hidden="1" customHeight="1">
      <c r="A424" s="1">
        <v>423.0</v>
      </c>
      <c r="B424" s="2" t="s">
        <v>36</v>
      </c>
      <c r="C424" s="2" t="s">
        <v>58</v>
      </c>
      <c r="D424" s="13"/>
      <c r="E424" s="13"/>
      <c r="F424" s="44"/>
      <c r="G424" s="42"/>
      <c r="H424" s="42"/>
      <c r="I424" s="42"/>
      <c r="J424" s="22"/>
      <c r="K424" s="42"/>
    </row>
    <row r="425" ht="39.75" customHeight="1">
      <c r="A425" s="1">
        <v>424.0</v>
      </c>
      <c r="B425" s="2" t="s">
        <v>38</v>
      </c>
      <c r="C425" s="2"/>
      <c r="D425" s="13"/>
      <c r="E425" s="13"/>
      <c r="F425" s="44" t="s">
        <v>2069</v>
      </c>
      <c r="G425" s="43">
        <v>1.0</v>
      </c>
      <c r="H425" s="42"/>
      <c r="I425" s="42"/>
      <c r="J425" s="22"/>
      <c r="K425" s="42"/>
    </row>
    <row r="426" ht="39.75" hidden="1" customHeight="1">
      <c r="A426" s="1">
        <v>425.0</v>
      </c>
      <c r="B426" s="2" t="s">
        <v>41</v>
      </c>
      <c r="C426" s="2" t="s">
        <v>58</v>
      </c>
      <c r="D426" s="13"/>
      <c r="E426" s="13"/>
      <c r="F426" s="44"/>
      <c r="G426" s="42"/>
      <c r="H426" s="42"/>
      <c r="I426" s="42"/>
      <c r="J426" s="22"/>
      <c r="K426" s="42"/>
    </row>
    <row r="427" ht="39.75" customHeight="1">
      <c r="A427" s="1">
        <v>426.0</v>
      </c>
      <c r="B427" s="2" t="s">
        <v>42</v>
      </c>
      <c r="C427" s="2" t="s">
        <v>54</v>
      </c>
      <c r="D427" s="13"/>
      <c r="E427" s="51">
        <v>0.8402777777777778</v>
      </c>
      <c r="F427" s="44" t="s">
        <v>2070</v>
      </c>
      <c r="G427" s="43">
        <v>1.0</v>
      </c>
      <c r="H427" s="43">
        <v>1.0</v>
      </c>
      <c r="I427" s="42"/>
      <c r="J427" s="22"/>
      <c r="K427" s="42"/>
    </row>
    <row r="428" ht="39.75" hidden="1" customHeight="1">
      <c r="A428" s="1">
        <v>427.0</v>
      </c>
      <c r="B428" s="2" t="s">
        <v>43</v>
      </c>
      <c r="C428" s="2" t="s">
        <v>58</v>
      </c>
      <c r="D428" s="13"/>
      <c r="E428" s="13"/>
      <c r="F428" s="45"/>
      <c r="G428" s="42"/>
      <c r="H428" s="42"/>
      <c r="I428" s="42"/>
      <c r="J428" s="22"/>
      <c r="K428" s="42"/>
    </row>
    <row r="429" ht="39.75" customHeight="1">
      <c r="A429" s="1">
        <v>428.0</v>
      </c>
      <c r="B429" s="2" t="s">
        <v>45</v>
      </c>
      <c r="C429" s="2" t="s">
        <v>44</v>
      </c>
      <c r="D429" s="13"/>
      <c r="E429" s="13"/>
      <c r="F429" s="45"/>
      <c r="G429" s="42"/>
      <c r="H429" s="42"/>
      <c r="I429" s="42"/>
      <c r="J429" s="22"/>
      <c r="K429" s="42"/>
    </row>
    <row r="430" ht="39.75" hidden="1" customHeight="1">
      <c r="A430" s="1">
        <v>429.0</v>
      </c>
      <c r="B430" s="2" t="s">
        <v>46</v>
      </c>
      <c r="C430" s="2" t="s">
        <v>58</v>
      </c>
      <c r="D430" s="40"/>
      <c r="E430" s="13"/>
      <c r="F430" s="44"/>
      <c r="G430" s="42"/>
      <c r="H430" s="42"/>
      <c r="I430" s="42"/>
      <c r="J430" s="22"/>
      <c r="K430" s="42"/>
    </row>
    <row r="431" ht="39.75" hidden="1" customHeight="1">
      <c r="A431" s="1">
        <v>430.0</v>
      </c>
      <c r="B431" s="2" t="s">
        <v>47</v>
      </c>
      <c r="C431" s="2" t="s">
        <v>58</v>
      </c>
      <c r="D431" s="13"/>
      <c r="E431" s="13"/>
      <c r="F431" s="45"/>
      <c r="G431" s="42"/>
      <c r="H431" s="42"/>
      <c r="I431" s="42"/>
      <c r="J431" s="22"/>
      <c r="K431" s="42"/>
    </row>
    <row r="432" ht="39.75" customHeight="1">
      <c r="A432" s="1">
        <v>431.0</v>
      </c>
      <c r="B432" s="2" t="s">
        <v>48</v>
      </c>
      <c r="C432" s="2" t="s">
        <v>54</v>
      </c>
      <c r="D432" s="13"/>
      <c r="E432" s="13"/>
      <c r="F432" s="44" t="s">
        <v>2071</v>
      </c>
      <c r="G432" s="43">
        <v>1.0</v>
      </c>
      <c r="H432" s="42"/>
      <c r="I432" s="43">
        <v>1.0</v>
      </c>
      <c r="J432" s="22"/>
      <c r="K432" s="42"/>
    </row>
    <row r="433" ht="39.75" customHeight="1">
      <c r="A433" s="1">
        <v>432.0</v>
      </c>
      <c r="B433" s="21"/>
      <c r="C433" s="21"/>
      <c r="D433" s="21"/>
      <c r="E433" s="21"/>
      <c r="F433" s="46"/>
      <c r="G433" s="47"/>
      <c r="H433" s="47"/>
      <c r="I433" s="47"/>
      <c r="J433" s="48"/>
      <c r="K433" s="47"/>
      <c r="L433" s="49"/>
      <c r="M433" s="49"/>
      <c r="N433" s="49"/>
    </row>
    <row r="434" ht="39.75" hidden="1" customHeight="1">
      <c r="A434" s="1">
        <v>433.0</v>
      </c>
      <c r="B434" s="2" t="s">
        <v>12</v>
      </c>
      <c r="C434" s="2" t="s">
        <v>13</v>
      </c>
      <c r="D434" s="13"/>
      <c r="E434" s="13"/>
      <c r="F434" s="45"/>
      <c r="G434" s="42"/>
      <c r="H434" s="42"/>
      <c r="I434" s="42"/>
      <c r="J434" s="27" t="s">
        <v>1890</v>
      </c>
      <c r="K434" s="42"/>
      <c r="L434" s="15" t="s">
        <v>294</v>
      </c>
    </row>
    <row r="435" ht="39.75" hidden="1" customHeight="1">
      <c r="A435" s="1">
        <v>434.0</v>
      </c>
      <c r="B435" s="2" t="s">
        <v>16</v>
      </c>
      <c r="C435" s="2" t="s">
        <v>13</v>
      </c>
      <c r="D435" s="13"/>
      <c r="E435" s="13"/>
      <c r="F435" s="45"/>
      <c r="G435" s="42"/>
      <c r="H435" s="42"/>
      <c r="I435" s="42"/>
      <c r="J435" s="27" t="s">
        <v>294</v>
      </c>
      <c r="K435" s="43"/>
    </row>
    <row r="436" ht="39.75" customHeight="1">
      <c r="A436" s="1">
        <v>435.0</v>
      </c>
      <c r="B436" s="2" t="s">
        <v>263</v>
      </c>
      <c r="C436" s="2" t="s">
        <v>272</v>
      </c>
      <c r="D436" s="13"/>
      <c r="E436" s="13"/>
      <c r="F436" s="44" t="s">
        <v>1186</v>
      </c>
      <c r="G436" s="43">
        <v>1.0</v>
      </c>
      <c r="H436" s="42"/>
      <c r="I436" s="43">
        <v>1.0</v>
      </c>
      <c r="J436" s="27" t="s">
        <v>149</v>
      </c>
      <c r="K436" s="42"/>
    </row>
    <row r="437" ht="39.75" customHeight="1">
      <c r="A437" s="1">
        <v>436.0</v>
      </c>
      <c r="B437" s="2" t="s">
        <v>266</v>
      </c>
      <c r="C437" s="2" t="s">
        <v>272</v>
      </c>
      <c r="D437" s="13"/>
      <c r="E437" s="13"/>
      <c r="F437" s="44" t="s">
        <v>2072</v>
      </c>
      <c r="G437" s="43">
        <v>1.0</v>
      </c>
      <c r="H437" s="43">
        <v>1.0</v>
      </c>
      <c r="I437" s="43">
        <v>1.0</v>
      </c>
      <c r="J437" s="27" t="s">
        <v>165</v>
      </c>
      <c r="K437" s="42"/>
    </row>
    <row r="438" ht="39.75" hidden="1" customHeight="1">
      <c r="A438" s="1">
        <v>437.0</v>
      </c>
      <c r="B438" s="2" t="s">
        <v>21</v>
      </c>
      <c r="C438" s="2" t="s">
        <v>13</v>
      </c>
      <c r="D438" s="13"/>
      <c r="E438" s="13"/>
      <c r="F438" s="45"/>
      <c r="G438" s="42"/>
      <c r="H438" s="42"/>
      <c r="I438" s="42"/>
      <c r="J438" s="27" t="s">
        <v>166</v>
      </c>
      <c r="K438" s="42"/>
    </row>
    <row r="439" ht="39.75" hidden="1" customHeight="1">
      <c r="A439" s="1">
        <v>438.0</v>
      </c>
      <c r="B439" s="2" t="s">
        <v>22</v>
      </c>
      <c r="C439" s="2" t="s">
        <v>13</v>
      </c>
      <c r="D439" s="13"/>
      <c r="E439" s="13"/>
      <c r="F439" s="45"/>
      <c r="G439" s="42"/>
      <c r="H439" s="42"/>
      <c r="I439" s="42"/>
      <c r="J439" s="27" t="s">
        <v>167</v>
      </c>
      <c r="K439" s="42"/>
    </row>
    <row r="440" ht="39.75" hidden="1" customHeight="1">
      <c r="A440" s="1">
        <v>439.0</v>
      </c>
      <c r="B440" s="2" t="s">
        <v>23</v>
      </c>
      <c r="C440" s="2" t="s">
        <v>13</v>
      </c>
      <c r="D440" s="13"/>
      <c r="E440" s="13"/>
      <c r="F440" s="45"/>
      <c r="G440" s="42"/>
      <c r="H440" s="42"/>
      <c r="I440" s="42"/>
      <c r="J440" s="22"/>
      <c r="K440" s="42"/>
    </row>
    <row r="441" ht="39.75" customHeight="1">
      <c r="A441" s="1">
        <v>440.0</v>
      </c>
      <c r="B441" s="2" t="s">
        <v>24</v>
      </c>
      <c r="C441" s="2" t="s">
        <v>63</v>
      </c>
      <c r="D441" s="13"/>
      <c r="E441" s="13"/>
      <c r="F441" s="45"/>
      <c r="G441" s="42"/>
      <c r="H441" s="42"/>
      <c r="I441" s="42"/>
      <c r="J441" s="22"/>
      <c r="K441" s="42"/>
    </row>
    <row r="442" ht="39.75" customHeight="1">
      <c r="A442" s="1">
        <v>441.0</v>
      </c>
      <c r="B442" s="2" t="s">
        <v>25</v>
      </c>
      <c r="C442" s="2" t="s">
        <v>27</v>
      </c>
      <c r="D442" s="13"/>
      <c r="E442" s="13"/>
      <c r="F442" s="45"/>
      <c r="G442" s="42"/>
      <c r="H442" s="42"/>
      <c r="I442" s="42"/>
      <c r="J442" s="22"/>
      <c r="K442" s="42"/>
    </row>
    <row r="443" ht="39.75" hidden="1" customHeight="1">
      <c r="A443" s="1">
        <v>442.0</v>
      </c>
      <c r="B443" s="2" t="s">
        <v>26</v>
      </c>
      <c r="C443" s="2" t="s">
        <v>13</v>
      </c>
      <c r="D443" s="13"/>
      <c r="E443" s="13"/>
      <c r="F443" s="45"/>
      <c r="G443" s="42"/>
      <c r="H443" s="42"/>
      <c r="I443" s="42"/>
      <c r="J443" s="22"/>
      <c r="K443" s="42"/>
    </row>
    <row r="444" ht="39.75" hidden="1" customHeight="1">
      <c r="A444" s="1">
        <v>443.0</v>
      </c>
      <c r="B444" s="2" t="s">
        <v>29</v>
      </c>
      <c r="C444" s="2" t="s">
        <v>13</v>
      </c>
      <c r="D444" s="13"/>
      <c r="E444" s="13"/>
      <c r="F444" s="45"/>
      <c r="G444" s="42"/>
      <c r="H444" s="42"/>
      <c r="I444" s="42"/>
      <c r="J444" s="22"/>
      <c r="K444" s="42"/>
    </row>
    <row r="445" ht="39.75" hidden="1" customHeight="1">
      <c r="A445" s="1">
        <v>444.0</v>
      </c>
      <c r="B445" s="2" t="s">
        <v>30</v>
      </c>
      <c r="C445" s="2" t="s">
        <v>13</v>
      </c>
      <c r="D445" s="13"/>
      <c r="E445" s="13"/>
      <c r="F445" s="45"/>
      <c r="G445" s="42"/>
      <c r="H445" s="42"/>
      <c r="I445" s="42"/>
      <c r="J445" s="22"/>
      <c r="K445" s="42"/>
    </row>
    <row r="446" ht="39.75" customHeight="1">
      <c r="A446" s="1">
        <v>445.0</v>
      </c>
      <c r="B446" s="2" t="s">
        <v>31</v>
      </c>
      <c r="C446" s="2"/>
      <c r="D446" s="40">
        <v>0.375</v>
      </c>
      <c r="E446" s="13"/>
      <c r="F446" s="45"/>
      <c r="G446" s="42"/>
      <c r="H446" s="42"/>
      <c r="I446" s="42"/>
      <c r="J446" s="22"/>
      <c r="K446" s="42"/>
    </row>
    <row r="447" ht="39.75" customHeight="1">
      <c r="A447" s="1">
        <v>446.0</v>
      </c>
      <c r="B447" s="2" t="s">
        <v>32</v>
      </c>
      <c r="C447" s="2" t="s">
        <v>44</v>
      </c>
      <c r="D447" s="13"/>
      <c r="E447" s="13"/>
      <c r="F447" s="45"/>
      <c r="G447" s="42"/>
      <c r="H447" s="42"/>
      <c r="I447" s="42"/>
      <c r="J447" s="22"/>
      <c r="K447" s="42"/>
    </row>
    <row r="448" ht="39.75" hidden="1" customHeight="1">
      <c r="A448" s="1">
        <v>447.0</v>
      </c>
      <c r="B448" s="2" t="s">
        <v>67</v>
      </c>
      <c r="C448" s="2" t="s">
        <v>13</v>
      </c>
      <c r="D448" s="13"/>
      <c r="E448" s="13"/>
      <c r="F448" s="45"/>
      <c r="G448" s="42"/>
      <c r="H448" s="42"/>
      <c r="I448" s="42"/>
      <c r="J448" s="22"/>
      <c r="K448" s="42"/>
    </row>
    <row r="449" ht="39.75" customHeight="1">
      <c r="A449" s="1">
        <v>448.0</v>
      </c>
      <c r="B449" s="2" t="s">
        <v>34</v>
      </c>
      <c r="C449" s="2" t="s">
        <v>39</v>
      </c>
      <c r="D449" s="13"/>
      <c r="E449" s="13"/>
      <c r="F449" s="44" t="s">
        <v>2073</v>
      </c>
      <c r="G449" s="43">
        <v>1.0</v>
      </c>
      <c r="H449" s="42"/>
      <c r="I449" s="43">
        <v>1.0</v>
      </c>
      <c r="J449" s="22"/>
      <c r="K449" s="42"/>
    </row>
    <row r="450" ht="39.75" hidden="1" customHeight="1">
      <c r="A450" s="1">
        <v>449.0</v>
      </c>
      <c r="B450" s="2" t="s">
        <v>35</v>
      </c>
      <c r="C450" s="2" t="s">
        <v>13</v>
      </c>
      <c r="D450" s="13"/>
      <c r="E450" s="13"/>
      <c r="F450" s="45"/>
      <c r="G450" s="42"/>
      <c r="H450" s="42"/>
      <c r="I450" s="42"/>
      <c r="J450" s="22"/>
      <c r="K450" s="42"/>
    </row>
    <row r="451" ht="39.75" hidden="1" customHeight="1">
      <c r="A451" s="1">
        <v>450.0</v>
      </c>
      <c r="B451" s="2" t="s">
        <v>36</v>
      </c>
      <c r="C451" s="2" t="s">
        <v>13</v>
      </c>
      <c r="D451" s="13"/>
      <c r="E451" s="13"/>
      <c r="F451" s="45"/>
      <c r="G451" s="42"/>
      <c r="H451" s="42"/>
      <c r="I451" s="42"/>
      <c r="J451" s="22"/>
      <c r="K451" s="42"/>
    </row>
    <row r="452" ht="39.75" hidden="1" customHeight="1">
      <c r="A452" s="1">
        <v>451.0</v>
      </c>
      <c r="B452" s="2" t="s">
        <v>38</v>
      </c>
      <c r="C452" s="2" t="s">
        <v>13</v>
      </c>
      <c r="D452" s="13"/>
      <c r="E452" s="13"/>
      <c r="F452" s="45"/>
      <c r="G452" s="42"/>
      <c r="H452" s="42"/>
      <c r="I452" s="42"/>
      <c r="J452" s="22"/>
      <c r="K452" s="42"/>
    </row>
    <row r="453" ht="39.75" hidden="1" customHeight="1">
      <c r="A453" s="1">
        <v>452.0</v>
      </c>
      <c r="B453" s="2" t="s">
        <v>41</v>
      </c>
      <c r="C453" s="2" t="s">
        <v>13</v>
      </c>
      <c r="D453" s="13"/>
      <c r="E453" s="13"/>
      <c r="F453" s="45"/>
      <c r="G453" s="42"/>
      <c r="H453" s="42"/>
      <c r="I453" s="42"/>
      <c r="J453" s="22"/>
      <c r="K453" s="42"/>
    </row>
    <row r="454" ht="39.75" customHeight="1">
      <c r="A454" s="1">
        <v>453.0</v>
      </c>
      <c r="B454" s="2" t="s">
        <v>42</v>
      </c>
      <c r="C454" s="2" t="s">
        <v>49</v>
      </c>
      <c r="D454" s="13"/>
      <c r="E454" s="13"/>
      <c r="F454" s="44" t="s">
        <v>1496</v>
      </c>
      <c r="G454" s="42"/>
      <c r="H454" s="42"/>
      <c r="I454" s="42"/>
      <c r="J454" s="22"/>
      <c r="K454" s="42"/>
    </row>
    <row r="455" ht="39.75" hidden="1" customHeight="1">
      <c r="A455" s="1">
        <v>454.0</v>
      </c>
      <c r="B455" s="2" t="s">
        <v>43</v>
      </c>
      <c r="C455" s="2" t="s">
        <v>13</v>
      </c>
      <c r="D455" s="13"/>
      <c r="E455" s="13"/>
      <c r="F455" s="45"/>
      <c r="G455" s="42"/>
      <c r="H455" s="42"/>
      <c r="I455" s="42"/>
      <c r="J455" s="22"/>
      <c r="K455" s="42"/>
    </row>
    <row r="456" ht="39.75" customHeight="1">
      <c r="A456" s="1">
        <v>455.0</v>
      </c>
      <c r="B456" s="2" t="s">
        <v>45</v>
      </c>
      <c r="C456" s="2"/>
      <c r="D456" s="40">
        <v>0.375</v>
      </c>
      <c r="E456" s="13"/>
      <c r="F456" s="44" t="s">
        <v>2074</v>
      </c>
      <c r="G456" s="43">
        <v>1.0</v>
      </c>
      <c r="H456" s="42"/>
      <c r="I456" s="42"/>
      <c r="J456" s="22"/>
      <c r="K456" s="42"/>
    </row>
    <row r="457" ht="39.75" hidden="1" customHeight="1">
      <c r="A457" s="1">
        <v>456.0</v>
      </c>
      <c r="B457" s="2" t="s">
        <v>46</v>
      </c>
      <c r="C457" s="2" t="s">
        <v>13</v>
      </c>
      <c r="D457" s="40"/>
      <c r="E457" s="13"/>
      <c r="F457" s="45"/>
      <c r="G457" s="42"/>
      <c r="H457" s="42"/>
      <c r="I457" s="42"/>
      <c r="J457" s="22"/>
      <c r="K457" s="42"/>
    </row>
    <row r="458" ht="39.75" hidden="1" customHeight="1">
      <c r="A458" s="1">
        <v>457.0</v>
      </c>
      <c r="B458" s="2" t="s">
        <v>47</v>
      </c>
      <c r="C458" s="2" t="s">
        <v>13</v>
      </c>
      <c r="D458" s="13"/>
      <c r="E458" s="13"/>
      <c r="F458" s="45"/>
      <c r="G458" s="42"/>
      <c r="H458" s="42"/>
      <c r="I458" s="42"/>
      <c r="J458" s="22"/>
      <c r="K458" s="42"/>
    </row>
    <row r="459" ht="39.75" hidden="1" customHeight="1">
      <c r="A459" s="1">
        <v>458.0</v>
      </c>
      <c r="B459" s="2" t="s">
        <v>48</v>
      </c>
      <c r="C459" s="2" t="s">
        <v>13</v>
      </c>
      <c r="D459" s="13"/>
      <c r="E459" s="13"/>
      <c r="F459" s="45"/>
      <c r="G459" s="42"/>
      <c r="H459" s="42"/>
      <c r="I459" s="42"/>
      <c r="J459" s="22"/>
      <c r="K459" s="42"/>
    </row>
    <row r="460" ht="39.75" customHeight="1">
      <c r="A460" s="1">
        <v>459.0</v>
      </c>
      <c r="B460" s="21"/>
      <c r="C460" s="21"/>
      <c r="D460" s="21"/>
      <c r="E460" s="21"/>
      <c r="F460" s="46"/>
      <c r="G460" s="47"/>
      <c r="H460" s="47"/>
      <c r="I460" s="47"/>
      <c r="J460" s="48"/>
      <c r="K460" s="47"/>
      <c r="L460" s="49"/>
      <c r="M460" s="49"/>
      <c r="N460" s="49"/>
    </row>
    <row r="461" ht="39.75" customHeight="1">
      <c r="A461" s="1">
        <v>460.0</v>
      </c>
      <c r="B461" s="2" t="s">
        <v>12</v>
      </c>
      <c r="C461" s="2"/>
      <c r="D461" s="40">
        <v>0.375</v>
      </c>
      <c r="E461" s="13"/>
      <c r="F461" s="45"/>
      <c r="G461" s="42"/>
      <c r="H461" s="42"/>
      <c r="I461" s="42"/>
      <c r="J461" s="27" t="s">
        <v>1890</v>
      </c>
      <c r="K461" s="42"/>
      <c r="L461" s="15" t="s">
        <v>309</v>
      </c>
    </row>
    <row r="462" ht="39.75" customHeight="1">
      <c r="A462" s="1">
        <v>461.0</v>
      </c>
      <c r="B462" s="2" t="s">
        <v>20</v>
      </c>
      <c r="C462" s="2" t="s">
        <v>271</v>
      </c>
      <c r="D462" s="13"/>
      <c r="E462" s="13"/>
      <c r="F462" s="44" t="s">
        <v>2075</v>
      </c>
      <c r="G462" s="43">
        <v>1.0</v>
      </c>
      <c r="H462" s="43">
        <v>1.0</v>
      </c>
      <c r="I462" s="43">
        <v>1.0</v>
      </c>
      <c r="J462" s="27" t="s">
        <v>309</v>
      </c>
      <c r="K462" s="43"/>
    </row>
    <row r="463" ht="39.75" hidden="1" customHeight="1">
      <c r="A463" s="1">
        <v>462.0</v>
      </c>
      <c r="B463" s="2" t="s">
        <v>17</v>
      </c>
      <c r="C463" s="2" t="s">
        <v>13</v>
      </c>
      <c r="D463" s="40"/>
      <c r="E463" s="13"/>
      <c r="F463" s="45"/>
      <c r="G463" s="42"/>
      <c r="H463" s="42"/>
      <c r="I463" s="42"/>
      <c r="J463" s="27" t="s">
        <v>19</v>
      </c>
      <c r="K463" s="42"/>
    </row>
    <row r="464" ht="39.75" customHeight="1">
      <c r="A464" s="1">
        <v>463.0</v>
      </c>
      <c r="B464" s="2" t="s">
        <v>266</v>
      </c>
      <c r="C464" s="2" t="s">
        <v>272</v>
      </c>
      <c r="D464" s="13"/>
      <c r="E464" s="13"/>
      <c r="F464" s="44" t="s">
        <v>2072</v>
      </c>
      <c r="G464" s="43">
        <v>1.0</v>
      </c>
      <c r="H464" s="43">
        <v>1.0</v>
      </c>
      <c r="I464" s="43">
        <v>1.0</v>
      </c>
      <c r="J464" s="27" t="s">
        <v>262</v>
      </c>
      <c r="K464" s="42"/>
    </row>
    <row r="465" ht="39.75" hidden="1" customHeight="1">
      <c r="A465" s="1">
        <v>464.0</v>
      </c>
      <c r="B465" s="2" t="s">
        <v>21</v>
      </c>
      <c r="C465" s="2" t="s">
        <v>13</v>
      </c>
      <c r="D465" s="13"/>
      <c r="E465" s="13"/>
      <c r="F465" s="45"/>
      <c r="G465" s="42"/>
      <c r="H465" s="42"/>
      <c r="I465" s="42"/>
      <c r="J465" s="27" t="s">
        <v>264</v>
      </c>
      <c r="K465" s="42"/>
    </row>
    <row r="466" ht="39.75" hidden="1" customHeight="1">
      <c r="A466" s="1">
        <v>465.0</v>
      </c>
      <c r="B466" s="2" t="s">
        <v>22</v>
      </c>
      <c r="C466" s="2" t="s">
        <v>13</v>
      </c>
      <c r="D466" s="13"/>
      <c r="E466" s="13"/>
      <c r="F466" s="45"/>
      <c r="G466" s="42"/>
      <c r="H466" s="42"/>
      <c r="I466" s="42"/>
      <c r="J466" s="27" t="s">
        <v>265</v>
      </c>
      <c r="K466" s="42"/>
    </row>
    <row r="467" ht="39.75" customHeight="1">
      <c r="A467" s="1">
        <v>466.0</v>
      </c>
      <c r="B467" s="2" t="s">
        <v>23</v>
      </c>
      <c r="C467" s="2" t="s">
        <v>27</v>
      </c>
      <c r="D467" s="13"/>
      <c r="E467" s="13"/>
      <c r="F467" s="44" t="s">
        <v>2076</v>
      </c>
      <c r="G467" s="43">
        <v>1.0</v>
      </c>
      <c r="H467" s="42"/>
      <c r="I467" s="43">
        <v>1.0</v>
      </c>
      <c r="J467" s="22"/>
      <c r="K467" s="42"/>
    </row>
    <row r="468" ht="39.75" customHeight="1">
      <c r="A468" s="1">
        <v>467.0</v>
      </c>
      <c r="B468" s="2" t="s">
        <v>24</v>
      </c>
      <c r="C468" s="2" t="s">
        <v>63</v>
      </c>
      <c r="D468" s="13"/>
      <c r="E468" s="13"/>
      <c r="F468" s="45"/>
      <c r="G468" s="42"/>
      <c r="H468" s="42"/>
      <c r="I468" s="42"/>
      <c r="J468" s="22"/>
      <c r="K468" s="42"/>
    </row>
    <row r="469" ht="39.75" customHeight="1">
      <c r="A469" s="1">
        <v>468.0</v>
      </c>
      <c r="B469" s="2" t="s">
        <v>25</v>
      </c>
      <c r="C469" s="2" t="s">
        <v>44</v>
      </c>
      <c r="D469" s="13"/>
      <c r="E469" s="13"/>
      <c r="F469" s="45"/>
      <c r="G469" s="42"/>
      <c r="H469" s="42"/>
      <c r="I469" s="42"/>
      <c r="J469" s="22"/>
      <c r="K469" s="42"/>
    </row>
    <row r="470" ht="39.75" customHeight="1">
      <c r="A470" s="1">
        <v>469.0</v>
      </c>
      <c r="B470" s="2" t="s">
        <v>26</v>
      </c>
      <c r="C470" s="2"/>
      <c r="D470" s="40"/>
      <c r="E470" s="13"/>
      <c r="F470" s="44" t="s">
        <v>2077</v>
      </c>
      <c r="G470" s="43">
        <v>1.0</v>
      </c>
      <c r="H470" s="42"/>
      <c r="I470" s="42"/>
      <c r="J470" s="22"/>
      <c r="K470" s="42"/>
    </row>
    <row r="471" ht="39.75" hidden="1" customHeight="1">
      <c r="A471" s="1">
        <v>470.0</v>
      </c>
      <c r="B471" s="2" t="s">
        <v>29</v>
      </c>
      <c r="C471" s="2" t="s">
        <v>13</v>
      </c>
      <c r="D471" s="13"/>
      <c r="E471" s="13"/>
      <c r="F471" s="45"/>
      <c r="G471" s="42"/>
      <c r="H471" s="42"/>
      <c r="I471" s="42"/>
      <c r="J471" s="22"/>
      <c r="K471" s="42"/>
    </row>
    <row r="472" ht="39.75" hidden="1" customHeight="1">
      <c r="A472" s="1">
        <v>471.0</v>
      </c>
      <c r="B472" s="2" t="s">
        <v>30</v>
      </c>
      <c r="C472" s="2" t="s">
        <v>13</v>
      </c>
      <c r="D472" s="13"/>
      <c r="E472" s="13"/>
      <c r="F472" s="45"/>
      <c r="G472" s="42"/>
      <c r="H472" s="42"/>
      <c r="I472" s="42"/>
      <c r="J472" s="22"/>
      <c r="K472" s="42"/>
    </row>
    <row r="473" ht="39.75" customHeight="1">
      <c r="A473" s="1">
        <v>472.0</v>
      </c>
      <c r="B473" s="2" t="s">
        <v>33</v>
      </c>
      <c r="C473" s="2" t="s">
        <v>272</v>
      </c>
      <c r="D473" s="13"/>
      <c r="E473" s="13"/>
      <c r="F473" s="44" t="s">
        <v>1268</v>
      </c>
      <c r="G473" s="43">
        <v>1.0</v>
      </c>
      <c r="H473" s="42"/>
      <c r="I473" s="43">
        <v>1.0</v>
      </c>
      <c r="J473" s="22"/>
      <c r="K473" s="42"/>
    </row>
    <row r="474" ht="39.75" hidden="1" customHeight="1">
      <c r="A474" s="1">
        <v>473.0</v>
      </c>
      <c r="B474" s="2" t="s">
        <v>32</v>
      </c>
      <c r="C474" s="2" t="s">
        <v>13</v>
      </c>
      <c r="D474" s="13"/>
      <c r="E474" s="13"/>
      <c r="F474" s="45"/>
      <c r="G474" s="42"/>
      <c r="H474" s="42"/>
      <c r="I474" s="42"/>
      <c r="J474" s="22"/>
      <c r="K474" s="42"/>
    </row>
    <row r="475" ht="39.75" hidden="1" customHeight="1">
      <c r="A475" s="1">
        <v>474.0</v>
      </c>
      <c r="B475" s="2" t="s">
        <v>67</v>
      </c>
      <c r="C475" s="2" t="s">
        <v>13</v>
      </c>
      <c r="D475" s="13"/>
      <c r="E475" s="13"/>
      <c r="F475" s="45"/>
      <c r="G475" s="42"/>
      <c r="H475" s="42"/>
      <c r="I475" s="42"/>
      <c r="J475" s="22"/>
      <c r="K475" s="42"/>
    </row>
    <row r="476" ht="39.75" hidden="1" customHeight="1">
      <c r="A476" s="1">
        <v>475.0</v>
      </c>
      <c r="B476" s="2" t="s">
        <v>34</v>
      </c>
      <c r="C476" s="2" t="s">
        <v>13</v>
      </c>
      <c r="D476" s="13"/>
      <c r="E476" s="13"/>
      <c r="F476" s="45"/>
      <c r="G476" s="42"/>
      <c r="H476" s="42"/>
      <c r="I476" s="42"/>
      <c r="J476" s="22"/>
      <c r="K476" s="42"/>
    </row>
    <row r="477" ht="39.75" customHeight="1">
      <c r="A477" s="1">
        <v>476.0</v>
      </c>
      <c r="B477" s="2" t="s">
        <v>35</v>
      </c>
      <c r="C477" s="2" t="s">
        <v>49</v>
      </c>
      <c r="D477" s="13"/>
      <c r="E477" s="13"/>
      <c r="F477" s="45"/>
      <c r="G477" s="42"/>
      <c r="H477" s="42"/>
      <c r="I477" s="42"/>
      <c r="J477" s="22"/>
      <c r="K477" s="42"/>
    </row>
    <row r="478" ht="39.75" hidden="1" customHeight="1">
      <c r="A478" s="1">
        <v>477.0</v>
      </c>
      <c r="B478" s="2" t="s">
        <v>36</v>
      </c>
      <c r="C478" s="2" t="s">
        <v>13</v>
      </c>
      <c r="D478" s="13"/>
      <c r="E478" s="13"/>
      <c r="F478" s="45"/>
      <c r="G478" s="42"/>
      <c r="H478" s="42"/>
      <c r="I478" s="42"/>
      <c r="J478" s="22"/>
      <c r="K478" s="42"/>
    </row>
    <row r="479" ht="39.75" hidden="1" customHeight="1">
      <c r="A479" s="1">
        <v>478.0</v>
      </c>
      <c r="B479" s="2" t="s">
        <v>38</v>
      </c>
      <c r="C479" s="2" t="s">
        <v>13</v>
      </c>
      <c r="D479" s="13"/>
      <c r="E479" s="13"/>
      <c r="F479" s="45"/>
      <c r="G479" s="42"/>
      <c r="H479" s="42"/>
      <c r="I479" s="42"/>
      <c r="J479" s="22"/>
      <c r="K479" s="42"/>
    </row>
    <row r="480" ht="39.75" hidden="1" customHeight="1">
      <c r="A480" s="1">
        <v>479.0</v>
      </c>
      <c r="B480" s="2" t="s">
        <v>41</v>
      </c>
      <c r="C480" s="2" t="s">
        <v>13</v>
      </c>
      <c r="D480" s="13"/>
      <c r="E480" s="13"/>
      <c r="F480" s="45"/>
      <c r="G480" s="42"/>
      <c r="H480" s="42"/>
      <c r="I480" s="42"/>
      <c r="J480" s="22"/>
      <c r="K480" s="42"/>
    </row>
    <row r="481" ht="39.75" hidden="1" customHeight="1">
      <c r="A481" s="1">
        <v>480.0</v>
      </c>
      <c r="B481" s="2" t="s">
        <v>42</v>
      </c>
      <c r="C481" s="2" t="s">
        <v>13</v>
      </c>
      <c r="D481" s="13"/>
      <c r="E481" s="13"/>
      <c r="F481" s="45"/>
      <c r="G481" s="42"/>
      <c r="H481" s="42"/>
      <c r="I481" s="42"/>
      <c r="J481" s="22"/>
      <c r="K481" s="42"/>
    </row>
    <row r="482" ht="39.75" customHeight="1">
      <c r="A482" s="1">
        <v>481.0</v>
      </c>
      <c r="B482" s="2" t="s">
        <v>43</v>
      </c>
      <c r="C482" s="2" t="s">
        <v>39</v>
      </c>
      <c r="D482" s="13"/>
      <c r="E482" s="13"/>
      <c r="F482" s="44" t="s">
        <v>2078</v>
      </c>
      <c r="G482" s="43">
        <v>1.0</v>
      </c>
      <c r="H482" s="42"/>
      <c r="I482" s="42"/>
      <c r="J482" s="22"/>
      <c r="K482" s="42"/>
    </row>
    <row r="483" ht="39.75" hidden="1" customHeight="1">
      <c r="A483" s="1">
        <v>482.0</v>
      </c>
      <c r="B483" s="2" t="s">
        <v>45</v>
      </c>
      <c r="C483" s="2" t="s">
        <v>13</v>
      </c>
      <c r="D483" s="13"/>
      <c r="E483" s="13"/>
      <c r="F483" s="45"/>
      <c r="G483" s="42"/>
      <c r="H483" s="42"/>
      <c r="I483" s="42"/>
      <c r="J483" s="22"/>
      <c r="K483" s="42"/>
    </row>
    <row r="484" ht="39.75" hidden="1" customHeight="1">
      <c r="A484" s="1">
        <v>483.0</v>
      </c>
      <c r="B484" s="2" t="s">
        <v>46</v>
      </c>
      <c r="C484" s="2" t="s">
        <v>13</v>
      </c>
      <c r="D484" s="13"/>
      <c r="E484" s="13"/>
      <c r="F484" s="45"/>
      <c r="G484" s="42"/>
      <c r="H484" s="42"/>
      <c r="I484" s="42"/>
      <c r="J484" s="22"/>
      <c r="K484" s="42"/>
    </row>
    <row r="485" ht="39.75" hidden="1" customHeight="1">
      <c r="A485" s="1">
        <v>484.0</v>
      </c>
      <c r="B485" s="2" t="s">
        <v>47</v>
      </c>
      <c r="C485" s="2" t="s">
        <v>13</v>
      </c>
      <c r="D485" s="13"/>
      <c r="E485" s="13"/>
      <c r="F485" s="45"/>
      <c r="G485" s="42"/>
      <c r="H485" s="42"/>
      <c r="I485" s="42"/>
      <c r="J485" s="22"/>
      <c r="K485" s="42"/>
    </row>
    <row r="486" ht="39.75" hidden="1" customHeight="1">
      <c r="A486" s="1">
        <v>485.0</v>
      </c>
      <c r="B486" s="2" t="s">
        <v>48</v>
      </c>
      <c r="C486" s="2" t="s">
        <v>13</v>
      </c>
      <c r="D486" s="13"/>
      <c r="E486" s="13"/>
      <c r="F486" s="45"/>
      <c r="G486" s="42"/>
      <c r="H486" s="42"/>
      <c r="I486" s="42"/>
      <c r="J486" s="22"/>
      <c r="K486" s="42"/>
    </row>
    <row r="487" ht="39.75" customHeight="1">
      <c r="A487" s="1">
        <v>486.0</v>
      </c>
      <c r="B487" s="21"/>
      <c r="C487" s="21"/>
      <c r="D487" s="21"/>
      <c r="E487" s="21"/>
      <c r="F487" s="46"/>
      <c r="G487" s="47"/>
      <c r="H487" s="47"/>
      <c r="I487" s="47"/>
      <c r="J487" s="48"/>
      <c r="K487" s="47"/>
      <c r="L487" s="49"/>
      <c r="M487" s="49"/>
      <c r="N487" s="49"/>
    </row>
    <row r="488" ht="39.75" customHeight="1">
      <c r="A488" s="1">
        <v>487.0</v>
      </c>
      <c r="B488" s="2" t="s">
        <v>12</v>
      </c>
      <c r="C488" s="2" t="s">
        <v>62</v>
      </c>
      <c r="D488" s="13"/>
      <c r="E488" s="13"/>
      <c r="F488" s="61" t="s">
        <v>1543</v>
      </c>
      <c r="G488" s="43">
        <v>1.0</v>
      </c>
      <c r="H488" s="42"/>
      <c r="I488" s="43">
        <v>1.0</v>
      </c>
      <c r="J488" s="27" t="s">
        <v>1890</v>
      </c>
      <c r="K488" s="42"/>
      <c r="L488" s="15" t="s">
        <v>328</v>
      </c>
    </row>
    <row r="489" ht="39.75" customHeight="1">
      <c r="A489" s="1">
        <v>488.0</v>
      </c>
      <c r="B489" s="2" t="s">
        <v>16</v>
      </c>
      <c r="C489" s="2" t="s">
        <v>54</v>
      </c>
      <c r="D489" s="13"/>
      <c r="E489" s="13"/>
      <c r="F489" s="44" t="s">
        <v>2079</v>
      </c>
      <c r="G489" s="43">
        <v>1.0</v>
      </c>
      <c r="H489" s="42"/>
      <c r="I489" s="43">
        <v>1.0</v>
      </c>
      <c r="J489" s="27" t="s">
        <v>328</v>
      </c>
      <c r="K489" s="43"/>
    </row>
    <row r="490" ht="39.75" customHeight="1">
      <c r="A490" s="1">
        <v>489.0</v>
      </c>
      <c r="B490" s="2" t="s">
        <v>17</v>
      </c>
      <c r="C490" s="2" t="s">
        <v>54</v>
      </c>
      <c r="D490" s="13"/>
      <c r="E490" s="13"/>
      <c r="F490" s="44" t="s">
        <v>2080</v>
      </c>
      <c r="G490" s="43">
        <v>1.0</v>
      </c>
      <c r="H490" s="42"/>
      <c r="I490" s="43">
        <v>1.0</v>
      </c>
      <c r="J490" s="27" t="s">
        <v>56</v>
      </c>
      <c r="K490" s="42"/>
    </row>
    <row r="491" ht="39.75" customHeight="1">
      <c r="A491" s="1">
        <v>490.0</v>
      </c>
      <c r="B491" s="2" t="s">
        <v>331</v>
      </c>
      <c r="C491" s="2" t="s">
        <v>542</v>
      </c>
      <c r="D491" s="13"/>
      <c r="E491" s="13"/>
      <c r="F491" s="44" t="s">
        <v>2081</v>
      </c>
      <c r="G491" s="43">
        <v>1.0</v>
      </c>
      <c r="H491" s="42"/>
      <c r="I491" s="42"/>
      <c r="J491" s="22"/>
      <c r="K491" s="42"/>
    </row>
    <row r="492" ht="39.75" customHeight="1">
      <c r="A492" s="1">
        <v>491.0</v>
      </c>
      <c r="B492" s="2" t="s">
        <v>21</v>
      </c>
      <c r="C492" s="2"/>
      <c r="D492" s="13"/>
      <c r="E492" s="13"/>
      <c r="F492" s="45"/>
      <c r="G492" s="42"/>
      <c r="H492" s="42"/>
      <c r="I492" s="42"/>
      <c r="J492" s="22"/>
      <c r="K492" s="42"/>
    </row>
    <row r="493" ht="39.75" customHeight="1">
      <c r="A493" s="1">
        <v>492.0</v>
      </c>
      <c r="B493" s="2" t="s">
        <v>22</v>
      </c>
      <c r="C493" s="2" t="s">
        <v>39</v>
      </c>
      <c r="D493" s="13"/>
      <c r="E493" s="13"/>
      <c r="F493" s="44" t="s">
        <v>2082</v>
      </c>
      <c r="G493" s="43">
        <v>2.0</v>
      </c>
      <c r="H493" s="42"/>
      <c r="I493" s="42"/>
      <c r="J493" s="22"/>
      <c r="K493" s="42"/>
    </row>
    <row r="494" ht="39.75" customHeight="1">
      <c r="A494" s="1">
        <v>493.0</v>
      </c>
      <c r="B494" s="2" t="s">
        <v>23</v>
      </c>
      <c r="C494" s="2" t="s">
        <v>44</v>
      </c>
      <c r="D494" s="13"/>
      <c r="E494" s="13"/>
      <c r="F494" s="45"/>
      <c r="G494" s="42"/>
      <c r="H494" s="42"/>
      <c r="I494" s="42"/>
      <c r="J494" s="22"/>
      <c r="K494" s="42"/>
    </row>
    <row r="495" ht="39.75" customHeight="1">
      <c r="A495" s="1">
        <v>494.0</v>
      </c>
      <c r="B495" s="2" t="s">
        <v>24</v>
      </c>
      <c r="C495" s="2"/>
      <c r="D495" s="13"/>
      <c r="E495" s="13"/>
      <c r="F495" s="44" t="s">
        <v>2083</v>
      </c>
      <c r="G495" s="43">
        <v>1.0</v>
      </c>
      <c r="H495" s="42"/>
      <c r="I495" s="42"/>
      <c r="J495" s="22"/>
      <c r="K495" s="42"/>
    </row>
    <row r="496" ht="39.75" customHeight="1">
      <c r="A496" s="1">
        <v>495.0</v>
      </c>
      <c r="B496" s="2" t="s">
        <v>25</v>
      </c>
      <c r="C496" s="2"/>
      <c r="D496" s="13"/>
      <c r="E496" s="13"/>
      <c r="F496" s="44" t="s">
        <v>2084</v>
      </c>
      <c r="G496" s="43">
        <v>1.0</v>
      </c>
      <c r="H496" s="42"/>
      <c r="I496" s="42"/>
      <c r="J496" s="22"/>
      <c r="K496" s="42"/>
    </row>
    <row r="497" ht="39.75" customHeight="1">
      <c r="A497" s="1">
        <v>496.0</v>
      </c>
      <c r="B497" s="2" t="s">
        <v>26</v>
      </c>
      <c r="C497" s="2"/>
      <c r="D497" s="13"/>
      <c r="E497" s="13"/>
      <c r="F497" s="44" t="s">
        <v>2085</v>
      </c>
      <c r="G497" s="43">
        <v>1.0</v>
      </c>
      <c r="H497" s="42"/>
      <c r="I497" s="42"/>
      <c r="J497" s="22"/>
      <c r="K497" s="42"/>
    </row>
    <row r="498" ht="39.75" hidden="1" customHeight="1">
      <c r="A498" s="1">
        <v>497.0</v>
      </c>
      <c r="B498" s="2" t="s">
        <v>29</v>
      </c>
      <c r="C498" s="2" t="s">
        <v>58</v>
      </c>
      <c r="D498" s="13"/>
      <c r="E498" s="13"/>
      <c r="F498" s="45"/>
      <c r="G498" s="42"/>
      <c r="H498" s="42"/>
      <c r="I498" s="42"/>
      <c r="J498" s="22"/>
      <c r="K498" s="42"/>
    </row>
    <row r="499" ht="39.75" customHeight="1">
      <c r="A499" s="1">
        <v>498.0</v>
      </c>
      <c r="B499" s="2" t="s">
        <v>30</v>
      </c>
      <c r="C499" s="2" t="s">
        <v>64</v>
      </c>
      <c r="D499" s="13"/>
      <c r="E499" s="13"/>
      <c r="F499" s="44" t="s">
        <v>2086</v>
      </c>
      <c r="G499" s="43">
        <v>1.0</v>
      </c>
      <c r="H499" s="42"/>
      <c r="I499" s="42"/>
      <c r="J499" s="22"/>
      <c r="K499" s="42"/>
    </row>
    <row r="500" ht="39.75" hidden="1" customHeight="1">
      <c r="A500" s="1">
        <v>499.0</v>
      </c>
      <c r="B500" s="2" t="s">
        <v>31</v>
      </c>
      <c r="C500" s="2" t="s">
        <v>58</v>
      </c>
      <c r="D500" s="13"/>
      <c r="E500" s="13"/>
      <c r="F500" s="45"/>
      <c r="G500" s="42"/>
      <c r="H500" s="42"/>
      <c r="I500" s="42"/>
      <c r="J500" s="22"/>
      <c r="K500" s="42"/>
    </row>
    <row r="501" ht="39.75" customHeight="1">
      <c r="A501" s="1">
        <v>500.0</v>
      </c>
      <c r="B501" s="2" t="s">
        <v>32</v>
      </c>
      <c r="C501" s="13"/>
      <c r="D501" s="13"/>
      <c r="E501" s="13"/>
      <c r="F501" s="45"/>
      <c r="G501" s="42"/>
      <c r="H501" s="42"/>
      <c r="I501" s="42"/>
      <c r="J501" s="22"/>
      <c r="K501" s="42"/>
    </row>
    <row r="502" ht="39.75" customHeight="1">
      <c r="A502" s="1">
        <v>501.0</v>
      </c>
      <c r="B502" s="2" t="s">
        <v>67</v>
      </c>
      <c r="C502" s="2" t="s">
        <v>69</v>
      </c>
      <c r="D502" s="13"/>
      <c r="E502" s="13"/>
      <c r="F502" s="44" t="s">
        <v>2087</v>
      </c>
      <c r="G502" s="43">
        <v>1.0</v>
      </c>
      <c r="H502" s="42"/>
      <c r="I502" s="42"/>
      <c r="J502" s="22"/>
      <c r="K502" s="42"/>
    </row>
    <row r="503" ht="39.75" customHeight="1">
      <c r="A503" s="1">
        <v>502.0</v>
      </c>
      <c r="B503" s="2" t="s">
        <v>34</v>
      </c>
      <c r="C503" s="2" t="s">
        <v>69</v>
      </c>
      <c r="D503" s="13"/>
      <c r="E503" s="40">
        <v>0.8541666666666666</v>
      </c>
      <c r="F503" s="44" t="s">
        <v>2088</v>
      </c>
      <c r="G503" s="43">
        <v>1.0</v>
      </c>
      <c r="H503" s="42"/>
      <c r="I503" s="42"/>
      <c r="J503" s="22"/>
      <c r="K503" s="42"/>
    </row>
    <row r="504" ht="39.75" customHeight="1">
      <c r="A504" s="1">
        <v>503.0</v>
      </c>
      <c r="B504" s="2" t="s">
        <v>35</v>
      </c>
      <c r="C504" s="2" t="s">
        <v>39</v>
      </c>
      <c r="D504" s="13"/>
      <c r="E504" s="13"/>
      <c r="F504" s="44" t="s">
        <v>2089</v>
      </c>
      <c r="G504" s="43">
        <v>1.0</v>
      </c>
      <c r="H504" s="42"/>
      <c r="I504" s="43">
        <v>1.0</v>
      </c>
      <c r="J504" s="22"/>
      <c r="K504" s="42"/>
    </row>
    <row r="505" ht="39.75" hidden="1" customHeight="1">
      <c r="A505" s="1">
        <v>504.0</v>
      </c>
      <c r="B505" s="2" t="s">
        <v>36</v>
      </c>
      <c r="C505" s="2" t="s">
        <v>58</v>
      </c>
      <c r="D505" s="13"/>
      <c r="E505" s="13"/>
      <c r="F505" s="45"/>
      <c r="G505" s="42"/>
      <c r="H505" s="42"/>
      <c r="I505" s="42"/>
      <c r="J505" s="22"/>
      <c r="K505" s="42"/>
    </row>
    <row r="506" ht="39.75" customHeight="1">
      <c r="A506" s="1">
        <v>505.0</v>
      </c>
      <c r="B506" s="2" t="s">
        <v>38</v>
      </c>
      <c r="C506" s="2" t="s">
        <v>54</v>
      </c>
      <c r="D506" s="13"/>
      <c r="E506" s="13"/>
      <c r="F506" s="44" t="s">
        <v>2090</v>
      </c>
      <c r="G506" s="43">
        <v>1.0</v>
      </c>
      <c r="H506" s="42"/>
      <c r="I506" s="42"/>
      <c r="J506" s="22"/>
      <c r="K506" s="42"/>
    </row>
    <row r="507" ht="39.75" hidden="1" customHeight="1">
      <c r="A507" s="1">
        <v>506.0</v>
      </c>
      <c r="B507" s="2" t="s">
        <v>41</v>
      </c>
      <c r="C507" s="2" t="s">
        <v>58</v>
      </c>
      <c r="D507" s="13"/>
      <c r="E507" s="13"/>
      <c r="F507" s="45"/>
      <c r="G507" s="42"/>
      <c r="H507" s="42"/>
      <c r="I507" s="42"/>
      <c r="J507" s="22"/>
      <c r="K507" s="42"/>
    </row>
    <row r="508" ht="39.75" hidden="1" customHeight="1">
      <c r="A508" s="1">
        <v>507.0</v>
      </c>
      <c r="B508" s="2" t="s">
        <v>42</v>
      </c>
      <c r="C508" s="2" t="s">
        <v>66</v>
      </c>
      <c r="D508" s="13"/>
      <c r="E508" s="13"/>
      <c r="F508" s="45"/>
      <c r="G508" s="42"/>
      <c r="H508" s="42"/>
      <c r="I508" s="42"/>
      <c r="J508" s="22"/>
      <c r="K508" s="42"/>
    </row>
    <row r="509" ht="39.75" customHeight="1">
      <c r="A509" s="1">
        <v>508.0</v>
      </c>
      <c r="B509" s="2" t="s">
        <v>43</v>
      </c>
      <c r="C509" s="2" t="s">
        <v>69</v>
      </c>
      <c r="D509" s="13"/>
      <c r="E509" s="40">
        <v>0.9166666666666666</v>
      </c>
      <c r="F509" s="44" t="s">
        <v>2091</v>
      </c>
      <c r="G509" s="43">
        <v>2.0</v>
      </c>
      <c r="H509" s="42"/>
      <c r="I509" s="42"/>
      <c r="J509" s="22"/>
      <c r="K509" s="42"/>
    </row>
    <row r="510" ht="39.75" customHeight="1">
      <c r="A510" s="1">
        <v>509.0</v>
      </c>
      <c r="B510" s="2" t="s">
        <v>45</v>
      </c>
      <c r="C510" s="2"/>
      <c r="D510" s="13"/>
      <c r="E510" s="13"/>
      <c r="F510" s="44" t="s">
        <v>2092</v>
      </c>
      <c r="G510" s="43">
        <v>1.0</v>
      </c>
      <c r="H510" s="42"/>
      <c r="I510" s="42"/>
      <c r="J510" s="22"/>
      <c r="K510" s="42"/>
    </row>
    <row r="511" ht="39.75" customHeight="1">
      <c r="A511" s="1">
        <v>510.0</v>
      </c>
      <c r="B511" s="2" t="s">
        <v>46</v>
      </c>
      <c r="C511" s="2" t="s">
        <v>27</v>
      </c>
      <c r="D511" s="13"/>
      <c r="E511" s="13"/>
      <c r="F511" s="44" t="s">
        <v>2093</v>
      </c>
      <c r="G511" s="43">
        <v>2.0</v>
      </c>
      <c r="H511" s="42"/>
      <c r="I511" s="43">
        <v>1.0</v>
      </c>
      <c r="J511" s="22"/>
      <c r="K511" s="42"/>
    </row>
    <row r="512" ht="39.75" hidden="1" customHeight="1">
      <c r="A512" s="1">
        <v>511.0</v>
      </c>
      <c r="B512" s="2" t="s">
        <v>47</v>
      </c>
      <c r="C512" s="2" t="s">
        <v>58</v>
      </c>
      <c r="D512" s="13"/>
      <c r="E512" s="13"/>
      <c r="F512" s="45"/>
      <c r="G512" s="42"/>
      <c r="H512" s="42"/>
      <c r="I512" s="42"/>
      <c r="J512" s="22"/>
      <c r="K512" s="42"/>
    </row>
    <row r="513" ht="39.75" customHeight="1">
      <c r="A513" s="1">
        <v>512.0</v>
      </c>
      <c r="B513" s="2" t="s">
        <v>48</v>
      </c>
      <c r="C513" s="2" t="s">
        <v>54</v>
      </c>
      <c r="D513" s="13"/>
      <c r="E513" s="13"/>
      <c r="F513" s="44" t="s">
        <v>2094</v>
      </c>
      <c r="G513" s="43">
        <v>1.0</v>
      </c>
      <c r="H513" s="42"/>
      <c r="I513" s="43">
        <v>1.0</v>
      </c>
      <c r="J513" s="22"/>
      <c r="K513" s="42"/>
    </row>
    <row r="514" ht="39.75" customHeight="1">
      <c r="A514" s="1">
        <v>513.0</v>
      </c>
      <c r="B514" s="21"/>
      <c r="C514" s="21"/>
      <c r="D514" s="21"/>
      <c r="E514" s="21"/>
      <c r="F514" s="46"/>
      <c r="G514" s="47"/>
      <c r="H514" s="47"/>
      <c r="I514" s="47"/>
      <c r="J514" s="48"/>
      <c r="K514" s="47"/>
      <c r="L514" s="49"/>
      <c r="M514" s="49"/>
      <c r="N514" s="49"/>
    </row>
    <row r="515" ht="39.75" customHeight="1">
      <c r="A515" s="1">
        <v>514.0</v>
      </c>
      <c r="B515" s="2" t="s">
        <v>12</v>
      </c>
      <c r="C515" s="2" t="s">
        <v>62</v>
      </c>
      <c r="D515" s="13"/>
      <c r="E515" s="13"/>
      <c r="F515" s="44" t="s">
        <v>2095</v>
      </c>
      <c r="G515" s="43">
        <v>1.0</v>
      </c>
      <c r="H515" s="42"/>
      <c r="I515" s="43">
        <v>1.0</v>
      </c>
      <c r="J515" s="27" t="s">
        <v>1890</v>
      </c>
      <c r="K515" s="42"/>
      <c r="L515" s="15" t="s">
        <v>347</v>
      </c>
    </row>
    <row r="516" ht="39.75" customHeight="1">
      <c r="A516" s="1">
        <v>515.0</v>
      </c>
      <c r="B516" s="2" t="s">
        <v>16</v>
      </c>
      <c r="C516" s="2" t="s">
        <v>54</v>
      </c>
      <c r="D516" s="13"/>
      <c r="E516" s="13"/>
      <c r="F516" s="44" t="s">
        <v>2096</v>
      </c>
      <c r="G516" s="43">
        <v>1.0</v>
      </c>
      <c r="H516" s="42"/>
      <c r="I516" s="42"/>
      <c r="J516" s="27" t="s">
        <v>347</v>
      </c>
      <c r="K516" s="43"/>
    </row>
    <row r="517" ht="39.75" customHeight="1">
      <c r="A517" s="1">
        <v>516.0</v>
      </c>
      <c r="B517" s="2" t="s">
        <v>17</v>
      </c>
      <c r="C517" s="2" t="s">
        <v>54</v>
      </c>
      <c r="D517" s="13"/>
      <c r="E517" s="13"/>
      <c r="F517" s="44" t="s">
        <v>2097</v>
      </c>
      <c r="G517" s="43">
        <v>1.0</v>
      </c>
      <c r="H517" s="42"/>
      <c r="I517" s="42"/>
      <c r="J517" s="27" t="s">
        <v>77</v>
      </c>
      <c r="K517" s="42"/>
    </row>
    <row r="518" ht="39.75" customHeight="1">
      <c r="A518" s="1">
        <v>517.0</v>
      </c>
      <c r="B518" s="2" t="s">
        <v>331</v>
      </c>
      <c r="C518" s="2" t="s">
        <v>542</v>
      </c>
      <c r="D518" s="13"/>
      <c r="E518" s="13"/>
      <c r="F518" s="44" t="s">
        <v>2098</v>
      </c>
      <c r="G518" s="43">
        <v>1.0</v>
      </c>
      <c r="H518" s="42"/>
      <c r="I518" s="42"/>
      <c r="J518" s="22"/>
      <c r="K518" s="42"/>
    </row>
    <row r="519" ht="39.75" customHeight="1">
      <c r="A519" s="1">
        <v>518.0</v>
      </c>
      <c r="B519" s="2" t="s">
        <v>21</v>
      </c>
      <c r="C519" s="2"/>
      <c r="D519" s="13"/>
      <c r="E519" s="13"/>
      <c r="F519" s="44" t="s">
        <v>2099</v>
      </c>
      <c r="G519" s="43">
        <v>2.0</v>
      </c>
      <c r="H519" s="42"/>
      <c r="I519" s="43">
        <v>2.0</v>
      </c>
      <c r="J519" s="22"/>
      <c r="K519" s="42"/>
    </row>
    <row r="520" ht="39.75" customHeight="1">
      <c r="A520" s="1">
        <v>519.0</v>
      </c>
      <c r="B520" s="2" t="s">
        <v>22</v>
      </c>
      <c r="C520" s="2"/>
      <c r="D520" s="13"/>
      <c r="E520" s="13"/>
      <c r="F520" s="44" t="s">
        <v>2100</v>
      </c>
      <c r="G520" s="43">
        <v>1.0</v>
      </c>
      <c r="H520" s="42"/>
      <c r="I520" s="42"/>
      <c r="J520" s="22"/>
      <c r="K520" s="42"/>
    </row>
    <row r="521" ht="39.75" customHeight="1">
      <c r="A521" s="1">
        <v>520.0</v>
      </c>
      <c r="B521" s="2" t="s">
        <v>23</v>
      </c>
      <c r="C521" s="2" t="s">
        <v>39</v>
      </c>
      <c r="D521" s="13"/>
      <c r="E521" s="13"/>
      <c r="F521" s="44" t="s">
        <v>2101</v>
      </c>
      <c r="G521" s="43">
        <v>1.0</v>
      </c>
      <c r="H521" s="42"/>
      <c r="I521" s="42"/>
      <c r="J521" s="22"/>
      <c r="K521" s="42"/>
    </row>
    <row r="522" ht="39.75" hidden="1" customHeight="1">
      <c r="A522" s="1">
        <v>521.0</v>
      </c>
      <c r="B522" s="2" t="s">
        <v>24</v>
      </c>
      <c r="C522" s="2" t="s">
        <v>66</v>
      </c>
      <c r="D522" s="13"/>
      <c r="E522" s="13"/>
      <c r="F522" s="45"/>
      <c r="G522" s="42"/>
      <c r="H522" s="42"/>
      <c r="I522" s="42"/>
      <c r="J522" s="22"/>
      <c r="K522" s="42"/>
    </row>
    <row r="523" ht="39.75" hidden="1" customHeight="1">
      <c r="A523" s="1">
        <v>522.0</v>
      </c>
      <c r="B523" s="2" t="s">
        <v>25</v>
      </c>
      <c r="C523" s="2" t="s">
        <v>58</v>
      </c>
      <c r="D523" s="13"/>
      <c r="E523" s="13"/>
      <c r="F523" s="45"/>
      <c r="G523" s="42"/>
      <c r="H523" s="42"/>
      <c r="I523" s="42"/>
      <c r="J523" s="22"/>
      <c r="K523" s="42"/>
    </row>
    <row r="524" ht="39.75" customHeight="1">
      <c r="A524" s="1">
        <v>523.0</v>
      </c>
      <c r="B524" s="2" t="s">
        <v>26</v>
      </c>
      <c r="C524" s="2"/>
      <c r="D524" s="13"/>
      <c r="E524" s="13"/>
      <c r="F524" s="44" t="s">
        <v>2102</v>
      </c>
      <c r="G524" s="43">
        <v>1.0</v>
      </c>
      <c r="H524" s="42"/>
      <c r="I524" s="42"/>
      <c r="J524" s="22"/>
      <c r="K524" s="42"/>
    </row>
    <row r="525" ht="39.75" hidden="1" customHeight="1">
      <c r="A525" s="1">
        <v>524.0</v>
      </c>
      <c r="B525" s="2" t="s">
        <v>29</v>
      </c>
      <c r="C525" s="2" t="s">
        <v>58</v>
      </c>
      <c r="D525" s="13"/>
      <c r="E525" s="13"/>
      <c r="F525" s="45"/>
      <c r="G525" s="42"/>
      <c r="H525" s="42"/>
      <c r="I525" s="42"/>
      <c r="J525" s="22"/>
      <c r="K525" s="42"/>
    </row>
    <row r="526" ht="39.75" customHeight="1">
      <c r="A526" s="1">
        <v>525.0</v>
      </c>
      <c r="B526" s="2" t="s">
        <v>30</v>
      </c>
      <c r="C526" s="2" t="s">
        <v>64</v>
      </c>
      <c r="D526" s="13"/>
      <c r="E526" s="13"/>
      <c r="F526" s="44" t="s">
        <v>2103</v>
      </c>
      <c r="G526" s="43">
        <v>1.0</v>
      </c>
      <c r="H526" s="42"/>
      <c r="I526" s="43">
        <v>1.0</v>
      </c>
      <c r="J526" s="22"/>
      <c r="K526" s="42"/>
    </row>
    <row r="527" ht="39.75" customHeight="1">
      <c r="A527" s="1">
        <v>526.0</v>
      </c>
      <c r="B527" s="2" t="s">
        <v>31</v>
      </c>
      <c r="C527" s="2" t="s">
        <v>54</v>
      </c>
      <c r="D527" s="13"/>
      <c r="E527" s="13"/>
      <c r="F527" s="44" t="s">
        <v>2104</v>
      </c>
      <c r="G527" s="43">
        <v>1.0</v>
      </c>
      <c r="H527" s="42"/>
      <c r="I527" s="42"/>
      <c r="J527" s="22"/>
      <c r="K527" s="42"/>
    </row>
    <row r="528" ht="39.75" customHeight="1">
      <c r="A528" s="1">
        <v>527.0</v>
      </c>
      <c r="B528" s="2" t="s">
        <v>32</v>
      </c>
      <c r="C528" s="2" t="s">
        <v>39</v>
      </c>
      <c r="D528" s="13"/>
      <c r="E528" s="13"/>
      <c r="F528" s="44" t="s">
        <v>2105</v>
      </c>
      <c r="G528" s="43">
        <v>1.0</v>
      </c>
      <c r="H528" s="42"/>
      <c r="I528" s="42"/>
      <c r="J528" s="22"/>
      <c r="K528" s="42"/>
    </row>
    <row r="529" ht="39.75" customHeight="1">
      <c r="A529" s="1">
        <v>528.0</v>
      </c>
      <c r="B529" s="2" t="s">
        <v>67</v>
      </c>
      <c r="C529" s="2"/>
      <c r="D529" s="13"/>
      <c r="E529" s="13"/>
      <c r="F529" s="44" t="s">
        <v>2106</v>
      </c>
      <c r="G529" s="43">
        <v>1.0</v>
      </c>
      <c r="H529" s="42"/>
      <c r="I529" s="43">
        <v>1.0</v>
      </c>
      <c r="J529" s="22"/>
      <c r="K529" s="42"/>
    </row>
    <row r="530" ht="39.75" customHeight="1">
      <c r="A530" s="1">
        <v>529.0</v>
      </c>
      <c r="B530" s="2" t="s">
        <v>34</v>
      </c>
      <c r="C530" s="2" t="s">
        <v>69</v>
      </c>
      <c r="D530" s="13"/>
      <c r="E530" s="13"/>
      <c r="F530" s="45"/>
      <c r="G530" s="42"/>
      <c r="H530" s="42"/>
      <c r="I530" s="42"/>
      <c r="J530" s="22"/>
      <c r="K530" s="42"/>
    </row>
    <row r="531" ht="39.75" customHeight="1">
      <c r="A531" s="1">
        <v>530.0</v>
      </c>
      <c r="B531" s="2" t="s">
        <v>35</v>
      </c>
      <c r="C531" s="2"/>
      <c r="D531" s="13"/>
      <c r="E531" s="13"/>
      <c r="F531" s="44"/>
      <c r="G531" s="43"/>
      <c r="H531" s="42"/>
      <c r="I531" s="42"/>
      <c r="J531" s="22"/>
      <c r="K531" s="42"/>
    </row>
    <row r="532" ht="39.75" customHeight="1">
      <c r="A532" s="1">
        <v>531.0</v>
      </c>
      <c r="B532" s="2" t="s">
        <v>36</v>
      </c>
      <c r="C532" s="2" t="s">
        <v>69</v>
      </c>
      <c r="D532" s="13"/>
      <c r="E532" s="13"/>
      <c r="F532" s="45"/>
      <c r="G532" s="42"/>
      <c r="H532" s="42"/>
      <c r="I532" s="42"/>
      <c r="J532" s="22"/>
      <c r="K532" s="42"/>
    </row>
    <row r="533" ht="39.75" customHeight="1">
      <c r="A533" s="1">
        <v>532.0</v>
      </c>
      <c r="B533" s="2" t="s">
        <v>38</v>
      </c>
      <c r="C533" s="2" t="s">
        <v>27</v>
      </c>
      <c r="D533" s="13"/>
      <c r="E533" s="13"/>
      <c r="F533" s="44" t="s">
        <v>2107</v>
      </c>
      <c r="G533" s="43">
        <v>1.0</v>
      </c>
      <c r="H533" s="42"/>
      <c r="I533" s="43">
        <v>1.0</v>
      </c>
      <c r="J533" s="22"/>
      <c r="K533" s="42"/>
    </row>
    <row r="534" ht="39.75" hidden="1" customHeight="1">
      <c r="A534" s="1">
        <v>533.0</v>
      </c>
      <c r="B534" s="2" t="s">
        <v>41</v>
      </c>
      <c r="C534" s="2" t="s">
        <v>58</v>
      </c>
      <c r="D534" s="13"/>
      <c r="E534" s="13"/>
      <c r="F534" s="45"/>
      <c r="G534" s="42"/>
      <c r="H534" s="42"/>
      <c r="I534" s="42"/>
      <c r="J534" s="22"/>
      <c r="K534" s="42"/>
    </row>
    <row r="535" ht="39.75" customHeight="1">
      <c r="A535" s="1">
        <v>534.0</v>
      </c>
      <c r="B535" s="2" t="s">
        <v>42</v>
      </c>
      <c r="C535" s="2" t="s">
        <v>69</v>
      </c>
      <c r="D535" s="13"/>
      <c r="E535" s="13"/>
      <c r="F535" s="44" t="s">
        <v>2108</v>
      </c>
      <c r="G535" s="43">
        <v>1.0</v>
      </c>
      <c r="H535" s="42"/>
      <c r="I535" s="42"/>
      <c r="J535" s="22"/>
      <c r="K535" s="42"/>
    </row>
    <row r="536" ht="39.75" customHeight="1">
      <c r="A536" s="1">
        <v>535.0</v>
      </c>
      <c r="B536" s="2" t="s">
        <v>43</v>
      </c>
      <c r="C536" s="2"/>
      <c r="D536" s="13"/>
      <c r="E536" s="13"/>
      <c r="F536" s="44" t="s">
        <v>2109</v>
      </c>
      <c r="G536" s="43">
        <v>1.0</v>
      </c>
      <c r="H536" s="42"/>
      <c r="I536" s="43">
        <v>1.0</v>
      </c>
      <c r="J536" s="22"/>
      <c r="K536" s="42"/>
    </row>
    <row r="537" ht="39.75" hidden="1" customHeight="1">
      <c r="A537" s="1">
        <v>536.0</v>
      </c>
      <c r="B537" s="2" t="s">
        <v>45</v>
      </c>
      <c r="C537" s="2" t="s">
        <v>58</v>
      </c>
      <c r="D537" s="13"/>
      <c r="E537" s="13"/>
      <c r="F537" s="45"/>
      <c r="G537" s="42"/>
      <c r="H537" s="42"/>
      <c r="I537" s="42"/>
      <c r="J537" s="22"/>
      <c r="K537" s="42"/>
    </row>
    <row r="538" ht="39.75" customHeight="1">
      <c r="A538" s="1">
        <v>537.0</v>
      </c>
      <c r="B538" s="2" t="s">
        <v>46</v>
      </c>
      <c r="C538" s="2" t="s">
        <v>44</v>
      </c>
      <c r="D538" s="13"/>
      <c r="E538" s="13"/>
      <c r="F538" s="45"/>
      <c r="G538" s="42"/>
      <c r="H538" s="42"/>
      <c r="I538" s="42"/>
      <c r="J538" s="22"/>
      <c r="K538" s="42"/>
    </row>
    <row r="539" ht="39.75" hidden="1" customHeight="1">
      <c r="A539" s="1">
        <v>538.0</v>
      </c>
      <c r="B539" s="2" t="s">
        <v>47</v>
      </c>
      <c r="C539" s="2" t="s">
        <v>58</v>
      </c>
      <c r="D539" s="13"/>
      <c r="E539" s="13"/>
      <c r="F539" s="45"/>
      <c r="G539" s="42"/>
      <c r="H539" s="42"/>
      <c r="I539" s="42"/>
      <c r="J539" s="22"/>
      <c r="K539" s="42"/>
    </row>
    <row r="540" ht="39.75" customHeight="1">
      <c r="A540" s="1">
        <v>539.0</v>
      </c>
      <c r="B540" s="2" t="s">
        <v>48</v>
      </c>
      <c r="C540" s="2" t="s">
        <v>54</v>
      </c>
      <c r="D540" s="13"/>
      <c r="E540" s="13"/>
      <c r="F540" s="44" t="s">
        <v>2110</v>
      </c>
      <c r="G540" s="43">
        <v>1.0</v>
      </c>
      <c r="H540" s="42"/>
      <c r="I540" s="43">
        <v>1.0</v>
      </c>
      <c r="J540" s="22"/>
      <c r="K540" s="42"/>
    </row>
    <row r="541" ht="39.75" customHeight="1">
      <c r="A541" s="1">
        <v>540.0</v>
      </c>
      <c r="B541" s="21"/>
      <c r="C541" s="21"/>
      <c r="D541" s="21"/>
      <c r="E541" s="21"/>
      <c r="F541" s="46"/>
      <c r="G541" s="47"/>
      <c r="H541" s="47"/>
      <c r="I541" s="47"/>
      <c r="J541" s="48"/>
      <c r="K541" s="47"/>
      <c r="L541" s="49"/>
      <c r="M541" s="49"/>
      <c r="N541" s="49"/>
    </row>
    <row r="542" ht="39.75" hidden="1" customHeight="1">
      <c r="A542" s="1">
        <v>541.0</v>
      </c>
      <c r="B542" s="2" t="s">
        <v>12</v>
      </c>
      <c r="C542" s="2" t="s">
        <v>58</v>
      </c>
      <c r="D542" s="13"/>
      <c r="E542" s="13"/>
      <c r="F542" s="45"/>
      <c r="G542" s="42"/>
      <c r="H542" s="42"/>
      <c r="I542" s="42"/>
      <c r="J542" s="27" t="s">
        <v>1890</v>
      </c>
      <c r="K542" s="42"/>
      <c r="L542" s="15" t="s">
        <v>362</v>
      </c>
    </row>
    <row r="543" ht="39.75" customHeight="1">
      <c r="A543" s="1">
        <v>542.0</v>
      </c>
      <c r="B543" s="2" t="s">
        <v>16</v>
      </c>
      <c r="C543" s="2" t="s">
        <v>54</v>
      </c>
      <c r="D543" s="13"/>
      <c r="E543" s="13"/>
      <c r="F543" s="45"/>
      <c r="G543" s="42"/>
      <c r="H543" s="42"/>
      <c r="I543" s="42"/>
      <c r="J543" s="27" t="s">
        <v>362</v>
      </c>
      <c r="K543" s="43"/>
    </row>
    <row r="544" ht="39.75" customHeight="1">
      <c r="A544" s="1">
        <v>543.0</v>
      </c>
      <c r="B544" s="2" t="s">
        <v>17</v>
      </c>
      <c r="C544" s="2" t="s">
        <v>54</v>
      </c>
      <c r="D544" s="13"/>
      <c r="E544" s="13"/>
      <c r="F544" s="45"/>
      <c r="G544" s="42"/>
      <c r="H544" s="42"/>
      <c r="I544" s="42"/>
      <c r="J544" s="27" t="s">
        <v>95</v>
      </c>
      <c r="K544" s="42"/>
    </row>
    <row r="545" ht="39.75" hidden="1" customHeight="1">
      <c r="A545" s="1">
        <v>544.0</v>
      </c>
      <c r="B545" s="2" t="s">
        <v>331</v>
      </c>
      <c r="C545" s="2" t="s">
        <v>58</v>
      </c>
      <c r="D545" s="13"/>
      <c r="E545" s="13"/>
      <c r="F545" s="44"/>
      <c r="G545" s="42"/>
      <c r="H545" s="42"/>
      <c r="I545" s="42"/>
      <c r="J545" s="22"/>
      <c r="K545" s="42"/>
    </row>
    <row r="546" ht="39.75" hidden="1" customHeight="1">
      <c r="A546" s="1">
        <v>545.0</v>
      </c>
      <c r="B546" s="2" t="s">
        <v>21</v>
      </c>
      <c r="C546" s="2" t="s">
        <v>58</v>
      </c>
      <c r="D546" s="13"/>
      <c r="E546" s="13"/>
      <c r="F546" s="45"/>
      <c r="G546" s="42"/>
      <c r="H546" s="42"/>
      <c r="I546" s="42"/>
      <c r="J546" s="22"/>
      <c r="K546" s="42"/>
    </row>
    <row r="547" ht="39.75" customHeight="1">
      <c r="A547" s="1">
        <v>546.0</v>
      </c>
      <c r="B547" s="2" t="s">
        <v>22</v>
      </c>
      <c r="C547" s="2"/>
      <c r="D547" s="13"/>
      <c r="E547" s="13"/>
      <c r="F547" s="44" t="s">
        <v>2111</v>
      </c>
      <c r="G547" s="43">
        <v>1.0</v>
      </c>
      <c r="H547" s="42"/>
      <c r="I547" s="42"/>
      <c r="J547" s="22"/>
      <c r="K547" s="42"/>
    </row>
    <row r="548" ht="39.75" hidden="1" customHeight="1">
      <c r="A548" s="1">
        <v>547.0</v>
      </c>
      <c r="B548" s="2" t="s">
        <v>23</v>
      </c>
      <c r="C548" s="2" t="s">
        <v>58</v>
      </c>
      <c r="D548" s="13"/>
      <c r="E548" s="13"/>
      <c r="F548" s="45"/>
      <c r="G548" s="42"/>
      <c r="H548" s="42"/>
      <c r="I548" s="42"/>
      <c r="J548" s="22"/>
      <c r="K548" s="42"/>
    </row>
    <row r="549" ht="39.75" customHeight="1">
      <c r="A549" s="1">
        <v>548.0</v>
      </c>
      <c r="B549" s="2" t="s">
        <v>24</v>
      </c>
      <c r="C549" s="2"/>
      <c r="D549" s="13"/>
      <c r="E549" s="13"/>
      <c r="F549" s="44" t="s">
        <v>2112</v>
      </c>
      <c r="G549" s="43">
        <v>1.0</v>
      </c>
      <c r="H549" s="42"/>
      <c r="I549" s="43">
        <v>1.0</v>
      </c>
      <c r="J549" s="22"/>
      <c r="K549" s="42"/>
    </row>
    <row r="550" ht="39.75" customHeight="1">
      <c r="A550" s="1">
        <v>549.0</v>
      </c>
      <c r="B550" s="2" t="s">
        <v>25</v>
      </c>
      <c r="C550" s="2" t="s">
        <v>69</v>
      </c>
      <c r="D550" s="13"/>
      <c r="E550" s="13"/>
      <c r="F550" s="44" t="s">
        <v>2113</v>
      </c>
      <c r="G550" s="43">
        <v>2.0</v>
      </c>
      <c r="H550" s="42"/>
      <c r="I550" s="42"/>
      <c r="J550" s="22"/>
      <c r="K550" s="42"/>
    </row>
    <row r="551" ht="39.75" customHeight="1">
      <c r="A551" s="1">
        <v>550.0</v>
      </c>
      <c r="B551" s="2" t="s">
        <v>26</v>
      </c>
      <c r="C551" s="2" t="s">
        <v>69</v>
      </c>
      <c r="D551" s="13"/>
      <c r="E551" s="13"/>
      <c r="F551" s="45"/>
      <c r="G551" s="42"/>
      <c r="H551" s="42"/>
      <c r="I551" s="42"/>
      <c r="J551" s="22"/>
      <c r="K551" s="42"/>
    </row>
    <row r="552" ht="39.75" hidden="1" customHeight="1">
      <c r="A552" s="1">
        <v>551.0</v>
      </c>
      <c r="B552" s="2" t="s">
        <v>29</v>
      </c>
      <c r="C552" s="2" t="s">
        <v>66</v>
      </c>
      <c r="D552" s="13"/>
      <c r="E552" s="13"/>
      <c r="F552" s="45"/>
      <c r="G552" s="42"/>
      <c r="H552" s="42"/>
      <c r="I552" s="42"/>
      <c r="J552" s="22"/>
      <c r="K552" s="42"/>
    </row>
    <row r="553" ht="39.75" customHeight="1">
      <c r="A553" s="1">
        <v>552.0</v>
      </c>
      <c r="B553" s="2" t="s">
        <v>30</v>
      </c>
      <c r="C553" s="2" t="s">
        <v>64</v>
      </c>
      <c r="D553" s="13"/>
      <c r="E553" s="13"/>
      <c r="F553" s="44" t="s">
        <v>2034</v>
      </c>
      <c r="G553" s="43">
        <v>1.0</v>
      </c>
      <c r="H553" s="42"/>
      <c r="I553" s="43">
        <v>1.0</v>
      </c>
      <c r="J553" s="22"/>
      <c r="K553" s="42"/>
    </row>
    <row r="554" ht="39.75" customHeight="1">
      <c r="A554" s="1">
        <v>553.0</v>
      </c>
      <c r="B554" s="2" t="s">
        <v>31</v>
      </c>
      <c r="C554" s="2" t="s">
        <v>54</v>
      </c>
      <c r="D554" s="13"/>
      <c r="E554" s="13"/>
      <c r="F554" s="44" t="s">
        <v>2114</v>
      </c>
      <c r="G554" s="43">
        <v>2.0</v>
      </c>
      <c r="H554" s="42"/>
      <c r="I554" s="43">
        <v>1.0</v>
      </c>
      <c r="J554" s="22"/>
      <c r="K554" s="42"/>
    </row>
    <row r="555" ht="39.75" customHeight="1">
      <c r="A555" s="1">
        <v>554.0</v>
      </c>
      <c r="B555" s="2" t="s">
        <v>32</v>
      </c>
      <c r="C555" s="2"/>
      <c r="D555" s="13"/>
      <c r="E555" s="13"/>
      <c r="F555" s="44" t="s">
        <v>2115</v>
      </c>
      <c r="G555" s="43">
        <v>1.0</v>
      </c>
      <c r="H555" s="42"/>
      <c r="I555" s="42"/>
      <c r="J555" s="22"/>
      <c r="K555" s="42"/>
    </row>
    <row r="556" ht="39.75" customHeight="1">
      <c r="A556" s="1">
        <v>555.0</v>
      </c>
      <c r="B556" s="2" t="s">
        <v>67</v>
      </c>
      <c r="C556" s="2"/>
      <c r="D556" s="13"/>
      <c r="E556" s="13"/>
      <c r="F556" s="45"/>
      <c r="G556" s="42"/>
      <c r="H556" s="42"/>
      <c r="I556" s="42"/>
      <c r="J556" s="22"/>
      <c r="K556" s="42"/>
    </row>
    <row r="557" ht="39.75" customHeight="1">
      <c r="A557" s="1">
        <v>556.0</v>
      </c>
      <c r="B557" s="2" t="s">
        <v>34</v>
      </c>
      <c r="C557" s="2"/>
      <c r="D557" s="13"/>
      <c r="E557" s="13"/>
      <c r="F557" s="44" t="s">
        <v>2116</v>
      </c>
      <c r="G557" s="43"/>
      <c r="H557" s="42"/>
      <c r="I557" s="42"/>
      <c r="J557" s="22"/>
      <c r="K557" s="42"/>
    </row>
    <row r="558" ht="39.75" customHeight="1">
      <c r="A558" s="1">
        <v>557.0</v>
      </c>
      <c r="B558" s="2" t="s">
        <v>35</v>
      </c>
      <c r="C558" s="2"/>
      <c r="D558" s="13"/>
      <c r="E558" s="13"/>
      <c r="F558" s="44" t="s">
        <v>2117</v>
      </c>
      <c r="G558" s="43">
        <v>1.0</v>
      </c>
      <c r="H558" s="42"/>
      <c r="I558" s="42"/>
      <c r="J558" s="22"/>
      <c r="K558" s="42"/>
    </row>
    <row r="559" ht="39.75" customHeight="1">
      <c r="A559" s="1">
        <v>558.0</v>
      </c>
      <c r="B559" s="2" t="s">
        <v>36</v>
      </c>
      <c r="C559" s="2" t="s">
        <v>39</v>
      </c>
      <c r="D559" s="13"/>
      <c r="E559" s="13"/>
      <c r="F559" s="44" t="s">
        <v>2118</v>
      </c>
      <c r="G559" s="43">
        <v>1.0</v>
      </c>
      <c r="H559" s="42"/>
      <c r="I559" s="42"/>
      <c r="J559" s="22"/>
      <c r="K559" s="42"/>
    </row>
    <row r="560" ht="39.75" customHeight="1">
      <c r="A560" s="1">
        <v>559.0</v>
      </c>
      <c r="B560" s="2" t="s">
        <v>38</v>
      </c>
      <c r="C560" s="2" t="s">
        <v>44</v>
      </c>
      <c r="D560" s="13"/>
      <c r="E560" s="13"/>
      <c r="F560" s="45"/>
      <c r="G560" s="42"/>
      <c r="H560" s="42"/>
      <c r="I560" s="42"/>
      <c r="J560" s="22"/>
      <c r="K560" s="42"/>
    </row>
    <row r="561" ht="39.75" hidden="1" customHeight="1">
      <c r="A561" s="1">
        <v>560.0</v>
      </c>
      <c r="B561" s="2" t="s">
        <v>41</v>
      </c>
      <c r="C561" s="2" t="s">
        <v>58</v>
      </c>
      <c r="D561" s="13"/>
      <c r="E561" s="13"/>
      <c r="F561" s="45"/>
      <c r="G561" s="42"/>
      <c r="H561" s="42"/>
      <c r="I561" s="42"/>
      <c r="J561" s="22"/>
      <c r="K561" s="42"/>
    </row>
    <row r="562" ht="39.75" customHeight="1">
      <c r="A562" s="1">
        <v>561.0</v>
      </c>
      <c r="B562" s="2" t="s">
        <v>42</v>
      </c>
      <c r="C562" s="2"/>
      <c r="D562" s="13"/>
      <c r="E562" s="13"/>
      <c r="F562" s="44" t="s">
        <v>2119</v>
      </c>
      <c r="G562" s="43">
        <v>1.0</v>
      </c>
      <c r="H562" s="42"/>
      <c r="I562" s="43">
        <v>1.0</v>
      </c>
      <c r="J562" s="22"/>
      <c r="K562" s="42"/>
    </row>
    <row r="563" ht="39.75" customHeight="1">
      <c r="A563" s="1">
        <v>562.0</v>
      </c>
      <c r="B563" s="2" t="s">
        <v>43</v>
      </c>
      <c r="C563" s="2" t="s">
        <v>39</v>
      </c>
      <c r="D563" s="13"/>
      <c r="E563" s="13"/>
      <c r="F563" s="44" t="s">
        <v>2120</v>
      </c>
      <c r="G563" s="43">
        <v>1.0</v>
      </c>
      <c r="H563" s="42"/>
      <c r="I563" s="42"/>
      <c r="J563" s="22"/>
      <c r="K563" s="42"/>
    </row>
    <row r="564" ht="39.75" hidden="1" customHeight="1">
      <c r="A564" s="1">
        <v>563.0</v>
      </c>
      <c r="B564" s="2" t="s">
        <v>45</v>
      </c>
      <c r="C564" s="2" t="s">
        <v>58</v>
      </c>
      <c r="D564" s="13"/>
      <c r="E564" s="13"/>
      <c r="F564" s="45"/>
      <c r="G564" s="42"/>
      <c r="H564" s="42"/>
      <c r="I564" s="42"/>
      <c r="J564" s="22"/>
      <c r="K564" s="42"/>
    </row>
    <row r="565" ht="39.75" customHeight="1">
      <c r="A565" s="1">
        <v>564.0</v>
      </c>
      <c r="B565" s="2" t="s">
        <v>46</v>
      </c>
      <c r="C565" s="2" t="s">
        <v>27</v>
      </c>
      <c r="D565" s="13"/>
      <c r="E565" s="13"/>
      <c r="F565" s="44" t="s">
        <v>2121</v>
      </c>
      <c r="G565" s="43">
        <v>1.0</v>
      </c>
      <c r="H565" s="42"/>
      <c r="I565" s="42"/>
      <c r="J565" s="22"/>
      <c r="K565" s="42"/>
    </row>
    <row r="566" ht="39.75" customHeight="1">
      <c r="A566" s="1">
        <v>565.0</v>
      </c>
      <c r="B566" s="2" t="s">
        <v>47</v>
      </c>
      <c r="C566" s="2" t="s">
        <v>69</v>
      </c>
      <c r="D566" s="13"/>
      <c r="E566" s="13"/>
      <c r="F566" s="44" t="s">
        <v>2122</v>
      </c>
      <c r="G566" s="43">
        <v>1.0</v>
      </c>
      <c r="H566" s="42"/>
      <c r="I566" s="43">
        <v>1.0</v>
      </c>
      <c r="J566" s="22"/>
      <c r="K566" s="42"/>
    </row>
    <row r="567" ht="39.75" customHeight="1">
      <c r="A567" s="1">
        <v>566.0</v>
      </c>
      <c r="B567" s="2" t="s">
        <v>48</v>
      </c>
      <c r="C567" s="2" t="s">
        <v>54</v>
      </c>
      <c r="D567" s="13"/>
      <c r="E567" s="13"/>
      <c r="F567" s="45"/>
      <c r="G567" s="42"/>
      <c r="H567" s="42"/>
      <c r="I567" s="42"/>
      <c r="J567" s="22"/>
      <c r="K567" s="42"/>
    </row>
    <row r="568" ht="39.75" customHeight="1">
      <c r="A568" s="1">
        <v>567.0</v>
      </c>
      <c r="B568" s="21"/>
      <c r="C568" s="21"/>
      <c r="D568" s="21"/>
      <c r="E568" s="21"/>
      <c r="F568" s="46"/>
      <c r="G568" s="47"/>
      <c r="H568" s="47"/>
      <c r="I568" s="47"/>
      <c r="J568" s="48"/>
      <c r="K568" s="47"/>
      <c r="L568" s="49"/>
      <c r="M568" s="49"/>
      <c r="N568" s="49"/>
    </row>
    <row r="569" ht="39.75" customHeight="1">
      <c r="A569" s="1">
        <v>568.0</v>
      </c>
      <c r="B569" s="2" t="s">
        <v>12</v>
      </c>
      <c r="C569" s="2" t="s">
        <v>62</v>
      </c>
      <c r="D569" s="13"/>
      <c r="E569" s="13"/>
      <c r="F569" s="44" t="s">
        <v>2011</v>
      </c>
      <c r="G569" s="43">
        <v>1.0</v>
      </c>
      <c r="H569" s="42"/>
      <c r="I569" s="43">
        <v>1.0</v>
      </c>
      <c r="J569" s="27" t="s">
        <v>1890</v>
      </c>
      <c r="K569" s="42"/>
      <c r="L569" s="15" t="s">
        <v>369</v>
      </c>
    </row>
    <row r="570" ht="39.75" customHeight="1">
      <c r="A570" s="1">
        <v>569.0</v>
      </c>
      <c r="B570" s="2" t="s">
        <v>16</v>
      </c>
      <c r="C570" s="2" t="s">
        <v>54</v>
      </c>
      <c r="D570" s="13"/>
      <c r="E570" s="13"/>
      <c r="F570" s="45"/>
      <c r="G570" s="42"/>
      <c r="H570" s="42"/>
      <c r="I570" s="42"/>
      <c r="J570" s="27" t="s">
        <v>369</v>
      </c>
      <c r="K570" s="43"/>
    </row>
    <row r="571" ht="39.75" customHeight="1">
      <c r="A571" s="1">
        <v>570.0</v>
      </c>
      <c r="B571" s="2" t="s">
        <v>17</v>
      </c>
      <c r="C571" s="2" t="s">
        <v>54</v>
      </c>
      <c r="D571" s="13"/>
      <c r="E571" s="13"/>
      <c r="F571" s="45"/>
      <c r="G571" s="42"/>
      <c r="H571" s="42"/>
      <c r="I571" s="42"/>
      <c r="J571" s="27" t="s">
        <v>111</v>
      </c>
      <c r="K571" s="42"/>
    </row>
    <row r="572" ht="39.75" customHeight="1">
      <c r="A572" s="1">
        <v>571.0</v>
      </c>
      <c r="B572" s="2" t="s">
        <v>331</v>
      </c>
      <c r="C572" s="2" t="s">
        <v>542</v>
      </c>
      <c r="D572" s="13"/>
      <c r="E572" s="13"/>
      <c r="F572" s="44" t="s">
        <v>2123</v>
      </c>
      <c r="G572" s="43">
        <v>1.0</v>
      </c>
      <c r="H572" s="42"/>
      <c r="I572" s="42"/>
      <c r="J572" s="22"/>
      <c r="K572" s="42"/>
    </row>
    <row r="573" ht="39.75" customHeight="1">
      <c r="A573" s="1">
        <v>572.0</v>
      </c>
      <c r="B573" s="2" t="s">
        <v>21</v>
      </c>
      <c r="C573" s="2"/>
      <c r="D573" s="13"/>
      <c r="E573" s="13"/>
      <c r="F573" s="45"/>
      <c r="G573" s="42"/>
      <c r="H573" s="42"/>
      <c r="I573" s="42"/>
      <c r="J573" s="22"/>
      <c r="K573" s="42"/>
    </row>
    <row r="574" ht="39.75" customHeight="1">
      <c r="A574" s="1">
        <v>573.0</v>
      </c>
      <c r="B574" s="2" t="s">
        <v>22</v>
      </c>
      <c r="C574" s="2"/>
      <c r="D574" s="13"/>
      <c r="E574" s="13"/>
      <c r="F574" s="45"/>
      <c r="G574" s="42"/>
      <c r="H574" s="42"/>
      <c r="I574" s="42"/>
      <c r="J574" s="22"/>
      <c r="K574" s="42"/>
    </row>
    <row r="575" ht="39.75" customHeight="1">
      <c r="A575" s="1">
        <v>574.0</v>
      </c>
      <c r="B575" s="2" t="s">
        <v>23</v>
      </c>
      <c r="C575" s="2"/>
      <c r="D575" s="13"/>
      <c r="E575" s="13"/>
      <c r="F575" s="44" t="s">
        <v>2124</v>
      </c>
      <c r="G575" s="43">
        <v>1.0</v>
      </c>
      <c r="H575" s="42"/>
      <c r="I575" s="42"/>
      <c r="J575" s="22"/>
      <c r="K575" s="42"/>
    </row>
    <row r="576" ht="39.75" customHeight="1">
      <c r="A576" s="1">
        <v>575.0</v>
      </c>
      <c r="B576" s="2" t="s">
        <v>24</v>
      </c>
      <c r="C576" s="2"/>
      <c r="D576" s="13"/>
      <c r="E576" s="13"/>
      <c r="F576" s="45"/>
      <c r="G576" s="42"/>
      <c r="H576" s="42"/>
      <c r="I576" s="42"/>
      <c r="J576" s="22"/>
      <c r="K576" s="42"/>
    </row>
    <row r="577" ht="39.75" hidden="1" customHeight="1">
      <c r="A577" s="1">
        <v>576.0</v>
      </c>
      <c r="B577" s="2" t="s">
        <v>25</v>
      </c>
      <c r="C577" s="2" t="s">
        <v>58</v>
      </c>
      <c r="D577" s="13"/>
      <c r="E577" s="13"/>
      <c r="F577" s="45"/>
      <c r="G577" s="42"/>
      <c r="H577" s="42"/>
      <c r="I577" s="42"/>
      <c r="J577" s="22"/>
      <c r="K577" s="42"/>
    </row>
    <row r="578" ht="39.75" customHeight="1">
      <c r="A578" s="1">
        <v>577.0</v>
      </c>
      <c r="B578" s="2" t="s">
        <v>26</v>
      </c>
      <c r="C578" s="2" t="s">
        <v>69</v>
      </c>
      <c r="D578" s="13"/>
      <c r="E578" s="13"/>
      <c r="F578" s="45"/>
      <c r="G578" s="42"/>
      <c r="H578" s="42"/>
      <c r="I578" s="42"/>
      <c r="J578" s="22"/>
      <c r="K578" s="42"/>
    </row>
    <row r="579" ht="39.75" hidden="1" customHeight="1">
      <c r="A579" s="1">
        <v>578.0</v>
      </c>
      <c r="B579" s="2" t="s">
        <v>29</v>
      </c>
      <c r="C579" s="2" t="s">
        <v>58</v>
      </c>
      <c r="D579" s="13"/>
      <c r="E579" s="13"/>
      <c r="F579" s="45"/>
      <c r="G579" s="42"/>
      <c r="H579" s="42"/>
      <c r="I579" s="42"/>
      <c r="J579" s="22"/>
      <c r="K579" s="42"/>
    </row>
    <row r="580" ht="39.75" hidden="1" customHeight="1">
      <c r="A580" s="1">
        <v>579.0</v>
      </c>
      <c r="B580" s="2" t="s">
        <v>30</v>
      </c>
      <c r="C580" s="2" t="s">
        <v>58</v>
      </c>
      <c r="D580" s="13"/>
      <c r="E580" s="13"/>
      <c r="F580" s="45"/>
      <c r="G580" s="42"/>
      <c r="H580" s="42"/>
      <c r="I580" s="42"/>
      <c r="J580" s="22"/>
      <c r="K580" s="42"/>
    </row>
    <row r="581" ht="39.75" customHeight="1">
      <c r="A581" s="1">
        <v>580.0</v>
      </c>
      <c r="B581" s="2" t="s">
        <v>31</v>
      </c>
      <c r="C581" s="2" t="s">
        <v>54</v>
      </c>
      <c r="D581" s="13"/>
      <c r="E581" s="13"/>
      <c r="F581" s="44" t="s">
        <v>472</v>
      </c>
      <c r="G581" s="42"/>
      <c r="H581" s="42"/>
      <c r="I581" s="42"/>
      <c r="J581" s="22"/>
      <c r="K581" s="42"/>
    </row>
    <row r="582" ht="39.75" customHeight="1">
      <c r="A582" s="1">
        <v>581.0</v>
      </c>
      <c r="B582" s="2" t="s">
        <v>32</v>
      </c>
      <c r="C582" s="2"/>
      <c r="D582" s="13"/>
      <c r="E582" s="13"/>
      <c r="F582" s="45"/>
      <c r="G582" s="42"/>
      <c r="H582" s="42"/>
      <c r="I582" s="42"/>
      <c r="J582" s="22"/>
      <c r="K582" s="42"/>
    </row>
    <row r="583" ht="39.75" hidden="1" customHeight="1">
      <c r="A583" s="1">
        <v>582.0</v>
      </c>
      <c r="B583" s="2" t="s">
        <v>67</v>
      </c>
      <c r="C583" s="2" t="s">
        <v>66</v>
      </c>
      <c r="D583" s="13"/>
      <c r="E583" s="13"/>
      <c r="F583" s="45"/>
      <c r="G583" s="42"/>
      <c r="H583" s="42"/>
      <c r="I583" s="42"/>
      <c r="J583" s="22"/>
      <c r="K583" s="42"/>
    </row>
    <row r="584" ht="39.75" customHeight="1">
      <c r="A584" s="1">
        <v>583.0</v>
      </c>
      <c r="B584" s="2" t="s">
        <v>34</v>
      </c>
      <c r="C584" s="2"/>
      <c r="D584" s="13"/>
      <c r="E584" s="13"/>
      <c r="F584" s="44" t="s">
        <v>2125</v>
      </c>
      <c r="G584" s="43">
        <v>1.0</v>
      </c>
      <c r="H584" s="43"/>
      <c r="I584" s="43">
        <v>1.0</v>
      </c>
      <c r="J584" s="22"/>
      <c r="K584" s="42"/>
    </row>
    <row r="585" ht="39.75" customHeight="1">
      <c r="A585" s="1">
        <v>584.0</v>
      </c>
      <c r="B585" s="2" t="s">
        <v>35</v>
      </c>
      <c r="C585" s="2" t="s">
        <v>69</v>
      </c>
      <c r="D585" s="13"/>
      <c r="E585" s="13"/>
      <c r="F585" s="45"/>
      <c r="G585" s="42"/>
      <c r="H585" s="42"/>
      <c r="I585" s="42"/>
      <c r="J585" s="22"/>
      <c r="K585" s="42"/>
    </row>
    <row r="586" ht="39.75" customHeight="1">
      <c r="A586" s="1">
        <v>585.0</v>
      </c>
      <c r="B586" s="2" t="s">
        <v>36</v>
      </c>
      <c r="C586" s="13"/>
      <c r="D586" s="13"/>
      <c r="E586" s="13"/>
      <c r="F586" s="45"/>
      <c r="G586" s="42"/>
      <c r="H586" s="42"/>
      <c r="I586" s="42"/>
      <c r="J586" s="22"/>
      <c r="K586" s="42"/>
    </row>
    <row r="587" ht="39.75" customHeight="1">
      <c r="A587" s="1">
        <v>586.0</v>
      </c>
      <c r="B587" s="2" t="s">
        <v>38</v>
      </c>
      <c r="C587" s="2" t="s">
        <v>39</v>
      </c>
      <c r="D587" s="13"/>
      <c r="E587" s="13"/>
      <c r="F587" s="44" t="s">
        <v>2126</v>
      </c>
      <c r="G587" s="43">
        <v>1.0</v>
      </c>
      <c r="H587" s="42"/>
      <c r="I587" s="42"/>
      <c r="J587" s="22"/>
      <c r="K587" s="42"/>
    </row>
    <row r="588" ht="39.75" hidden="1" customHeight="1">
      <c r="A588" s="1">
        <v>587.0</v>
      </c>
      <c r="B588" s="2" t="s">
        <v>41</v>
      </c>
      <c r="C588" s="2" t="s">
        <v>58</v>
      </c>
      <c r="D588" s="13"/>
      <c r="E588" s="13"/>
      <c r="F588" s="45"/>
      <c r="G588" s="42"/>
      <c r="H588" s="42"/>
      <c r="I588" s="42"/>
      <c r="J588" s="22"/>
      <c r="K588" s="42"/>
    </row>
    <row r="589" ht="39.75" hidden="1" customHeight="1">
      <c r="A589" s="1">
        <v>588.0</v>
      </c>
      <c r="B589" s="2" t="s">
        <v>42</v>
      </c>
      <c r="C589" s="2" t="s">
        <v>58</v>
      </c>
      <c r="D589" s="13"/>
      <c r="E589" s="13"/>
      <c r="F589" s="45"/>
      <c r="G589" s="42"/>
      <c r="H589" s="42"/>
      <c r="I589" s="42"/>
      <c r="J589" s="22"/>
      <c r="K589" s="42"/>
    </row>
    <row r="590" ht="39.75" customHeight="1">
      <c r="A590" s="1">
        <v>589.0</v>
      </c>
      <c r="B590" s="2" t="s">
        <v>43</v>
      </c>
      <c r="C590" s="2" t="s">
        <v>39</v>
      </c>
      <c r="D590" s="53">
        <v>0.2708333333333333</v>
      </c>
      <c r="E590" s="13"/>
      <c r="F590" s="44" t="s">
        <v>2127</v>
      </c>
      <c r="G590" s="43">
        <v>1.0</v>
      </c>
      <c r="H590" s="42"/>
      <c r="I590" s="42"/>
      <c r="J590" s="22"/>
      <c r="K590" s="42"/>
    </row>
    <row r="591" ht="39.75" customHeight="1">
      <c r="A591" s="1">
        <v>590.0</v>
      </c>
      <c r="B591" s="2" t="s">
        <v>45</v>
      </c>
      <c r="C591" s="2" t="s">
        <v>69</v>
      </c>
      <c r="D591" s="13"/>
      <c r="E591" s="40">
        <v>0.9166666666666666</v>
      </c>
      <c r="F591" s="44" t="s">
        <v>2128</v>
      </c>
      <c r="G591" s="43">
        <v>2.0</v>
      </c>
      <c r="H591" s="42"/>
      <c r="I591" s="42"/>
      <c r="J591" s="22"/>
      <c r="K591" s="42"/>
    </row>
    <row r="592" ht="39.75" customHeight="1">
      <c r="A592" s="1">
        <v>591.0</v>
      </c>
      <c r="B592" s="2" t="s">
        <v>46</v>
      </c>
      <c r="C592" s="2" t="s">
        <v>44</v>
      </c>
      <c r="D592" s="13"/>
      <c r="E592" s="13"/>
      <c r="F592" s="45"/>
      <c r="G592" s="42"/>
      <c r="H592" s="42"/>
      <c r="I592" s="42"/>
      <c r="J592" s="22"/>
      <c r="K592" s="42"/>
    </row>
    <row r="593" ht="39.75" customHeight="1">
      <c r="A593" s="1">
        <v>592.0</v>
      </c>
      <c r="B593" s="2" t="s">
        <v>47</v>
      </c>
      <c r="C593" s="2" t="s">
        <v>27</v>
      </c>
      <c r="D593" s="13"/>
      <c r="E593" s="13"/>
      <c r="F593" s="44" t="s">
        <v>2129</v>
      </c>
      <c r="G593" s="43">
        <v>2.0</v>
      </c>
      <c r="H593" s="42"/>
      <c r="I593" s="42"/>
      <c r="J593" s="22"/>
      <c r="K593" s="42"/>
    </row>
    <row r="594" ht="39.75" customHeight="1">
      <c r="A594" s="1">
        <v>593.0</v>
      </c>
      <c r="B594" s="2" t="s">
        <v>48</v>
      </c>
      <c r="C594" s="2" t="s">
        <v>54</v>
      </c>
      <c r="D594" s="13"/>
      <c r="E594" s="13"/>
      <c r="F594" s="44" t="s">
        <v>2130</v>
      </c>
      <c r="G594" s="43">
        <v>1.0</v>
      </c>
      <c r="H594" s="42"/>
      <c r="I594" s="43">
        <v>1.0</v>
      </c>
      <c r="J594" s="22"/>
      <c r="K594" s="42"/>
    </row>
    <row r="595" ht="39.75" customHeight="1">
      <c r="A595" s="1">
        <v>594.0</v>
      </c>
      <c r="B595" s="21"/>
      <c r="C595" s="21"/>
      <c r="D595" s="21"/>
      <c r="E595" s="21"/>
      <c r="F595" s="46"/>
      <c r="G595" s="47"/>
      <c r="H595" s="47"/>
      <c r="I595" s="47"/>
      <c r="J595" s="48"/>
      <c r="K595" s="47"/>
      <c r="L595" s="49"/>
      <c r="M595" s="49"/>
      <c r="N595" s="49"/>
    </row>
    <row r="596" ht="39.75" customHeight="1">
      <c r="A596" s="1">
        <v>595.0</v>
      </c>
      <c r="B596" s="2" t="s">
        <v>12</v>
      </c>
      <c r="C596" s="2" t="s">
        <v>62</v>
      </c>
      <c r="D596" s="13"/>
      <c r="E596" s="13"/>
      <c r="F596" s="44" t="s">
        <v>2131</v>
      </c>
      <c r="G596" s="43">
        <v>1.0</v>
      </c>
      <c r="H596" s="42"/>
      <c r="I596" s="43">
        <v>1.0</v>
      </c>
      <c r="J596" s="27" t="s">
        <v>1890</v>
      </c>
      <c r="K596" s="42"/>
      <c r="L596" s="15" t="s">
        <v>376</v>
      </c>
    </row>
    <row r="597" ht="39.75" customHeight="1">
      <c r="A597" s="1">
        <v>596.0</v>
      </c>
      <c r="B597" s="2" t="s">
        <v>16</v>
      </c>
      <c r="C597" s="2" t="s">
        <v>54</v>
      </c>
      <c r="D597" s="13"/>
      <c r="E597" s="13"/>
      <c r="F597" s="45"/>
      <c r="G597" s="42"/>
      <c r="H597" s="42"/>
      <c r="I597" s="42"/>
      <c r="J597" s="27" t="s">
        <v>376</v>
      </c>
      <c r="K597" s="43"/>
    </row>
    <row r="598" ht="39.75" customHeight="1">
      <c r="A598" s="1">
        <v>597.0</v>
      </c>
      <c r="B598" s="2" t="s">
        <v>17</v>
      </c>
      <c r="C598" s="2" t="s">
        <v>54</v>
      </c>
      <c r="D598" s="13"/>
      <c r="E598" s="13"/>
      <c r="F598" s="45"/>
      <c r="G598" s="42"/>
      <c r="H598" s="42"/>
      <c r="I598" s="42"/>
      <c r="J598" s="27" t="s">
        <v>131</v>
      </c>
      <c r="K598" s="42"/>
    </row>
    <row r="599" ht="39.75" customHeight="1">
      <c r="A599" s="1">
        <v>598.0</v>
      </c>
      <c r="B599" s="2" t="s">
        <v>331</v>
      </c>
      <c r="C599" s="2" t="s">
        <v>542</v>
      </c>
      <c r="D599" s="13"/>
      <c r="E599" s="13"/>
      <c r="F599" s="44" t="s">
        <v>2132</v>
      </c>
      <c r="G599" s="42"/>
      <c r="H599" s="42"/>
      <c r="I599" s="42"/>
      <c r="J599" s="22"/>
      <c r="K599" s="42"/>
    </row>
    <row r="600" ht="39.75" customHeight="1">
      <c r="A600" s="1">
        <v>599.0</v>
      </c>
      <c r="B600" s="2" t="s">
        <v>21</v>
      </c>
      <c r="C600" s="2"/>
      <c r="D600" s="13"/>
      <c r="E600" s="13"/>
      <c r="F600" s="44" t="s">
        <v>2133</v>
      </c>
      <c r="G600" s="43">
        <v>1.0</v>
      </c>
      <c r="H600" s="42"/>
      <c r="I600" s="42"/>
      <c r="J600" s="22"/>
      <c r="K600" s="42"/>
    </row>
    <row r="601" ht="39.75" customHeight="1">
      <c r="A601" s="1">
        <v>600.0</v>
      </c>
      <c r="B601" s="2" t="s">
        <v>22</v>
      </c>
      <c r="C601" s="2"/>
      <c r="D601" s="13"/>
      <c r="E601" s="13"/>
      <c r="F601" s="45"/>
      <c r="G601" s="42"/>
      <c r="H601" s="42"/>
      <c r="I601" s="42"/>
      <c r="J601" s="22"/>
      <c r="K601" s="42"/>
    </row>
    <row r="602" ht="39.75" hidden="1" customHeight="1">
      <c r="A602" s="1">
        <v>601.0</v>
      </c>
      <c r="B602" s="2" t="s">
        <v>23</v>
      </c>
      <c r="C602" s="2" t="s">
        <v>66</v>
      </c>
      <c r="D602" s="13"/>
      <c r="E602" s="13"/>
      <c r="F602" s="45"/>
      <c r="G602" s="42"/>
      <c r="H602" s="42"/>
      <c r="I602" s="42"/>
      <c r="J602" s="22"/>
      <c r="K602" s="42"/>
    </row>
    <row r="603" ht="39.75" customHeight="1">
      <c r="A603" s="1">
        <v>602.0</v>
      </c>
      <c r="B603" s="2" t="s">
        <v>24</v>
      </c>
      <c r="C603" s="2"/>
      <c r="D603" s="13"/>
      <c r="E603" s="13"/>
      <c r="F603" s="44" t="s">
        <v>2134</v>
      </c>
      <c r="G603" s="43">
        <v>1.0</v>
      </c>
      <c r="H603" s="42"/>
      <c r="I603" s="42"/>
      <c r="J603" s="22"/>
      <c r="K603" s="42"/>
    </row>
    <row r="604" ht="39.75" hidden="1" customHeight="1">
      <c r="A604" s="1">
        <v>603.0</v>
      </c>
      <c r="B604" s="2" t="s">
        <v>25</v>
      </c>
      <c r="C604" s="2" t="s">
        <v>58</v>
      </c>
      <c r="D604" s="13"/>
      <c r="E604" s="13"/>
      <c r="F604" s="45"/>
      <c r="G604" s="42"/>
      <c r="H604" s="42"/>
      <c r="I604" s="42"/>
      <c r="J604" s="22"/>
      <c r="K604" s="42"/>
    </row>
    <row r="605" ht="39.75" customHeight="1">
      <c r="A605" s="1">
        <v>604.0</v>
      </c>
      <c r="B605" s="2" t="s">
        <v>26</v>
      </c>
      <c r="C605" s="2"/>
      <c r="D605" s="13"/>
      <c r="E605" s="13"/>
      <c r="F605" s="45"/>
      <c r="G605" s="42"/>
      <c r="H605" s="42"/>
      <c r="I605" s="42"/>
      <c r="J605" s="22"/>
      <c r="K605" s="42"/>
    </row>
    <row r="606" ht="39.75" hidden="1" customHeight="1">
      <c r="A606" s="1">
        <v>605.0</v>
      </c>
      <c r="B606" s="2" t="s">
        <v>29</v>
      </c>
      <c r="C606" s="2" t="s">
        <v>58</v>
      </c>
      <c r="D606" s="13"/>
      <c r="E606" s="13"/>
      <c r="F606" s="45"/>
      <c r="G606" s="42"/>
      <c r="H606" s="42"/>
      <c r="I606" s="42"/>
      <c r="J606" s="22"/>
      <c r="K606" s="42"/>
    </row>
    <row r="607" ht="39.75" customHeight="1">
      <c r="A607" s="1">
        <v>606.0</v>
      </c>
      <c r="B607" s="2" t="s">
        <v>30</v>
      </c>
      <c r="C607" s="2" t="s">
        <v>64</v>
      </c>
      <c r="D607" s="13"/>
      <c r="E607" s="13"/>
      <c r="F607" s="44" t="s">
        <v>2103</v>
      </c>
      <c r="G607" s="43">
        <v>1.0</v>
      </c>
      <c r="H607" s="42"/>
      <c r="I607" s="43">
        <v>1.0</v>
      </c>
      <c r="J607" s="22"/>
      <c r="K607" s="42"/>
    </row>
    <row r="608" ht="39.75" customHeight="1">
      <c r="A608" s="1">
        <v>607.0</v>
      </c>
      <c r="B608" s="2" t="s">
        <v>31</v>
      </c>
      <c r="C608" s="2" t="s">
        <v>54</v>
      </c>
      <c r="D608" s="13"/>
      <c r="E608" s="13"/>
      <c r="F608" s="44" t="s">
        <v>2135</v>
      </c>
      <c r="G608" s="43">
        <v>2.0</v>
      </c>
      <c r="H608" s="43"/>
      <c r="I608" s="43">
        <v>2.0</v>
      </c>
      <c r="J608" s="22"/>
      <c r="K608" s="42"/>
    </row>
    <row r="609" ht="39.75" customHeight="1">
      <c r="A609" s="1">
        <v>608.0</v>
      </c>
      <c r="B609" s="2" t="s">
        <v>32</v>
      </c>
      <c r="C609" s="2" t="s">
        <v>69</v>
      </c>
      <c r="D609" s="13"/>
      <c r="E609" s="13"/>
      <c r="F609" s="45"/>
      <c r="G609" s="42"/>
      <c r="H609" s="42"/>
      <c r="I609" s="42"/>
      <c r="J609" s="22"/>
      <c r="K609" s="42"/>
    </row>
    <row r="610" ht="39.75" customHeight="1">
      <c r="A610" s="1">
        <v>609.0</v>
      </c>
      <c r="B610" s="2" t="s">
        <v>67</v>
      </c>
      <c r="C610" s="2" t="s">
        <v>27</v>
      </c>
      <c r="D610" s="13"/>
      <c r="E610" s="13"/>
      <c r="F610" s="45"/>
      <c r="G610" s="42"/>
      <c r="H610" s="42"/>
      <c r="I610" s="42"/>
      <c r="J610" s="22"/>
      <c r="K610" s="42"/>
    </row>
    <row r="611" ht="39.75" customHeight="1">
      <c r="A611" s="1">
        <v>610.0</v>
      </c>
      <c r="B611" s="2" t="s">
        <v>34</v>
      </c>
      <c r="C611" s="2" t="s">
        <v>39</v>
      </c>
      <c r="D611" s="13"/>
      <c r="E611" s="13"/>
      <c r="F611" s="44" t="s">
        <v>2136</v>
      </c>
      <c r="G611" s="43"/>
      <c r="H611" s="42"/>
      <c r="I611" s="42"/>
      <c r="J611" s="22"/>
      <c r="K611" s="42"/>
    </row>
    <row r="612" ht="39.75" customHeight="1">
      <c r="A612" s="1">
        <v>611.0</v>
      </c>
      <c r="B612" s="2" t="s">
        <v>35</v>
      </c>
      <c r="C612" s="2" t="s">
        <v>69</v>
      </c>
      <c r="D612" s="13"/>
      <c r="E612" s="13"/>
      <c r="F612" s="45"/>
      <c r="G612" s="42"/>
      <c r="H612" s="42"/>
      <c r="I612" s="42"/>
      <c r="J612" s="22"/>
      <c r="K612" s="42"/>
    </row>
    <row r="613" ht="39.75" customHeight="1">
      <c r="A613" s="1">
        <v>612.0</v>
      </c>
      <c r="B613" s="2" t="s">
        <v>36</v>
      </c>
      <c r="C613" s="13"/>
      <c r="D613" s="13"/>
      <c r="E613" s="13"/>
      <c r="F613" s="45"/>
      <c r="G613" s="42"/>
      <c r="H613" s="42"/>
      <c r="I613" s="42"/>
      <c r="J613" s="22"/>
      <c r="K613" s="42"/>
    </row>
    <row r="614" ht="39.75" customHeight="1">
      <c r="A614" s="1">
        <v>613.0</v>
      </c>
      <c r="B614" s="2" t="s">
        <v>38</v>
      </c>
      <c r="C614" s="2" t="s">
        <v>69</v>
      </c>
      <c r="D614" s="13"/>
      <c r="E614" s="13"/>
      <c r="F614" s="61" t="s">
        <v>2137</v>
      </c>
      <c r="G614" s="43">
        <v>1.0</v>
      </c>
      <c r="H614" s="42"/>
      <c r="I614" s="42"/>
      <c r="J614" s="22"/>
      <c r="K614" s="42"/>
    </row>
    <row r="615" ht="39.75" hidden="1" customHeight="1">
      <c r="A615" s="1">
        <v>614.0</v>
      </c>
      <c r="B615" s="2" t="s">
        <v>41</v>
      </c>
      <c r="C615" s="2" t="s">
        <v>58</v>
      </c>
      <c r="D615" s="13"/>
      <c r="E615" s="13"/>
      <c r="F615" s="45"/>
      <c r="G615" s="42"/>
      <c r="H615" s="42"/>
      <c r="I615" s="42"/>
      <c r="J615" s="22"/>
      <c r="K615" s="42"/>
    </row>
    <row r="616" ht="39.75" customHeight="1">
      <c r="A616" s="1">
        <v>615.0</v>
      </c>
      <c r="B616" s="2" t="s">
        <v>42</v>
      </c>
      <c r="C616" s="2" t="s">
        <v>39</v>
      </c>
      <c r="D616" s="13"/>
      <c r="E616" s="13"/>
      <c r="F616" s="44" t="s">
        <v>2138</v>
      </c>
      <c r="G616" s="43"/>
      <c r="H616" s="42"/>
      <c r="I616" s="42"/>
      <c r="J616" s="22"/>
      <c r="K616" s="42"/>
    </row>
    <row r="617" ht="39.75" hidden="1" customHeight="1">
      <c r="A617" s="1">
        <v>616.0</v>
      </c>
      <c r="B617" s="2" t="s">
        <v>43</v>
      </c>
      <c r="C617" s="2" t="s">
        <v>58</v>
      </c>
      <c r="D617" s="13"/>
      <c r="E617" s="13"/>
      <c r="F617" s="45"/>
      <c r="G617" s="42"/>
      <c r="H617" s="42"/>
      <c r="I617" s="42"/>
      <c r="J617" s="22"/>
      <c r="K617" s="42"/>
    </row>
    <row r="618" ht="39.75" customHeight="1">
      <c r="A618" s="1">
        <v>617.0</v>
      </c>
      <c r="B618" s="2" t="s">
        <v>45</v>
      </c>
      <c r="C618" s="2"/>
      <c r="D618" s="13"/>
      <c r="E618" s="13"/>
      <c r="F618" s="45"/>
      <c r="G618" s="42"/>
      <c r="H618" s="42"/>
      <c r="I618" s="42"/>
      <c r="J618" s="22"/>
      <c r="K618" s="42"/>
    </row>
    <row r="619" ht="39.75" hidden="1" customHeight="1">
      <c r="A619" s="1">
        <v>618.0</v>
      </c>
      <c r="B619" s="2" t="s">
        <v>46</v>
      </c>
      <c r="C619" s="2" t="s">
        <v>58</v>
      </c>
      <c r="D619" s="13"/>
      <c r="E619" s="13"/>
      <c r="F619" s="45"/>
      <c r="G619" s="42"/>
      <c r="H619" s="42"/>
      <c r="I619" s="42"/>
      <c r="J619" s="22"/>
      <c r="K619" s="42"/>
    </row>
    <row r="620" ht="39.75" customHeight="1">
      <c r="A620" s="1">
        <v>619.0</v>
      </c>
      <c r="B620" s="2" t="s">
        <v>47</v>
      </c>
      <c r="C620" s="2" t="s">
        <v>44</v>
      </c>
      <c r="D620" s="13"/>
      <c r="E620" s="55">
        <v>0.3611111111111111</v>
      </c>
      <c r="F620" s="52" t="s">
        <v>2139</v>
      </c>
      <c r="G620" s="56">
        <v>1.0</v>
      </c>
      <c r="H620" s="42"/>
      <c r="I620" s="42"/>
      <c r="J620" s="22"/>
      <c r="K620" s="42"/>
    </row>
    <row r="621" ht="39.75" customHeight="1">
      <c r="A621" s="1">
        <v>620.0</v>
      </c>
      <c r="B621" s="2" t="s">
        <v>48</v>
      </c>
      <c r="C621" s="2" t="s">
        <v>54</v>
      </c>
      <c r="D621" s="13"/>
      <c r="E621" s="40">
        <v>0.7777777777777778</v>
      </c>
      <c r="F621" s="44" t="s">
        <v>2140</v>
      </c>
      <c r="G621" s="43">
        <v>1.0</v>
      </c>
      <c r="H621" s="42"/>
      <c r="I621" s="42"/>
      <c r="J621" s="22"/>
      <c r="K621" s="42"/>
    </row>
    <row r="622" ht="39.75" customHeight="1">
      <c r="A622" s="1">
        <v>621.0</v>
      </c>
      <c r="B622" s="21"/>
      <c r="C622" s="21"/>
      <c r="D622" s="21"/>
      <c r="E622" s="21"/>
      <c r="F622" s="46"/>
      <c r="G622" s="47"/>
      <c r="H622" s="47"/>
      <c r="I622" s="47"/>
      <c r="J622" s="48"/>
      <c r="K622" s="47"/>
      <c r="L622" s="49"/>
      <c r="M622" s="49"/>
      <c r="N622" s="49"/>
    </row>
    <row r="623" ht="39.75" customHeight="1">
      <c r="A623" s="1">
        <v>622.0</v>
      </c>
      <c r="B623" s="2" t="s">
        <v>268</v>
      </c>
      <c r="C623" s="2" t="s">
        <v>63</v>
      </c>
      <c r="D623" s="13"/>
      <c r="E623" s="13"/>
      <c r="F623" s="45"/>
      <c r="G623" s="42"/>
      <c r="H623" s="42"/>
      <c r="I623" s="42"/>
      <c r="J623" s="27" t="s">
        <v>1890</v>
      </c>
      <c r="K623" s="42"/>
      <c r="L623" s="15" t="s">
        <v>389</v>
      </c>
    </row>
    <row r="624" ht="39.75" hidden="1" customHeight="1">
      <c r="A624" s="1">
        <v>623.0</v>
      </c>
      <c r="B624" s="2" t="s">
        <v>16</v>
      </c>
      <c r="C624" s="2" t="s">
        <v>13</v>
      </c>
      <c r="D624" s="13"/>
      <c r="E624" s="13"/>
      <c r="F624" s="45"/>
      <c r="G624" s="42"/>
      <c r="H624" s="42"/>
      <c r="I624" s="42"/>
      <c r="J624" s="27" t="s">
        <v>389</v>
      </c>
      <c r="K624" s="43"/>
    </row>
    <row r="625" ht="39.75" customHeight="1">
      <c r="A625" s="1">
        <v>624.0</v>
      </c>
      <c r="B625" s="2" t="s">
        <v>263</v>
      </c>
      <c r="C625" s="2" t="s">
        <v>272</v>
      </c>
      <c r="D625" s="13"/>
      <c r="E625" s="13"/>
      <c r="F625" s="44" t="s">
        <v>2141</v>
      </c>
      <c r="G625" s="43">
        <v>1.0</v>
      </c>
      <c r="H625" s="43">
        <v>1.0</v>
      </c>
      <c r="I625" s="43">
        <v>1.0</v>
      </c>
      <c r="J625" s="27" t="s">
        <v>149</v>
      </c>
      <c r="K625" s="42"/>
    </row>
    <row r="626" ht="39.75" hidden="1" customHeight="1">
      <c r="A626" s="1">
        <v>625.0</v>
      </c>
      <c r="B626" s="2" t="s">
        <v>331</v>
      </c>
      <c r="C626" s="2" t="s">
        <v>13</v>
      </c>
      <c r="D626" s="13"/>
      <c r="E626" s="13"/>
      <c r="F626" s="44"/>
      <c r="G626" s="42"/>
      <c r="H626" s="42"/>
      <c r="I626" s="42"/>
      <c r="J626" s="27" t="s">
        <v>410</v>
      </c>
      <c r="K626" s="42"/>
    </row>
    <row r="627" ht="39.75" hidden="1" customHeight="1">
      <c r="A627" s="1">
        <v>626.0</v>
      </c>
      <c r="B627" s="2" t="s">
        <v>21</v>
      </c>
      <c r="C627" s="2" t="s">
        <v>13</v>
      </c>
      <c r="D627" s="13"/>
      <c r="E627" s="13"/>
      <c r="F627" s="45"/>
      <c r="G627" s="42"/>
      <c r="H627" s="42"/>
      <c r="I627" s="42"/>
      <c r="J627" s="27" t="s">
        <v>412</v>
      </c>
      <c r="K627" s="42"/>
    </row>
    <row r="628" ht="39.75" customHeight="1">
      <c r="A628" s="1">
        <v>627.0</v>
      </c>
      <c r="B628" s="2" t="s">
        <v>22</v>
      </c>
      <c r="C628" s="2" t="s">
        <v>49</v>
      </c>
      <c r="D628" s="13"/>
      <c r="E628" s="13"/>
      <c r="F628" s="45"/>
      <c r="G628" s="42"/>
      <c r="H628" s="42"/>
      <c r="I628" s="42"/>
      <c r="J628" s="27" t="s">
        <v>413</v>
      </c>
      <c r="K628" s="42"/>
    </row>
    <row r="629" ht="39.75" hidden="1" customHeight="1">
      <c r="A629" s="1">
        <v>628.0</v>
      </c>
      <c r="B629" s="2" t="s">
        <v>23</v>
      </c>
      <c r="C629" s="2" t="s">
        <v>13</v>
      </c>
      <c r="D629" s="13"/>
      <c r="E629" s="13"/>
      <c r="F629" s="45"/>
      <c r="G629" s="42"/>
      <c r="H629" s="42"/>
      <c r="I629" s="42"/>
      <c r="J629" s="22"/>
      <c r="K629" s="42"/>
    </row>
    <row r="630" ht="39.75" hidden="1" customHeight="1">
      <c r="A630" s="1">
        <v>629.0</v>
      </c>
      <c r="B630" s="2" t="s">
        <v>24</v>
      </c>
      <c r="C630" s="2" t="s">
        <v>13</v>
      </c>
      <c r="D630" s="13"/>
      <c r="E630" s="13"/>
      <c r="F630" s="45"/>
      <c r="G630" s="42"/>
      <c r="H630" s="42"/>
      <c r="I630" s="42"/>
      <c r="J630" s="22"/>
      <c r="K630" s="42"/>
    </row>
    <row r="631" ht="39.75" hidden="1" customHeight="1">
      <c r="A631" s="1">
        <v>630.0</v>
      </c>
      <c r="B631" s="2" t="s">
        <v>25</v>
      </c>
      <c r="C631" s="2" t="s">
        <v>13</v>
      </c>
      <c r="D631" s="13"/>
      <c r="E631" s="13"/>
      <c r="F631" s="45"/>
      <c r="G631" s="42"/>
      <c r="H631" s="42"/>
      <c r="I631" s="42"/>
      <c r="J631" s="22"/>
      <c r="K631" s="42"/>
    </row>
    <row r="632" ht="39.75" hidden="1" customHeight="1">
      <c r="A632" s="1">
        <v>631.0</v>
      </c>
      <c r="B632" s="2" t="s">
        <v>26</v>
      </c>
      <c r="C632" s="2" t="s">
        <v>13</v>
      </c>
      <c r="D632" s="13"/>
      <c r="E632" s="13"/>
      <c r="F632" s="45"/>
      <c r="G632" s="42"/>
      <c r="H632" s="42"/>
      <c r="I632" s="42"/>
      <c r="J632" s="22"/>
      <c r="K632" s="42"/>
    </row>
    <row r="633" ht="39.75" hidden="1" customHeight="1">
      <c r="A633" s="1">
        <v>632.0</v>
      </c>
      <c r="B633" s="2" t="s">
        <v>29</v>
      </c>
      <c r="C633" s="2" t="s">
        <v>13</v>
      </c>
      <c r="D633" s="13"/>
      <c r="E633" s="13"/>
      <c r="F633" s="45"/>
      <c r="G633" s="42"/>
      <c r="H633" s="42"/>
      <c r="I633" s="42"/>
      <c r="J633" s="22"/>
      <c r="K633" s="42"/>
    </row>
    <row r="634" ht="39.75" hidden="1" customHeight="1">
      <c r="A634" s="1">
        <v>633.0</v>
      </c>
      <c r="B634" s="2" t="s">
        <v>30</v>
      </c>
      <c r="C634" s="2" t="s">
        <v>13</v>
      </c>
      <c r="D634" s="13"/>
      <c r="E634" s="13"/>
      <c r="F634" s="45"/>
      <c r="G634" s="42"/>
      <c r="H634" s="42"/>
      <c r="I634" s="42"/>
      <c r="J634" s="22"/>
      <c r="K634" s="42"/>
    </row>
    <row r="635" ht="39.75" customHeight="1">
      <c r="A635" s="1">
        <v>634.0</v>
      </c>
      <c r="B635" s="2" t="s">
        <v>33</v>
      </c>
      <c r="C635" s="2" t="s">
        <v>272</v>
      </c>
      <c r="D635" s="13"/>
      <c r="E635" s="13"/>
      <c r="F635" s="44" t="s">
        <v>1268</v>
      </c>
      <c r="G635" s="43">
        <v>1.0</v>
      </c>
      <c r="H635" s="42"/>
      <c r="I635" s="43">
        <v>1.0</v>
      </c>
      <c r="J635" s="22"/>
      <c r="K635" s="42"/>
    </row>
    <row r="636" ht="39.75" customHeight="1">
      <c r="A636" s="1">
        <v>635.0</v>
      </c>
      <c r="B636" s="2" t="s">
        <v>32</v>
      </c>
      <c r="C636" s="2"/>
      <c r="D636" s="40">
        <v>0.375</v>
      </c>
      <c r="E636" s="13"/>
      <c r="F636" s="44" t="s">
        <v>2142</v>
      </c>
      <c r="G636" s="43">
        <v>1.0</v>
      </c>
      <c r="H636" s="42"/>
      <c r="I636" s="42"/>
      <c r="J636" s="22"/>
      <c r="K636" s="42"/>
    </row>
    <row r="637" ht="39.75" customHeight="1">
      <c r="A637" s="1">
        <v>636.0</v>
      </c>
      <c r="B637" s="2" t="s">
        <v>67</v>
      </c>
      <c r="C637" s="2" t="s">
        <v>44</v>
      </c>
      <c r="D637" s="13"/>
      <c r="E637" s="13"/>
      <c r="F637" s="45"/>
      <c r="G637" s="42"/>
      <c r="H637" s="42"/>
      <c r="I637" s="42"/>
      <c r="J637" s="22"/>
      <c r="K637" s="42"/>
    </row>
    <row r="638" ht="39.75" hidden="1" customHeight="1">
      <c r="A638" s="1">
        <v>637.0</v>
      </c>
      <c r="B638" s="2" t="s">
        <v>34</v>
      </c>
      <c r="C638" s="2" t="s">
        <v>13</v>
      </c>
      <c r="D638" s="13"/>
      <c r="E638" s="13"/>
      <c r="F638" s="45"/>
      <c r="G638" s="42"/>
      <c r="H638" s="42"/>
      <c r="I638" s="42"/>
      <c r="J638" s="22"/>
      <c r="K638" s="42"/>
    </row>
    <row r="639" ht="39.75" hidden="1" customHeight="1">
      <c r="A639" s="1">
        <v>638.0</v>
      </c>
      <c r="B639" s="2" t="s">
        <v>35</v>
      </c>
      <c r="C639" s="2" t="s">
        <v>13</v>
      </c>
      <c r="D639" s="13"/>
      <c r="E639" s="13"/>
      <c r="F639" s="45"/>
      <c r="G639" s="42"/>
      <c r="H639" s="42"/>
      <c r="I639" s="42"/>
      <c r="J639" s="22"/>
      <c r="K639" s="42"/>
    </row>
    <row r="640" ht="39.75" customHeight="1">
      <c r="A640" s="1">
        <v>639.0</v>
      </c>
      <c r="B640" s="2" t="s">
        <v>36</v>
      </c>
      <c r="C640" s="13"/>
      <c r="D640" s="40">
        <v>0.375</v>
      </c>
      <c r="E640" s="13"/>
      <c r="F640" s="44" t="s">
        <v>2143</v>
      </c>
      <c r="G640" s="43">
        <v>1.0</v>
      </c>
      <c r="H640" s="42"/>
      <c r="I640" s="42"/>
      <c r="J640" s="22"/>
      <c r="K640" s="42"/>
    </row>
    <row r="641" ht="39.75" hidden="1" customHeight="1">
      <c r="A641" s="1">
        <v>640.0</v>
      </c>
      <c r="B641" s="2" t="s">
        <v>38</v>
      </c>
      <c r="C641" s="2" t="s">
        <v>13</v>
      </c>
      <c r="D641" s="13"/>
      <c r="E641" s="13"/>
      <c r="F641" s="45"/>
      <c r="G641" s="42"/>
      <c r="H641" s="42"/>
      <c r="I641" s="42"/>
      <c r="J641" s="22"/>
      <c r="K641" s="42"/>
    </row>
    <row r="642" ht="39.75" hidden="1" customHeight="1">
      <c r="A642" s="1">
        <v>641.0</v>
      </c>
      <c r="B642" s="2" t="s">
        <v>41</v>
      </c>
      <c r="C642" s="2" t="s">
        <v>13</v>
      </c>
      <c r="D642" s="13"/>
      <c r="E642" s="13"/>
      <c r="F642" s="45"/>
      <c r="G642" s="42"/>
      <c r="H642" s="42"/>
      <c r="I642" s="42"/>
      <c r="J642" s="22"/>
      <c r="K642" s="42"/>
    </row>
    <row r="643" ht="39.75" customHeight="1">
      <c r="A643" s="1">
        <v>642.0</v>
      </c>
      <c r="B643" s="2" t="s">
        <v>42</v>
      </c>
      <c r="C643" s="2" t="s">
        <v>39</v>
      </c>
      <c r="D643" s="13"/>
      <c r="E643" s="13"/>
      <c r="F643" s="44" t="s">
        <v>2144</v>
      </c>
      <c r="G643" s="43">
        <v>1.0</v>
      </c>
      <c r="H643" s="42"/>
      <c r="I643" s="43">
        <v>1.0</v>
      </c>
      <c r="J643" s="22"/>
      <c r="K643" s="42"/>
    </row>
    <row r="644" ht="39.75" hidden="1" customHeight="1">
      <c r="A644" s="1">
        <v>643.0</v>
      </c>
      <c r="B644" s="2" t="s">
        <v>43</v>
      </c>
      <c r="C644" s="2" t="s">
        <v>13</v>
      </c>
      <c r="D644" s="13"/>
      <c r="E644" s="13"/>
      <c r="F644" s="45"/>
      <c r="G644" s="42"/>
      <c r="H644" s="42"/>
      <c r="I644" s="42"/>
      <c r="J644" s="22"/>
      <c r="K644" s="42"/>
    </row>
    <row r="645" ht="39.75" hidden="1" customHeight="1">
      <c r="A645" s="1">
        <v>644.0</v>
      </c>
      <c r="B645" s="2" t="s">
        <v>45</v>
      </c>
      <c r="C645" s="2" t="s">
        <v>13</v>
      </c>
      <c r="D645" s="13"/>
      <c r="E645" s="13"/>
      <c r="F645" s="45"/>
      <c r="G645" s="42"/>
      <c r="H645" s="42"/>
      <c r="I645" s="42"/>
      <c r="J645" s="22"/>
      <c r="K645" s="42"/>
    </row>
    <row r="646" ht="39.75" hidden="1" customHeight="1">
      <c r="A646" s="1">
        <v>645.0</v>
      </c>
      <c r="B646" s="2" t="s">
        <v>46</v>
      </c>
      <c r="C646" s="2" t="s">
        <v>13</v>
      </c>
      <c r="D646" s="13"/>
      <c r="E646" s="13"/>
      <c r="F646" s="45"/>
      <c r="G646" s="42"/>
      <c r="H646" s="42"/>
      <c r="I646" s="42"/>
      <c r="J646" s="22"/>
      <c r="K646" s="42"/>
    </row>
    <row r="647" ht="39.75" customHeight="1">
      <c r="A647" s="1">
        <v>646.0</v>
      </c>
      <c r="B647" s="2" t="s">
        <v>47</v>
      </c>
      <c r="C647" s="2" t="s">
        <v>27</v>
      </c>
      <c r="D647" s="13"/>
      <c r="E647" s="13"/>
      <c r="F647" s="44" t="s">
        <v>2145</v>
      </c>
      <c r="G647" s="43">
        <v>1.0</v>
      </c>
      <c r="H647" s="42"/>
      <c r="I647" s="42"/>
      <c r="J647" s="22"/>
      <c r="K647" s="42"/>
    </row>
    <row r="648" ht="39.75" hidden="1" customHeight="1">
      <c r="A648" s="1">
        <v>647.0</v>
      </c>
      <c r="B648" s="2" t="s">
        <v>48</v>
      </c>
      <c r="C648" s="2" t="s">
        <v>13</v>
      </c>
      <c r="D648" s="13"/>
      <c r="E648" s="13"/>
      <c r="F648" s="45"/>
      <c r="G648" s="42"/>
      <c r="H648" s="42"/>
      <c r="I648" s="42"/>
      <c r="J648" s="22"/>
      <c r="K648" s="42"/>
    </row>
    <row r="649" ht="39.75" customHeight="1">
      <c r="A649" s="1">
        <v>648.0</v>
      </c>
      <c r="B649" s="21"/>
      <c r="C649" s="21"/>
      <c r="D649" s="21"/>
      <c r="E649" s="21"/>
      <c r="F649" s="46"/>
      <c r="G649" s="47"/>
      <c r="H649" s="47"/>
      <c r="I649" s="47"/>
      <c r="J649" s="48"/>
      <c r="K649" s="47"/>
      <c r="L649" s="49"/>
      <c r="M649" s="49"/>
      <c r="N649" s="49"/>
    </row>
    <row r="650" ht="39.75" customHeight="1">
      <c r="A650" s="1">
        <v>649.0</v>
      </c>
      <c r="B650" s="2" t="s">
        <v>268</v>
      </c>
      <c r="C650" s="2" t="s">
        <v>63</v>
      </c>
      <c r="D650" s="13"/>
      <c r="E650" s="13"/>
      <c r="F650" s="45"/>
      <c r="G650" s="42"/>
      <c r="H650" s="42"/>
      <c r="I650" s="42"/>
      <c r="J650" s="27" t="s">
        <v>1890</v>
      </c>
      <c r="K650" s="42"/>
      <c r="L650" s="15" t="s">
        <v>406</v>
      </c>
    </row>
    <row r="651" ht="39.75" hidden="1" customHeight="1">
      <c r="A651" s="1">
        <v>650.0</v>
      </c>
      <c r="B651" s="2" t="s">
        <v>16</v>
      </c>
      <c r="C651" s="2" t="s">
        <v>13</v>
      </c>
      <c r="D651" s="13"/>
      <c r="E651" s="13"/>
      <c r="F651" s="45"/>
      <c r="G651" s="42"/>
      <c r="H651" s="42"/>
      <c r="I651" s="42"/>
      <c r="J651" s="27" t="s">
        <v>406</v>
      </c>
      <c r="K651" s="43"/>
    </row>
    <row r="652" ht="39.75" customHeight="1">
      <c r="A652" s="1">
        <v>651.0</v>
      </c>
      <c r="B652" s="2" t="s">
        <v>17</v>
      </c>
      <c r="C652" s="2"/>
      <c r="D652" s="40">
        <v>0.375</v>
      </c>
      <c r="E652" s="13"/>
      <c r="F652" s="44" t="s">
        <v>2146</v>
      </c>
      <c r="G652" s="43">
        <v>1.0</v>
      </c>
      <c r="H652" s="42"/>
      <c r="I652" s="42"/>
      <c r="J652" s="27" t="s">
        <v>19</v>
      </c>
      <c r="K652" s="42"/>
    </row>
    <row r="653" ht="39.75" customHeight="1">
      <c r="A653" s="1">
        <v>652.0</v>
      </c>
      <c r="B653" s="2" t="s">
        <v>331</v>
      </c>
      <c r="C653" s="2" t="s">
        <v>39</v>
      </c>
      <c r="D653" s="13"/>
      <c r="E653" s="13"/>
      <c r="F653" s="44" t="s">
        <v>2147</v>
      </c>
      <c r="G653" s="43">
        <v>1.0</v>
      </c>
      <c r="H653" s="42"/>
      <c r="I653" s="43">
        <v>1.0</v>
      </c>
      <c r="J653" s="27" t="s">
        <v>165</v>
      </c>
      <c r="K653" s="42"/>
    </row>
    <row r="654" ht="39.75" customHeight="1">
      <c r="A654" s="1">
        <v>653.0</v>
      </c>
      <c r="B654" s="2" t="s">
        <v>263</v>
      </c>
      <c r="C654" s="2" t="s">
        <v>272</v>
      </c>
      <c r="D654" s="13"/>
      <c r="E654" s="13"/>
      <c r="F654" s="44" t="s">
        <v>2141</v>
      </c>
      <c r="G654" s="43">
        <v>1.0</v>
      </c>
      <c r="H654" s="43">
        <v>1.0</v>
      </c>
      <c r="I654" s="43">
        <v>1.0</v>
      </c>
      <c r="J654" s="27" t="s">
        <v>166</v>
      </c>
      <c r="K654" s="42"/>
    </row>
    <row r="655" ht="39.75" hidden="1" customHeight="1">
      <c r="A655" s="1">
        <v>654.0</v>
      </c>
      <c r="B655" s="2" t="s">
        <v>22</v>
      </c>
      <c r="C655" s="2" t="s">
        <v>13</v>
      </c>
      <c r="D655" s="13"/>
      <c r="E655" s="13"/>
      <c r="F655" s="45"/>
      <c r="G655" s="42"/>
      <c r="H655" s="42"/>
      <c r="I655" s="42"/>
      <c r="J655" s="27" t="s">
        <v>167</v>
      </c>
      <c r="K655" s="42"/>
    </row>
    <row r="656" ht="39.75" hidden="1" customHeight="1">
      <c r="A656" s="1">
        <v>655.0</v>
      </c>
      <c r="B656" s="2" t="s">
        <v>23</v>
      </c>
      <c r="C656" s="2" t="s">
        <v>13</v>
      </c>
      <c r="D656" s="13"/>
      <c r="E656" s="13"/>
      <c r="F656" s="45"/>
      <c r="G656" s="42"/>
      <c r="H656" s="42"/>
      <c r="I656" s="42"/>
      <c r="J656" s="22"/>
      <c r="K656" s="42"/>
    </row>
    <row r="657" ht="39.75" hidden="1" customHeight="1">
      <c r="A657" s="1">
        <v>656.0</v>
      </c>
      <c r="B657" s="2" t="s">
        <v>24</v>
      </c>
      <c r="C657" s="2" t="s">
        <v>13</v>
      </c>
      <c r="D657" s="13"/>
      <c r="E657" s="13"/>
      <c r="F657" s="45"/>
      <c r="G657" s="42"/>
      <c r="H657" s="42"/>
      <c r="I657" s="42"/>
      <c r="J657" s="22"/>
      <c r="K657" s="42"/>
    </row>
    <row r="658" ht="39.75" hidden="1" customHeight="1">
      <c r="A658" s="1">
        <v>657.0</v>
      </c>
      <c r="B658" s="2" t="s">
        <v>25</v>
      </c>
      <c r="C658" s="2" t="s">
        <v>13</v>
      </c>
      <c r="D658" s="13"/>
      <c r="E658" s="13"/>
      <c r="F658" s="45"/>
      <c r="G658" s="42"/>
      <c r="H658" s="42"/>
      <c r="I658" s="42"/>
      <c r="J658" s="22"/>
      <c r="K658" s="42"/>
    </row>
    <row r="659" ht="39.75" hidden="1" customHeight="1">
      <c r="A659" s="1">
        <v>658.0</v>
      </c>
      <c r="B659" s="2" t="s">
        <v>26</v>
      </c>
      <c r="C659" s="2" t="s">
        <v>13</v>
      </c>
      <c r="D659" s="13"/>
      <c r="E659" s="13"/>
      <c r="F659" s="45"/>
      <c r="G659" s="42"/>
      <c r="H659" s="42"/>
      <c r="I659" s="42"/>
      <c r="J659" s="22"/>
      <c r="K659" s="42"/>
    </row>
    <row r="660" ht="39.75" hidden="1" customHeight="1">
      <c r="A660" s="1">
        <v>659.0</v>
      </c>
      <c r="B660" s="2" t="s">
        <v>29</v>
      </c>
      <c r="C660" s="2" t="s">
        <v>13</v>
      </c>
      <c r="D660" s="13"/>
      <c r="E660" s="13"/>
      <c r="F660" s="45"/>
      <c r="G660" s="42"/>
      <c r="H660" s="42"/>
      <c r="I660" s="42"/>
      <c r="J660" s="22"/>
      <c r="K660" s="42"/>
    </row>
    <row r="661" ht="39.75" hidden="1" customHeight="1">
      <c r="A661" s="1">
        <v>660.0</v>
      </c>
      <c r="B661" s="2" t="s">
        <v>30</v>
      </c>
      <c r="C661" s="2" t="s">
        <v>13</v>
      </c>
      <c r="D661" s="13"/>
      <c r="E661" s="13"/>
      <c r="F661" s="45"/>
      <c r="G661" s="42"/>
      <c r="H661" s="42"/>
      <c r="I661" s="42"/>
      <c r="J661" s="22"/>
      <c r="K661" s="42"/>
    </row>
    <row r="662" ht="39.75" hidden="1" customHeight="1">
      <c r="A662" s="1">
        <v>661.0</v>
      </c>
      <c r="B662" s="2" t="s">
        <v>31</v>
      </c>
      <c r="C662" s="2" t="s">
        <v>13</v>
      </c>
      <c r="D662" s="13"/>
      <c r="E662" s="13"/>
      <c r="F662" s="45"/>
      <c r="G662" s="42"/>
      <c r="H662" s="42"/>
      <c r="I662" s="42"/>
      <c r="J662" s="22"/>
      <c r="K662" s="42"/>
    </row>
    <row r="663" ht="39.75" hidden="1" customHeight="1">
      <c r="A663" s="1">
        <v>662.0</v>
      </c>
      <c r="B663" s="2" t="s">
        <v>32</v>
      </c>
      <c r="C663" s="2" t="s">
        <v>13</v>
      </c>
      <c r="D663" s="13"/>
      <c r="E663" s="13"/>
      <c r="F663" s="45"/>
      <c r="G663" s="42"/>
      <c r="H663" s="42"/>
      <c r="I663" s="42"/>
      <c r="J663" s="22"/>
      <c r="K663" s="42"/>
    </row>
    <row r="664" ht="39.75" hidden="1" customHeight="1">
      <c r="A664" s="1">
        <v>663.0</v>
      </c>
      <c r="B664" s="2" t="s">
        <v>67</v>
      </c>
      <c r="C664" s="2" t="s">
        <v>13</v>
      </c>
      <c r="D664" s="13"/>
      <c r="E664" s="13"/>
      <c r="F664" s="45"/>
      <c r="G664" s="42"/>
      <c r="H664" s="42"/>
      <c r="I664" s="42"/>
      <c r="J664" s="22"/>
      <c r="K664" s="42"/>
    </row>
    <row r="665" ht="39.75" customHeight="1">
      <c r="A665" s="1">
        <v>664.0</v>
      </c>
      <c r="B665" s="2" t="s">
        <v>34</v>
      </c>
      <c r="C665" s="2" t="s">
        <v>49</v>
      </c>
      <c r="D665" s="53">
        <v>0.3541666666666667</v>
      </c>
      <c r="E665" s="51">
        <v>0.8541666666666666</v>
      </c>
      <c r="F665" s="44" t="s">
        <v>2148</v>
      </c>
      <c r="G665" s="43">
        <v>1.0</v>
      </c>
      <c r="H665" s="43">
        <v>1.0</v>
      </c>
      <c r="I665" s="42"/>
      <c r="J665" s="22"/>
      <c r="K665" s="42"/>
    </row>
    <row r="666" ht="39.75" hidden="1" customHeight="1">
      <c r="A666" s="1">
        <v>665.0</v>
      </c>
      <c r="B666" s="2" t="s">
        <v>35</v>
      </c>
      <c r="C666" s="2" t="s">
        <v>13</v>
      </c>
      <c r="D666" s="13"/>
      <c r="E666" s="13"/>
      <c r="F666" s="45"/>
      <c r="G666" s="42"/>
      <c r="H666" s="42"/>
      <c r="I666" s="42"/>
      <c r="J666" s="22"/>
      <c r="K666" s="42"/>
    </row>
    <row r="667" ht="39.75" hidden="1" customHeight="1">
      <c r="A667" s="1">
        <v>666.0</v>
      </c>
      <c r="B667" s="2" t="s">
        <v>36</v>
      </c>
      <c r="C667" s="2" t="s">
        <v>13</v>
      </c>
      <c r="D667" s="13"/>
      <c r="E667" s="13"/>
      <c r="F667" s="45"/>
      <c r="G667" s="42"/>
      <c r="H667" s="42"/>
      <c r="I667" s="42"/>
      <c r="J667" s="22"/>
      <c r="K667" s="42"/>
    </row>
    <row r="668" ht="39.75" hidden="1" customHeight="1">
      <c r="A668" s="1">
        <v>667.0</v>
      </c>
      <c r="B668" s="2" t="s">
        <v>38</v>
      </c>
      <c r="C668" s="2" t="s">
        <v>13</v>
      </c>
      <c r="D668" s="13"/>
      <c r="E668" s="13"/>
      <c r="F668" s="45"/>
      <c r="G668" s="42"/>
      <c r="H668" s="42"/>
      <c r="I668" s="42"/>
      <c r="J668" s="22"/>
      <c r="K668" s="42"/>
    </row>
    <row r="669" ht="39.75" hidden="1" customHeight="1">
      <c r="A669" s="1">
        <v>668.0</v>
      </c>
      <c r="B669" s="2" t="s">
        <v>41</v>
      </c>
      <c r="C669" s="2" t="s">
        <v>13</v>
      </c>
      <c r="D669" s="13"/>
      <c r="E669" s="13"/>
      <c r="F669" s="45"/>
      <c r="G669" s="42"/>
      <c r="H669" s="42"/>
      <c r="I669" s="42"/>
      <c r="J669" s="22"/>
      <c r="K669" s="42"/>
    </row>
    <row r="670" ht="39.75" customHeight="1">
      <c r="A670" s="1">
        <v>669.0</v>
      </c>
      <c r="B670" s="2" t="s">
        <v>42</v>
      </c>
      <c r="C670" s="2" t="s">
        <v>27</v>
      </c>
      <c r="D670" s="13"/>
      <c r="E670" s="13"/>
      <c r="F670" s="45"/>
      <c r="G670" s="42"/>
      <c r="H670" s="42"/>
      <c r="I670" s="42"/>
      <c r="J670" s="22"/>
      <c r="K670" s="42"/>
    </row>
    <row r="671" ht="39.75" customHeight="1">
      <c r="A671" s="1">
        <v>670.0</v>
      </c>
      <c r="B671" s="2" t="s">
        <v>267</v>
      </c>
      <c r="C671" s="2" t="s">
        <v>272</v>
      </c>
      <c r="D671" s="13"/>
      <c r="E671" s="13"/>
      <c r="F671" s="44" t="s">
        <v>1186</v>
      </c>
      <c r="G671" s="43">
        <v>1.0</v>
      </c>
      <c r="H671" s="42"/>
      <c r="I671" s="43">
        <v>1.0</v>
      </c>
      <c r="J671" s="22"/>
      <c r="K671" s="42"/>
    </row>
    <row r="672" ht="39.75" hidden="1" customHeight="1">
      <c r="A672" s="1">
        <v>671.0</v>
      </c>
      <c r="B672" s="2" t="s">
        <v>45</v>
      </c>
      <c r="C672" s="2" t="s">
        <v>13</v>
      </c>
      <c r="D672" s="13"/>
      <c r="E672" s="13"/>
      <c r="F672" s="45"/>
      <c r="G672" s="42"/>
      <c r="H672" s="42"/>
      <c r="I672" s="42"/>
      <c r="J672" s="22"/>
      <c r="K672" s="42"/>
    </row>
    <row r="673" ht="39.75" hidden="1" customHeight="1">
      <c r="A673" s="1">
        <v>672.0</v>
      </c>
      <c r="B673" s="2" t="s">
        <v>46</v>
      </c>
      <c r="C673" s="2" t="s">
        <v>13</v>
      </c>
      <c r="D673" s="13"/>
      <c r="E673" s="13"/>
      <c r="F673" s="45"/>
      <c r="G673" s="42"/>
      <c r="H673" s="42"/>
      <c r="I673" s="42"/>
      <c r="J673" s="22"/>
      <c r="K673" s="42"/>
    </row>
    <row r="674" ht="39.75" customHeight="1">
      <c r="A674" s="1">
        <v>673.0</v>
      </c>
      <c r="B674" s="2" t="s">
        <v>47</v>
      </c>
      <c r="C674" s="2" t="s">
        <v>44</v>
      </c>
      <c r="D674" s="13"/>
      <c r="E674" s="13"/>
      <c r="F674" s="45"/>
      <c r="G674" s="42"/>
      <c r="H674" s="42"/>
      <c r="I674" s="42"/>
      <c r="J674" s="22"/>
      <c r="K674" s="42"/>
    </row>
    <row r="675" ht="39.75" customHeight="1">
      <c r="A675" s="1">
        <v>674.0</v>
      </c>
      <c r="B675" s="2" t="s">
        <v>48</v>
      </c>
      <c r="C675" s="13"/>
      <c r="D675" s="40">
        <v>0.375</v>
      </c>
      <c r="E675" s="13"/>
      <c r="F675" s="44" t="s">
        <v>2149</v>
      </c>
      <c r="G675" s="43">
        <v>1.0</v>
      </c>
      <c r="H675" s="42"/>
      <c r="I675" s="42"/>
      <c r="J675" s="22"/>
      <c r="K675" s="42"/>
    </row>
    <row r="676" ht="39.75" customHeight="1">
      <c r="A676" s="1">
        <v>675.0</v>
      </c>
      <c r="B676" s="21"/>
      <c r="C676" s="21"/>
      <c r="D676" s="21"/>
      <c r="E676" s="21"/>
      <c r="F676" s="46"/>
      <c r="G676" s="47"/>
      <c r="H676" s="47"/>
      <c r="I676" s="47"/>
      <c r="J676" s="48"/>
      <c r="K676" s="47"/>
      <c r="L676" s="49"/>
      <c r="M676" s="49"/>
      <c r="N676" s="49"/>
    </row>
    <row r="677" ht="39.75" customHeight="1">
      <c r="A677" s="1">
        <v>676.0</v>
      </c>
      <c r="B677" s="2" t="s">
        <v>12</v>
      </c>
      <c r="C677" s="2" t="s">
        <v>62</v>
      </c>
      <c r="D677" s="13"/>
      <c r="E677" s="13"/>
      <c r="F677" s="44" t="s">
        <v>2011</v>
      </c>
      <c r="G677" s="43">
        <v>1.0</v>
      </c>
      <c r="H677" s="42"/>
      <c r="I677" s="43">
        <v>1.0</v>
      </c>
      <c r="J677" s="27" t="s">
        <v>1890</v>
      </c>
      <c r="K677" s="42"/>
      <c r="L677" s="15" t="s">
        <v>423</v>
      </c>
    </row>
    <row r="678" ht="39.75" customHeight="1">
      <c r="A678" s="1">
        <v>677.0</v>
      </c>
      <c r="B678" s="2" t="s">
        <v>16</v>
      </c>
      <c r="C678" s="2"/>
      <c r="D678" s="13"/>
      <c r="E678" s="13"/>
      <c r="F678" s="45"/>
      <c r="G678" s="42"/>
      <c r="H678" s="42"/>
      <c r="I678" s="42"/>
      <c r="J678" s="27" t="s">
        <v>423</v>
      </c>
      <c r="K678" s="43"/>
    </row>
    <row r="679" ht="39.75" hidden="1" customHeight="1">
      <c r="A679" s="1">
        <v>678.0</v>
      </c>
      <c r="B679" s="2" t="s">
        <v>17</v>
      </c>
      <c r="C679" s="2" t="s">
        <v>58</v>
      </c>
      <c r="D679" s="13"/>
      <c r="E679" s="13"/>
      <c r="F679" s="45"/>
      <c r="G679" s="42"/>
      <c r="H679" s="42"/>
      <c r="I679" s="42"/>
      <c r="J679" s="27" t="s">
        <v>56</v>
      </c>
      <c r="K679" s="42"/>
    </row>
    <row r="680" ht="39.75" customHeight="1">
      <c r="A680" s="1">
        <v>679.0</v>
      </c>
      <c r="B680" s="2" t="s">
        <v>331</v>
      </c>
      <c r="C680" s="2" t="s">
        <v>542</v>
      </c>
      <c r="D680" s="13"/>
      <c r="E680" s="13"/>
      <c r="F680" s="44" t="s">
        <v>2150</v>
      </c>
      <c r="G680" s="43">
        <v>1.0</v>
      </c>
      <c r="H680" s="42"/>
      <c r="I680" s="42"/>
      <c r="J680" s="22"/>
      <c r="K680" s="42"/>
    </row>
    <row r="681" ht="39.75" hidden="1" customHeight="1">
      <c r="A681" s="1">
        <v>680.0</v>
      </c>
      <c r="B681" s="2" t="s">
        <v>21</v>
      </c>
      <c r="C681" s="2" t="s">
        <v>58</v>
      </c>
      <c r="D681" s="13"/>
      <c r="E681" s="13"/>
      <c r="F681" s="45"/>
      <c r="G681" s="42"/>
      <c r="H681" s="42"/>
      <c r="I681" s="42"/>
      <c r="J681" s="22"/>
      <c r="K681" s="42"/>
    </row>
    <row r="682" ht="39.75" customHeight="1">
      <c r="A682" s="1">
        <v>681.0</v>
      </c>
      <c r="B682" s="2" t="s">
        <v>22</v>
      </c>
      <c r="C682" s="2" t="s">
        <v>69</v>
      </c>
      <c r="D682" s="13"/>
      <c r="E682" s="40">
        <v>0.8125</v>
      </c>
      <c r="F682" s="44" t="s">
        <v>2151</v>
      </c>
      <c r="G682" s="43">
        <v>1.0</v>
      </c>
      <c r="H682" s="42"/>
      <c r="I682" s="43">
        <v>1.0</v>
      </c>
      <c r="J682" s="22"/>
      <c r="K682" s="42"/>
    </row>
    <row r="683" ht="39.75" hidden="1" customHeight="1">
      <c r="A683" s="1">
        <v>682.0</v>
      </c>
      <c r="B683" s="2" t="s">
        <v>23</v>
      </c>
      <c r="C683" s="2" t="s">
        <v>58</v>
      </c>
      <c r="D683" s="13"/>
      <c r="E683" s="13"/>
      <c r="F683" s="45"/>
      <c r="G683" s="42"/>
      <c r="H683" s="42"/>
      <c r="I683" s="42"/>
      <c r="J683" s="22"/>
      <c r="K683" s="42"/>
    </row>
    <row r="684" ht="39.75" hidden="1" customHeight="1">
      <c r="A684" s="1">
        <v>683.0</v>
      </c>
      <c r="B684" s="2" t="s">
        <v>24</v>
      </c>
      <c r="C684" s="2" t="s">
        <v>58</v>
      </c>
      <c r="D684" s="13"/>
      <c r="E684" s="13"/>
      <c r="F684" s="45"/>
      <c r="G684" s="42"/>
      <c r="H684" s="42"/>
      <c r="I684" s="42"/>
      <c r="J684" s="22"/>
      <c r="K684" s="42"/>
    </row>
    <row r="685" ht="39.75" customHeight="1">
      <c r="A685" s="1">
        <v>684.0</v>
      </c>
      <c r="B685" s="2" t="s">
        <v>25</v>
      </c>
      <c r="C685" s="2"/>
      <c r="D685" s="13"/>
      <c r="E685" s="13"/>
      <c r="F685" s="44"/>
      <c r="G685" s="43"/>
      <c r="H685" s="42"/>
      <c r="I685" s="42"/>
      <c r="J685" s="22"/>
      <c r="K685" s="42"/>
    </row>
    <row r="686" ht="39.75" customHeight="1">
      <c r="A686" s="1">
        <v>685.0</v>
      </c>
      <c r="B686" s="2" t="s">
        <v>26</v>
      </c>
      <c r="C686" s="2"/>
      <c r="D686" s="13"/>
      <c r="E686" s="13"/>
      <c r="F686" s="45"/>
      <c r="G686" s="42"/>
      <c r="H686" s="42"/>
      <c r="I686" s="42"/>
      <c r="J686" s="22"/>
      <c r="K686" s="42"/>
    </row>
    <row r="687" ht="39.75" customHeight="1">
      <c r="A687" s="1">
        <v>686.0</v>
      </c>
      <c r="B687" s="2" t="s">
        <v>29</v>
      </c>
      <c r="C687" s="2" t="s">
        <v>39</v>
      </c>
      <c r="D687" s="13"/>
      <c r="E687" s="13"/>
      <c r="F687" s="44" t="s">
        <v>2152</v>
      </c>
      <c r="G687" s="43">
        <v>1.0</v>
      </c>
      <c r="H687" s="42"/>
      <c r="I687" s="42"/>
      <c r="J687" s="22"/>
      <c r="K687" s="42"/>
    </row>
    <row r="688" ht="39.75" customHeight="1">
      <c r="A688" s="1">
        <v>687.0</v>
      </c>
      <c r="B688" s="2" t="s">
        <v>30</v>
      </c>
      <c r="C688" s="2" t="s">
        <v>64</v>
      </c>
      <c r="D688" s="13"/>
      <c r="E688" s="13"/>
      <c r="F688" s="44" t="s">
        <v>2103</v>
      </c>
      <c r="G688" s="43">
        <v>1.0</v>
      </c>
      <c r="H688" s="42"/>
      <c r="I688" s="43">
        <v>1.0</v>
      </c>
      <c r="J688" s="22"/>
      <c r="K688" s="42"/>
    </row>
    <row r="689" ht="39.75" customHeight="1">
      <c r="A689" s="1">
        <v>688.0</v>
      </c>
      <c r="B689" s="2" t="s">
        <v>31</v>
      </c>
      <c r="C689" s="2" t="s">
        <v>54</v>
      </c>
      <c r="D689" s="13"/>
      <c r="E689" s="13"/>
      <c r="F689" s="44" t="s">
        <v>2153</v>
      </c>
      <c r="G689" s="43">
        <v>1.0</v>
      </c>
      <c r="H689" s="42"/>
      <c r="I689" s="43">
        <v>1.0</v>
      </c>
      <c r="J689" s="22"/>
      <c r="K689" s="42"/>
    </row>
    <row r="690" ht="39.75" customHeight="1">
      <c r="A690" s="1">
        <v>689.0</v>
      </c>
      <c r="B690" s="2" t="s">
        <v>32</v>
      </c>
      <c r="C690" s="2" t="s">
        <v>27</v>
      </c>
      <c r="D690" s="13"/>
      <c r="E690" s="13"/>
      <c r="F690" s="44" t="s">
        <v>2154</v>
      </c>
      <c r="G690" s="43">
        <v>1.0</v>
      </c>
      <c r="H690" s="42"/>
      <c r="I690" s="42"/>
      <c r="J690" s="22"/>
      <c r="K690" s="42"/>
    </row>
    <row r="691" ht="39.75" customHeight="1">
      <c r="A691" s="1">
        <v>690.0</v>
      </c>
      <c r="B691" s="2" t="s">
        <v>67</v>
      </c>
      <c r="C691" s="2" t="s">
        <v>69</v>
      </c>
      <c r="D691" s="13"/>
      <c r="E691" s="40">
        <v>0.7986111111111112</v>
      </c>
      <c r="F691" s="44" t="s">
        <v>2155</v>
      </c>
      <c r="G691" s="43">
        <v>1.0</v>
      </c>
      <c r="H691" s="42"/>
      <c r="I691" s="43">
        <v>1.0</v>
      </c>
      <c r="J691" s="22"/>
      <c r="K691" s="42"/>
    </row>
    <row r="692" ht="39.75" customHeight="1">
      <c r="A692" s="1">
        <v>691.0</v>
      </c>
      <c r="B692" s="2" t="s">
        <v>34</v>
      </c>
      <c r="C692" s="2" t="s">
        <v>54</v>
      </c>
      <c r="D692" s="13"/>
      <c r="E692" s="13"/>
      <c r="F692" s="44" t="s">
        <v>2148</v>
      </c>
      <c r="G692" s="43">
        <v>1.0</v>
      </c>
      <c r="H692" s="43">
        <v>1.0</v>
      </c>
      <c r="I692" s="42"/>
      <c r="J692" s="22"/>
      <c r="K692" s="42"/>
    </row>
    <row r="693" ht="39.75" customHeight="1">
      <c r="A693" s="1">
        <v>692.0</v>
      </c>
      <c r="B693" s="2" t="s">
        <v>35</v>
      </c>
      <c r="C693" s="2" t="s">
        <v>54</v>
      </c>
      <c r="D693" s="13"/>
      <c r="E693" s="51">
        <v>0.8680555555555556</v>
      </c>
      <c r="F693" s="44" t="s">
        <v>2156</v>
      </c>
      <c r="G693" s="43">
        <v>1.0</v>
      </c>
      <c r="H693" s="42"/>
      <c r="I693" s="42"/>
      <c r="J693" s="22"/>
      <c r="K693" s="42"/>
    </row>
    <row r="694" ht="39.75" customHeight="1">
      <c r="A694" s="1">
        <v>693.0</v>
      </c>
      <c r="B694" s="2" t="s">
        <v>36</v>
      </c>
      <c r="C694" s="2" t="s">
        <v>69</v>
      </c>
      <c r="D694" s="13"/>
      <c r="E694" s="13"/>
      <c r="F694" s="44" t="s">
        <v>2157</v>
      </c>
      <c r="G694" s="43"/>
      <c r="H694" s="42"/>
      <c r="I694" s="42"/>
      <c r="J694" s="22"/>
      <c r="K694" s="42"/>
    </row>
    <row r="695" ht="39.75" customHeight="1">
      <c r="A695" s="1">
        <v>694.0</v>
      </c>
      <c r="B695" s="2" t="s">
        <v>38</v>
      </c>
      <c r="C695" s="2"/>
      <c r="D695" s="53">
        <v>0.2916666666666667</v>
      </c>
      <c r="E695" s="13"/>
      <c r="F695" s="44" t="s">
        <v>2158</v>
      </c>
      <c r="G695" s="43">
        <v>1.0</v>
      </c>
      <c r="H695" s="43">
        <v>1.0</v>
      </c>
      <c r="I695" s="42"/>
      <c r="J695" s="22"/>
      <c r="K695" s="42"/>
    </row>
    <row r="696" ht="39.75" hidden="1" customHeight="1">
      <c r="A696" s="1">
        <v>695.0</v>
      </c>
      <c r="B696" s="2" t="s">
        <v>41</v>
      </c>
      <c r="C696" s="2" t="s">
        <v>58</v>
      </c>
      <c r="D696" s="13"/>
      <c r="E696" s="13"/>
      <c r="F696" s="45"/>
      <c r="G696" s="42"/>
      <c r="H696" s="42"/>
      <c r="I696" s="42"/>
      <c r="J696" s="22"/>
      <c r="K696" s="42"/>
    </row>
    <row r="697" ht="39.75" customHeight="1">
      <c r="A697" s="1">
        <v>696.0</v>
      </c>
      <c r="B697" s="2" t="s">
        <v>42</v>
      </c>
      <c r="C697" s="2" t="s">
        <v>44</v>
      </c>
      <c r="D697" s="13"/>
      <c r="E697" s="13"/>
      <c r="F697" s="45"/>
      <c r="G697" s="42"/>
      <c r="H697" s="42"/>
      <c r="I697" s="42"/>
      <c r="J697" s="22"/>
      <c r="K697" s="42"/>
    </row>
    <row r="698" ht="39.75" customHeight="1">
      <c r="A698" s="1">
        <v>697.0</v>
      </c>
      <c r="B698" s="2" t="s">
        <v>43</v>
      </c>
      <c r="C698" s="2"/>
      <c r="D698" s="13"/>
      <c r="E698" s="13"/>
      <c r="F698" s="44" t="s">
        <v>2159</v>
      </c>
      <c r="G698" s="43">
        <v>1.0</v>
      </c>
      <c r="H698" s="42"/>
      <c r="I698" s="42"/>
      <c r="J698" s="22"/>
      <c r="K698" s="42"/>
    </row>
    <row r="699" ht="39.75" hidden="1" customHeight="1">
      <c r="A699" s="1">
        <v>698.0</v>
      </c>
      <c r="B699" s="2" t="s">
        <v>45</v>
      </c>
      <c r="C699" s="2" t="s">
        <v>66</v>
      </c>
      <c r="D699" s="13"/>
      <c r="E699" s="13"/>
      <c r="F699" s="45"/>
      <c r="G699" s="42"/>
      <c r="H699" s="42"/>
      <c r="I699" s="42"/>
      <c r="J699" s="22"/>
      <c r="K699" s="42"/>
    </row>
    <row r="700" ht="39.75" customHeight="1">
      <c r="A700" s="1">
        <v>699.0</v>
      </c>
      <c r="B700" s="2" t="s">
        <v>46</v>
      </c>
      <c r="C700" s="2" t="s">
        <v>39</v>
      </c>
      <c r="D700" s="13"/>
      <c r="E700" s="13"/>
      <c r="F700" s="44" t="s">
        <v>2160</v>
      </c>
      <c r="G700" s="43">
        <v>1.0</v>
      </c>
      <c r="H700" s="42"/>
      <c r="I700" s="42"/>
      <c r="J700" s="22"/>
      <c r="K700" s="42"/>
    </row>
    <row r="701" ht="39.75" customHeight="1">
      <c r="A701" s="1">
        <v>700.0</v>
      </c>
      <c r="B701" s="2" t="s">
        <v>47</v>
      </c>
      <c r="C701" s="2" t="s">
        <v>54</v>
      </c>
      <c r="D701" s="13"/>
      <c r="E701" s="13"/>
      <c r="F701" s="44" t="s">
        <v>2161</v>
      </c>
      <c r="G701" s="43">
        <v>1.0</v>
      </c>
      <c r="H701" s="42"/>
      <c r="I701" s="42"/>
      <c r="J701" s="22"/>
      <c r="K701" s="42"/>
    </row>
    <row r="702" ht="39.75" customHeight="1">
      <c r="A702" s="1">
        <v>701.0</v>
      </c>
      <c r="B702" s="2" t="s">
        <v>48</v>
      </c>
      <c r="C702" s="13"/>
      <c r="D702" s="53">
        <v>0.3333333333333333</v>
      </c>
      <c r="E702" s="13"/>
      <c r="F702" s="44" t="s">
        <v>2162</v>
      </c>
      <c r="G702" s="43">
        <v>1.0</v>
      </c>
      <c r="H702" s="42"/>
      <c r="I702" s="42"/>
      <c r="J702" s="22"/>
      <c r="K702" s="42"/>
    </row>
    <row r="703" ht="39.75" customHeight="1">
      <c r="A703" s="1">
        <v>702.0</v>
      </c>
      <c r="B703" s="21"/>
      <c r="C703" s="21"/>
      <c r="D703" s="21"/>
      <c r="E703" s="21"/>
      <c r="F703" s="46"/>
      <c r="G703" s="47"/>
      <c r="H703" s="47"/>
      <c r="I703" s="47"/>
      <c r="J703" s="48"/>
      <c r="K703" s="47"/>
      <c r="L703" s="49"/>
      <c r="M703" s="49"/>
      <c r="N703" s="49"/>
    </row>
    <row r="704" ht="39.75" customHeight="1">
      <c r="A704" s="1">
        <v>703.0</v>
      </c>
      <c r="B704" s="2" t="s">
        <v>12</v>
      </c>
      <c r="C704" s="2" t="s">
        <v>62</v>
      </c>
      <c r="D704" s="13"/>
      <c r="E704" s="13"/>
      <c r="F704" s="44" t="s">
        <v>2163</v>
      </c>
      <c r="G704" s="43">
        <v>1.0</v>
      </c>
      <c r="H704" s="42"/>
      <c r="I704" s="43">
        <v>1.0</v>
      </c>
      <c r="J704" s="27" t="s">
        <v>1890</v>
      </c>
      <c r="K704" s="42"/>
      <c r="L704" s="15" t="s">
        <v>438</v>
      </c>
    </row>
    <row r="705" ht="39.75" customHeight="1">
      <c r="A705" s="1">
        <v>704.0</v>
      </c>
      <c r="B705" s="2" t="s">
        <v>16</v>
      </c>
      <c r="C705" s="2"/>
      <c r="D705" s="13"/>
      <c r="E705" s="13"/>
      <c r="F705" s="44" t="s">
        <v>2164</v>
      </c>
      <c r="G705" s="43">
        <v>1.0</v>
      </c>
      <c r="H705" s="42"/>
      <c r="I705" s="43">
        <v>1.0</v>
      </c>
      <c r="J705" s="27" t="s">
        <v>438</v>
      </c>
      <c r="K705" s="43"/>
    </row>
    <row r="706" ht="39.75" customHeight="1">
      <c r="A706" s="1">
        <v>705.0</v>
      </c>
      <c r="B706" s="2" t="s">
        <v>17</v>
      </c>
      <c r="C706" s="2" t="s">
        <v>69</v>
      </c>
      <c r="D706" s="13"/>
      <c r="E706" s="13"/>
      <c r="F706" s="44" t="s">
        <v>2165</v>
      </c>
      <c r="G706" s="43">
        <v>2.0</v>
      </c>
      <c r="H706" s="42"/>
      <c r="I706" s="42"/>
      <c r="J706" s="27" t="s">
        <v>77</v>
      </c>
      <c r="K706" s="42"/>
    </row>
    <row r="707" ht="39.75" hidden="1" customHeight="1">
      <c r="A707" s="1">
        <v>706.0</v>
      </c>
      <c r="B707" s="2" t="s">
        <v>331</v>
      </c>
      <c r="C707" s="2" t="s">
        <v>66</v>
      </c>
      <c r="D707" s="13"/>
      <c r="E707" s="13"/>
      <c r="F707" s="44"/>
      <c r="G707" s="42"/>
      <c r="H707" s="42"/>
      <c r="I707" s="42"/>
      <c r="J707" s="22"/>
      <c r="K707" s="42"/>
    </row>
    <row r="708" ht="39.75" customHeight="1">
      <c r="A708" s="1">
        <v>707.0</v>
      </c>
      <c r="B708" s="2" t="s">
        <v>21</v>
      </c>
      <c r="C708" s="2" t="s">
        <v>63</v>
      </c>
      <c r="D708" s="13"/>
      <c r="E708" s="13"/>
      <c r="F708" s="45"/>
      <c r="G708" s="42"/>
      <c r="H708" s="42"/>
      <c r="I708" s="42"/>
      <c r="J708" s="27" t="s">
        <v>1556</v>
      </c>
      <c r="K708" s="42"/>
    </row>
    <row r="709" ht="39.75" customHeight="1">
      <c r="A709" s="1">
        <v>708.0</v>
      </c>
      <c r="B709" s="2" t="s">
        <v>22</v>
      </c>
      <c r="C709" s="2" t="s">
        <v>27</v>
      </c>
      <c r="D709" s="13"/>
      <c r="E709" s="13"/>
      <c r="F709" s="45"/>
      <c r="G709" s="42"/>
      <c r="H709" s="42"/>
      <c r="I709" s="42"/>
      <c r="J709" s="22"/>
      <c r="K709" s="42"/>
    </row>
    <row r="710" ht="39.75" customHeight="1">
      <c r="A710" s="1">
        <v>709.0</v>
      </c>
      <c r="B710" s="2" t="s">
        <v>23</v>
      </c>
      <c r="C710" s="2" t="s">
        <v>54</v>
      </c>
      <c r="D710" s="13"/>
      <c r="E710" s="13"/>
      <c r="F710" s="44" t="s">
        <v>2166</v>
      </c>
      <c r="G710" s="43">
        <v>1.0</v>
      </c>
      <c r="H710" s="43">
        <v>1.0</v>
      </c>
      <c r="I710" s="43">
        <v>1.0</v>
      </c>
      <c r="J710" s="22"/>
      <c r="K710" s="42"/>
    </row>
    <row r="711" ht="39.75" hidden="1" customHeight="1">
      <c r="A711" s="1">
        <v>710.0</v>
      </c>
      <c r="B711" s="2" t="s">
        <v>24</v>
      </c>
      <c r="C711" s="2" t="s">
        <v>58</v>
      </c>
      <c r="D711" s="13"/>
      <c r="E711" s="13"/>
      <c r="F711" s="45"/>
      <c r="G711" s="42"/>
      <c r="H711" s="42"/>
      <c r="I711" s="42"/>
      <c r="J711" s="22"/>
      <c r="K711" s="42"/>
    </row>
    <row r="712" ht="39.75" customHeight="1">
      <c r="A712" s="1">
        <v>711.0</v>
      </c>
      <c r="B712" s="2" t="s">
        <v>25</v>
      </c>
      <c r="C712" s="2"/>
      <c r="D712" s="13"/>
      <c r="E712" s="13"/>
      <c r="F712" s="44" t="s">
        <v>1285</v>
      </c>
      <c r="G712" s="43">
        <v>1.0</v>
      </c>
      <c r="H712" s="42"/>
      <c r="I712" s="43">
        <v>1.0</v>
      </c>
      <c r="J712" s="22"/>
      <c r="K712" s="42"/>
    </row>
    <row r="713" ht="39.75" customHeight="1">
      <c r="A713" s="1">
        <v>712.0</v>
      </c>
      <c r="B713" s="2" t="s">
        <v>26</v>
      </c>
      <c r="C713" s="2"/>
      <c r="D713" s="13"/>
      <c r="E713" s="51">
        <v>0.8125</v>
      </c>
      <c r="F713" s="44" t="s">
        <v>2167</v>
      </c>
      <c r="G713" s="43">
        <v>1.0</v>
      </c>
      <c r="H713" s="42"/>
      <c r="I713" s="42"/>
      <c r="J713" s="22"/>
      <c r="K713" s="42"/>
    </row>
    <row r="714" ht="39.75" customHeight="1">
      <c r="A714" s="1">
        <v>713.0</v>
      </c>
      <c r="B714" s="2" t="s">
        <v>29</v>
      </c>
      <c r="C714" s="2"/>
      <c r="D714" s="13"/>
      <c r="E714" s="13"/>
      <c r="F714" s="44" t="s">
        <v>2168</v>
      </c>
      <c r="G714" s="43">
        <v>1.0</v>
      </c>
      <c r="H714" s="42"/>
      <c r="I714" s="42"/>
      <c r="J714" s="22"/>
      <c r="K714" s="42"/>
    </row>
    <row r="715" ht="39.75" hidden="1" customHeight="1">
      <c r="A715" s="1">
        <v>714.0</v>
      </c>
      <c r="B715" s="2" t="s">
        <v>30</v>
      </c>
      <c r="C715" s="2" t="s">
        <v>58</v>
      </c>
      <c r="D715" s="13"/>
      <c r="E715" s="13"/>
      <c r="F715" s="45"/>
      <c r="G715" s="42"/>
      <c r="H715" s="42"/>
      <c r="I715" s="42"/>
      <c r="J715" s="22"/>
      <c r="K715" s="42"/>
    </row>
    <row r="716" ht="39.75" hidden="1" customHeight="1">
      <c r="A716" s="1">
        <v>715.0</v>
      </c>
      <c r="B716" s="2" t="s">
        <v>31</v>
      </c>
      <c r="C716" s="2" t="s">
        <v>58</v>
      </c>
      <c r="D716" s="13"/>
      <c r="E716" s="13"/>
      <c r="F716" s="45"/>
      <c r="G716" s="42"/>
      <c r="H716" s="42"/>
      <c r="I716" s="42"/>
      <c r="J716" s="22"/>
      <c r="K716" s="42"/>
    </row>
    <row r="717" ht="39.75" customHeight="1">
      <c r="A717" s="1">
        <v>716.0</v>
      </c>
      <c r="B717" s="2" t="s">
        <v>32</v>
      </c>
      <c r="C717" s="2" t="s">
        <v>44</v>
      </c>
      <c r="D717" s="13"/>
      <c r="E717" s="13"/>
      <c r="F717" s="45"/>
      <c r="G717" s="42"/>
      <c r="H717" s="42"/>
      <c r="I717" s="42"/>
      <c r="J717" s="22"/>
      <c r="K717" s="42"/>
    </row>
    <row r="718" ht="39.75" customHeight="1">
      <c r="A718" s="1">
        <v>717.0</v>
      </c>
      <c r="B718" s="2" t="s">
        <v>67</v>
      </c>
      <c r="C718" s="2"/>
      <c r="D718" s="13"/>
      <c r="E718" s="13"/>
      <c r="F718" s="44" t="s">
        <v>2169</v>
      </c>
      <c r="G718" s="43">
        <v>1.0</v>
      </c>
      <c r="H718" s="42"/>
      <c r="I718" s="42"/>
      <c r="J718" s="22"/>
      <c r="K718" s="42"/>
    </row>
    <row r="719" ht="39.75" customHeight="1">
      <c r="A719" s="1">
        <v>718.0</v>
      </c>
      <c r="B719" s="2" t="s">
        <v>34</v>
      </c>
      <c r="C719" s="2" t="s">
        <v>54</v>
      </c>
      <c r="D719" s="13"/>
      <c r="E719" s="13"/>
      <c r="F719" s="44" t="s">
        <v>2170</v>
      </c>
      <c r="G719" s="43">
        <v>1.0</v>
      </c>
      <c r="H719" s="43">
        <v>1.0</v>
      </c>
      <c r="I719" s="43">
        <v>1.0</v>
      </c>
      <c r="J719" s="22"/>
      <c r="K719" s="42"/>
    </row>
    <row r="720" ht="39.75" hidden="1" customHeight="1">
      <c r="A720" s="1">
        <v>719.0</v>
      </c>
      <c r="B720" s="2" t="s">
        <v>35</v>
      </c>
      <c r="C720" s="2" t="s">
        <v>66</v>
      </c>
      <c r="D720" s="13"/>
      <c r="E720" s="13"/>
      <c r="F720" s="45"/>
      <c r="G720" s="42"/>
      <c r="H720" s="42"/>
      <c r="I720" s="42"/>
      <c r="J720" s="22"/>
      <c r="K720" s="42"/>
    </row>
    <row r="721" ht="39.75" customHeight="1">
      <c r="A721" s="1">
        <v>720.0</v>
      </c>
      <c r="B721" s="2" t="s">
        <v>36</v>
      </c>
      <c r="C721" s="13"/>
      <c r="D721" s="13"/>
      <c r="E721" s="13"/>
      <c r="F721" s="44" t="s">
        <v>2171</v>
      </c>
      <c r="G721" s="43">
        <v>2.0</v>
      </c>
      <c r="H721" s="42"/>
      <c r="I721" s="43">
        <v>1.0</v>
      </c>
      <c r="J721" s="22"/>
      <c r="K721" s="42"/>
    </row>
    <row r="722" ht="39.75" customHeight="1">
      <c r="A722" s="1">
        <v>721.0</v>
      </c>
      <c r="B722" s="2" t="s">
        <v>38</v>
      </c>
      <c r="C722" s="2" t="s">
        <v>54</v>
      </c>
      <c r="D722" s="13"/>
      <c r="E722" s="13"/>
      <c r="F722" s="44" t="s">
        <v>2158</v>
      </c>
      <c r="G722" s="43">
        <v>1.0</v>
      </c>
      <c r="H722" s="43">
        <v>1.0</v>
      </c>
      <c r="I722" s="42"/>
      <c r="J722" s="22"/>
      <c r="K722" s="42"/>
    </row>
    <row r="723" ht="39.75" hidden="1" customHeight="1">
      <c r="A723" s="1">
        <v>722.0</v>
      </c>
      <c r="B723" s="2" t="s">
        <v>41</v>
      </c>
      <c r="C723" s="2" t="s">
        <v>58</v>
      </c>
      <c r="D723" s="13"/>
      <c r="E723" s="13"/>
      <c r="F723" s="45"/>
      <c r="G723" s="42"/>
      <c r="H723" s="42"/>
      <c r="I723" s="42"/>
      <c r="J723" s="22"/>
      <c r="K723" s="42"/>
    </row>
    <row r="724" ht="39.75" customHeight="1">
      <c r="A724" s="1">
        <v>723.0</v>
      </c>
      <c r="B724" s="2" t="s">
        <v>42</v>
      </c>
      <c r="C724" s="2" t="s">
        <v>69</v>
      </c>
      <c r="D724" s="13"/>
      <c r="E724" s="13"/>
      <c r="F724" s="44" t="s">
        <v>2172</v>
      </c>
      <c r="G724" s="43">
        <v>2.0</v>
      </c>
      <c r="H724" s="42"/>
      <c r="I724" s="43">
        <v>1.0</v>
      </c>
      <c r="J724" s="22"/>
      <c r="K724" s="42"/>
    </row>
    <row r="725" ht="39.75" hidden="1" customHeight="1">
      <c r="A725" s="1">
        <v>724.0</v>
      </c>
      <c r="B725" s="2" t="s">
        <v>43</v>
      </c>
      <c r="C725" s="2" t="s">
        <v>58</v>
      </c>
      <c r="D725" s="13"/>
      <c r="E725" s="13"/>
      <c r="F725" s="45"/>
      <c r="G725" s="42"/>
      <c r="H725" s="42"/>
      <c r="I725" s="42"/>
      <c r="J725" s="22"/>
      <c r="K725" s="42"/>
    </row>
    <row r="726" ht="39.75" customHeight="1">
      <c r="A726" s="1">
        <v>725.0</v>
      </c>
      <c r="B726" s="2" t="s">
        <v>45</v>
      </c>
      <c r="C726" s="2" t="s">
        <v>39</v>
      </c>
      <c r="D726" s="13"/>
      <c r="E726" s="13"/>
      <c r="F726" s="44" t="s">
        <v>2173</v>
      </c>
      <c r="G726" s="43">
        <v>1.0</v>
      </c>
      <c r="H726" s="42"/>
      <c r="I726" s="43">
        <v>1.0</v>
      </c>
      <c r="J726" s="22"/>
      <c r="K726" s="42"/>
    </row>
    <row r="727" ht="39.75" customHeight="1">
      <c r="A727" s="1">
        <v>726.0</v>
      </c>
      <c r="B727" s="2" t="s">
        <v>46</v>
      </c>
      <c r="C727" s="2" t="s">
        <v>69</v>
      </c>
      <c r="D727" s="13"/>
      <c r="E727" s="40">
        <v>0.8541666666666666</v>
      </c>
      <c r="F727" s="44" t="s">
        <v>2174</v>
      </c>
      <c r="G727" s="43">
        <v>1.0</v>
      </c>
      <c r="H727" s="42"/>
      <c r="I727" s="42"/>
      <c r="J727" s="22"/>
      <c r="K727" s="42"/>
    </row>
    <row r="728" ht="39.75" customHeight="1">
      <c r="A728" s="1">
        <v>727.0</v>
      </c>
      <c r="B728" s="2" t="s">
        <v>47</v>
      </c>
      <c r="C728" s="2" t="s">
        <v>54</v>
      </c>
      <c r="D728" s="13"/>
      <c r="E728" s="13"/>
      <c r="F728" s="44" t="s">
        <v>2175</v>
      </c>
      <c r="G728" s="43">
        <v>2.0</v>
      </c>
      <c r="H728" s="42"/>
      <c r="I728" s="43">
        <v>1.0</v>
      </c>
      <c r="J728" s="22"/>
      <c r="K728" s="42"/>
    </row>
    <row r="729" ht="39.75" customHeight="1">
      <c r="A729" s="1">
        <v>728.0</v>
      </c>
      <c r="B729" s="2" t="s">
        <v>48</v>
      </c>
      <c r="C729" s="2" t="s">
        <v>39</v>
      </c>
      <c r="D729" s="13"/>
      <c r="E729" s="13"/>
      <c r="F729" s="45"/>
      <c r="G729" s="42"/>
      <c r="H729" s="42"/>
      <c r="I729" s="42"/>
      <c r="J729" s="22"/>
      <c r="K729" s="42"/>
    </row>
    <row r="730" ht="39.75" customHeight="1">
      <c r="A730" s="1">
        <v>729.0</v>
      </c>
      <c r="B730" s="21"/>
      <c r="C730" s="21"/>
      <c r="D730" s="21"/>
      <c r="E730" s="21"/>
      <c r="F730" s="46"/>
      <c r="G730" s="47"/>
      <c r="H730" s="47"/>
      <c r="I730" s="47"/>
      <c r="J730" s="48"/>
      <c r="K730" s="47"/>
      <c r="L730" s="49"/>
      <c r="M730" s="49"/>
      <c r="N730" s="49"/>
    </row>
    <row r="731" ht="39.75" customHeight="1">
      <c r="A731" s="1">
        <v>730.0</v>
      </c>
      <c r="B731" s="2" t="s">
        <v>12</v>
      </c>
      <c r="C731" s="2" t="s">
        <v>62</v>
      </c>
      <c r="D731" s="13"/>
      <c r="E731" s="13"/>
      <c r="F731" s="44" t="s">
        <v>2011</v>
      </c>
      <c r="G731" s="43">
        <v>1.0</v>
      </c>
      <c r="H731" s="42"/>
      <c r="I731" s="43">
        <v>1.0</v>
      </c>
      <c r="J731" s="27" t="s">
        <v>1890</v>
      </c>
      <c r="K731" s="42"/>
      <c r="L731" s="15" t="s">
        <v>452</v>
      </c>
    </row>
    <row r="732" ht="39.75" customHeight="1">
      <c r="A732" s="1">
        <v>731.0</v>
      </c>
      <c r="B732" s="2" t="s">
        <v>16</v>
      </c>
      <c r="C732" s="2"/>
      <c r="D732" s="13"/>
      <c r="E732" s="13"/>
      <c r="F732" s="45"/>
      <c r="G732" s="42"/>
      <c r="H732" s="42"/>
      <c r="I732" s="42"/>
      <c r="J732" s="27" t="s">
        <v>452</v>
      </c>
      <c r="K732" s="43"/>
    </row>
    <row r="733" ht="39.75" customHeight="1">
      <c r="A733" s="1">
        <v>732.0</v>
      </c>
      <c r="B733" s="2" t="s">
        <v>17</v>
      </c>
      <c r="C733" s="2" t="s">
        <v>69</v>
      </c>
      <c r="D733" s="13"/>
      <c r="E733" s="13"/>
      <c r="F733" s="45"/>
      <c r="G733" s="42"/>
      <c r="H733" s="42"/>
      <c r="I733" s="42"/>
      <c r="J733" s="27" t="s">
        <v>95</v>
      </c>
      <c r="K733" s="42"/>
    </row>
    <row r="734" ht="39.75" customHeight="1">
      <c r="A734" s="1">
        <v>733.0</v>
      </c>
      <c r="B734" s="2" t="s">
        <v>331</v>
      </c>
      <c r="C734" s="2" t="s">
        <v>542</v>
      </c>
      <c r="D734" s="13"/>
      <c r="E734" s="13"/>
      <c r="F734" s="44" t="s">
        <v>2176</v>
      </c>
      <c r="G734" s="43">
        <v>1.0</v>
      </c>
      <c r="H734" s="42"/>
      <c r="I734" s="42"/>
      <c r="J734" s="22"/>
      <c r="K734" s="42"/>
    </row>
    <row r="735" ht="39.75" customHeight="1">
      <c r="A735" s="1">
        <v>734.0</v>
      </c>
      <c r="B735" s="2" t="s">
        <v>21</v>
      </c>
      <c r="C735" s="2"/>
      <c r="D735" s="53">
        <v>0.3333333333333333</v>
      </c>
      <c r="E735" s="13"/>
      <c r="F735" s="44" t="s">
        <v>2177</v>
      </c>
      <c r="G735" s="43">
        <v>1.0</v>
      </c>
      <c r="H735" s="42"/>
      <c r="I735" s="42"/>
      <c r="J735" s="22"/>
      <c r="K735" s="42"/>
    </row>
    <row r="736" ht="39.75" customHeight="1">
      <c r="A736" s="1">
        <v>735.0</v>
      </c>
      <c r="B736" s="2" t="s">
        <v>22</v>
      </c>
      <c r="C736" s="2" t="s">
        <v>44</v>
      </c>
      <c r="D736" s="13"/>
      <c r="E736" s="13"/>
      <c r="F736" s="52" t="s">
        <v>2178</v>
      </c>
      <c r="G736" s="56">
        <v>1.0</v>
      </c>
      <c r="H736" s="42"/>
      <c r="I736" s="42"/>
      <c r="J736" s="22"/>
      <c r="K736" s="42"/>
    </row>
    <row r="737" ht="39.75" customHeight="1">
      <c r="A737" s="1">
        <v>736.0</v>
      </c>
      <c r="B737" s="2" t="s">
        <v>23</v>
      </c>
      <c r="C737" s="2" t="s">
        <v>54</v>
      </c>
      <c r="D737" s="13"/>
      <c r="E737" s="13"/>
      <c r="F737" s="44" t="s">
        <v>2179</v>
      </c>
      <c r="G737" s="43">
        <v>1.0</v>
      </c>
      <c r="H737" s="43">
        <v>1.0</v>
      </c>
      <c r="I737" s="42"/>
      <c r="J737" s="22"/>
      <c r="K737" s="42"/>
    </row>
    <row r="738" ht="39.75" hidden="1" customHeight="1">
      <c r="A738" s="1">
        <v>737.0</v>
      </c>
      <c r="B738" s="2" t="s">
        <v>24</v>
      </c>
      <c r="C738" s="2" t="s">
        <v>58</v>
      </c>
      <c r="D738" s="13"/>
      <c r="E738" s="13"/>
      <c r="F738" s="45"/>
      <c r="G738" s="42"/>
      <c r="H738" s="42"/>
      <c r="I738" s="42"/>
      <c r="J738" s="22"/>
      <c r="K738" s="42"/>
    </row>
    <row r="739" ht="39.75" customHeight="1">
      <c r="A739" s="1">
        <v>738.0</v>
      </c>
      <c r="B739" s="2" t="s">
        <v>25</v>
      </c>
      <c r="C739" s="2" t="s">
        <v>69</v>
      </c>
      <c r="D739" s="13"/>
      <c r="E739" s="13"/>
      <c r="F739" s="61" t="s">
        <v>2180</v>
      </c>
      <c r="G739" s="43">
        <v>1.0</v>
      </c>
      <c r="H739" s="42"/>
      <c r="I739" s="42"/>
      <c r="J739" s="22"/>
      <c r="K739" s="42"/>
    </row>
    <row r="740" ht="39.75" customHeight="1">
      <c r="A740" s="1">
        <v>739.0</v>
      </c>
      <c r="B740" s="2" t="s">
        <v>26</v>
      </c>
      <c r="C740" s="2" t="s">
        <v>39</v>
      </c>
      <c r="D740" s="13"/>
      <c r="E740" s="13"/>
      <c r="F740" s="44" t="s">
        <v>2181</v>
      </c>
      <c r="G740" s="43">
        <v>1.0</v>
      </c>
      <c r="H740" s="42"/>
      <c r="I740" s="42"/>
      <c r="J740" s="22"/>
      <c r="K740" s="42"/>
    </row>
    <row r="741" ht="39.75" customHeight="1">
      <c r="A741" s="1">
        <v>740.0</v>
      </c>
      <c r="B741" s="2" t="s">
        <v>29</v>
      </c>
      <c r="C741" s="2" t="s">
        <v>39</v>
      </c>
      <c r="D741" s="53">
        <v>0.25</v>
      </c>
      <c r="E741" s="13"/>
      <c r="F741" s="44" t="s">
        <v>2182</v>
      </c>
      <c r="G741" s="43">
        <v>1.0</v>
      </c>
      <c r="H741" s="42"/>
      <c r="I741" s="42"/>
      <c r="J741" s="22"/>
      <c r="K741" s="42"/>
    </row>
    <row r="742" ht="39.75" hidden="1" customHeight="1">
      <c r="A742" s="1">
        <v>741.0</v>
      </c>
      <c r="B742" s="2" t="s">
        <v>30</v>
      </c>
      <c r="C742" s="2" t="s">
        <v>58</v>
      </c>
      <c r="D742" s="13"/>
      <c r="E742" s="13"/>
      <c r="F742" s="45"/>
      <c r="G742" s="42"/>
      <c r="H742" s="42"/>
      <c r="I742" s="42"/>
      <c r="J742" s="22"/>
      <c r="K742" s="42"/>
    </row>
    <row r="743" ht="39.75" customHeight="1">
      <c r="A743" s="1">
        <v>742.0</v>
      </c>
      <c r="B743" s="2" t="s">
        <v>31</v>
      </c>
      <c r="C743" s="2" t="s">
        <v>69</v>
      </c>
      <c r="D743" s="13"/>
      <c r="E743" s="40">
        <v>0.8402777777777778</v>
      </c>
      <c r="F743" s="44" t="s">
        <v>2183</v>
      </c>
      <c r="G743" s="43">
        <v>1.0</v>
      </c>
      <c r="H743" s="42"/>
      <c r="I743" s="42"/>
      <c r="J743" s="22"/>
      <c r="K743" s="42"/>
    </row>
    <row r="744" ht="39.75" hidden="1" customHeight="1">
      <c r="A744" s="1">
        <v>743.0</v>
      </c>
      <c r="B744" s="2" t="s">
        <v>32</v>
      </c>
      <c r="C744" s="2" t="s">
        <v>58</v>
      </c>
      <c r="D744" s="13"/>
      <c r="E744" s="13"/>
      <c r="F744" s="45"/>
      <c r="G744" s="42"/>
      <c r="H744" s="42"/>
      <c r="I744" s="42"/>
      <c r="J744" s="22"/>
      <c r="K744" s="42"/>
    </row>
    <row r="745" ht="39.75" customHeight="1">
      <c r="A745" s="1">
        <v>744.0</v>
      </c>
      <c r="B745" s="2" t="s">
        <v>67</v>
      </c>
      <c r="C745" s="2" t="s">
        <v>27</v>
      </c>
      <c r="D745" s="13"/>
      <c r="E745" s="13"/>
      <c r="F745" s="44" t="s">
        <v>2184</v>
      </c>
      <c r="G745" s="43">
        <v>1.0</v>
      </c>
      <c r="H745" s="42"/>
      <c r="I745" s="42"/>
      <c r="J745" s="22"/>
      <c r="K745" s="42"/>
    </row>
    <row r="746" ht="39.75" customHeight="1">
      <c r="A746" s="1">
        <v>745.0</v>
      </c>
      <c r="B746" s="2" t="s">
        <v>34</v>
      </c>
      <c r="C746" s="2" t="s">
        <v>54</v>
      </c>
      <c r="D746" s="13"/>
      <c r="E746" s="13"/>
      <c r="F746" s="44" t="s">
        <v>2185</v>
      </c>
      <c r="G746" s="43">
        <v>1.0</v>
      </c>
      <c r="H746" s="42"/>
      <c r="I746" s="42"/>
      <c r="J746" s="22"/>
      <c r="K746" s="42"/>
    </row>
    <row r="747" ht="39.75" customHeight="1">
      <c r="A747" s="1">
        <v>746.0</v>
      </c>
      <c r="B747" s="2" t="s">
        <v>35</v>
      </c>
      <c r="C747" s="2"/>
      <c r="D747" s="13"/>
      <c r="E747" s="13"/>
      <c r="F747" s="44" t="s">
        <v>2186</v>
      </c>
      <c r="G747" s="43">
        <v>1.0</v>
      </c>
      <c r="H747" s="42"/>
      <c r="I747" s="42"/>
      <c r="J747" s="22"/>
      <c r="K747" s="42"/>
    </row>
    <row r="748" ht="39.75" hidden="1" customHeight="1">
      <c r="A748" s="1">
        <v>747.0</v>
      </c>
      <c r="B748" s="2" t="s">
        <v>36</v>
      </c>
      <c r="C748" s="2" t="s">
        <v>66</v>
      </c>
      <c r="D748" s="13"/>
      <c r="E748" s="13"/>
      <c r="F748" s="45"/>
      <c r="G748" s="42"/>
      <c r="H748" s="42"/>
      <c r="I748" s="42"/>
      <c r="J748" s="22"/>
      <c r="K748" s="42"/>
    </row>
    <row r="749" ht="39.75" customHeight="1">
      <c r="A749" s="1">
        <v>748.0</v>
      </c>
      <c r="B749" s="2" t="s">
        <v>38</v>
      </c>
      <c r="C749" s="2" t="s">
        <v>54</v>
      </c>
      <c r="D749" s="13"/>
      <c r="E749" s="51">
        <v>0.875</v>
      </c>
      <c r="F749" s="44" t="s">
        <v>2187</v>
      </c>
      <c r="G749" s="43">
        <v>1.0</v>
      </c>
      <c r="H749" s="43">
        <v>1.0</v>
      </c>
      <c r="I749" s="42"/>
      <c r="J749" s="22"/>
      <c r="K749" s="42"/>
    </row>
    <row r="750" ht="39.75" hidden="1" customHeight="1">
      <c r="A750" s="1">
        <v>749.0</v>
      </c>
      <c r="B750" s="2" t="s">
        <v>41</v>
      </c>
      <c r="C750" s="2" t="s">
        <v>58</v>
      </c>
      <c r="D750" s="13"/>
      <c r="E750" s="13"/>
      <c r="F750" s="45"/>
      <c r="G750" s="42"/>
      <c r="H750" s="42"/>
      <c r="I750" s="42"/>
      <c r="J750" s="22"/>
      <c r="K750" s="42"/>
    </row>
    <row r="751" ht="39.75" customHeight="1">
      <c r="A751" s="1">
        <v>750.0</v>
      </c>
      <c r="B751" s="2" t="s">
        <v>42</v>
      </c>
      <c r="C751" s="2"/>
      <c r="D751" s="13"/>
      <c r="E751" s="13"/>
      <c r="F751" s="44" t="s">
        <v>1285</v>
      </c>
      <c r="G751" s="43">
        <v>1.0</v>
      </c>
      <c r="H751" s="42"/>
      <c r="I751" s="43">
        <v>1.0</v>
      </c>
      <c r="J751" s="22"/>
      <c r="K751" s="42"/>
    </row>
    <row r="752" ht="39.75" hidden="1" customHeight="1">
      <c r="A752" s="1">
        <v>751.0</v>
      </c>
      <c r="B752" s="2" t="s">
        <v>43</v>
      </c>
      <c r="C752" s="2" t="s">
        <v>58</v>
      </c>
      <c r="D752" s="13"/>
      <c r="E752" s="13"/>
      <c r="F752" s="45"/>
      <c r="G752" s="42"/>
      <c r="H752" s="42"/>
      <c r="I752" s="42"/>
      <c r="J752" s="22"/>
      <c r="K752" s="42"/>
    </row>
    <row r="753" ht="39.75" customHeight="1">
      <c r="A753" s="1">
        <v>752.0</v>
      </c>
      <c r="B753" s="2" t="s">
        <v>45</v>
      </c>
      <c r="C753" s="2"/>
      <c r="D753" s="13"/>
      <c r="E753" s="13"/>
      <c r="F753" s="45"/>
      <c r="G753" s="42"/>
      <c r="H753" s="42"/>
      <c r="I753" s="42"/>
      <c r="J753" s="22"/>
      <c r="K753" s="42"/>
    </row>
    <row r="754" ht="39.75" customHeight="1">
      <c r="A754" s="1">
        <v>753.0</v>
      </c>
      <c r="B754" s="2" t="s">
        <v>46</v>
      </c>
      <c r="C754" s="13"/>
      <c r="D754" s="53">
        <v>0.3333333333333333</v>
      </c>
      <c r="E754" s="13"/>
      <c r="F754" s="44" t="s">
        <v>2188</v>
      </c>
      <c r="G754" s="43">
        <v>1.0</v>
      </c>
      <c r="H754" s="42"/>
      <c r="I754" s="42"/>
      <c r="J754" s="22"/>
      <c r="K754" s="42"/>
    </row>
    <row r="755" ht="39.75" customHeight="1">
      <c r="A755" s="1">
        <v>754.0</v>
      </c>
      <c r="B755" s="2" t="s">
        <v>47</v>
      </c>
      <c r="C755" s="2" t="s">
        <v>54</v>
      </c>
      <c r="D755" s="13"/>
      <c r="E755" s="13"/>
      <c r="F755" s="44" t="s">
        <v>2189</v>
      </c>
      <c r="G755" s="43">
        <v>1.0</v>
      </c>
      <c r="H755" s="42"/>
      <c r="I755" s="43">
        <v>1.0</v>
      </c>
      <c r="J755" s="22"/>
      <c r="K755" s="42"/>
    </row>
    <row r="756" ht="39.75" customHeight="1">
      <c r="A756" s="1">
        <v>755.0</v>
      </c>
      <c r="B756" s="2" t="s">
        <v>48</v>
      </c>
      <c r="C756" s="13"/>
      <c r="D756" s="13"/>
      <c r="E756" s="13"/>
      <c r="F756" s="45"/>
      <c r="G756" s="42"/>
      <c r="H756" s="42"/>
      <c r="I756" s="42"/>
      <c r="J756" s="22"/>
      <c r="K756" s="42"/>
    </row>
    <row r="757" ht="39.75" customHeight="1">
      <c r="A757" s="1">
        <v>756.0</v>
      </c>
      <c r="B757" s="21"/>
      <c r="C757" s="21"/>
      <c r="D757" s="21"/>
      <c r="E757" s="21"/>
      <c r="F757" s="46"/>
      <c r="G757" s="47"/>
      <c r="H757" s="47"/>
      <c r="I757" s="47"/>
      <c r="J757" s="48"/>
      <c r="K757" s="47"/>
      <c r="L757" s="49"/>
      <c r="M757" s="49"/>
      <c r="N757" s="49"/>
    </row>
    <row r="758" ht="39.75" hidden="1" customHeight="1">
      <c r="A758" s="1">
        <v>757.0</v>
      </c>
      <c r="B758" s="2" t="s">
        <v>12</v>
      </c>
      <c r="C758" s="2" t="s">
        <v>58</v>
      </c>
      <c r="D758" s="13"/>
      <c r="E758" s="13"/>
      <c r="F758" s="45"/>
      <c r="G758" s="42"/>
      <c r="H758" s="42"/>
      <c r="I758" s="42"/>
      <c r="J758" s="27" t="s">
        <v>1890</v>
      </c>
      <c r="K758" s="42"/>
      <c r="L758" s="15" t="s">
        <v>460</v>
      </c>
    </row>
    <row r="759" ht="39.75" customHeight="1">
      <c r="A759" s="1">
        <v>758.0</v>
      </c>
      <c r="B759" s="2" t="s">
        <v>16</v>
      </c>
      <c r="C759" s="2" t="s">
        <v>69</v>
      </c>
      <c r="D759" s="13"/>
      <c r="E759" s="51">
        <v>0.9375</v>
      </c>
      <c r="F759" s="44" t="s">
        <v>2190</v>
      </c>
      <c r="G759" s="43">
        <v>2.0</v>
      </c>
      <c r="H759" s="42"/>
      <c r="I759" s="43">
        <v>2.0</v>
      </c>
      <c r="J759" s="27" t="s">
        <v>460</v>
      </c>
      <c r="K759" s="43"/>
    </row>
    <row r="760" ht="39.75" customHeight="1">
      <c r="A760" s="1">
        <v>759.0</v>
      </c>
      <c r="B760" s="2" t="s">
        <v>17</v>
      </c>
      <c r="C760" s="2"/>
      <c r="D760" s="13"/>
      <c r="E760" s="51">
        <v>0.8541666666666666</v>
      </c>
      <c r="F760" s="44" t="s">
        <v>2191</v>
      </c>
      <c r="G760" s="43">
        <v>1.0</v>
      </c>
      <c r="H760" s="43">
        <v>1.0</v>
      </c>
      <c r="I760" s="43">
        <v>1.0</v>
      </c>
      <c r="J760" s="27" t="s">
        <v>111</v>
      </c>
      <c r="K760" s="42"/>
    </row>
    <row r="761" ht="39.75" customHeight="1">
      <c r="A761" s="1">
        <v>760.0</v>
      </c>
      <c r="B761" s="2" t="s">
        <v>331</v>
      </c>
      <c r="C761" s="2" t="s">
        <v>542</v>
      </c>
      <c r="D761" s="13"/>
      <c r="E761" s="13"/>
      <c r="F761" s="44" t="s">
        <v>2192</v>
      </c>
      <c r="G761" s="43">
        <v>2.0</v>
      </c>
      <c r="H761" s="42"/>
      <c r="I761" s="42"/>
      <c r="J761" s="22"/>
      <c r="K761" s="42"/>
    </row>
    <row r="762" ht="39.75" customHeight="1">
      <c r="A762" s="1">
        <v>761.0</v>
      </c>
      <c r="B762" s="2" t="s">
        <v>21</v>
      </c>
      <c r="C762" s="2"/>
      <c r="D762" s="13"/>
      <c r="E762" s="13"/>
      <c r="F762" s="44" t="s">
        <v>2193</v>
      </c>
      <c r="G762" s="43">
        <v>1.0</v>
      </c>
      <c r="H762" s="42"/>
      <c r="I762" s="42"/>
      <c r="J762" s="22"/>
      <c r="K762" s="42"/>
    </row>
    <row r="763" ht="39.75" customHeight="1">
      <c r="A763" s="1">
        <v>762.0</v>
      </c>
      <c r="B763" s="2" t="s">
        <v>22</v>
      </c>
      <c r="C763" s="2" t="s">
        <v>69</v>
      </c>
      <c r="D763" s="13"/>
      <c r="E763" s="13"/>
      <c r="F763" s="44" t="s">
        <v>2194</v>
      </c>
      <c r="G763" s="43">
        <v>1.0</v>
      </c>
      <c r="H763" s="42"/>
      <c r="I763" s="42"/>
      <c r="J763" s="22"/>
      <c r="K763" s="42"/>
    </row>
    <row r="764" ht="39.75" customHeight="1">
      <c r="A764" s="1">
        <v>763.0</v>
      </c>
      <c r="B764" s="2" t="s">
        <v>23</v>
      </c>
      <c r="C764" s="2" t="s">
        <v>54</v>
      </c>
      <c r="D764" s="13"/>
      <c r="E764" s="13"/>
      <c r="F764" s="44" t="s">
        <v>2195</v>
      </c>
      <c r="G764" s="43">
        <v>1.0</v>
      </c>
      <c r="H764" s="42"/>
      <c r="I764" s="42"/>
      <c r="J764" s="22"/>
      <c r="K764" s="42"/>
    </row>
    <row r="765" ht="39.75" customHeight="1">
      <c r="A765" s="1">
        <v>764.0</v>
      </c>
      <c r="B765" s="2" t="s">
        <v>24</v>
      </c>
      <c r="C765" s="2"/>
      <c r="D765" s="13"/>
      <c r="E765" s="13"/>
      <c r="F765" s="44" t="s">
        <v>2196</v>
      </c>
      <c r="G765" s="43">
        <v>1.0</v>
      </c>
      <c r="H765" s="42"/>
      <c r="I765" s="42"/>
      <c r="J765" s="22"/>
      <c r="K765" s="42"/>
    </row>
    <row r="766" ht="39.75" customHeight="1">
      <c r="A766" s="1">
        <v>765.0</v>
      </c>
      <c r="B766" s="2" t="s">
        <v>25</v>
      </c>
      <c r="C766" s="2"/>
      <c r="D766" s="13"/>
      <c r="E766" s="13"/>
      <c r="F766" s="44" t="s">
        <v>2197</v>
      </c>
      <c r="G766" s="43">
        <v>1.0</v>
      </c>
      <c r="H766" s="42"/>
      <c r="I766" s="42"/>
      <c r="J766" s="22"/>
      <c r="K766" s="42"/>
    </row>
    <row r="767" ht="39.75" hidden="1" customHeight="1">
      <c r="A767" s="1">
        <v>766.0</v>
      </c>
      <c r="B767" s="2" t="s">
        <v>26</v>
      </c>
      <c r="C767" s="2" t="s">
        <v>66</v>
      </c>
      <c r="D767" s="13"/>
      <c r="E767" s="13"/>
      <c r="F767" s="45"/>
      <c r="G767" s="42"/>
      <c r="H767" s="42"/>
      <c r="I767" s="42"/>
      <c r="J767" s="22"/>
      <c r="K767" s="42"/>
    </row>
    <row r="768" ht="39.75" customHeight="1">
      <c r="A768" s="1">
        <v>767.0</v>
      </c>
      <c r="B768" s="2" t="s">
        <v>29</v>
      </c>
      <c r="C768" s="2" t="s">
        <v>27</v>
      </c>
      <c r="D768" s="13"/>
      <c r="E768" s="13"/>
      <c r="F768" s="44" t="s">
        <v>2198</v>
      </c>
      <c r="G768" s="43">
        <v>2.0</v>
      </c>
      <c r="H768" s="42"/>
      <c r="I768" s="43">
        <v>2.0</v>
      </c>
      <c r="J768" s="22"/>
      <c r="K768" s="42"/>
    </row>
    <row r="769" ht="39.75" customHeight="1">
      <c r="A769" s="1">
        <v>768.0</v>
      </c>
      <c r="B769" s="2" t="s">
        <v>30</v>
      </c>
      <c r="C769" s="2" t="s">
        <v>64</v>
      </c>
      <c r="D769" s="13"/>
      <c r="E769" s="13"/>
      <c r="F769" s="44" t="s">
        <v>2103</v>
      </c>
      <c r="G769" s="43">
        <v>1.0</v>
      </c>
      <c r="H769" s="42"/>
      <c r="I769" s="43">
        <v>1.0</v>
      </c>
      <c r="J769" s="22"/>
      <c r="K769" s="42"/>
    </row>
    <row r="770" ht="39.75" customHeight="1">
      <c r="A770" s="1">
        <v>769.0</v>
      </c>
      <c r="B770" s="2" t="s">
        <v>31</v>
      </c>
      <c r="C770" s="2"/>
      <c r="D770" s="13"/>
      <c r="E770" s="13"/>
      <c r="F770" s="44" t="s">
        <v>2199</v>
      </c>
      <c r="G770" s="43">
        <v>1.0</v>
      </c>
      <c r="H770" s="42"/>
      <c r="I770" s="43">
        <v>1.0</v>
      </c>
      <c r="J770" s="22"/>
      <c r="K770" s="42"/>
    </row>
    <row r="771" ht="39.75" hidden="1" customHeight="1">
      <c r="A771" s="1">
        <v>770.0</v>
      </c>
      <c r="B771" s="2" t="s">
        <v>32</v>
      </c>
      <c r="C771" s="2" t="s">
        <v>58</v>
      </c>
      <c r="D771" s="13"/>
      <c r="E771" s="13"/>
      <c r="F771" s="45"/>
      <c r="G771" s="42"/>
      <c r="H771" s="42"/>
      <c r="I771" s="42"/>
      <c r="J771" s="22"/>
      <c r="K771" s="42"/>
    </row>
    <row r="772" ht="39.75" customHeight="1">
      <c r="A772" s="1">
        <v>771.0</v>
      </c>
      <c r="B772" s="2" t="s">
        <v>67</v>
      </c>
      <c r="C772" s="2" t="s">
        <v>44</v>
      </c>
      <c r="D772" s="13"/>
      <c r="E772" s="13"/>
      <c r="F772" s="52" t="s">
        <v>2200</v>
      </c>
      <c r="G772" s="43">
        <v>1.0</v>
      </c>
      <c r="H772" s="42"/>
      <c r="I772" s="42"/>
      <c r="J772" s="22"/>
      <c r="K772" s="42"/>
    </row>
    <row r="773" ht="39.75" customHeight="1">
      <c r="A773" s="1">
        <v>772.0</v>
      </c>
      <c r="B773" s="2" t="s">
        <v>34</v>
      </c>
      <c r="C773" s="2" t="s">
        <v>54</v>
      </c>
      <c r="D773" s="13"/>
      <c r="E773" s="51">
        <v>0.8541666666666666</v>
      </c>
      <c r="F773" s="44" t="s">
        <v>2201</v>
      </c>
      <c r="G773" s="43">
        <v>2.0</v>
      </c>
      <c r="H773" s="42"/>
      <c r="I773" s="42"/>
      <c r="J773" s="22"/>
      <c r="K773" s="42"/>
    </row>
    <row r="774" ht="39.75" customHeight="1">
      <c r="A774" s="1">
        <v>773.0</v>
      </c>
      <c r="B774" s="2" t="s">
        <v>35</v>
      </c>
      <c r="C774" s="2"/>
      <c r="D774" s="13"/>
      <c r="E774" s="13"/>
      <c r="F774" s="44" t="s">
        <v>2202</v>
      </c>
      <c r="G774" s="43">
        <v>1.0</v>
      </c>
      <c r="H774" s="42"/>
      <c r="I774" s="42"/>
      <c r="J774" s="22"/>
      <c r="K774" s="42"/>
    </row>
    <row r="775" ht="39.75" hidden="1" customHeight="1">
      <c r="A775" s="1">
        <v>774.0</v>
      </c>
      <c r="B775" s="2" t="s">
        <v>36</v>
      </c>
      <c r="C775" s="2" t="s">
        <v>58</v>
      </c>
      <c r="D775" s="13"/>
      <c r="E775" s="13"/>
      <c r="F775" s="45"/>
      <c r="G775" s="42"/>
      <c r="H775" s="42"/>
      <c r="I775" s="42"/>
      <c r="J775" s="22"/>
      <c r="K775" s="42"/>
    </row>
    <row r="776" ht="39.75" customHeight="1">
      <c r="A776" s="1">
        <v>775.0</v>
      </c>
      <c r="B776" s="2" t="s">
        <v>38</v>
      </c>
      <c r="C776" s="2" t="s">
        <v>54</v>
      </c>
      <c r="D776" s="13"/>
      <c r="E776" s="13"/>
      <c r="F776" s="44" t="s">
        <v>2203</v>
      </c>
      <c r="G776" s="43">
        <v>1.0</v>
      </c>
      <c r="H776" s="42"/>
      <c r="I776" s="43"/>
      <c r="J776" s="22"/>
      <c r="K776" s="42"/>
    </row>
    <row r="777" ht="39.75" hidden="1" customHeight="1">
      <c r="A777" s="1">
        <v>776.0</v>
      </c>
      <c r="B777" s="2" t="s">
        <v>41</v>
      </c>
      <c r="C777" s="2" t="s">
        <v>58</v>
      </c>
      <c r="D777" s="13"/>
      <c r="E777" s="13"/>
      <c r="F777" s="45"/>
      <c r="G777" s="42"/>
      <c r="H777" s="42"/>
      <c r="I777" s="42"/>
      <c r="J777" s="22"/>
      <c r="K777" s="42"/>
    </row>
    <row r="778" ht="39.75" customHeight="1">
      <c r="A778" s="1">
        <v>777.0</v>
      </c>
      <c r="B778" s="2" t="s">
        <v>42</v>
      </c>
      <c r="C778" s="2"/>
      <c r="D778" s="13"/>
      <c r="E778" s="13"/>
      <c r="F778" s="44" t="s">
        <v>2204</v>
      </c>
      <c r="G778" s="43">
        <v>1.0</v>
      </c>
      <c r="H778" s="42"/>
      <c r="I778" s="42"/>
      <c r="J778" s="22"/>
      <c r="K778" s="42"/>
    </row>
    <row r="779" ht="39.75" hidden="1" customHeight="1">
      <c r="A779" s="1">
        <v>778.0</v>
      </c>
      <c r="B779" s="2" t="s">
        <v>43</v>
      </c>
      <c r="C779" s="2" t="s">
        <v>58</v>
      </c>
      <c r="D779" s="13"/>
      <c r="E779" s="13"/>
      <c r="F779" s="45"/>
      <c r="G779" s="42"/>
      <c r="H779" s="42"/>
      <c r="I779" s="42"/>
      <c r="J779" s="22"/>
      <c r="K779" s="42"/>
    </row>
    <row r="780" ht="39.75" customHeight="1">
      <c r="A780" s="1">
        <v>779.0</v>
      </c>
      <c r="B780" s="2" t="s">
        <v>45</v>
      </c>
      <c r="C780" s="2" t="s">
        <v>69</v>
      </c>
      <c r="D780" s="13"/>
      <c r="E780" s="40">
        <v>0.8680555555555556</v>
      </c>
      <c r="F780" s="44" t="s">
        <v>2205</v>
      </c>
      <c r="G780" s="43">
        <v>1.0</v>
      </c>
      <c r="H780" s="42"/>
      <c r="I780" s="42"/>
      <c r="J780" s="22"/>
      <c r="K780" s="42"/>
    </row>
    <row r="781" ht="39.75" hidden="1" customHeight="1">
      <c r="A781" s="1">
        <v>780.0</v>
      </c>
      <c r="B781" s="2" t="s">
        <v>46</v>
      </c>
      <c r="C781" s="2" t="s">
        <v>58</v>
      </c>
      <c r="D781" s="13"/>
      <c r="E781" s="13"/>
      <c r="F781" s="45"/>
      <c r="G781" s="42"/>
      <c r="H781" s="42"/>
      <c r="I781" s="42"/>
      <c r="J781" s="22"/>
      <c r="K781" s="42"/>
    </row>
    <row r="782" ht="39.75" customHeight="1">
      <c r="A782" s="1">
        <v>781.0</v>
      </c>
      <c r="B782" s="2" t="s">
        <v>47</v>
      </c>
      <c r="C782" s="2" t="s">
        <v>54</v>
      </c>
      <c r="D782" s="13"/>
      <c r="E782" s="51">
        <v>0.006944444444444444</v>
      </c>
      <c r="F782" s="44" t="s">
        <v>2206</v>
      </c>
      <c r="G782" s="43">
        <v>1.0</v>
      </c>
      <c r="H782" s="43">
        <v>1.0</v>
      </c>
      <c r="I782" s="42"/>
      <c r="J782" s="22"/>
      <c r="K782" s="42"/>
    </row>
    <row r="783" ht="39.75" customHeight="1">
      <c r="A783" s="1">
        <v>782.0</v>
      </c>
      <c r="B783" s="2" t="s">
        <v>48</v>
      </c>
      <c r="C783" s="2" t="s">
        <v>39</v>
      </c>
      <c r="D783" s="13"/>
      <c r="E783" s="13"/>
      <c r="F783" s="44" t="s">
        <v>2207</v>
      </c>
      <c r="G783" s="43">
        <v>1.0</v>
      </c>
      <c r="H783" s="42"/>
      <c r="I783" s="43">
        <v>1.0</v>
      </c>
      <c r="J783" s="22"/>
      <c r="K783" s="42"/>
    </row>
    <row r="784" ht="39.75" customHeight="1">
      <c r="A784" s="1">
        <v>783.0</v>
      </c>
      <c r="B784" s="21"/>
      <c r="C784" s="21"/>
      <c r="D784" s="21"/>
      <c r="E784" s="21"/>
      <c r="F784" s="46"/>
      <c r="G784" s="47"/>
      <c r="H784" s="47"/>
      <c r="I784" s="47"/>
      <c r="J784" s="48"/>
      <c r="K784" s="47"/>
      <c r="L784" s="49"/>
      <c r="M784" s="49"/>
      <c r="N784" s="49"/>
    </row>
    <row r="785" ht="39.75" customHeight="1">
      <c r="A785" s="1">
        <v>784.0</v>
      </c>
      <c r="B785" s="2" t="s">
        <v>12</v>
      </c>
      <c r="C785" s="2" t="s">
        <v>62</v>
      </c>
      <c r="D785" s="13"/>
      <c r="E785" s="13"/>
      <c r="F785" s="44" t="s">
        <v>2011</v>
      </c>
      <c r="G785" s="43">
        <v>1.0</v>
      </c>
      <c r="H785" s="42"/>
      <c r="I785" s="43">
        <v>1.0</v>
      </c>
      <c r="J785" s="27" t="s">
        <v>1890</v>
      </c>
      <c r="K785" s="42"/>
      <c r="L785" s="15" t="s">
        <v>467</v>
      </c>
    </row>
    <row r="786" ht="39.75" hidden="1" customHeight="1">
      <c r="A786" s="1">
        <v>785.0</v>
      </c>
      <c r="B786" s="2" t="s">
        <v>16</v>
      </c>
      <c r="C786" s="2" t="s">
        <v>58</v>
      </c>
      <c r="D786" s="13"/>
      <c r="E786" s="13"/>
      <c r="F786" s="45"/>
      <c r="G786" s="42"/>
      <c r="H786" s="42"/>
      <c r="I786" s="42"/>
      <c r="J786" s="27" t="s">
        <v>467</v>
      </c>
      <c r="K786" s="43"/>
    </row>
    <row r="787" ht="39.75" customHeight="1">
      <c r="A787" s="1">
        <v>786.0</v>
      </c>
      <c r="B787" s="2" t="s">
        <v>17</v>
      </c>
      <c r="C787" s="2" t="s">
        <v>69</v>
      </c>
      <c r="D787" s="13"/>
      <c r="E787" s="13"/>
      <c r="F787" s="44" t="s">
        <v>2208</v>
      </c>
      <c r="G787" s="43">
        <v>2.0</v>
      </c>
      <c r="H787" s="42"/>
      <c r="I787" s="43">
        <v>1.0</v>
      </c>
      <c r="J787" s="27" t="s">
        <v>131</v>
      </c>
      <c r="K787" s="42"/>
    </row>
    <row r="788" ht="39.75" customHeight="1">
      <c r="A788" s="1">
        <v>787.0</v>
      </c>
      <c r="B788" s="2" t="s">
        <v>331</v>
      </c>
      <c r="C788" s="2" t="s">
        <v>542</v>
      </c>
      <c r="D788" s="13"/>
      <c r="E788" s="13"/>
      <c r="F788" s="44"/>
      <c r="G788" s="42"/>
      <c r="H788" s="42"/>
      <c r="I788" s="42"/>
      <c r="J788" s="22"/>
      <c r="K788" s="42"/>
    </row>
    <row r="789" ht="39.75" customHeight="1">
      <c r="A789" s="1">
        <v>788.0</v>
      </c>
      <c r="B789" s="2" t="s">
        <v>21</v>
      </c>
      <c r="C789" s="2"/>
      <c r="D789" s="13"/>
      <c r="E789" s="13"/>
      <c r="F789" s="44" t="s">
        <v>2209</v>
      </c>
      <c r="G789" s="43">
        <v>2.0</v>
      </c>
      <c r="H789" s="42"/>
      <c r="I789" s="43">
        <v>1.0</v>
      </c>
      <c r="J789" s="22"/>
      <c r="K789" s="42"/>
    </row>
    <row r="790" ht="39.75" customHeight="1">
      <c r="A790" s="1">
        <v>789.0</v>
      </c>
      <c r="B790" s="2" t="s">
        <v>22</v>
      </c>
      <c r="C790" s="2"/>
      <c r="D790" s="13"/>
      <c r="E790" s="13"/>
      <c r="F790" s="44" t="s">
        <v>2210</v>
      </c>
      <c r="G790" s="43">
        <v>1.0</v>
      </c>
      <c r="H790" s="42"/>
      <c r="I790" s="43">
        <v>1.0</v>
      </c>
      <c r="J790" s="22"/>
      <c r="K790" s="42"/>
    </row>
    <row r="791" ht="39.75" customHeight="1">
      <c r="A791" s="1">
        <v>790.0</v>
      </c>
      <c r="B791" s="2" t="s">
        <v>23</v>
      </c>
      <c r="C791" s="2" t="s">
        <v>54</v>
      </c>
      <c r="D791" s="13"/>
      <c r="E791" s="13"/>
      <c r="F791" s="44" t="s">
        <v>2211</v>
      </c>
      <c r="G791" s="43">
        <v>2.0</v>
      </c>
      <c r="H791" s="42"/>
      <c r="I791" s="43">
        <v>1.0</v>
      </c>
      <c r="J791" s="22"/>
      <c r="K791" s="42"/>
    </row>
    <row r="792" ht="39.75" customHeight="1">
      <c r="A792" s="1">
        <v>791.0</v>
      </c>
      <c r="B792" s="2" t="s">
        <v>24</v>
      </c>
      <c r="C792" s="2"/>
      <c r="D792" s="13"/>
      <c r="E792" s="13"/>
      <c r="F792" s="44" t="s">
        <v>2212</v>
      </c>
      <c r="G792" s="43">
        <v>1.0</v>
      </c>
      <c r="H792" s="42"/>
      <c r="I792" s="42"/>
      <c r="J792" s="22"/>
      <c r="K792" s="42"/>
    </row>
    <row r="793" ht="39.75" customHeight="1">
      <c r="A793" s="1">
        <v>792.0</v>
      </c>
      <c r="B793" s="2" t="s">
        <v>25</v>
      </c>
      <c r="C793" s="2" t="s">
        <v>69</v>
      </c>
      <c r="D793" s="13"/>
      <c r="E793" s="13"/>
      <c r="F793" s="44" t="s">
        <v>2213</v>
      </c>
      <c r="G793" s="43">
        <v>1.0</v>
      </c>
      <c r="H793" s="42"/>
      <c r="I793" s="43">
        <v>1.0</v>
      </c>
      <c r="J793" s="22"/>
      <c r="K793" s="42"/>
    </row>
    <row r="794" ht="39.75" hidden="1" customHeight="1">
      <c r="A794" s="1">
        <v>793.0</v>
      </c>
      <c r="B794" s="2" t="s">
        <v>26</v>
      </c>
      <c r="C794" s="2" t="s">
        <v>58</v>
      </c>
      <c r="D794" s="13"/>
      <c r="E794" s="13"/>
      <c r="F794" s="45"/>
      <c r="G794" s="42"/>
      <c r="H794" s="42"/>
      <c r="I794" s="42"/>
      <c r="J794" s="22"/>
      <c r="K794" s="42"/>
    </row>
    <row r="795" ht="39.75" customHeight="1">
      <c r="A795" s="1">
        <v>794.0</v>
      </c>
      <c r="B795" s="2" t="s">
        <v>29</v>
      </c>
      <c r="C795" s="2" t="s">
        <v>44</v>
      </c>
      <c r="D795" s="13"/>
      <c r="E795" s="13"/>
      <c r="F795" s="45"/>
      <c r="G795" s="42"/>
      <c r="H795" s="42"/>
      <c r="I795" s="42"/>
      <c r="J795" s="22"/>
      <c r="K795" s="42"/>
    </row>
    <row r="796" ht="39.75" customHeight="1">
      <c r="A796" s="1">
        <v>795.0</v>
      </c>
      <c r="B796" s="2" t="s">
        <v>30</v>
      </c>
      <c r="C796" s="2" t="s">
        <v>64</v>
      </c>
      <c r="D796" s="13"/>
      <c r="E796" s="13"/>
      <c r="F796" s="44" t="s">
        <v>2103</v>
      </c>
      <c r="G796" s="43">
        <v>1.0</v>
      </c>
      <c r="H796" s="42"/>
      <c r="I796" s="43">
        <v>1.0</v>
      </c>
      <c r="J796" s="22"/>
      <c r="K796" s="42"/>
    </row>
    <row r="797" ht="39.75" customHeight="1">
      <c r="A797" s="1">
        <v>796.0</v>
      </c>
      <c r="B797" s="2" t="s">
        <v>31</v>
      </c>
      <c r="C797" s="2" t="s">
        <v>39</v>
      </c>
      <c r="D797" s="13"/>
      <c r="E797" s="40">
        <v>0.6666666666666666</v>
      </c>
      <c r="F797" s="44" t="s">
        <v>2214</v>
      </c>
      <c r="G797" s="43">
        <v>1.0</v>
      </c>
      <c r="H797" s="43">
        <v>1.0</v>
      </c>
      <c r="I797" s="42"/>
      <c r="J797" s="22"/>
      <c r="K797" s="42"/>
    </row>
    <row r="798" ht="39.75" hidden="1" customHeight="1">
      <c r="A798" s="1">
        <v>797.0</v>
      </c>
      <c r="B798" s="2" t="s">
        <v>32</v>
      </c>
      <c r="C798" s="2" t="s">
        <v>66</v>
      </c>
      <c r="D798" s="13"/>
      <c r="E798" s="13"/>
      <c r="F798" s="45"/>
      <c r="G798" s="42"/>
      <c r="H798" s="42"/>
      <c r="I798" s="42"/>
      <c r="J798" s="22"/>
      <c r="K798" s="42"/>
    </row>
    <row r="799" ht="39.75" hidden="1" customHeight="1">
      <c r="A799" s="1">
        <v>798.0</v>
      </c>
      <c r="B799" s="2" t="s">
        <v>67</v>
      </c>
      <c r="C799" s="2" t="s">
        <v>58</v>
      </c>
      <c r="D799" s="13"/>
      <c r="E799" s="13"/>
      <c r="F799" s="45"/>
      <c r="G799" s="42"/>
      <c r="H799" s="42"/>
      <c r="I799" s="42"/>
      <c r="J799" s="22"/>
      <c r="K799" s="42"/>
    </row>
    <row r="800" ht="39.75" customHeight="1">
      <c r="A800" s="1">
        <v>799.0</v>
      </c>
      <c r="B800" s="2" t="s">
        <v>34</v>
      </c>
      <c r="C800" s="2" t="s">
        <v>54</v>
      </c>
      <c r="D800" s="13"/>
      <c r="E800" s="13"/>
      <c r="F800" s="44" t="s">
        <v>2215</v>
      </c>
      <c r="G800" s="43">
        <v>1.0</v>
      </c>
      <c r="H800" s="42"/>
      <c r="I800" s="42"/>
      <c r="J800" s="22"/>
      <c r="K800" s="42"/>
    </row>
    <row r="801" ht="39.75" customHeight="1">
      <c r="A801" s="1">
        <v>800.0</v>
      </c>
      <c r="B801" s="2" t="s">
        <v>35</v>
      </c>
      <c r="C801" s="2" t="s">
        <v>69</v>
      </c>
      <c r="D801" s="13"/>
      <c r="E801" s="13"/>
      <c r="F801" s="44" t="s">
        <v>2216</v>
      </c>
      <c r="G801" s="43">
        <v>1.0</v>
      </c>
      <c r="H801" s="42"/>
      <c r="I801" s="43">
        <v>1.0</v>
      </c>
      <c r="J801" s="22"/>
      <c r="K801" s="42"/>
    </row>
    <row r="802" ht="39.75" hidden="1" customHeight="1">
      <c r="A802" s="1">
        <v>801.0</v>
      </c>
      <c r="B802" s="2" t="s">
        <v>36</v>
      </c>
      <c r="C802" s="2" t="s">
        <v>58</v>
      </c>
      <c r="D802" s="13"/>
      <c r="E802" s="13"/>
      <c r="F802" s="45"/>
      <c r="G802" s="42"/>
      <c r="H802" s="42"/>
      <c r="I802" s="42"/>
      <c r="J802" s="22"/>
      <c r="K802" s="42"/>
    </row>
    <row r="803" ht="39.75" customHeight="1">
      <c r="A803" s="1">
        <v>802.0</v>
      </c>
      <c r="B803" s="2" t="s">
        <v>38</v>
      </c>
      <c r="C803" s="2" t="s">
        <v>54</v>
      </c>
      <c r="D803" s="13"/>
      <c r="E803" s="13"/>
      <c r="F803" s="44" t="s">
        <v>2217</v>
      </c>
      <c r="G803" s="43">
        <v>1.0</v>
      </c>
      <c r="H803" s="42"/>
      <c r="I803" s="43"/>
      <c r="J803" s="22"/>
      <c r="K803" s="42"/>
    </row>
    <row r="804" ht="39.75" hidden="1" customHeight="1">
      <c r="A804" s="1">
        <v>803.0</v>
      </c>
      <c r="B804" s="2" t="s">
        <v>41</v>
      </c>
      <c r="C804" s="2" t="s">
        <v>58</v>
      </c>
      <c r="D804" s="13"/>
      <c r="E804" s="13"/>
      <c r="F804" s="45"/>
      <c r="G804" s="42"/>
      <c r="H804" s="42"/>
      <c r="I804" s="42"/>
      <c r="J804" s="22"/>
      <c r="K804" s="42"/>
    </row>
    <row r="805" ht="39.75" customHeight="1">
      <c r="A805" s="1">
        <v>804.0</v>
      </c>
      <c r="B805" s="2" t="s">
        <v>42</v>
      </c>
      <c r="C805" s="2" t="s">
        <v>27</v>
      </c>
      <c r="D805" s="13"/>
      <c r="E805" s="13"/>
      <c r="F805" s="45"/>
      <c r="G805" s="42"/>
      <c r="H805" s="42"/>
      <c r="I805" s="42"/>
      <c r="J805" s="22"/>
      <c r="K805" s="42"/>
    </row>
    <row r="806" ht="39.75" hidden="1" customHeight="1">
      <c r="A806" s="1">
        <v>805.0</v>
      </c>
      <c r="B806" s="2" t="s">
        <v>43</v>
      </c>
      <c r="C806" s="2" t="s">
        <v>66</v>
      </c>
      <c r="D806" s="13"/>
      <c r="E806" s="13"/>
      <c r="F806" s="45"/>
      <c r="G806" s="42"/>
      <c r="H806" s="42"/>
      <c r="I806" s="42"/>
      <c r="J806" s="22"/>
      <c r="K806" s="42"/>
    </row>
    <row r="807" ht="39.75" customHeight="1">
      <c r="A807" s="1">
        <v>806.0</v>
      </c>
      <c r="B807" s="2" t="s">
        <v>45</v>
      </c>
      <c r="C807" s="2"/>
      <c r="D807" s="13"/>
      <c r="E807" s="13"/>
      <c r="F807" s="44" t="s">
        <v>2218</v>
      </c>
      <c r="G807" s="43">
        <v>2.0</v>
      </c>
      <c r="H807" s="42"/>
      <c r="I807" s="43">
        <v>1.0</v>
      </c>
      <c r="J807" s="22"/>
      <c r="K807" s="42"/>
    </row>
    <row r="808" ht="39.75" customHeight="1">
      <c r="A808" s="1">
        <v>807.0</v>
      </c>
      <c r="B808" s="2" t="s">
        <v>46</v>
      </c>
      <c r="C808" s="2" t="s">
        <v>39</v>
      </c>
      <c r="D808" s="13"/>
      <c r="E808" s="40">
        <v>0.6666666666666666</v>
      </c>
      <c r="F808" s="44" t="s">
        <v>2219</v>
      </c>
      <c r="G808" s="43">
        <v>1.0</v>
      </c>
      <c r="H808" s="43">
        <v>1.0</v>
      </c>
      <c r="I808" s="42"/>
      <c r="J808" s="22"/>
      <c r="K808" s="42"/>
    </row>
    <row r="809" ht="39.75" customHeight="1">
      <c r="A809" s="1">
        <v>808.0</v>
      </c>
      <c r="B809" s="2" t="s">
        <v>47</v>
      </c>
      <c r="C809" s="2" t="s">
        <v>54</v>
      </c>
      <c r="D809" s="13"/>
      <c r="E809" s="13"/>
      <c r="F809" s="44" t="s">
        <v>2206</v>
      </c>
      <c r="G809" s="43">
        <v>1.0</v>
      </c>
      <c r="H809" s="43">
        <v>1.0</v>
      </c>
      <c r="I809" s="42"/>
      <c r="J809" s="22"/>
      <c r="K809" s="42"/>
    </row>
    <row r="810" ht="39.75" customHeight="1">
      <c r="A810" s="1">
        <v>809.0</v>
      </c>
      <c r="B810" s="2" t="s">
        <v>48</v>
      </c>
      <c r="C810" s="13"/>
      <c r="D810" s="13"/>
      <c r="E810" s="13"/>
      <c r="F810" s="44" t="s">
        <v>2220</v>
      </c>
      <c r="G810" s="43">
        <v>1.0</v>
      </c>
      <c r="H810" s="42"/>
      <c r="I810" s="42"/>
      <c r="J810" s="22"/>
      <c r="K810" s="42"/>
    </row>
    <row r="811" ht="39.75" customHeight="1">
      <c r="A811" s="1">
        <v>810.0</v>
      </c>
      <c r="B811" s="21"/>
      <c r="C811" s="21"/>
      <c r="D811" s="21"/>
      <c r="E811" s="21"/>
      <c r="F811" s="46"/>
      <c r="G811" s="47"/>
      <c r="H811" s="47"/>
      <c r="I811" s="47"/>
      <c r="J811" s="48"/>
      <c r="K811" s="47"/>
      <c r="L811" s="49"/>
      <c r="M811" s="49"/>
      <c r="N811" s="49"/>
    </row>
    <row r="812" ht="39.75" customHeight="1">
      <c r="A812" s="1">
        <v>811.0</v>
      </c>
      <c r="B812" s="2" t="s">
        <v>263</v>
      </c>
      <c r="C812" s="2" t="s">
        <v>272</v>
      </c>
      <c r="D812" s="13"/>
      <c r="E812" s="13"/>
      <c r="F812" s="44" t="s">
        <v>2221</v>
      </c>
      <c r="G812" s="43">
        <v>1.0</v>
      </c>
      <c r="H812" s="42"/>
      <c r="I812" s="43">
        <v>1.0</v>
      </c>
      <c r="J812" s="27" t="s">
        <v>1890</v>
      </c>
      <c r="K812" s="42"/>
      <c r="L812" s="15" t="s">
        <v>477</v>
      </c>
    </row>
    <row r="813" ht="39.75" customHeight="1">
      <c r="A813" s="1">
        <v>812.0</v>
      </c>
      <c r="B813" s="2" t="s">
        <v>266</v>
      </c>
      <c r="C813" s="2" t="s">
        <v>272</v>
      </c>
      <c r="D813" s="13"/>
      <c r="E813" s="13"/>
      <c r="F813" s="44" t="s">
        <v>2222</v>
      </c>
      <c r="G813" s="43">
        <v>1.0</v>
      </c>
      <c r="H813" s="42"/>
      <c r="I813" s="43">
        <v>1.0</v>
      </c>
      <c r="J813" s="27" t="s">
        <v>477</v>
      </c>
      <c r="K813" s="43"/>
    </row>
    <row r="814" ht="39.75" customHeight="1">
      <c r="A814" s="1">
        <v>813.0</v>
      </c>
      <c r="B814" s="2" t="s">
        <v>33</v>
      </c>
      <c r="C814" s="2" t="s">
        <v>272</v>
      </c>
      <c r="D814" s="13"/>
      <c r="E814" s="13"/>
      <c r="F814" s="44" t="s">
        <v>2223</v>
      </c>
      <c r="G814" s="43">
        <v>1.0</v>
      </c>
      <c r="H814" s="42"/>
      <c r="I814" s="43">
        <v>1.0</v>
      </c>
      <c r="J814" s="27" t="s">
        <v>149</v>
      </c>
      <c r="K814" s="42"/>
    </row>
    <row r="815" ht="39.75" customHeight="1">
      <c r="A815" s="1">
        <v>814.0</v>
      </c>
      <c r="B815" s="2" t="s">
        <v>267</v>
      </c>
      <c r="C815" s="2" t="s">
        <v>272</v>
      </c>
      <c r="D815" s="13"/>
      <c r="E815" s="13"/>
      <c r="F815" s="44" t="s">
        <v>2224</v>
      </c>
      <c r="G815" s="43">
        <v>1.0</v>
      </c>
      <c r="H815" s="42"/>
      <c r="I815" s="43">
        <v>1.0</v>
      </c>
      <c r="J815" s="27" t="s">
        <v>262</v>
      </c>
      <c r="K815" s="42"/>
    </row>
    <row r="816" ht="39.75" customHeight="1">
      <c r="A816" s="1">
        <v>815.0</v>
      </c>
      <c r="B816" s="2" t="s">
        <v>21</v>
      </c>
      <c r="C816" s="2" t="s">
        <v>63</v>
      </c>
      <c r="D816" s="13"/>
      <c r="E816" s="13"/>
      <c r="F816" s="45"/>
      <c r="G816" s="42"/>
      <c r="H816" s="42"/>
      <c r="I816" s="42"/>
      <c r="J816" s="27" t="s">
        <v>264</v>
      </c>
      <c r="K816" s="42"/>
    </row>
    <row r="817" ht="39.75" customHeight="1">
      <c r="A817" s="1">
        <v>816.0</v>
      </c>
      <c r="B817" s="2" t="s">
        <v>22</v>
      </c>
      <c r="C817" s="2"/>
      <c r="D817" s="40">
        <v>0.375</v>
      </c>
      <c r="E817" s="13"/>
      <c r="F817" s="80" t="s">
        <v>2225</v>
      </c>
      <c r="G817" s="43">
        <v>2.0</v>
      </c>
      <c r="H817" s="42"/>
      <c r="I817" s="43">
        <v>1.0</v>
      </c>
      <c r="J817" s="27" t="s">
        <v>265</v>
      </c>
      <c r="K817" s="42"/>
    </row>
    <row r="818" ht="39.75" customHeight="1">
      <c r="A818" s="1">
        <v>817.0</v>
      </c>
      <c r="B818" s="2" t="s">
        <v>23</v>
      </c>
      <c r="C818" s="2" t="s">
        <v>49</v>
      </c>
      <c r="D818" s="13"/>
      <c r="E818" s="13"/>
      <c r="F818" s="44" t="s">
        <v>2226</v>
      </c>
      <c r="G818" s="43">
        <v>1.0</v>
      </c>
      <c r="H818" s="42"/>
      <c r="I818" s="42"/>
      <c r="J818" s="22"/>
      <c r="K818" s="42"/>
    </row>
    <row r="819" ht="39.75" customHeight="1">
      <c r="A819" s="1">
        <v>818.0</v>
      </c>
      <c r="B819" s="2" t="s">
        <v>116</v>
      </c>
      <c r="C819" s="2" t="s">
        <v>1466</v>
      </c>
      <c r="D819" s="13"/>
      <c r="E819" s="13"/>
      <c r="F819" s="44" t="s">
        <v>2227</v>
      </c>
      <c r="G819" s="43">
        <v>1.0</v>
      </c>
      <c r="H819" s="43">
        <v>1.0</v>
      </c>
      <c r="I819" s="42"/>
      <c r="J819" s="22"/>
      <c r="K819" s="42"/>
    </row>
    <row r="820" ht="39.75" customHeight="1">
      <c r="A820" s="1">
        <v>819.0</v>
      </c>
      <c r="B820" s="2" t="s">
        <v>25</v>
      </c>
      <c r="C820" s="2" t="s">
        <v>39</v>
      </c>
      <c r="D820" s="13"/>
      <c r="E820" s="13"/>
      <c r="F820" s="80" t="s">
        <v>2228</v>
      </c>
      <c r="G820" s="43">
        <v>2.0</v>
      </c>
      <c r="H820" s="42"/>
      <c r="I820" s="42"/>
      <c r="J820" s="22"/>
      <c r="K820" s="42"/>
    </row>
    <row r="821" ht="39.75" hidden="1" customHeight="1">
      <c r="A821" s="1">
        <v>820.0</v>
      </c>
      <c r="B821" s="2" t="s">
        <v>26</v>
      </c>
      <c r="C821" s="2" t="s">
        <v>13</v>
      </c>
      <c r="D821" s="13"/>
      <c r="E821" s="13"/>
      <c r="F821" s="45"/>
      <c r="G821" s="42"/>
      <c r="H821" s="42"/>
      <c r="I821" s="42"/>
      <c r="J821" s="22"/>
      <c r="K821" s="42"/>
    </row>
    <row r="822" ht="39.75" hidden="1" customHeight="1">
      <c r="A822" s="1">
        <v>821.0</v>
      </c>
      <c r="B822" s="2" t="s">
        <v>29</v>
      </c>
      <c r="C822" s="2" t="s">
        <v>13</v>
      </c>
      <c r="D822" s="40"/>
      <c r="E822" s="13"/>
      <c r="F822" s="45"/>
      <c r="G822" s="42"/>
      <c r="H822" s="42"/>
      <c r="I822" s="42"/>
      <c r="J822" s="22"/>
      <c r="K822" s="42"/>
    </row>
    <row r="823" ht="39.75" hidden="1" customHeight="1">
      <c r="A823" s="1">
        <v>822.0</v>
      </c>
      <c r="B823" s="2" t="s">
        <v>30</v>
      </c>
      <c r="C823" s="2" t="s">
        <v>13</v>
      </c>
      <c r="D823" s="13"/>
      <c r="E823" s="13"/>
      <c r="F823" s="45"/>
      <c r="G823" s="42"/>
      <c r="H823" s="42"/>
      <c r="I823" s="42"/>
      <c r="J823" s="22"/>
      <c r="K823" s="42"/>
    </row>
    <row r="824" ht="39.75" hidden="1" customHeight="1">
      <c r="A824" s="1">
        <v>823.0</v>
      </c>
      <c r="B824" s="2" t="s">
        <v>31</v>
      </c>
      <c r="C824" s="2" t="s">
        <v>13</v>
      </c>
      <c r="D824" s="13"/>
      <c r="E824" s="13"/>
      <c r="F824" s="45"/>
      <c r="G824" s="42"/>
      <c r="H824" s="42"/>
      <c r="I824" s="42"/>
      <c r="J824" s="22"/>
      <c r="K824" s="42"/>
    </row>
    <row r="825" ht="39.75" customHeight="1">
      <c r="A825" s="1">
        <v>824.0</v>
      </c>
      <c r="B825" s="2" t="s">
        <v>32</v>
      </c>
      <c r="C825" s="2" t="s">
        <v>27</v>
      </c>
      <c r="D825" s="13"/>
      <c r="E825" s="13"/>
      <c r="F825" s="44" t="s">
        <v>2229</v>
      </c>
      <c r="G825" s="43">
        <v>1.0</v>
      </c>
      <c r="H825" s="42"/>
      <c r="I825" s="42"/>
      <c r="J825" s="22"/>
      <c r="K825" s="42"/>
    </row>
    <row r="826" ht="39.75" customHeight="1">
      <c r="A826" s="1">
        <v>825.0</v>
      </c>
      <c r="B826" s="2" t="s">
        <v>67</v>
      </c>
      <c r="C826" s="2"/>
      <c r="D826" s="40">
        <v>0.375</v>
      </c>
      <c r="E826" s="13"/>
      <c r="F826" s="44" t="s">
        <v>2230</v>
      </c>
      <c r="G826" s="43">
        <v>1.0</v>
      </c>
      <c r="H826" s="42"/>
      <c r="I826" s="43">
        <v>1.0</v>
      </c>
      <c r="J826" s="22"/>
      <c r="K826" s="42"/>
    </row>
    <row r="827" ht="39.75" hidden="1" customHeight="1">
      <c r="A827" s="1">
        <v>826.0</v>
      </c>
      <c r="B827" s="2" t="s">
        <v>34</v>
      </c>
      <c r="C827" s="2" t="s">
        <v>13</v>
      </c>
      <c r="D827" s="13"/>
      <c r="E827" s="13"/>
      <c r="F827" s="45"/>
      <c r="G827" s="42"/>
      <c r="H827" s="42"/>
      <c r="I827" s="42"/>
      <c r="J827" s="22"/>
      <c r="K827" s="42"/>
    </row>
    <row r="828" ht="39.75" hidden="1" customHeight="1">
      <c r="A828" s="1">
        <v>827.0</v>
      </c>
      <c r="B828" s="2" t="s">
        <v>35</v>
      </c>
      <c r="C828" s="2" t="s">
        <v>13</v>
      </c>
      <c r="D828" s="13"/>
      <c r="E828" s="13"/>
      <c r="F828" s="45"/>
      <c r="G828" s="42"/>
      <c r="H828" s="42"/>
      <c r="I828" s="42"/>
      <c r="J828" s="22"/>
      <c r="K828" s="42"/>
    </row>
    <row r="829" ht="39.75" hidden="1" customHeight="1">
      <c r="A829" s="1">
        <v>828.0</v>
      </c>
      <c r="B829" s="2" t="s">
        <v>36</v>
      </c>
      <c r="C829" s="2" t="s">
        <v>13</v>
      </c>
      <c r="D829" s="13"/>
      <c r="E829" s="13"/>
      <c r="F829" s="45"/>
      <c r="G829" s="42"/>
      <c r="H829" s="42"/>
      <c r="I829" s="42"/>
      <c r="J829" s="22"/>
      <c r="K829" s="42"/>
    </row>
    <row r="830" ht="39.75" hidden="1" customHeight="1">
      <c r="A830" s="1">
        <v>829.0</v>
      </c>
      <c r="B830" s="2" t="s">
        <v>38</v>
      </c>
      <c r="C830" s="2" t="s">
        <v>13</v>
      </c>
      <c r="D830" s="13"/>
      <c r="E830" s="13"/>
      <c r="F830" s="45"/>
      <c r="G830" s="42"/>
      <c r="H830" s="42"/>
      <c r="I830" s="42"/>
      <c r="J830" s="22"/>
      <c r="K830" s="42"/>
    </row>
    <row r="831" ht="39.75" hidden="1" customHeight="1">
      <c r="A831" s="1">
        <v>830.0</v>
      </c>
      <c r="B831" s="2" t="s">
        <v>41</v>
      </c>
      <c r="C831" s="2" t="s">
        <v>13</v>
      </c>
      <c r="D831" s="13"/>
      <c r="E831" s="13"/>
      <c r="F831" s="45"/>
      <c r="G831" s="42"/>
      <c r="H831" s="42"/>
      <c r="I831" s="42"/>
      <c r="J831" s="22"/>
      <c r="K831" s="42"/>
    </row>
    <row r="832" ht="39.75" customHeight="1">
      <c r="A832" s="1">
        <v>831.0</v>
      </c>
      <c r="B832" s="2" t="s">
        <v>42</v>
      </c>
      <c r="C832" s="2" t="s">
        <v>44</v>
      </c>
      <c r="D832" s="13"/>
      <c r="E832" s="13"/>
      <c r="F832" s="45"/>
      <c r="G832" s="42"/>
      <c r="H832" s="42"/>
      <c r="I832" s="42"/>
      <c r="J832" s="22"/>
      <c r="K832" s="42"/>
    </row>
    <row r="833" ht="39.75" hidden="1" customHeight="1">
      <c r="A833" s="1">
        <v>832.0</v>
      </c>
      <c r="B833" s="2" t="s">
        <v>43</v>
      </c>
      <c r="C833" s="2" t="s">
        <v>13</v>
      </c>
      <c r="D833" s="13"/>
      <c r="E833" s="13"/>
      <c r="F833" s="45"/>
      <c r="G833" s="42"/>
      <c r="H833" s="42"/>
      <c r="I833" s="42"/>
      <c r="J833" s="22"/>
      <c r="K833" s="42"/>
    </row>
    <row r="834" ht="39.75" hidden="1" customHeight="1">
      <c r="A834" s="1">
        <v>833.0</v>
      </c>
      <c r="B834" s="2" t="s">
        <v>45</v>
      </c>
      <c r="C834" s="2" t="s">
        <v>13</v>
      </c>
      <c r="D834" s="13"/>
      <c r="E834" s="13"/>
      <c r="F834" s="45"/>
      <c r="G834" s="42"/>
      <c r="H834" s="42"/>
      <c r="I834" s="42"/>
      <c r="J834" s="22"/>
      <c r="K834" s="42"/>
    </row>
    <row r="835" ht="39.75" hidden="1" customHeight="1">
      <c r="A835" s="1">
        <v>834.0</v>
      </c>
      <c r="B835" s="2" t="s">
        <v>46</v>
      </c>
      <c r="C835" s="2" t="s">
        <v>13</v>
      </c>
      <c r="D835" s="13"/>
      <c r="E835" s="13"/>
      <c r="F835" s="45"/>
      <c r="G835" s="42"/>
      <c r="H835" s="42"/>
      <c r="I835" s="42"/>
      <c r="J835" s="22"/>
      <c r="K835" s="42"/>
    </row>
    <row r="836" ht="39.75" hidden="1" customHeight="1">
      <c r="A836" s="1">
        <v>835.0</v>
      </c>
      <c r="B836" s="2" t="s">
        <v>47</v>
      </c>
      <c r="C836" s="2" t="s">
        <v>13</v>
      </c>
      <c r="D836" s="13"/>
      <c r="E836" s="13"/>
      <c r="F836" s="45"/>
      <c r="G836" s="42"/>
      <c r="H836" s="42"/>
      <c r="I836" s="42"/>
      <c r="J836" s="22"/>
      <c r="K836" s="42"/>
    </row>
    <row r="837" ht="39.75" hidden="1" customHeight="1">
      <c r="A837" s="1">
        <v>836.0</v>
      </c>
      <c r="B837" s="2" t="s">
        <v>48</v>
      </c>
      <c r="C837" s="2" t="s">
        <v>13</v>
      </c>
      <c r="D837" s="13"/>
      <c r="E837" s="13"/>
      <c r="F837" s="45"/>
      <c r="G837" s="42"/>
      <c r="H837" s="42"/>
      <c r="I837" s="42"/>
      <c r="J837" s="22"/>
      <c r="K837" s="42"/>
    </row>
    <row r="838" ht="39.75" customHeight="1">
      <c r="A838" s="1">
        <v>837.0</v>
      </c>
      <c r="B838" s="21"/>
      <c r="C838" s="21"/>
      <c r="D838" s="21"/>
      <c r="E838" s="21"/>
      <c r="F838" s="46"/>
      <c r="G838" s="47"/>
      <c r="H838" s="47"/>
      <c r="I838" s="47"/>
      <c r="J838" s="48"/>
      <c r="K838" s="47"/>
      <c r="L838" s="49"/>
      <c r="M838" s="49"/>
      <c r="N838" s="49"/>
    </row>
    <row r="839" ht="39.75" hidden="1" customHeight="1">
      <c r="A839" s="1"/>
      <c r="B839" s="2" t="s">
        <v>12</v>
      </c>
      <c r="C839" s="21"/>
      <c r="D839" s="21"/>
      <c r="E839" s="21"/>
      <c r="F839" s="46"/>
      <c r="G839" s="62">
        <f>SUMIF(B3:B837,"*이동현*",G3:G837)</f>
        <v>13</v>
      </c>
      <c r="H839" s="47"/>
      <c r="I839" s="47"/>
      <c r="J839" s="48"/>
      <c r="K839" s="47"/>
      <c r="L839" s="49"/>
      <c r="M839" s="49"/>
      <c r="N839" s="49"/>
    </row>
    <row r="840" ht="39.75" hidden="1" customHeight="1">
      <c r="A840" s="1"/>
      <c r="B840" s="2" t="s">
        <v>16</v>
      </c>
      <c r="C840" s="21"/>
      <c r="D840" s="21"/>
      <c r="E840" s="21"/>
      <c r="F840" s="46"/>
      <c r="G840" s="62">
        <f>SUMIF(B4:B837,"*반일훈*",G4:G837)</f>
        <v>14</v>
      </c>
      <c r="H840" s="47"/>
      <c r="I840" s="47"/>
      <c r="J840" s="48"/>
      <c r="K840" s="47"/>
      <c r="L840" s="49"/>
      <c r="M840" s="49"/>
      <c r="N840" s="49"/>
    </row>
    <row r="841" ht="39.75" hidden="1" customHeight="1">
      <c r="A841" s="1"/>
      <c r="B841" s="2" t="s">
        <v>116</v>
      </c>
      <c r="C841" s="21"/>
      <c r="D841" s="21"/>
      <c r="E841" s="21"/>
      <c r="F841" s="46"/>
      <c r="G841" s="62">
        <f>SUMIF(B5:B837,"*김재식*",G5:G837)</f>
        <v>1</v>
      </c>
      <c r="H841" s="47"/>
      <c r="I841" s="47"/>
      <c r="J841" s="48"/>
      <c r="K841" s="47"/>
      <c r="L841" s="49"/>
      <c r="M841" s="49"/>
      <c r="N841" s="49"/>
    </row>
    <row r="842" ht="39.75" hidden="1" customHeight="1">
      <c r="A842" s="1"/>
      <c r="B842" s="2" t="s">
        <v>17</v>
      </c>
      <c r="C842" s="21"/>
      <c r="D842" s="21"/>
      <c r="E842" s="21"/>
      <c r="F842" s="46"/>
      <c r="G842" s="62">
        <f>SUMIF(B5:B837,"*신동환*",G5:G837)</f>
        <v>14</v>
      </c>
      <c r="H842" s="47"/>
      <c r="I842" s="47"/>
      <c r="J842" s="48"/>
      <c r="K842" s="47"/>
      <c r="L842" s="49"/>
      <c r="M842" s="49"/>
      <c r="N842" s="49"/>
    </row>
    <row r="843" ht="39.75" hidden="1" customHeight="1">
      <c r="A843" s="1"/>
      <c r="B843" s="2" t="s">
        <v>331</v>
      </c>
      <c r="C843" s="21"/>
      <c r="D843" s="21"/>
      <c r="E843" s="21"/>
      <c r="F843" s="46"/>
      <c r="G843" s="62">
        <f>SUMIF(B5:B837,"*장후원*",G5:G837)</f>
        <v>17</v>
      </c>
      <c r="H843" s="47"/>
      <c r="I843" s="47"/>
      <c r="J843" s="48"/>
      <c r="K843" s="47"/>
      <c r="L843" s="49"/>
      <c r="M843" s="49"/>
      <c r="N843" s="49"/>
    </row>
    <row r="844" ht="39.75" hidden="1" customHeight="1">
      <c r="A844" s="1"/>
      <c r="B844" s="2" t="s">
        <v>21</v>
      </c>
      <c r="C844" s="21"/>
      <c r="D844" s="21"/>
      <c r="E844" s="21"/>
      <c r="F844" s="46"/>
      <c r="G844" s="62">
        <f>SUMIF(B5:B837,"*구본준*",G5:G837)</f>
        <v>12</v>
      </c>
      <c r="H844" s="47"/>
      <c r="I844" s="47"/>
      <c r="J844" s="48"/>
      <c r="K844" s="47"/>
      <c r="L844" s="49"/>
      <c r="M844" s="49"/>
      <c r="N844" s="49"/>
    </row>
    <row r="845" ht="39.75" hidden="1" customHeight="1">
      <c r="A845" s="1"/>
      <c r="B845" s="2" t="s">
        <v>22</v>
      </c>
      <c r="C845" s="21"/>
      <c r="D845" s="21"/>
      <c r="E845" s="21"/>
      <c r="F845" s="46"/>
      <c r="G845" s="62">
        <f>SUMIF(B5:B837,"*이학진*",G5:G837)</f>
        <v>16</v>
      </c>
      <c r="H845" s="47"/>
      <c r="I845" s="47"/>
      <c r="J845" s="48"/>
      <c r="K845" s="47"/>
      <c r="L845" s="49"/>
      <c r="M845" s="49"/>
      <c r="N845" s="49"/>
    </row>
    <row r="846" ht="39.75" hidden="1" customHeight="1">
      <c r="A846" s="1"/>
      <c r="B846" s="2" t="s">
        <v>23</v>
      </c>
      <c r="C846" s="21"/>
      <c r="D846" s="21"/>
      <c r="E846" s="21"/>
      <c r="F846" s="46"/>
      <c r="G846" s="62">
        <f>SUMIF(B5:B837,"*황현우*",G5:G837)</f>
        <v>20</v>
      </c>
      <c r="H846" s="47"/>
      <c r="I846" s="47"/>
      <c r="J846" s="48"/>
      <c r="K846" s="47"/>
      <c r="L846" s="49"/>
      <c r="M846" s="49"/>
      <c r="N846" s="49"/>
    </row>
    <row r="847" ht="39.75" hidden="1" customHeight="1">
      <c r="A847" s="1"/>
      <c r="B847" s="2" t="s">
        <v>24</v>
      </c>
      <c r="C847" s="21"/>
      <c r="D847" s="21"/>
      <c r="E847" s="21"/>
      <c r="F847" s="46"/>
      <c r="G847" s="62">
        <f>SUMIF(B5:B837,"*김미란*",G5:G837)</f>
        <v>13</v>
      </c>
      <c r="H847" s="47"/>
      <c r="I847" s="47"/>
      <c r="J847" s="48"/>
      <c r="K847" s="47"/>
      <c r="L847" s="49"/>
      <c r="M847" s="49"/>
      <c r="N847" s="49"/>
    </row>
    <row r="848" ht="39.75" hidden="1" customHeight="1">
      <c r="A848" s="1"/>
      <c r="B848" s="2" t="s">
        <v>25</v>
      </c>
      <c r="C848" s="21"/>
      <c r="D848" s="21"/>
      <c r="E848" s="21"/>
      <c r="F848" s="46"/>
      <c r="G848" s="62">
        <f>SUMIF(B5:B837,"*유규열*",G5:G837)</f>
        <v>20</v>
      </c>
      <c r="H848" s="47"/>
      <c r="I848" s="47"/>
      <c r="J848" s="48"/>
      <c r="K848" s="47"/>
      <c r="L848" s="49"/>
      <c r="M848" s="49"/>
      <c r="N848" s="49"/>
    </row>
    <row r="849" ht="39.75" hidden="1" customHeight="1">
      <c r="A849" s="1"/>
      <c r="B849" s="2" t="s">
        <v>26</v>
      </c>
      <c r="C849" s="21"/>
      <c r="D849" s="21"/>
      <c r="E849" s="21"/>
      <c r="F849" s="46"/>
      <c r="G849" s="62">
        <f>SUMIF(B5:B837,"*김준택*",G5:G837)</f>
        <v>10</v>
      </c>
      <c r="H849" s="47"/>
      <c r="I849" s="47"/>
      <c r="J849" s="48"/>
      <c r="K849" s="47"/>
      <c r="L849" s="49"/>
      <c r="M849" s="49"/>
      <c r="N849" s="49"/>
    </row>
    <row r="850" ht="39.75" hidden="1" customHeight="1">
      <c r="A850" s="1"/>
      <c r="B850" s="2" t="s">
        <v>29</v>
      </c>
      <c r="C850" s="21"/>
      <c r="D850" s="21"/>
      <c r="E850" s="21"/>
      <c r="F850" s="46"/>
      <c r="G850" s="62">
        <f>SUMIF(B5:B837,"*방극철*",G5:G837)</f>
        <v>15</v>
      </c>
      <c r="H850" s="47"/>
      <c r="I850" s="47"/>
      <c r="J850" s="48"/>
      <c r="K850" s="47"/>
      <c r="L850" s="49"/>
      <c r="M850" s="49"/>
      <c r="N850" s="49"/>
    </row>
    <row r="851" ht="39.75" hidden="1" customHeight="1">
      <c r="A851" s="1"/>
      <c r="B851" s="2" t="s">
        <v>30</v>
      </c>
      <c r="C851" s="21"/>
      <c r="D851" s="21"/>
      <c r="E851" s="21"/>
      <c r="F851" s="46"/>
      <c r="G851" s="62">
        <f>SUMIF(B5:B837,"*홍승재*",G5:G837)</f>
        <v>12</v>
      </c>
      <c r="H851" s="47"/>
      <c r="I851" s="47"/>
      <c r="J851" s="48"/>
      <c r="K851" s="47"/>
      <c r="L851" s="49"/>
      <c r="M851" s="49"/>
      <c r="N851" s="49"/>
    </row>
    <row r="852" ht="39.75" hidden="1" customHeight="1">
      <c r="A852" s="1"/>
      <c r="B852" s="2" t="s">
        <v>31</v>
      </c>
      <c r="C852" s="21"/>
      <c r="D852" s="21"/>
      <c r="E852" s="21"/>
      <c r="F852" s="46"/>
      <c r="G852" s="62">
        <f>SUMIF(B5:B837,"*이   경*",G5:G837)</f>
        <v>17</v>
      </c>
      <c r="H852" s="47"/>
      <c r="I852" s="47"/>
      <c r="J852" s="48"/>
      <c r="K852" s="47"/>
      <c r="L852" s="49"/>
      <c r="M852" s="49"/>
      <c r="N852" s="49"/>
    </row>
    <row r="853" ht="39.75" hidden="1" customHeight="1">
      <c r="A853" s="1"/>
      <c r="B853" s="2" t="s">
        <v>32</v>
      </c>
      <c r="C853" s="21"/>
      <c r="D853" s="21"/>
      <c r="E853" s="21"/>
      <c r="F853" s="46"/>
      <c r="G853" s="62">
        <f>SUMIF(B5:B837,"*정상원*",G5:G837)</f>
        <v>14</v>
      </c>
      <c r="H853" s="47"/>
      <c r="I853" s="47"/>
      <c r="J853" s="48"/>
      <c r="K853" s="47"/>
      <c r="L853" s="49"/>
      <c r="M853" s="49"/>
      <c r="N853" s="49"/>
    </row>
    <row r="854" ht="39.75" hidden="1" customHeight="1">
      <c r="A854" s="1"/>
      <c r="B854" s="2" t="s">
        <v>67</v>
      </c>
      <c r="C854" s="21"/>
      <c r="D854" s="21"/>
      <c r="E854" s="21"/>
      <c r="F854" s="46"/>
      <c r="G854" s="62">
        <f>SUMIF(B5:B837,"*이주원*",G5:G837)</f>
        <v>21</v>
      </c>
      <c r="H854" s="47"/>
      <c r="I854" s="47"/>
      <c r="J854" s="48"/>
      <c r="K854" s="47"/>
      <c r="L854" s="49"/>
      <c r="M854" s="49"/>
      <c r="N854" s="49"/>
    </row>
    <row r="855" ht="39.75" hidden="1" customHeight="1">
      <c r="A855" s="1"/>
      <c r="B855" s="2" t="s">
        <v>35</v>
      </c>
      <c r="C855" s="21"/>
      <c r="D855" s="21"/>
      <c r="E855" s="21"/>
      <c r="F855" s="46"/>
      <c r="G855" s="62">
        <f>SUMIF(B5:B837,"*최무룡*",G5:G837)</f>
        <v>12</v>
      </c>
      <c r="H855" s="47"/>
      <c r="I855" s="47"/>
      <c r="J855" s="48"/>
      <c r="K855" s="47"/>
      <c r="L855" s="49"/>
      <c r="M855" s="49"/>
      <c r="N855" s="49"/>
    </row>
    <row r="856" ht="39.75" hidden="1" customHeight="1">
      <c r="A856" s="1"/>
      <c r="B856" s="2" t="s">
        <v>36</v>
      </c>
      <c r="C856" s="21"/>
      <c r="D856" s="21"/>
      <c r="E856" s="21"/>
      <c r="F856" s="46"/>
      <c r="G856" s="62">
        <f>SUMIF(B5:B837,"*정철원*",G5:G837)</f>
        <v>10</v>
      </c>
      <c r="H856" s="47"/>
      <c r="I856" s="47"/>
      <c r="J856" s="48"/>
      <c r="K856" s="47"/>
      <c r="L856" s="49"/>
      <c r="M856" s="49"/>
      <c r="N856" s="49"/>
    </row>
    <row r="857" ht="39.75" hidden="1" customHeight="1">
      <c r="A857" s="1"/>
      <c r="B857" s="2" t="s">
        <v>38</v>
      </c>
      <c r="C857" s="21"/>
      <c r="D857" s="21"/>
      <c r="E857" s="21"/>
      <c r="F857" s="46"/>
      <c r="G857" s="62">
        <f>SUMIF(B5:B837,"*김진광*",G5:G837)</f>
        <v>18</v>
      </c>
      <c r="H857" s="47"/>
      <c r="I857" s="47"/>
      <c r="J857" s="48"/>
      <c r="K857" s="47"/>
      <c r="L857" s="49"/>
      <c r="M857" s="49"/>
      <c r="N857" s="49"/>
    </row>
    <row r="858" ht="39.75" hidden="1" customHeight="1">
      <c r="A858" s="1"/>
      <c r="B858" s="2" t="s">
        <v>41</v>
      </c>
      <c r="C858" s="21"/>
      <c r="D858" s="21"/>
      <c r="E858" s="21"/>
      <c r="F858" s="46"/>
      <c r="G858" s="62">
        <f>SUMIF(B5:B837,"*조용희*",G5:G837)</f>
        <v>0</v>
      </c>
      <c r="H858" s="47"/>
      <c r="I858" s="47"/>
      <c r="J858" s="48"/>
      <c r="K858" s="47"/>
      <c r="L858" s="49"/>
      <c r="M858" s="49"/>
      <c r="N858" s="49"/>
    </row>
    <row r="859" ht="39.75" hidden="1" customHeight="1">
      <c r="A859" s="1"/>
      <c r="B859" s="2" t="s">
        <v>42</v>
      </c>
      <c r="C859" s="21"/>
      <c r="D859" s="21"/>
      <c r="E859" s="21"/>
      <c r="F859" s="46"/>
      <c r="G859" s="62">
        <f>SUMIF(B5:B837,"*이완근*",G5:G837)</f>
        <v>14</v>
      </c>
      <c r="H859" s="47"/>
      <c r="I859" s="47"/>
      <c r="J859" s="48"/>
      <c r="K859" s="47"/>
      <c r="L859" s="49"/>
      <c r="M859" s="49"/>
      <c r="N859" s="49"/>
    </row>
    <row r="860" ht="39.75" hidden="1" customHeight="1">
      <c r="A860" s="1"/>
      <c r="B860" s="2" t="s">
        <v>43</v>
      </c>
      <c r="C860" s="21"/>
      <c r="D860" s="21"/>
      <c r="E860" s="21"/>
      <c r="F860" s="46"/>
      <c r="G860" s="62">
        <f>SUMIF(B5:B837,"*박대권*",G5:G837)</f>
        <v>17</v>
      </c>
      <c r="H860" s="47"/>
      <c r="I860" s="47"/>
      <c r="J860" s="48"/>
      <c r="K860" s="47"/>
      <c r="L860" s="49"/>
      <c r="M860" s="49"/>
      <c r="N860" s="49"/>
    </row>
    <row r="861" ht="39.75" hidden="1" customHeight="1">
      <c r="A861" s="1"/>
      <c r="B861" s="2" t="s">
        <v>45</v>
      </c>
      <c r="C861" s="21"/>
      <c r="D861" s="21"/>
      <c r="E861" s="21"/>
      <c r="F861" s="46"/>
      <c r="G861" s="62">
        <f>SUMIF(B5:B837,"*김대호*",G5:G837)</f>
        <v>19</v>
      </c>
      <c r="H861" s="47"/>
      <c r="I861" s="47"/>
      <c r="J861" s="48"/>
      <c r="K861" s="47"/>
      <c r="L861" s="49"/>
      <c r="M861" s="49"/>
      <c r="N861" s="49"/>
    </row>
    <row r="862" ht="39.75" hidden="1" customHeight="1">
      <c r="A862" s="1"/>
      <c r="B862" s="2" t="s">
        <v>46</v>
      </c>
      <c r="C862" s="21"/>
      <c r="D862" s="21"/>
      <c r="E862" s="21"/>
      <c r="F862" s="46"/>
      <c r="G862" s="62">
        <f>SUMIF(B5:B837,"*이현일*",G5:G837)</f>
        <v>16</v>
      </c>
      <c r="H862" s="47"/>
      <c r="I862" s="47"/>
      <c r="J862" s="48"/>
      <c r="K862" s="47"/>
      <c r="L862" s="49"/>
      <c r="M862" s="49"/>
      <c r="N862" s="49"/>
    </row>
    <row r="863" ht="39.75" hidden="1" customHeight="1">
      <c r="A863" s="1"/>
      <c r="B863" s="2" t="s">
        <v>47</v>
      </c>
      <c r="C863" s="21"/>
      <c r="D863" s="21"/>
      <c r="E863" s="21"/>
      <c r="F863" s="46"/>
      <c r="G863" s="62">
        <f>SUMIF(B5:B837,"*유연경*",G5:G837)</f>
        <v>21</v>
      </c>
      <c r="H863" s="47"/>
      <c r="I863" s="47"/>
      <c r="J863" s="48"/>
      <c r="K863" s="47"/>
      <c r="L863" s="49"/>
      <c r="M863" s="49"/>
      <c r="N863" s="49"/>
    </row>
    <row r="864" ht="39.75" hidden="1" customHeight="1">
      <c r="A864" s="1"/>
      <c r="B864" s="2" t="s">
        <v>48</v>
      </c>
      <c r="C864" s="21"/>
      <c r="D864" s="21"/>
      <c r="E864" s="21"/>
      <c r="F864" s="46"/>
      <c r="G864" s="62">
        <f>SUMIF(B5:B837,"*정재우*",G5:G837)</f>
        <v>19</v>
      </c>
      <c r="H864" s="47"/>
      <c r="I864" s="47"/>
      <c r="J864" s="48"/>
      <c r="K864" s="47"/>
      <c r="L864" s="49"/>
      <c r="M864" s="49"/>
      <c r="N864" s="49"/>
    </row>
  </sheetData>
  <mergeCells count="31">
    <mergeCell ref="L2:N27"/>
    <mergeCell ref="L29:N54"/>
    <mergeCell ref="L56:N81"/>
    <mergeCell ref="L83:N108"/>
    <mergeCell ref="L110:N135"/>
    <mergeCell ref="L137:N162"/>
    <mergeCell ref="L164:N189"/>
    <mergeCell ref="L191:N216"/>
    <mergeCell ref="L218:N243"/>
    <mergeCell ref="L245:N270"/>
    <mergeCell ref="L272:N297"/>
    <mergeCell ref="L299:N324"/>
    <mergeCell ref="L326:N351"/>
    <mergeCell ref="L353:N378"/>
    <mergeCell ref="L380:N405"/>
    <mergeCell ref="L407:N432"/>
    <mergeCell ref="L434:N459"/>
    <mergeCell ref="L461:N486"/>
    <mergeCell ref="L488:N513"/>
    <mergeCell ref="L515:N540"/>
    <mergeCell ref="L542:N567"/>
    <mergeCell ref="L758:N783"/>
    <mergeCell ref="L785:N810"/>
    <mergeCell ref="L812:N837"/>
    <mergeCell ref="L569:N594"/>
    <mergeCell ref="L596:N621"/>
    <mergeCell ref="L623:N648"/>
    <mergeCell ref="L650:N675"/>
    <mergeCell ref="L677:N702"/>
    <mergeCell ref="L704:N729"/>
    <mergeCell ref="L731:N756"/>
  </mergeCells>
  <conditionalFormatting sqref="B2:I864">
    <cfRule type="expression" dxfId="6" priority="1">
      <formula>$C2="휴가"</formula>
    </cfRule>
  </conditionalFormatting>
  <conditionalFormatting sqref="B2:I864">
    <cfRule type="expression" dxfId="6" priority="2">
      <formula>$C2="휴무"</formula>
    </cfRule>
  </conditionalFormatting>
  <conditionalFormatting sqref="B2:I864">
    <cfRule type="expression" dxfId="6" priority="3">
      <formula>$C2="제크"</formula>
    </cfRule>
  </conditionalFormatting>
  <conditionalFormatting sqref="B2:I864">
    <cfRule type="expression" dxfId="7" priority="4">
      <formula>$C2="야퇴"</formula>
    </cfRule>
  </conditionalFormatting>
  <conditionalFormatting sqref="B2:I864">
    <cfRule type="expression" dxfId="8" priority="5">
      <formula>$C2="대통령실"</formula>
    </cfRule>
  </conditionalFormatting>
  <conditionalFormatting sqref="B2:I864">
    <cfRule type="expression" dxfId="8" priority="6">
      <formula>$C2="헌법재판소"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8.25"/>
    <col customWidth="1" min="3" max="3" width="10.75"/>
    <col customWidth="1" min="4" max="5" width="8.88"/>
    <col customWidth="1" min="6" max="6" width="50.13"/>
    <col customWidth="1" min="7" max="7" width="8.88"/>
    <col customWidth="1" min="8" max="8" width="10.63"/>
    <col customWidth="1" min="9" max="9" width="11.38"/>
    <col customWidth="1" min="10" max="10" width="8.5"/>
    <col customWidth="1" min="11" max="11" width="11.38"/>
    <col customWidth="1" min="12" max="14" width="12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36"/>
      <c r="K1" s="2" t="s">
        <v>1160</v>
      </c>
      <c r="L1" s="37" t="s">
        <v>490</v>
      </c>
      <c r="M1" s="38" t="s">
        <v>10</v>
      </c>
      <c r="N1" s="39" t="s">
        <v>11</v>
      </c>
    </row>
    <row r="2" ht="39.75" hidden="1" customHeight="1">
      <c r="A2" s="1">
        <v>1.0</v>
      </c>
      <c r="B2" s="2" t="s">
        <v>12</v>
      </c>
      <c r="C2" s="2" t="s">
        <v>13</v>
      </c>
      <c r="D2" s="40"/>
      <c r="E2" s="40"/>
      <c r="F2" s="45"/>
      <c r="G2" s="42"/>
      <c r="H2" s="42"/>
      <c r="I2" s="42"/>
      <c r="J2" s="14" t="s">
        <v>2231</v>
      </c>
      <c r="K2" s="43"/>
      <c r="L2" s="15" t="s">
        <v>15</v>
      </c>
    </row>
    <row r="3" ht="39.75" customHeight="1">
      <c r="A3" s="1">
        <v>2.0</v>
      </c>
      <c r="B3" s="2" t="s">
        <v>16</v>
      </c>
      <c r="C3" s="2" t="s">
        <v>39</v>
      </c>
      <c r="D3" s="13"/>
      <c r="E3" s="13"/>
      <c r="F3" s="44" t="s">
        <v>2232</v>
      </c>
      <c r="G3" s="43">
        <v>1.0</v>
      </c>
      <c r="H3" s="42"/>
      <c r="I3" s="43">
        <v>1.0</v>
      </c>
      <c r="J3" s="14" t="s">
        <v>15</v>
      </c>
      <c r="K3" s="43"/>
    </row>
    <row r="4" ht="39.75" hidden="1" customHeight="1">
      <c r="A4" s="1">
        <v>3.0</v>
      </c>
      <c r="B4" s="2" t="s">
        <v>17</v>
      </c>
      <c r="C4" s="2" t="s">
        <v>13</v>
      </c>
      <c r="D4" s="13"/>
      <c r="E4" s="13"/>
      <c r="F4" s="44"/>
      <c r="G4" s="42"/>
      <c r="H4" s="42"/>
      <c r="I4" s="42"/>
      <c r="J4" s="14" t="s">
        <v>19</v>
      </c>
      <c r="K4" s="43"/>
    </row>
    <row r="5" ht="39.75" hidden="1" customHeight="1">
      <c r="A5" s="1">
        <v>4.0</v>
      </c>
      <c r="B5" s="2" t="s">
        <v>331</v>
      </c>
      <c r="C5" s="2" t="s">
        <v>13</v>
      </c>
      <c r="D5" s="13"/>
      <c r="E5" s="13"/>
      <c r="F5" s="44"/>
      <c r="G5" s="42"/>
      <c r="H5" s="42"/>
      <c r="I5" s="42"/>
      <c r="J5" s="14" t="s">
        <v>410</v>
      </c>
      <c r="K5" s="43"/>
    </row>
    <row r="6" ht="39.75" customHeight="1">
      <c r="A6" s="1">
        <v>5.0</v>
      </c>
      <c r="B6" s="2" t="s">
        <v>21</v>
      </c>
      <c r="C6" s="2" t="s">
        <v>63</v>
      </c>
      <c r="D6" s="13"/>
      <c r="E6" s="13"/>
      <c r="F6" s="45"/>
      <c r="G6" s="42"/>
      <c r="H6" s="42"/>
      <c r="I6" s="42"/>
      <c r="J6" s="14" t="s">
        <v>412</v>
      </c>
      <c r="K6" s="43"/>
    </row>
    <row r="7" ht="39.75" customHeight="1">
      <c r="A7" s="1">
        <v>6.0</v>
      </c>
      <c r="B7" s="2" t="s">
        <v>263</v>
      </c>
      <c r="C7" s="2" t="s">
        <v>272</v>
      </c>
      <c r="D7" s="13"/>
      <c r="E7" s="13"/>
      <c r="F7" s="44" t="s">
        <v>2233</v>
      </c>
      <c r="G7" s="43">
        <v>1.0</v>
      </c>
      <c r="H7" s="42"/>
      <c r="I7" s="43">
        <v>1.0</v>
      </c>
      <c r="J7" s="14" t="s">
        <v>413</v>
      </c>
      <c r="K7" s="43"/>
    </row>
    <row r="8" ht="39.75" customHeight="1">
      <c r="A8" s="1">
        <v>7.0</v>
      </c>
      <c r="B8" s="2" t="s">
        <v>266</v>
      </c>
      <c r="C8" s="2" t="s">
        <v>272</v>
      </c>
      <c r="D8" s="13"/>
      <c r="E8" s="13"/>
      <c r="F8" s="44" t="s">
        <v>2234</v>
      </c>
      <c r="G8" s="43">
        <v>1.0</v>
      </c>
      <c r="H8" s="42"/>
      <c r="I8" s="43">
        <v>1.0</v>
      </c>
      <c r="J8" s="14"/>
      <c r="K8" s="43"/>
    </row>
    <row r="9" ht="39.75" customHeight="1">
      <c r="A9" s="1">
        <v>8.0</v>
      </c>
      <c r="B9" s="2" t="s">
        <v>33</v>
      </c>
      <c r="C9" s="2" t="s">
        <v>272</v>
      </c>
      <c r="D9" s="13"/>
      <c r="E9" s="13"/>
      <c r="F9" s="44" t="s">
        <v>1186</v>
      </c>
      <c r="G9" s="43">
        <v>1.0</v>
      </c>
      <c r="H9" s="42"/>
      <c r="I9" s="43">
        <v>1.0</v>
      </c>
      <c r="J9" s="14"/>
      <c r="K9" s="43"/>
    </row>
    <row r="10" ht="39.75" customHeight="1">
      <c r="A10" s="1">
        <v>9.0</v>
      </c>
      <c r="B10" s="2" t="s">
        <v>267</v>
      </c>
      <c r="C10" s="2" t="s">
        <v>272</v>
      </c>
      <c r="D10" s="13"/>
      <c r="E10" s="13"/>
      <c r="F10" s="44" t="s">
        <v>2235</v>
      </c>
      <c r="G10" s="43">
        <v>1.0</v>
      </c>
      <c r="H10" s="43"/>
      <c r="I10" s="43">
        <v>1.0</v>
      </c>
      <c r="J10" s="14"/>
      <c r="K10" s="43"/>
    </row>
    <row r="11" ht="39.75" hidden="1" customHeight="1">
      <c r="A11" s="1">
        <v>10.0</v>
      </c>
      <c r="B11" s="2" t="s">
        <v>26</v>
      </c>
      <c r="C11" s="2" t="s">
        <v>13</v>
      </c>
      <c r="D11" s="13"/>
      <c r="E11" s="13"/>
      <c r="F11" s="45"/>
      <c r="G11" s="42"/>
      <c r="H11" s="42"/>
      <c r="I11" s="42"/>
      <c r="J11" s="14"/>
      <c r="K11" s="43"/>
    </row>
    <row r="12" ht="39.75" customHeight="1">
      <c r="A12" s="1">
        <v>11.0</v>
      </c>
      <c r="B12" s="2" t="s">
        <v>29</v>
      </c>
      <c r="C12" s="2" t="s">
        <v>49</v>
      </c>
      <c r="D12" s="13"/>
      <c r="E12" s="13"/>
      <c r="F12" s="44" t="s">
        <v>2236</v>
      </c>
      <c r="G12" s="43">
        <v>2.0</v>
      </c>
      <c r="H12" s="42"/>
      <c r="I12" s="43">
        <v>1.0</v>
      </c>
      <c r="J12" s="14"/>
      <c r="K12" s="43"/>
    </row>
    <row r="13" ht="39.75" customHeight="1">
      <c r="A13" s="1">
        <v>12.0</v>
      </c>
      <c r="B13" s="2" t="s">
        <v>30</v>
      </c>
      <c r="C13" s="2"/>
      <c r="D13" s="40">
        <v>0.375</v>
      </c>
      <c r="E13" s="13"/>
      <c r="F13" s="44" t="s">
        <v>2237</v>
      </c>
      <c r="G13" s="43">
        <v>2.0</v>
      </c>
      <c r="H13" s="42"/>
      <c r="I13" s="43">
        <v>2.0</v>
      </c>
      <c r="J13" s="14"/>
      <c r="K13" s="43"/>
    </row>
    <row r="14" ht="39.75" hidden="1" customHeight="1">
      <c r="A14" s="1">
        <v>13.0</v>
      </c>
      <c r="B14" s="2" t="s">
        <v>31</v>
      </c>
      <c r="C14" s="2" t="s">
        <v>13</v>
      </c>
      <c r="D14" s="13"/>
      <c r="E14" s="13"/>
      <c r="F14" s="44"/>
      <c r="G14" s="42"/>
      <c r="H14" s="42"/>
      <c r="I14" s="42"/>
      <c r="J14" s="14"/>
      <c r="K14" s="43"/>
    </row>
    <row r="15" ht="39.75" customHeight="1">
      <c r="A15" s="1">
        <v>14.0</v>
      </c>
      <c r="B15" s="2" t="s">
        <v>32</v>
      </c>
      <c r="C15" s="2" t="s">
        <v>44</v>
      </c>
      <c r="D15" s="13"/>
      <c r="E15" s="13"/>
      <c r="F15" s="45"/>
      <c r="G15" s="42"/>
      <c r="H15" s="42"/>
      <c r="I15" s="42"/>
      <c r="J15" s="14"/>
      <c r="K15" s="43"/>
    </row>
    <row r="16" ht="39.75" hidden="1" customHeight="1">
      <c r="A16" s="1">
        <v>15.0</v>
      </c>
      <c r="B16" s="2" t="s">
        <v>67</v>
      </c>
      <c r="C16" s="2" t="s">
        <v>13</v>
      </c>
      <c r="D16" s="13"/>
      <c r="E16" s="13"/>
      <c r="F16" s="45"/>
      <c r="G16" s="42"/>
      <c r="H16" s="42"/>
      <c r="I16" s="42"/>
      <c r="J16" s="14"/>
      <c r="K16" s="43"/>
    </row>
    <row r="17" ht="39.75" hidden="1" customHeight="1">
      <c r="A17" s="1">
        <v>16.0</v>
      </c>
      <c r="B17" s="2" t="s">
        <v>34</v>
      </c>
      <c r="C17" s="2" t="s">
        <v>13</v>
      </c>
      <c r="D17" s="13"/>
      <c r="E17" s="13"/>
      <c r="F17" s="44"/>
      <c r="G17" s="42"/>
      <c r="H17" s="43"/>
      <c r="I17" s="43"/>
      <c r="J17" s="14"/>
      <c r="K17" s="43"/>
    </row>
    <row r="18" ht="39.75" hidden="1" customHeight="1">
      <c r="A18" s="1">
        <v>17.0</v>
      </c>
      <c r="B18" s="2" t="s">
        <v>35</v>
      </c>
      <c r="C18" s="2" t="s">
        <v>13</v>
      </c>
      <c r="D18" s="13"/>
      <c r="E18" s="13"/>
      <c r="F18" s="45"/>
      <c r="G18" s="42"/>
      <c r="H18" s="42"/>
      <c r="I18" s="42"/>
      <c r="J18" s="14"/>
      <c r="K18" s="43"/>
    </row>
    <row r="19" ht="39.75" customHeight="1">
      <c r="A19" s="1">
        <v>18.0</v>
      </c>
      <c r="B19" s="2" t="s">
        <v>36</v>
      </c>
      <c r="C19" s="2" t="s">
        <v>27</v>
      </c>
      <c r="D19" s="13"/>
      <c r="E19" s="13"/>
      <c r="F19" s="44" t="s">
        <v>2238</v>
      </c>
      <c r="G19" s="43">
        <v>1.0</v>
      </c>
      <c r="H19" s="42"/>
      <c r="I19" s="42"/>
      <c r="J19" s="14"/>
      <c r="K19" s="43"/>
    </row>
    <row r="20" ht="39.75" hidden="1" customHeight="1">
      <c r="A20" s="1">
        <v>19.0</v>
      </c>
      <c r="B20" s="2" t="s">
        <v>38</v>
      </c>
      <c r="C20" s="2" t="s">
        <v>13</v>
      </c>
      <c r="D20" s="13"/>
      <c r="E20" s="13"/>
      <c r="F20" s="44"/>
      <c r="G20" s="42"/>
      <c r="H20" s="42"/>
      <c r="I20" s="42"/>
      <c r="J20" s="14"/>
      <c r="K20" s="43"/>
    </row>
    <row r="21" ht="39.75" hidden="1" customHeight="1">
      <c r="A21" s="1">
        <v>20.0</v>
      </c>
      <c r="B21" s="2" t="s">
        <v>41</v>
      </c>
      <c r="C21" s="2" t="s">
        <v>13</v>
      </c>
      <c r="D21" s="13"/>
      <c r="E21" s="13"/>
      <c r="F21" s="44"/>
      <c r="G21" s="42"/>
      <c r="H21" s="42"/>
      <c r="I21" s="42"/>
      <c r="J21" s="14"/>
      <c r="K21" s="43"/>
    </row>
    <row r="22" ht="39.75" hidden="1" customHeight="1">
      <c r="A22" s="1">
        <v>21.0</v>
      </c>
      <c r="B22" s="2" t="s">
        <v>42</v>
      </c>
      <c r="C22" s="2" t="s">
        <v>13</v>
      </c>
      <c r="D22" s="13"/>
      <c r="E22" s="13"/>
      <c r="F22" s="45"/>
      <c r="G22" s="42"/>
      <c r="H22" s="42"/>
      <c r="I22" s="42"/>
      <c r="J22" s="14"/>
      <c r="K22" s="43"/>
    </row>
    <row r="23" ht="39.75" customHeight="1">
      <c r="A23" s="1">
        <v>22.0</v>
      </c>
      <c r="B23" s="2" t="s">
        <v>43</v>
      </c>
      <c r="C23" s="2"/>
      <c r="D23" s="40">
        <v>0.375</v>
      </c>
      <c r="E23" s="13"/>
      <c r="F23" s="44" t="s">
        <v>2239</v>
      </c>
      <c r="G23" s="43">
        <v>1.0</v>
      </c>
      <c r="H23" s="42"/>
      <c r="I23" s="42"/>
      <c r="J23" s="14"/>
      <c r="K23" s="43"/>
    </row>
    <row r="24" ht="39.75" hidden="1" customHeight="1">
      <c r="A24" s="1">
        <v>23.0</v>
      </c>
      <c r="B24" s="2" t="s">
        <v>45</v>
      </c>
      <c r="C24" s="2" t="s">
        <v>13</v>
      </c>
      <c r="D24" s="13"/>
      <c r="E24" s="13"/>
      <c r="F24" s="45"/>
      <c r="G24" s="42"/>
      <c r="H24" s="42"/>
      <c r="I24" s="42"/>
      <c r="J24" s="14"/>
      <c r="K24" s="43"/>
    </row>
    <row r="25" ht="39.75" hidden="1" customHeight="1">
      <c r="A25" s="1">
        <v>24.0</v>
      </c>
      <c r="B25" s="2" t="s">
        <v>46</v>
      </c>
      <c r="C25" s="2" t="s">
        <v>13</v>
      </c>
      <c r="D25" s="40"/>
      <c r="E25" s="13"/>
      <c r="F25" s="44"/>
      <c r="G25" s="42"/>
      <c r="H25" s="42"/>
      <c r="I25" s="42"/>
      <c r="J25" s="14"/>
      <c r="K25" s="43"/>
    </row>
    <row r="26" ht="39.75" hidden="1" customHeight="1">
      <c r="A26" s="1">
        <v>25.0</v>
      </c>
      <c r="B26" s="2" t="s">
        <v>47</v>
      </c>
      <c r="C26" s="2" t="s">
        <v>13</v>
      </c>
      <c r="D26" s="13"/>
      <c r="E26" s="13"/>
      <c r="F26" s="45"/>
      <c r="G26" s="42"/>
      <c r="H26" s="42"/>
      <c r="I26" s="42"/>
      <c r="J26" s="14"/>
      <c r="K26" s="43"/>
    </row>
    <row r="27" ht="39.75" hidden="1" customHeight="1">
      <c r="A27" s="1">
        <v>26.0</v>
      </c>
      <c r="B27" s="2" t="s">
        <v>48</v>
      </c>
      <c r="C27" s="2" t="s">
        <v>13</v>
      </c>
      <c r="D27" s="13"/>
      <c r="E27" s="13"/>
      <c r="F27" s="45"/>
      <c r="G27" s="42"/>
      <c r="H27" s="42"/>
      <c r="I27" s="42"/>
      <c r="J27" s="14"/>
      <c r="K27" s="43"/>
    </row>
    <row r="28" ht="39.75" customHeight="1">
      <c r="A28" s="1">
        <v>27.0</v>
      </c>
      <c r="B28" s="21"/>
      <c r="C28" s="21"/>
      <c r="D28" s="21"/>
      <c r="E28" s="21"/>
      <c r="F28" s="46"/>
      <c r="G28" s="47"/>
      <c r="H28" s="47"/>
      <c r="I28" s="47"/>
      <c r="J28" s="48"/>
      <c r="K28" s="47"/>
      <c r="L28" s="49"/>
      <c r="M28" s="49"/>
      <c r="N28" s="49"/>
    </row>
    <row r="29" ht="39.75" customHeight="1">
      <c r="A29" s="1">
        <v>28.0</v>
      </c>
      <c r="B29" s="2" t="s">
        <v>12</v>
      </c>
      <c r="C29" s="2" t="s">
        <v>62</v>
      </c>
      <c r="D29" s="13"/>
      <c r="E29" s="13"/>
      <c r="F29" s="44" t="s">
        <v>2011</v>
      </c>
      <c r="G29" s="43">
        <v>1.0</v>
      </c>
      <c r="H29" s="42"/>
      <c r="I29" s="43">
        <v>1.0</v>
      </c>
      <c r="J29" s="14" t="s">
        <v>2231</v>
      </c>
      <c r="K29" s="43"/>
      <c r="L29" s="15" t="s">
        <v>52</v>
      </c>
    </row>
    <row r="30" ht="39.75" customHeight="1">
      <c r="A30" s="1">
        <v>29.0</v>
      </c>
      <c r="B30" s="2" t="s">
        <v>16</v>
      </c>
      <c r="C30" s="2"/>
      <c r="D30" s="13"/>
      <c r="E30" s="13"/>
      <c r="F30" s="44" t="s">
        <v>2240</v>
      </c>
      <c r="G30" s="42"/>
      <c r="H30" s="42"/>
      <c r="I30" s="42"/>
      <c r="J30" s="14" t="s">
        <v>52</v>
      </c>
      <c r="K30" s="43"/>
    </row>
    <row r="31" ht="39.75" customHeight="1">
      <c r="A31" s="1">
        <v>30.0</v>
      </c>
      <c r="B31" s="2" t="s">
        <v>17</v>
      </c>
      <c r="C31" s="13"/>
      <c r="D31" s="13"/>
      <c r="E31" s="13"/>
      <c r="F31" s="44" t="s">
        <v>2241</v>
      </c>
      <c r="G31" s="42"/>
      <c r="H31" s="42"/>
      <c r="I31" s="42"/>
      <c r="J31" s="14" t="s">
        <v>56</v>
      </c>
      <c r="K31" s="43"/>
    </row>
    <row r="32" ht="39.75" customHeight="1">
      <c r="A32" s="1">
        <v>31.0</v>
      </c>
      <c r="B32" s="2" t="s">
        <v>331</v>
      </c>
      <c r="C32" s="2" t="s">
        <v>542</v>
      </c>
      <c r="D32" s="13"/>
      <c r="E32" s="13"/>
      <c r="F32" s="44" t="s">
        <v>2242</v>
      </c>
      <c r="G32" s="43">
        <v>1.0</v>
      </c>
      <c r="H32" s="42"/>
      <c r="I32" s="42"/>
      <c r="J32" s="14"/>
      <c r="K32" s="43"/>
    </row>
    <row r="33" ht="39.75" customHeight="1">
      <c r="A33" s="1">
        <v>32.0</v>
      </c>
      <c r="B33" s="2" t="s">
        <v>21</v>
      </c>
      <c r="C33" s="2" t="s">
        <v>63</v>
      </c>
      <c r="D33" s="13"/>
      <c r="E33" s="13"/>
      <c r="F33" s="44"/>
      <c r="G33" s="42"/>
      <c r="H33" s="42"/>
      <c r="I33" s="42"/>
      <c r="J33" s="14"/>
      <c r="K33" s="43"/>
    </row>
    <row r="34" ht="39.75" customHeight="1">
      <c r="A34" s="1">
        <v>33.0</v>
      </c>
      <c r="B34" s="2" t="s">
        <v>22</v>
      </c>
      <c r="C34" s="2"/>
      <c r="D34" s="13"/>
      <c r="E34" s="13"/>
      <c r="F34" s="44" t="s">
        <v>2243</v>
      </c>
      <c r="G34" s="42"/>
      <c r="H34" s="42"/>
      <c r="I34" s="42"/>
      <c r="J34" s="14"/>
      <c r="K34" s="43"/>
    </row>
    <row r="35" ht="39.75" customHeight="1">
      <c r="A35" s="1">
        <v>34.0</v>
      </c>
      <c r="B35" s="2" t="s">
        <v>23</v>
      </c>
      <c r="C35" s="13"/>
      <c r="D35" s="13"/>
      <c r="E35" s="13"/>
      <c r="F35" s="44" t="s">
        <v>2244</v>
      </c>
      <c r="G35" s="43">
        <v>1.0</v>
      </c>
      <c r="H35" s="42"/>
      <c r="I35" s="42"/>
      <c r="J35" s="14"/>
      <c r="K35" s="43"/>
    </row>
    <row r="36" ht="39.75" customHeight="1">
      <c r="A36" s="1">
        <v>35.0</v>
      </c>
      <c r="B36" s="2" t="s">
        <v>24</v>
      </c>
      <c r="C36" s="2"/>
      <c r="D36" s="13"/>
      <c r="E36" s="13"/>
      <c r="F36" s="44" t="s">
        <v>2245</v>
      </c>
      <c r="G36" s="43">
        <v>1.0</v>
      </c>
      <c r="H36" s="42"/>
      <c r="I36" s="43">
        <v>1.0</v>
      </c>
      <c r="J36" s="14"/>
      <c r="K36" s="43"/>
    </row>
    <row r="37" ht="39.75" customHeight="1">
      <c r="A37" s="1">
        <v>36.0</v>
      </c>
      <c r="B37" s="2" t="s">
        <v>25</v>
      </c>
      <c r="C37" s="2" t="s">
        <v>54</v>
      </c>
      <c r="D37" s="13"/>
      <c r="E37" s="13"/>
      <c r="F37" s="44" t="s">
        <v>2246</v>
      </c>
      <c r="G37" s="43">
        <v>1.0</v>
      </c>
      <c r="H37" s="42"/>
      <c r="I37" s="42"/>
      <c r="J37" s="14"/>
      <c r="K37" s="43"/>
    </row>
    <row r="38" ht="39.75" customHeight="1">
      <c r="A38" s="1">
        <v>37.0</v>
      </c>
      <c r="B38" s="2" t="s">
        <v>26</v>
      </c>
      <c r="C38" s="2" t="s">
        <v>54</v>
      </c>
      <c r="D38" s="13"/>
      <c r="E38" s="13"/>
      <c r="F38" s="45"/>
      <c r="G38" s="42"/>
      <c r="H38" s="42"/>
      <c r="I38" s="42"/>
      <c r="J38" s="14"/>
      <c r="K38" s="43"/>
    </row>
    <row r="39" ht="39.75" customHeight="1">
      <c r="A39" s="1">
        <v>38.0</v>
      </c>
      <c r="B39" s="2" t="s">
        <v>29</v>
      </c>
      <c r="C39" s="2" t="s">
        <v>39</v>
      </c>
      <c r="D39" s="13"/>
      <c r="E39" s="13"/>
      <c r="F39" s="44" t="s">
        <v>2247</v>
      </c>
      <c r="G39" s="43">
        <v>1.0</v>
      </c>
      <c r="H39" s="42"/>
      <c r="I39" s="43">
        <v>1.0</v>
      </c>
      <c r="J39" s="14"/>
      <c r="K39" s="43"/>
    </row>
    <row r="40" ht="39.75" customHeight="1">
      <c r="A40" s="1">
        <v>39.0</v>
      </c>
      <c r="B40" s="2" t="s">
        <v>30</v>
      </c>
      <c r="C40" s="2" t="s">
        <v>64</v>
      </c>
      <c r="D40" s="13"/>
      <c r="E40" s="13"/>
      <c r="F40" s="44" t="s">
        <v>2034</v>
      </c>
      <c r="G40" s="43">
        <v>1.0</v>
      </c>
      <c r="H40" s="42"/>
      <c r="I40" s="43">
        <v>1.0</v>
      </c>
      <c r="J40" s="14"/>
      <c r="K40" s="43"/>
    </row>
    <row r="41" ht="39.75" customHeight="1">
      <c r="A41" s="1">
        <v>40.0</v>
      </c>
      <c r="B41" s="2" t="s">
        <v>31</v>
      </c>
      <c r="C41" s="2"/>
      <c r="D41" s="13"/>
      <c r="E41" s="13"/>
      <c r="F41" s="44" t="s">
        <v>2248</v>
      </c>
      <c r="G41" s="43">
        <v>1.0</v>
      </c>
      <c r="H41" s="42"/>
      <c r="I41" s="43">
        <v>1.0</v>
      </c>
      <c r="J41" s="14"/>
      <c r="K41" s="43"/>
    </row>
    <row r="42" ht="39.75" customHeight="1">
      <c r="A42" s="1">
        <v>41.0</v>
      </c>
      <c r="B42" s="2" t="s">
        <v>32</v>
      </c>
      <c r="C42" s="2" t="s">
        <v>69</v>
      </c>
      <c r="D42" s="13"/>
      <c r="E42" s="13"/>
      <c r="F42" s="44" t="s">
        <v>2249</v>
      </c>
      <c r="G42" s="43">
        <v>1.0</v>
      </c>
      <c r="H42" s="42"/>
      <c r="I42" s="43"/>
      <c r="J42" s="14"/>
      <c r="K42" s="43"/>
    </row>
    <row r="43" ht="39.75" customHeight="1">
      <c r="A43" s="1">
        <v>42.0</v>
      </c>
      <c r="B43" s="2" t="s">
        <v>67</v>
      </c>
      <c r="C43" s="2"/>
      <c r="D43" s="13"/>
      <c r="E43" s="13"/>
      <c r="F43" s="44" t="s">
        <v>2250</v>
      </c>
      <c r="G43" s="43">
        <v>1.0</v>
      </c>
      <c r="H43" s="42"/>
      <c r="I43" s="43">
        <v>1.0</v>
      </c>
      <c r="J43" s="14"/>
      <c r="K43" s="43"/>
    </row>
    <row r="44" ht="39.75" customHeight="1">
      <c r="A44" s="1">
        <v>43.0</v>
      </c>
      <c r="B44" s="2" t="s">
        <v>34</v>
      </c>
      <c r="C44" s="2"/>
      <c r="D44" s="13"/>
      <c r="E44" s="13"/>
      <c r="F44" s="44" t="s">
        <v>2251</v>
      </c>
      <c r="G44" s="43">
        <v>1.0</v>
      </c>
      <c r="H44" s="42"/>
      <c r="I44" s="42"/>
      <c r="J44" s="14"/>
      <c r="K44" s="43"/>
    </row>
    <row r="45" ht="39.75" customHeight="1">
      <c r="A45" s="1">
        <v>44.0</v>
      </c>
      <c r="B45" s="2" t="s">
        <v>35</v>
      </c>
      <c r="C45" s="2" t="s">
        <v>39</v>
      </c>
      <c r="D45" s="13"/>
      <c r="E45" s="13"/>
      <c r="F45" s="44" t="s">
        <v>2252</v>
      </c>
      <c r="G45" s="43">
        <v>1.0</v>
      </c>
      <c r="H45" s="42"/>
      <c r="I45" s="42"/>
      <c r="J45" s="14"/>
      <c r="K45" s="43"/>
    </row>
    <row r="46" ht="39.75" customHeight="1">
      <c r="A46" s="1">
        <v>45.0</v>
      </c>
      <c r="B46" s="2" t="s">
        <v>36</v>
      </c>
      <c r="C46" s="2" t="s">
        <v>44</v>
      </c>
      <c r="D46" s="13"/>
      <c r="E46" s="13"/>
      <c r="F46" s="45"/>
      <c r="G46" s="42"/>
      <c r="H46" s="42"/>
      <c r="I46" s="42"/>
      <c r="J46" s="14"/>
      <c r="K46" s="43"/>
    </row>
    <row r="47" ht="39.75" customHeight="1">
      <c r="A47" s="1">
        <v>46.0</v>
      </c>
      <c r="B47" s="2" t="s">
        <v>38</v>
      </c>
      <c r="C47" s="2" t="s">
        <v>69</v>
      </c>
      <c r="D47" s="13"/>
      <c r="E47" s="13"/>
      <c r="F47" s="44" t="s">
        <v>2253</v>
      </c>
      <c r="G47" s="43">
        <v>1.0</v>
      </c>
      <c r="H47" s="42"/>
      <c r="I47" s="42"/>
      <c r="J47" s="14"/>
      <c r="K47" s="43"/>
    </row>
    <row r="48" ht="39.75" hidden="1" customHeight="1">
      <c r="A48" s="1">
        <v>47.0</v>
      </c>
      <c r="B48" s="2" t="s">
        <v>41</v>
      </c>
      <c r="C48" s="2" t="s">
        <v>58</v>
      </c>
      <c r="D48" s="13"/>
      <c r="E48" s="13"/>
      <c r="F48" s="45"/>
      <c r="G48" s="42"/>
      <c r="H48" s="42"/>
      <c r="I48" s="42"/>
      <c r="J48" s="14"/>
      <c r="K48" s="43"/>
    </row>
    <row r="49" ht="39.75" customHeight="1">
      <c r="A49" s="1">
        <v>48.0</v>
      </c>
      <c r="B49" s="2" t="s">
        <v>42</v>
      </c>
      <c r="C49" s="2" t="s">
        <v>27</v>
      </c>
      <c r="D49" s="13"/>
      <c r="E49" s="13"/>
      <c r="F49" s="44" t="s">
        <v>2254</v>
      </c>
      <c r="G49" s="43">
        <v>1.0</v>
      </c>
      <c r="H49" s="42"/>
      <c r="I49" s="42"/>
      <c r="J49" s="14"/>
      <c r="K49" s="43"/>
    </row>
    <row r="50" ht="39.75" customHeight="1">
      <c r="A50" s="1">
        <v>49.0</v>
      </c>
      <c r="B50" s="2" t="s">
        <v>43</v>
      </c>
      <c r="C50" s="2"/>
      <c r="D50" s="40">
        <v>0.625</v>
      </c>
      <c r="E50" s="40">
        <v>0.9166666666666666</v>
      </c>
      <c r="F50" s="44" t="s">
        <v>2255</v>
      </c>
      <c r="G50" s="43">
        <v>1.0</v>
      </c>
      <c r="H50" s="42"/>
      <c r="I50" s="42"/>
      <c r="J50" s="14"/>
      <c r="K50" s="43"/>
    </row>
    <row r="51" ht="39.75" customHeight="1">
      <c r="A51" s="1">
        <v>50.0</v>
      </c>
      <c r="B51" s="2" t="s">
        <v>45</v>
      </c>
      <c r="C51" s="2" t="s">
        <v>54</v>
      </c>
      <c r="D51" s="13"/>
      <c r="E51" s="13"/>
      <c r="F51" s="44" t="s">
        <v>2256</v>
      </c>
      <c r="G51" s="43">
        <v>1.0</v>
      </c>
      <c r="H51" s="42"/>
      <c r="I51" s="42"/>
      <c r="J51" s="14"/>
      <c r="K51" s="43"/>
    </row>
    <row r="52" ht="39.75" customHeight="1">
      <c r="A52" s="1">
        <v>51.0</v>
      </c>
      <c r="B52" s="2" t="s">
        <v>46</v>
      </c>
      <c r="C52" s="2" t="s">
        <v>54</v>
      </c>
      <c r="D52" s="13"/>
      <c r="E52" s="13"/>
      <c r="F52" s="45"/>
      <c r="G52" s="42"/>
      <c r="H52" s="42"/>
      <c r="I52" s="42"/>
      <c r="J52" s="14"/>
      <c r="K52" s="43"/>
    </row>
    <row r="53" ht="39.75" customHeight="1">
      <c r="A53" s="1">
        <v>52.0</v>
      </c>
      <c r="B53" s="2" t="s">
        <v>47</v>
      </c>
      <c r="C53" s="2" t="s">
        <v>69</v>
      </c>
      <c r="D53" s="13"/>
      <c r="E53" s="13"/>
      <c r="F53" s="44" t="s">
        <v>2257</v>
      </c>
      <c r="G53" s="43">
        <v>1.0</v>
      </c>
      <c r="H53" s="42"/>
      <c r="I53" s="42"/>
      <c r="J53" s="14"/>
      <c r="K53" s="43"/>
    </row>
    <row r="54" ht="39.75" customHeight="1">
      <c r="A54" s="1">
        <v>53.0</v>
      </c>
      <c r="B54" s="2" t="s">
        <v>48</v>
      </c>
      <c r="C54" s="2"/>
      <c r="D54" s="13"/>
      <c r="E54" s="13"/>
      <c r="F54" s="44" t="s">
        <v>2258</v>
      </c>
      <c r="G54" s="43">
        <v>1.0</v>
      </c>
      <c r="H54" s="42"/>
      <c r="I54" s="42"/>
      <c r="J54" s="14"/>
      <c r="K54" s="43"/>
    </row>
    <row r="55" ht="39.75" customHeight="1">
      <c r="A55" s="1">
        <v>54.0</v>
      </c>
      <c r="B55" s="21"/>
      <c r="C55" s="21"/>
      <c r="D55" s="21"/>
      <c r="E55" s="21"/>
      <c r="F55" s="46"/>
      <c r="G55" s="47"/>
      <c r="H55" s="47"/>
      <c r="I55" s="47"/>
      <c r="J55" s="48"/>
      <c r="K55" s="47"/>
      <c r="L55" s="49"/>
      <c r="M55" s="49"/>
      <c r="N55" s="49"/>
    </row>
    <row r="56" ht="39.75" customHeight="1">
      <c r="A56" s="1">
        <v>55.0</v>
      </c>
      <c r="B56" s="2" t="s">
        <v>12</v>
      </c>
      <c r="C56" s="2"/>
      <c r="D56" s="40">
        <v>0.375</v>
      </c>
      <c r="E56" s="51">
        <v>0.7638888888888888</v>
      </c>
      <c r="F56" s="44" t="s">
        <v>2259</v>
      </c>
      <c r="G56" s="42"/>
      <c r="H56" s="42"/>
      <c r="I56" s="42"/>
      <c r="J56" s="14" t="s">
        <v>2231</v>
      </c>
      <c r="K56" s="43"/>
      <c r="L56" s="15" t="s">
        <v>74</v>
      </c>
    </row>
    <row r="57" ht="39.75" customHeight="1">
      <c r="A57" s="1">
        <v>56.0</v>
      </c>
      <c r="B57" s="2" t="s">
        <v>16</v>
      </c>
      <c r="C57" s="2"/>
      <c r="D57" s="40">
        <v>0.375</v>
      </c>
      <c r="E57" s="51">
        <v>0.7638888888888888</v>
      </c>
      <c r="F57" s="44" t="s">
        <v>2260</v>
      </c>
      <c r="G57" s="42"/>
      <c r="H57" s="42"/>
      <c r="I57" s="42"/>
      <c r="J57" s="14" t="s">
        <v>74</v>
      </c>
      <c r="K57" s="43"/>
    </row>
    <row r="58" ht="39.75" customHeight="1">
      <c r="A58" s="1">
        <v>57.0</v>
      </c>
      <c r="B58" s="2" t="s">
        <v>20</v>
      </c>
      <c r="C58" s="2"/>
      <c r="D58" s="40">
        <v>0.375</v>
      </c>
      <c r="E58" s="51">
        <v>0.7708333333333334</v>
      </c>
      <c r="F58" s="44" t="s">
        <v>2261</v>
      </c>
      <c r="G58" s="42"/>
      <c r="H58" s="42"/>
      <c r="I58" s="42"/>
      <c r="J58" s="14" t="s">
        <v>77</v>
      </c>
      <c r="K58" s="43"/>
    </row>
    <row r="59" ht="69.0" customHeight="1">
      <c r="A59" s="1">
        <v>58.0</v>
      </c>
      <c r="B59" s="2" t="s">
        <v>17</v>
      </c>
      <c r="C59" s="2"/>
      <c r="D59" s="53">
        <v>0.3194444444444444</v>
      </c>
      <c r="E59" s="51">
        <v>0.7430555555555556</v>
      </c>
      <c r="F59" s="44" t="s">
        <v>2262</v>
      </c>
      <c r="G59" s="42"/>
      <c r="H59" s="42"/>
      <c r="I59" s="42"/>
      <c r="J59" s="14"/>
      <c r="K59" s="43"/>
    </row>
    <row r="60" ht="39.75" customHeight="1">
      <c r="A60" s="1">
        <v>59.0</v>
      </c>
      <c r="B60" s="2" t="s">
        <v>331</v>
      </c>
      <c r="C60" s="2" t="s">
        <v>542</v>
      </c>
      <c r="D60" s="40">
        <v>0.7083333333333334</v>
      </c>
      <c r="E60" s="40">
        <v>0.9444444444444444</v>
      </c>
      <c r="F60" s="44" t="s">
        <v>2263</v>
      </c>
      <c r="G60" s="42"/>
      <c r="H60" s="42"/>
      <c r="I60" s="42"/>
      <c r="J60" s="14"/>
      <c r="K60" s="43"/>
    </row>
    <row r="61" ht="39.75" customHeight="1">
      <c r="A61" s="1">
        <v>60.0</v>
      </c>
      <c r="B61" s="2" t="s">
        <v>21</v>
      </c>
      <c r="C61" s="2" t="s">
        <v>63</v>
      </c>
      <c r="D61" s="13"/>
      <c r="E61" s="13"/>
      <c r="F61" s="45"/>
      <c r="G61" s="42"/>
      <c r="H61" s="42"/>
      <c r="I61" s="42"/>
      <c r="J61" s="14"/>
      <c r="K61" s="43"/>
    </row>
    <row r="62" ht="39.75" customHeight="1">
      <c r="A62" s="1">
        <v>61.0</v>
      </c>
      <c r="B62" s="2" t="s">
        <v>22</v>
      </c>
      <c r="C62" s="2"/>
      <c r="D62" s="40">
        <v>0.375</v>
      </c>
      <c r="E62" s="51">
        <v>0.7638888888888888</v>
      </c>
      <c r="F62" s="44" t="s">
        <v>2264</v>
      </c>
      <c r="G62" s="42"/>
      <c r="H62" s="42"/>
      <c r="I62" s="42"/>
      <c r="J62" s="14"/>
      <c r="K62" s="43"/>
    </row>
    <row r="63" ht="39.75" customHeight="1">
      <c r="A63" s="1">
        <v>62.0</v>
      </c>
      <c r="B63" s="2" t="s">
        <v>23</v>
      </c>
      <c r="C63" s="2"/>
      <c r="D63" s="40">
        <v>0.375</v>
      </c>
      <c r="E63" s="51">
        <v>0.7638888888888888</v>
      </c>
      <c r="F63" s="44" t="s">
        <v>2265</v>
      </c>
      <c r="G63" s="42"/>
      <c r="H63" s="42"/>
      <c r="I63" s="42"/>
      <c r="J63" s="14"/>
      <c r="K63" s="43"/>
    </row>
    <row r="64" ht="39.75" customHeight="1">
      <c r="A64" s="1">
        <v>63.0</v>
      </c>
      <c r="B64" s="2" t="s">
        <v>24</v>
      </c>
      <c r="C64" s="2"/>
      <c r="D64" s="40">
        <v>0.375</v>
      </c>
      <c r="E64" s="40">
        <v>0.75</v>
      </c>
      <c r="F64" s="44" t="s">
        <v>2266</v>
      </c>
      <c r="G64" s="42"/>
      <c r="H64" s="42"/>
      <c r="I64" s="42"/>
      <c r="J64" s="14"/>
      <c r="K64" s="43"/>
    </row>
    <row r="65" ht="39.75" customHeight="1">
      <c r="A65" s="1">
        <v>64.0</v>
      </c>
      <c r="B65" s="2" t="s">
        <v>25</v>
      </c>
      <c r="C65" s="2" t="s">
        <v>27</v>
      </c>
      <c r="D65" s="40">
        <v>0.7083333333333334</v>
      </c>
      <c r="E65" s="13"/>
      <c r="F65" s="44" t="s">
        <v>2267</v>
      </c>
      <c r="G65" s="42"/>
      <c r="H65" s="42"/>
      <c r="I65" s="42"/>
      <c r="J65" s="14"/>
      <c r="K65" s="43"/>
    </row>
    <row r="66" ht="39.75" customHeight="1">
      <c r="A66" s="1">
        <v>65.0</v>
      </c>
      <c r="B66" s="2" t="s">
        <v>26</v>
      </c>
      <c r="C66" s="2"/>
      <c r="D66" s="40">
        <v>0.7083333333333334</v>
      </c>
      <c r="E66" s="58" t="s">
        <v>2268</v>
      </c>
      <c r="F66" s="44" t="s">
        <v>2269</v>
      </c>
      <c r="G66" s="42"/>
      <c r="H66" s="42"/>
      <c r="I66" s="42"/>
      <c r="J66" s="14"/>
      <c r="K66" s="43"/>
    </row>
    <row r="67" ht="39.75" customHeight="1">
      <c r="A67" s="1">
        <v>66.0</v>
      </c>
      <c r="B67" s="2" t="s">
        <v>29</v>
      </c>
      <c r="C67" s="2"/>
      <c r="D67" s="40">
        <v>0.7083333333333334</v>
      </c>
      <c r="E67" s="2" t="s">
        <v>2270</v>
      </c>
      <c r="F67" s="44" t="s">
        <v>2271</v>
      </c>
      <c r="G67" s="42"/>
      <c r="H67" s="42"/>
      <c r="I67" s="42"/>
      <c r="J67" s="14"/>
      <c r="K67" s="43"/>
    </row>
    <row r="68" ht="39.75" customHeight="1">
      <c r="A68" s="1">
        <v>67.0</v>
      </c>
      <c r="B68" s="2" t="s">
        <v>30</v>
      </c>
      <c r="C68" s="2"/>
      <c r="D68" s="53">
        <v>0.3333333333333333</v>
      </c>
      <c r="E68" s="51">
        <v>0.7777777777777778</v>
      </c>
      <c r="F68" s="44" t="s">
        <v>2272</v>
      </c>
      <c r="G68" s="42"/>
      <c r="H68" s="42"/>
      <c r="I68" s="42"/>
      <c r="J68" s="14"/>
      <c r="K68" s="43"/>
    </row>
    <row r="69" ht="39.75" customHeight="1">
      <c r="A69" s="1">
        <v>68.0</v>
      </c>
      <c r="B69" s="2" t="s">
        <v>31</v>
      </c>
      <c r="C69" s="2" t="s">
        <v>27</v>
      </c>
      <c r="D69" s="40">
        <v>0.7083333333333334</v>
      </c>
      <c r="E69" s="13"/>
      <c r="F69" s="44" t="s">
        <v>2273</v>
      </c>
      <c r="G69" s="42"/>
      <c r="H69" s="42"/>
      <c r="I69" s="42"/>
      <c r="J69" s="14"/>
      <c r="K69" s="43"/>
    </row>
    <row r="70" ht="39.75" customHeight="1">
      <c r="A70" s="1">
        <v>69.0</v>
      </c>
      <c r="B70" s="2" t="s">
        <v>32</v>
      </c>
      <c r="C70" s="2"/>
      <c r="D70" s="40">
        <v>0.7083333333333334</v>
      </c>
      <c r="E70" s="40">
        <v>0.9444444444444444</v>
      </c>
      <c r="F70" s="44" t="s">
        <v>2274</v>
      </c>
      <c r="G70" s="42"/>
      <c r="H70" s="42"/>
      <c r="I70" s="42"/>
      <c r="J70" s="14"/>
      <c r="K70" s="43"/>
    </row>
    <row r="71" ht="39.75" customHeight="1">
      <c r="A71" s="1">
        <v>70.0</v>
      </c>
      <c r="B71" s="2" t="s">
        <v>67</v>
      </c>
      <c r="C71" s="2"/>
      <c r="D71" s="40">
        <v>0.7083333333333334</v>
      </c>
      <c r="E71" s="58" t="s">
        <v>2275</v>
      </c>
      <c r="F71" s="44" t="s">
        <v>2276</v>
      </c>
      <c r="G71" s="42"/>
      <c r="H71" s="42"/>
      <c r="I71" s="42"/>
      <c r="J71" s="14"/>
      <c r="K71" s="43"/>
    </row>
    <row r="72" ht="39.75" customHeight="1">
      <c r="A72" s="1">
        <v>71.0</v>
      </c>
      <c r="B72" s="2" t="s">
        <v>34</v>
      </c>
      <c r="C72" s="2"/>
      <c r="D72" s="40">
        <v>0.7083333333333334</v>
      </c>
      <c r="E72" s="2" t="s">
        <v>2277</v>
      </c>
      <c r="F72" s="44" t="s">
        <v>2278</v>
      </c>
      <c r="G72" s="42"/>
      <c r="H72" s="42"/>
      <c r="I72" s="42"/>
      <c r="J72" s="14"/>
      <c r="K72" s="43"/>
    </row>
    <row r="73" ht="39.75" customHeight="1">
      <c r="A73" s="1">
        <v>72.0</v>
      </c>
      <c r="B73" s="2" t="s">
        <v>35</v>
      </c>
      <c r="C73" s="2" t="s">
        <v>27</v>
      </c>
      <c r="D73" s="40">
        <v>0.6875</v>
      </c>
      <c r="E73" s="13"/>
      <c r="F73" s="44" t="s">
        <v>2279</v>
      </c>
      <c r="G73" s="42"/>
      <c r="H73" s="42"/>
      <c r="I73" s="42"/>
      <c r="J73" s="14"/>
      <c r="K73" s="43"/>
    </row>
    <row r="74" ht="39.75" customHeight="1">
      <c r="A74" s="1">
        <v>73.0</v>
      </c>
      <c r="B74" s="2" t="s">
        <v>36</v>
      </c>
      <c r="C74" s="2"/>
      <c r="D74" s="40">
        <v>0.7083333333333334</v>
      </c>
      <c r="E74" s="58" t="s">
        <v>2268</v>
      </c>
      <c r="F74" s="44" t="s">
        <v>2280</v>
      </c>
      <c r="G74" s="42"/>
      <c r="H74" s="42"/>
      <c r="I74" s="42"/>
      <c r="J74" s="14"/>
      <c r="K74" s="43"/>
    </row>
    <row r="75" ht="39.75" customHeight="1">
      <c r="A75" s="1">
        <v>74.0</v>
      </c>
      <c r="B75" s="2" t="s">
        <v>38</v>
      </c>
      <c r="C75" s="2"/>
      <c r="D75" s="40">
        <v>0.7083333333333334</v>
      </c>
      <c r="E75" s="40">
        <v>0.9513888888888888</v>
      </c>
      <c r="F75" s="44" t="s">
        <v>2281</v>
      </c>
      <c r="G75" s="42"/>
      <c r="H75" s="42"/>
      <c r="I75" s="42"/>
      <c r="J75" s="14"/>
      <c r="K75" s="43"/>
    </row>
    <row r="76" ht="39.75" customHeight="1">
      <c r="A76" s="1">
        <v>75.0</v>
      </c>
      <c r="B76" s="2" t="s">
        <v>42</v>
      </c>
      <c r="C76" s="2" t="s">
        <v>44</v>
      </c>
      <c r="D76" s="13"/>
      <c r="E76" s="13"/>
      <c r="F76" s="45"/>
      <c r="G76" s="42"/>
      <c r="H76" s="42"/>
      <c r="I76" s="42"/>
      <c r="J76" s="14"/>
      <c r="K76" s="43"/>
    </row>
    <row r="77" ht="39.75" customHeight="1">
      <c r="A77" s="1">
        <v>76.0</v>
      </c>
      <c r="B77" s="2" t="s">
        <v>43</v>
      </c>
      <c r="C77" s="2"/>
      <c r="D77" s="40">
        <v>0.375</v>
      </c>
      <c r="E77" s="40">
        <v>0.75</v>
      </c>
      <c r="F77" s="45"/>
      <c r="G77" s="42"/>
      <c r="H77" s="42"/>
      <c r="I77" s="42"/>
      <c r="J77" s="14"/>
      <c r="K77" s="43"/>
    </row>
    <row r="78" ht="39.75" customHeight="1">
      <c r="A78" s="1">
        <v>77.0</v>
      </c>
      <c r="B78" s="2" t="s">
        <v>45</v>
      </c>
      <c r="C78" s="2"/>
      <c r="D78" s="40">
        <v>0.7083333333333334</v>
      </c>
      <c r="E78" s="40">
        <v>0.9444444444444444</v>
      </c>
      <c r="F78" s="44" t="s">
        <v>2282</v>
      </c>
      <c r="G78" s="42"/>
      <c r="H78" s="42"/>
      <c r="I78" s="42"/>
      <c r="J78" s="14"/>
      <c r="K78" s="43"/>
    </row>
    <row r="79" ht="39.75" customHeight="1">
      <c r="A79" s="1">
        <v>78.0</v>
      </c>
      <c r="B79" s="2" t="s">
        <v>46</v>
      </c>
      <c r="C79" s="2"/>
      <c r="D79" s="40">
        <v>0.5833333333333334</v>
      </c>
      <c r="E79" s="40">
        <v>0.9166666666666666</v>
      </c>
      <c r="F79" s="44" t="s">
        <v>2283</v>
      </c>
      <c r="G79" s="42"/>
      <c r="H79" s="42"/>
      <c r="I79" s="42"/>
      <c r="J79" s="14"/>
      <c r="K79" s="43"/>
    </row>
    <row r="80" ht="39.75" customHeight="1">
      <c r="A80" s="1">
        <v>79.0</v>
      </c>
      <c r="B80" s="2" t="s">
        <v>47</v>
      </c>
      <c r="C80" s="13"/>
      <c r="D80" s="53">
        <v>0.20833333333333334</v>
      </c>
      <c r="E80" s="51">
        <v>0.7430555555555556</v>
      </c>
      <c r="F80" s="44" t="s">
        <v>2284</v>
      </c>
      <c r="G80" s="42"/>
      <c r="H80" s="42"/>
      <c r="I80" s="42"/>
      <c r="J80" s="14"/>
      <c r="K80" s="43"/>
    </row>
    <row r="81" ht="39.75" customHeight="1">
      <c r="A81" s="1">
        <v>80.0</v>
      </c>
      <c r="B81" s="2" t="s">
        <v>48</v>
      </c>
      <c r="C81" s="2"/>
      <c r="D81" s="40">
        <v>0.375</v>
      </c>
      <c r="E81" s="40">
        <v>0.75</v>
      </c>
      <c r="F81" s="44" t="s">
        <v>2285</v>
      </c>
      <c r="G81" s="42"/>
      <c r="H81" s="42"/>
      <c r="I81" s="42"/>
      <c r="J81" s="14"/>
      <c r="K81" s="43"/>
    </row>
    <row r="82" ht="39.75" customHeight="1">
      <c r="A82" s="1">
        <v>81.0</v>
      </c>
      <c r="B82" s="21"/>
      <c r="C82" s="21"/>
      <c r="D82" s="21"/>
      <c r="E82" s="21"/>
      <c r="F82" s="46"/>
      <c r="G82" s="47"/>
      <c r="H82" s="47"/>
      <c r="I82" s="47"/>
      <c r="J82" s="48"/>
      <c r="K82" s="47"/>
      <c r="L82" s="49"/>
      <c r="M82" s="49"/>
      <c r="N82" s="49"/>
    </row>
    <row r="83" ht="39.75" customHeight="1">
      <c r="A83" s="1">
        <v>82.0</v>
      </c>
      <c r="B83" s="2" t="s">
        <v>12</v>
      </c>
      <c r="C83" s="2" t="s">
        <v>62</v>
      </c>
      <c r="D83" s="13"/>
      <c r="E83" s="13"/>
      <c r="F83" s="44" t="s">
        <v>2011</v>
      </c>
      <c r="G83" s="43">
        <v>1.0</v>
      </c>
      <c r="H83" s="42"/>
      <c r="I83" s="43">
        <v>1.0</v>
      </c>
      <c r="J83" s="14" t="s">
        <v>2231</v>
      </c>
      <c r="K83" s="43"/>
      <c r="L83" s="15" t="s">
        <v>94</v>
      </c>
    </row>
    <row r="84" ht="39.75" customHeight="1">
      <c r="A84" s="1">
        <v>83.0</v>
      </c>
      <c r="B84" s="2" t="s">
        <v>16</v>
      </c>
      <c r="C84" s="13"/>
      <c r="D84" s="13"/>
      <c r="E84" s="13"/>
      <c r="F84" s="44" t="s">
        <v>2286</v>
      </c>
      <c r="G84" s="43">
        <v>1.0</v>
      </c>
      <c r="H84" s="42"/>
      <c r="I84" s="43">
        <v>1.0</v>
      </c>
      <c r="J84" s="14" t="s">
        <v>94</v>
      </c>
      <c r="K84" s="43"/>
    </row>
    <row r="85" ht="39.75" customHeight="1">
      <c r="A85" s="1">
        <v>84.0</v>
      </c>
      <c r="B85" s="2" t="s">
        <v>17</v>
      </c>
      <c r="C85" s="2"/>
      <c r="D85" s="53">
        <v>0.25</v>
      </c>
      <c r="E85" s="13"/>
      <c r="F85" s="44" t="s">
        <v>2287</v>
      </c>
      <c r="G85" s="43">
        <v>1.0</v>
      </c>
      <c r="H85" s="42"/>
      <c r="I85" s="42"/>
      <c r="J85" s="14" t="s">
        <v>95</v>
      </c>
      <c r="K85" s="43"/>
    </row>
    <row r="86" ht="39.75" customHeight="1">
      <c r="A86" s="1">
        <v>85.0</v>
      </c>
      <c r="B86" s="2" t="s">
        <v>331</v>
      </c>
      <c r="C86" s="2" t="s">
        <v>542</v>
      </c>
      <c r="D86" s="13"/>
      <c r="E86" s="13"/>
      <c r="F86" s="45"/>
      <c r="G86" s="42"/>
      <c r="H86" s="42"/>
      <c r="I86" s="42"/>
      <c r="J86" s="14"/>
      <c r="K86" s="43"/>
    </row>
    <row r="87" ht="39.75" customHeight="1">
      <c r="A87" s="1">
        <v>86.0</v>
      </c>
      <c r="B87" s="2" t="s">
        <v>21</v>
      </c>
      <c r="C87" s="2" t="s">
        <v>63</v>
      </c>
      <c r="D87" s="13"/>
      <c r="E87" s="13"/>
      <c r="F87" s="45"/>
      <c r="G87" s="42"/>
      <c r="H87" s="42"/>
      <c r="I87" s="42"/>
      <c r="J87" s="14"/>
      <c r="K87" s="43"/>
    </row>
    <row r="88" ht="39.75" customHeight="1">
      <c r="A88" s="1">
        <v>87.0</v>
      </c>
      <c r="B88" s="2" t="s">
        <v>22</v>
      </c>
      <c r="C88" s="2" t="s">
        <v>27</v>
      </c>
      <c r="D88" s="13"/>
      <c r="E88" s="13"/>
      <c r="F88" s="44" t="s">
        <v>2288</v>
      </c>
      <c r="G88" s="43">
        <v>2.0</v>
      </c>
      <c r="H88" s="42"/>
      <c r="I88" s="43">
        <v>2.0</v>
      </c>
      <c r="J88" s="14"/>
      <c r="K88" s="43"/>
    </row>
    <row r="89" ht="39.75" customHeight="1">
      <c r="A89" s="1">
        <v>88.0</v>
      </c>
      <c r="B89" s="2" t="s">
        <v>23</v>
      </c>
      <c r="C89" s="2"/>
      <c r="D89" s="13"/>
      <c r="E89" s="13"/>
      <c r="F89" s="44" t="s">
        <v>2289</v>
      </c>
      <c r="G89" s="43">
        <v>1.0</v>
      </c>
      <c r="H89" s="42"/>
      <c r="I89" s="42"/>
      <c r="J89" s="14"/>
      <c r="K89" s="43"/>
    </row>
    <row r="90" ht="39.75" customHeight="1">
      <c r="A90" s="1">
        <v>89.0</v>
      </c>
      <c r="B90" s="2" t="s">
        <v>24</v>
      </c>
      <c r="C90" s="2" t="s">
        <v>63</v>
      </c>
      <c r="D90" s="13"/>
      <c r="E90" s="13"/>
      <c r="F90" s="45"/>
      <c r="G90" s="42"/>
      <c r="H90" s="42"/>
      <c r="I90" s="42"/>
      <c r="J90" s="14"/>
      <c r="K90" s="43"/>
    </row>
    <row r="91" ht="39.75" customHeight="1">
      <c r="A91" s="1">
        <v>90.0</v>
      </c>
      <c r="B91" s="2" t="s">
        <v>25</v>
      </c>
      <c r="C91" s="2" t="s">
        <v>44</v>
      </c>
      <c r="D91" s="53"/>
      <c r="E91" s="13"/>
      <c r="F91" s="52" t="s">
        <v>2290</v>
      </c>
      <c r="G91" s="43">
        <v>1.0</v>
      </c>
      <c r="H91" s="42"/>
      <c r="I91" s="42"/>
      <c r="J91" s="14"/>
      <c r="K91" s="43"/>
    </row>
    <row r="92" ht="39.75" customHeight="1">
      <c r="A92" s="1">
        <v>91.0</v>
      </c>
      <c r="B92" s="2" t="s">
        <v>26</v>
      </c>
      <c r="C92" s="2"/>
      <c r="D92" s="13"/>
      <c r="E92" s="13"/>
      <c r="F92" s="44" t="s">
        <v>13</v>
      </c>
      <c r="G92" s="42"/>
      <c r="H92" s="42"/>
      <c r="I92" s="42"/>
      <c r="J92" s="14"/>
      <c r="K92" s="43"/>
    </row>
    <row r="93" ht="39.75" customHeight="1">
      <c r="A93" s="1">
        <v>92.0</v>
      </c>
      <c r="B93" s="2" t="s">
        <v>29</v>
      </c>
      <c r="C93" s="2"/>
      <c r="D93" s="13"/>
      <c r="E93" s="13"/>
      <c r="F93" s="44" t="s">
        <v>13</v>
      </c>
      <c r="G93" s="42"/>
      <c r="H93" s="42"/>
      <c r="I93" s="42"/>
      <c r="J93" s="14"/>
      <c r="K93" s="43"/>
    </row>
    <row r="94" ht="39.75" customHeight="1">
      <c r="A94" s="1">
        <v>93.0</v>
      </c>
      <c r="B94" s="2" t="s">
        <v>30</v>
      </c>
      <c r="C94" s="2" t="s">
        <v>64</v>
      </c>
      <c r="D94" s="13"/>
      <c r="E94" s="13"/>
      <c r="F94" s="44" t="s">
        <v>2034</v>
      </c>
      <c r="G94" s="43">
        <v>1.0</v>
      </c>
      <c r="H94" s="42"/>
      <c r="I94" s="43">
        <v>1.0</v>
      </c>
      <c r="J94" s="14"/>
      <c r="K94" s="43"/>
    </row>
    <row r="95" ht="39.75" customHeight="1">
      <c r="A95" s="1">
        <v>94.0</v>
      </c>
      <c r="B95" s="2" t="s">
        <v>31</v>
      </c>
      <c r="C95" s="2" t="s">
        <v>44</v>
      </c>
      <c r="D95" s="13"/>
      <c r="E95" s="13"/>
      <c r="F95" s="52" t="s">
        <v>2291</v>
      </c>
      <c r="G95" s="43">
        <v>1.0</v>
      </c>
      <c r="H95" s="42"/>
      <c r="I95" s="42"/>
      <c r="J95" s="14"/>
      <c r="K95" s="43"/>
    </row>
    <row r="96" ht="39.75" customHeight="1">
      <c r="A96" s="1">
        <v>95.0</v>
      </c>
      <c r="B96" s="2" t="s">
        <v>32</v>
      </c>
      <c r="C96" s="2"/>
      <c r="D96" s="13"/>
      <c r="E96" s="13"/>
      <c r="F96" s="44" t="s">
        <v>2292</v>
      </c>
      <c r="G96" s="43">
        <v>1.0</v>
      </c>
      <c r="H96" s="42"/>
      <c r="I96" s="43">
        <v>1.0</v>
      </c>
      <c r="J96" s="14"/>
      <c r="K96" s="43"/>
    </row>
    <row r="97" ht="39.75" customHeight="1">
      <c r="A97" s="1">
        <v>96.0</v>
      </c>
      <c r="B97" s="2" t="s">
        <v>67</v>
      </c>
      <c r="C97" s="2"/>
      <c r="D97" s="13"/>
      <c r="E97" s="13"/>
      <c r="F97" s="44" t="s">
        <v>13</v>
      </c>
      <c r="G97" s="42"/>
      <c r="H97" s="42"/>
      <c r="I97" s="42"/>
      <c r="J97" s="14"/>
      <c r="K97" s="43"/>
    </row>
    <row r="98" ht="39.75" customHeight="1">
      <c r="A98" s="1">
        <v>97.0</v>
      </c>
      <c r="B98" s="2" t="s">
        <v>34</v>
      </c>
      <c r="C98" s="2"/>
      <c r="D98" s="40">
        <v>0.5416666666666666</v>
      </c>
      <c r="E98" s="13"/>
      <c r="F98" s="45"/>
      <c r="G98" s="42"/>
      <c r="H98" s="42"/>
      <c r="I98" s="42"/>
      <c r="J98" s="14"/>
      <c r="K98" s="43"/>
    </row>
    <row r="99" ht="39.75" customHeight="1">
      <c r="A99" s="1">
        <v>98.0</v>
      </c>
      <c r="B99" s="2" t="s">
        <v>35</v>
      </c>
      <c r="C99" s="2" t="s">
        <v>44</v>
      </c>
      <c r="D99" s="13"/>
      <c r="E99" s="13"/>
      <c r="F99" s="45"/>
      <c r="G99" s="42"/>
      <c r="H99" s="42"/>
      <c r="I99" s="42"/>
      <c r="J99" s="14"/>
      <c r="K99" s="43"/>
    </row>
    <row r="100" ht="39.75" customHeight="1">
      <c r="A100" s="1">
        <v>99.0</v>
      </c>
      <c r="B100" s="2" t="s">
        <v>36</v>
      </c>
      <c r="C100" s="2"/>
      <c r="D100" s="13"/>
      <c r="E100" s="13"/>
      <c r="F100" s="44" t="s">
        <v>13</v>
      </c>
      <c r="G100" s="42"/>
      <c r="H100" s="42"/>
      <c r="I100" s="42"/>
      <c r="J100" s="14"/>
      <c r="K100" s="43"/>
    </row>
    <row r="101" ht="39.75" customHeight="1">
      <c r="A101" s="1">
        <v>100.0</v>
      </c>
      <c r="B101" s="2" t="s">
        <v>38</v>
      </c>
      <c r="C101" s="2"/>
      <c r="D101" s="13"/>
      <c r="E101" s="13"/>
      <c r="F101" s="45"/>
      <c r="G101" s="42"/>
      <c r="H101" s="42"/>
      <c r="I101" s="42"/>
      <c r="J101" s="14"/>
      <c r="K101" s="43"/>
    </row>
    <row r="102" ht="39.75" customHeight="1">
      <c r="A102" s="1">
        <v>101.0</v>
      </c>
      <c r="B102" s="2" t="s">
        <v>116</v>
      </c>
      <c r="C102" s="2"/>
      <c r="D102" s="53">
        <v>0.25</v>
      </c>
      <c r="E102" s="13"/>
      <c r="F102" s="44" t="s">
        <v>2293</v>
      </c>
      <c r="G102" s="43">
        <v>1.0</v>
      </c>
      <c r="H102" s="42"/>
      <c r="I102" s="42"/>
      <c r="J102" s="14"/>
      <c r="K102" s="43"/>
    </row>
    <row r="103" ht="39.75" customHeight="1">
      <c r="A103" s="1">
        <v>102.0</v>
      </c>
      <c r="B103" s="2" t="s">
        <v>42</v>
      </c>
      <c r="C103" s="2"/>
      <c r="D103" s="53">
        <v>0.3333333333333333</v>
      </c>
      <c r="E103" s="13"/>
      <c r="F103" s="44" t="s">
        <v>2294</v>
      </c>
      <c r="G103" s="43">
        <v>1.0</v>
      </c>
      <c r="H103" s="42"/>
      <c r="I103" s="42"/>
      <c r="J103" s="14"/>
      <c r="K103" s="43"/>
    </row>
    <row r="104" ht="39.75" customHeight="1">
      <c r="A104" s="1">
        <v>103.0</v>
      </c>
      <c r="B104" s="2" t="s">
        <v>43</v>
      </c>
      <c r="C104" s="2"/>
      <c r="D104" s="53">
        <v>0.25</v>
      </c>
      <c r="E104" s="13"/>
      <c r="F104" s="44" t="s">
        <v>2293</v>
      </c>
      <c r="G104" s="43">
        <v>1.0</v>
      </c>
      <c r="H104" s="42"/>
      <c r="I104" s="42"/>
      <c r="J104" s="14"/>
      <c r="K104" s="43"/>
    </row>
    <row r="105" ht="39.75" customHeight="1">
      <c r="A105" s="1">
        <v>104.0</v>
      </c>
      <c r="B105" s="2" t="s">
        <v>45</v>
      </c>
      <c r="C105" s="2"/>
      <c r="D105" s="13"/>
      <c r="E105" s="13"/>
      <c r="F105" s="44" t="s">
        <v>2295</v>
      </c>
      <c r="G105" s="43">
        <v>1.0</v>
      </c>
      <c r="H105" s="42"/>
      <c r="I105" s="43">
        <v>1.0</v>
      </c>
      <c r="J105" s="14"/>
      <c r="K105" s="43"/>
    </row>
    <row r="106" ht="39.75" customHeight="1">
      <c r="A106" s="1">
        <v>105.0</v>
      </c>
      <c r="B106" s="2" t="s">
        <v>46</v>
      </c>
      <c r="C106" s="2"/>
      <c r="D106" s="53">
        <v>0.2916666666666667</v>
      </c>
      <c r="E106" s="13"/>
      <c r="F106" s="44" t="s">
        <v>2296</v>
      </c>
      <c r="G106" s="43">
        <v>1.0</v>
      </c>
      <c r="H106" s="42"/>
      <c r="I106" s="43">
        <v>1.0</v>
      </c>
      <c r="J106" s="14"/>
      <c r="K106" s="43"/>
    </row>
    <row r="107" ht="39.75" customHeight="1">
      <c r="A107" s="1">
        <v>106.0</v>
      </c>
      <c r="B107" s="2" t="s">
        <v>47</v>
      </c>
      <c r="C107" s="2"/>
      <c r="D107" s="13"/>
      <c r="E107" s="13"/>
      <c r="F107" s="44" t="s">
        <v>2297</v>
      </c>
      <c r="G107" s="43">
        <v>1.0</v>
      </c>
      <c r="H107" s="42"/>
      <c r="I107" s="43">
        <v>1.0</v>
      </c>
      <c r="J107" s="14"/>
      <c r="K107" s="43"/>
    </row>
    <row r="108" ht="39.75" customHeight="1">
      <c r="A108" s="1">
        <v>107.0</v>
      </c>
      <c r="B108" s="2" t="s">
        <v>48</v>
      </c>
      <c r="C108" s="2"/>
      <c r="D108" s="53">
        <v>0.3333333333333333</v>
      </c>
      <c r="E108" s="13"/>
      <c r="F108" s="44" t="s">
        <v>2298</v>
      </c>
      <c r="G108" s="43">
        <v>1.0</v>
      </c>
      <c r="H108" s="42"/>
      <c r="I108" s="43">
        <v>1.0</v>
      </c>
      <c r="J108" s="14"/>
      <c r="K108" s="43"/>
    </row>
    <row r="109" ht="39.75" customHeight="1">
      <c r="A109" s="1">
        <v>108.0</v>
      </c>
      <c r="B109" s="21"/>
      <c r="C109" s="21"/>
      <c r="D109" s="21"/>
      <c r="E109" s="21"/>
      <c r="F109" s="46"/>
      <c r="G109" s="47"/>
      <c r="H109" s="47"/>
      <c r="I109" s="47"/>
      <c r="J109" s="54"/>
      <c r="K109" s="72"/>
      <c r="L109" s="49"/>
      <c r="M109" s="49"/>
      <c r="N109" s="49"/>
    </row>
    <row r="110" ht="39.75" customHeight="1">
      <c r="A110" s="1">
        <v>109.0</v>
      </c>
      <c r="B110" s="2" t="s">
        <v>12</v>
      </c>
      <c r="C110" s="2" t="s">
        <v>62</v>
      </c>
      <c r="D110" s="13"/>
      <c r="E110" s="13"/>
      <c r="F110" s="44" t="s">
        <v>2011</v>
      </c>
      <c r="G110" s="43">
        <v>1.0</v>
      </c>
      <c r="H110" s="42"/>
      <c r="I110" s="43">
        <v>1.0</v>
      </c>
      <c r="J110" s="27" t="s">
        <v>2231</v>
      </c>
      <c r="K110" s="43"/>
      <c r="L110" s="15" t="s">
        <v>109</v>
      </c>
    </row>
    <row r="111" ht="39.75" customHeight="1">
      <c r="A111" s="1">
        <v>110.0</v>
      </c>
      <c r="B111" s="2" t="s">
        <v>16</v>
      </c>
      <c r="C111" s="2" t="s">
        <v>69</v>
      </c>
      <c r="D111" s="13"/>
      <c r="E111" s="13"/>
      <c r="F111" s="45"/>
      <c r="G111" s="42"/>
      <c r="H111" s="42"/>
      <c r="I111" s="42"/>
      <c r="J111" s="27" t="s">
        <v>109</v>
      </c>
      <c r="K111" s="43"/>
    </row>
    <row r="112" ht="39.75" hidden="1" customHeight="1">
      <c r="A112" s="1">
        <v>111.0</v>
      </c>
      <c r="B112" s="2" t="s">
        <v>17</v>
      </c>
      <c r="C112" s="2" t="s">
        <v>58</v>
      </c>
      <c r="D112" s="13"/>
      <c r="E112" s="13"/>
      <c r="F112" s="45"/>
      <c r="G112" s="42"/>
      <c r="H112" s="42"/>
      <c r="I112" s="42"/>
      <c r="J112" s="27" t="s">
        <v>111</v>
      </c>
      <c r="K112" s="43"/>
    </row>
    <row r="113" ht="39.75" hidden="1" customHeight="1">
      <c r="A113" s="1">
        <v>112.0</v>
      </c>
      <c r="B113" s="2" t="s">
        <v>331</v>
      </c>
      <c r="C113" s="2" t="s">
        <v>58</v>
      </c>
      <c r="D113" s="13"/>
      <c r="E113" s="13"/>
      <c r="F113" s="44"/>
      <c r="G113" s="42"/>
      <c r="H113" s="42"/>
      <c r="I113" s="42"/>
      <c r="J113" s="22"/>
      <c r="K113" s="42"/>
    </row>
    <row r="114" ht="39.75" customHeight="1">
      <c r="A114" s="1">
        <v>113.0</v>
      </c>
      <c r="B114" s="2" t="s">
        <v>21</v>
      </c>
      <c r="C114" s="2" t="s">
        <v>63</v>
      </c>
      <c r="D114" s="13"/>
      <c r="E114" s="13"/>
      <c r="F114" s="45"/>
      <c r="G114" s="42"/>
      <c r="H114" s="42"/>
      <c r="I114" s="42"/>
      <c r="J114" s="22"/>
      <c r="K114" s="42"/>
    </row>
    <row r="115" ht="39.75" customHeight="1">
      <c r="A115" s="1">
        <v>114.0</v>
      </c>
      <c r="B115" s="2" t="s">
        <v>22</v>
      </c>
      <c r="C115" s="2" t="s">
        <v>44</v>
      </c>
      <c r="D115" s="13"/>
      <c r="E115" s="13"/>
      <c r="F115" s="45"/>
      <c r="G115" s="42"/>
      <c r="H115" s="42"/>
      <c r="I115" s="42"/>
      <c r="J115" s="22"/>
      <c r="K115" s="42"/>
    </row>
    <row r="116" ht="39.75" customHeight="1">
      <c r="A116" s="1">
        <v>115.0</v>
      </c>
      <c r="B116" s="2" t="s">
        <v>23</v>
      </c>
      <c r="C116" s="2"/>
      <c r="D116" s="13"/>
      <c r="E116" s="13"/>
      <c r="F116" s="44" t="s">
        <v>2299</v>
      </c>
      <c r="G116" s="43">
        <v>1.0</v>
      </c>
      <c r="H116" s="42"/>
      <c r="I116" s="42"/>
      <c r="J116" s="22"/>
      <c r="K116" s="42"/>
    </row>
    <row r="117" ht="39.75" customHeight="1">
      <c r="A117" s="1">
        <v>116.0</v>
      </c>
      <c r="B117" s="2" t="s">
        <v>24</v>
      </c>
      <c r="C117" s="2" t="s">
        <v>63</v>
      </c>
      <c r="D117" s="13"/>
      <c r="E117" s="13"/>
      <c r="F117" s="45"/>
      <c r="G117" s="42"/>
      <c r="H117" s="42"/>
      <c r="I117" s="42"/>
      <c r="J117" s="22"/>
      <c r="K117" s="42"/>
    </row>
    <row r="118" ht="39.75" customHeight="1">
      <c r="A118" s="1">
        <v>117.0</v>
      </c>
      <c r="B118" s="2" t="s">
        <v>25</v>
      </c>
      <c r="C118" s="2" t="s">
        <v>54</v>
      </c>
      <c r="D118" s="13"/>
      <c r="E118" s="13"/>
      <c r="F118" s="44" t="s">
        <v>2300</v>
      </c>
      <c r="G118" s="43">
        <v>1.0</v>
      </c>
      <c r="H118" s="42"/>
      <c r="I118" s="42"/>
      <c r="J118" s="22"/>
      <c r="K118" s="42"/>
    </row>
    <row r="119" ht="39.75" customHeight="1">
      <c r="A119" s="1">
        <v>118.0</v>
      </c>
      <c r="B119" s="2" t="s">
        <v>26</v>
      </c>
      <c r="C119" s="2" t="s">
        <v>54</v>
      </c>
      <c r="D119" s="53">
        <v>0.2638888888888889</v>
      </c>
      <c r="E119" s="13"/>
      <c r="F119" s="44" t="s">
        <v>2301</v>
      </c>
      <c r="G119" s="43">
        <v>1.0</v>
      </c>
      <c r="H119" s="43">
        <v>1.0</v>
      </c>
      <c r="I119" s="42"/>
      <c r="J119" s="22"/>
      <c r="K119" s="42"/>
    </row>
    <row r="120" ht="39.75" customHeight="1">
      <c r="A120" s="1">
        <v>119.0</v>
      </c>
      <c r="B120" s="2" t="s">
        <v>29</v>
      </c>
      <c r="C120" s="2" t="s">
        <v>69</v>
      </c>
      <c r="D120" s="13"/>
      <c r="E120" s="13"/>
      <c r="F120" s="45"/>
      <c r="G120" s="42"/>
      <c r="H120" s="42"/>
      <c r="I120" s="42"/>
      <c r="J120" s="22"/>
      <c r="K120" s="42"/>
    </row>
    <row r="121" ht="39.75" customHeight="1">
      <c r="A121" s="1">
        <v>120.0</v>
      </c>
      <c r="B121" s="2" t="s">
        <v>30</v>
      </c>
      <c r="C121" s="2" t="s">
        <v>64</v>
      </c>
      <c r="D121" s="13"/>
      <c r="E121" s="13"/>
      <c r="F121" s="44" t="s">
        <v>2103</v>
      </c>
      <c r="G121" s="43">
        <v>1.0</v>
      </c>
      <c r="H121" s="42"/>
      <c r="I121" s="43">
        <v>1.0</v>
      </c>
      <c r="J121" s="22"/>
      <c r="K121" s="42"/>
    </row>
    <row r="122" ht="39.75" hidden="1" customHeight="1">
      <c r="A122" s="1">
        <v>121.0</v>
      </c>
      <c r="B122" s="2" t="s">
        <v>31</v>
      </c>
      <c r="C122" s="2" t="s">
        <v>66</v>
      </c>
      <c r="D122" s="13"/>
      <c r="E122" s="13"/>
      <c r="F122" s="45"/>
      <c r="G122" s="42"/>
      <c r="H122" s="42"/>
      <c r="I122" s="42"/>
      <c r="J122" s="22"/>
      <c r="K122" s="42"/>
    </row>
    <row r="123" ht="39.75" customHeight="1">
      <c r="A123" s="1">
        <v>122.0</v>
      </c>
      <c r="B123" s="2" t="s">
        <v>32</v>
      </c>
      <c r="C123" s="2"/>
      <c r="D123" s="13"/>
      <c r="E123" s="13"/>
      <c r="F123" s="44" t="s">
        <v>2302</v>
      </c>
      <c r="G123" s="43">
        <v>1.0</v>
      </c>
      <c r="H123" s="42"/>
      <c r="I123" s="43">
        <v>1.0</v>
      </c>
      <c r="J123" s="22"/>
      <c r="K123" s="42"/>
    </row>
    <row r="124" ht="39.75" customHeight="1">
      <c r="A124" s="1">
        <v>123.0</v>
      </c>
      <c r="B124" s="2" t="s">
        <v>67</v>
      </c>
      <c r="C124" s="2" t="s">
        <v>69</v>
      </c>
      <c r="D124" s="13"/>
      <c r="E124" s="13"/>
      <c r="F124" s="45"/>
      <c r="G124" s="42"/>
      <c r="H124" s="42"/>
      <c r="I124" s="42"/>
      <c r="J124" s="22"/>
      <c r="K124" s="42"/>
    </row>
    <row r="125" ht="39.75" hidden="1" customHeight="1">
      <c r="A125" s="1">
        <v>124.0</v>
      </c>
      <c r="B125" s="2" t="s">
        <v>34</v>
      </c>
      <c r="C125" s="2" t="s">
        <v>58</v>
      </c>
      <c r="D125" s="13"/>
      <c r="E125" s="13"/>
      <c r="F125" s="45"/>
      <c r="G125" s="42"/>
      <c r="H125" s="42"/>
      <c r="I125" s="42"/>
      <c r="J125" s="22"/>
      <c r="K125" s="42"/>
    </row>
    <row r="126" ht="39.75" customHeight="1">
      <c r="A126" s="1">
        <v>125.0</v>
      </c>
      <c r="B126" s="2" t="s">
        <v>35</v>
      </c>
      <c r="C126" s="2"/>
      <c r="D126" s="13"/>
      <c r="E126" s="13"/>
      <c r="F126" s="44" t="s">
        <v>2303</v>
      </c>
      <c r="G126" s="43">
        <v>1.0</v>
      </c>
      <c r="H126" s="42"/>
      <c r="I126" s="42"/>
      <c r="J126" s="22"/>
      <c r="K126" s="42"/>
    </row>
    <row r="127" ht="39.75" customHeight="1">
      <c r="A127" s="1">
        <v>126.0</v>
      </c>
      <c r="B127" s="2" t="s">
        <v>36</v>
      </c>
      <c r="C127" s="2" t="s">
        <v>54</v>
      </c>
      <c r="D127" s="13"/>
      <c r="E127" s="13"/>
      <c r="F127" s="44" t="s">
        <v>2304</v>
      </c>
      <c r="G127" s="43">
        <v>1.0</v>
      </c>
      <c r="H127" s="42"/>
      <c r="I127" s="42"/>
      <c r="J127" s="22"/>
      <c r="K127" s="42"/>
    </row>
    <row r="128" ht="39.75" customHeight="1">
      <c r="A128" s="1">
        <v>127.0</v>
      </c>
      <c r="B128" s="2" t="s">
        <v>38</v>
      </c>
      <c r="C128" s="2" t="s">
        <v>27</v>
      </c>
      <c r="D128" s="13"/>
      <c r="E128" s="13"/>
      <c r="F128" s="44" t="s">
        <v>2305</v>
      </c>
      <c r="G128" s="43">
        <v>1.0</v>
      </c>
      <c r="H128" s="42"/>
      <c r="I128" s="42"/>
      <c r="J128" s="22"/>
      <c r="K128" s="42"/>
    </row>
    <row r="129" ht="39.75" hidden="1" customHeight="1">
      <c r="A129" s="1">
        <v>128.0</v>
      </c>
      <c r="B129" s="2" t="s">
        <v>41</v>
      </c>
      <c r="C129" s="2" t="s">
        <v>58</v>
      </c>
      <c r="D129" s="13"/>
      <c r="E129" s="13"/>
      <c r="F129" s="45"/>
      <c r="G129" s="42"/>
      <c r="H129" s="42"/>
      <c r="I129" s="42"/>
      <c r="J129" s="22"/>
      <c r="K129" s="42"/>
    </row>
    <row r="130" ht="39.75" customHeight="1">
      <c r="A130" s="1">
        <v>129.0</v>
      </c>
      <c r="B130" s="2" t="s">
        <v>42</v>
      </c>
      <c r="C130" s="2"/>
      <c r="D130" s="13"/>
      <c r="E130" s="13"/>
      <c r="F130" s="44" t="s">
        <v>2306</v>
      </c>
      <c r="G130" s="43">
        <v>1.0</v>
      </c>
      <c r="H130" s="42"/>
      <c r="I130" s="42"/>
      <c r="J130" s="22"/>
      <c r="K130" s="42"/>
    </row>
    <row r="131" ht="39.75" hidden="1" customHeight="1">
      <c r="A131" s="1">
        <v>130.0</v>
      </c>
      <c r="B131" s="2" t="s">
        <v>43</v>
      </c>
      <c r="C131" s="2" t="s">
        <v>58</v>
      </c>
      <c r="D131" s="13"/>
      <c r="E131" s="13"/>
      <c r="F131" s="45"/>
      <c r="G131" s="42"/>
      <c r="H131" s="42"/>
      <c r="I131" s="42"/>
      <c r="J131" s="22"/>
      <c r="K131" s="42"/>
    </row>
    <row r="132" ht="39.75" customHeight="1">
      <c r="A132" s="1">
        <v>131.0</v>
      </c>
      <c r="B132" s="2" t="s">
        <v>45</v>
      </c>
      <c r="C132" s="2" t="s">
        <v>54</v>
      </c>
      <c r="D132" s="13"/>
      <c r="E132" s="13"/>
      <c r="F132" s="44" t="s">
        <v>2307</v>
      </c>
      <c r="G132" s="43">
        <v>1.0</v>
      </c>
      <c r="H132" s="42"/>
      <c r="I132" s="43">
        <v>1.0</v>
      </c>
      <c r="J132" s="22"/>
      <c r="K132" s="42"/>
    </row>
    <row r="133" ht="39.75" customHeight="1">
      <c r="A133" s="1">
        <v>132.0</v>
      </c>
      <c r="B133" s="2" t="s">
        <v>46</v>
      </c>
      <c r="C133" s="13"/>
      <c r="D133" s="13"/>
      <c r="E133" s="13"/>
      <c r="F133" s="44" t="s">
        <v>2308</v>
      </c>
      <c r="G133" s="43">
        <v>1.0</v>
      </c>
      <c r="H133" s="42"/>
      <c r="I133" s="43">
        <v>1.0</v>
      </c>
      <c r="J133" s="22"/>
      <c r="K133" s="42"/>
    </row>
    <row r="134" ht="39.75" customHeight="1">
      <c r="A134" s="1">
        <v>133.0</v>
      </c>
      <c r="B134" s="2" t="s">
        <v>47</v>
      </c>
      <c r="C134" s="2" t="s">
        <v>39</v>
      </c>
      <c r="D134" s="13"/>
      <c r="E134" s="13"/>
      <c r="F134" s="44" t="s">
        <v>2309</v>
      </c>
      <c r="G134" s="43">
        <v>1.0</v>
      </c>
      <c r="H134" s="42"/>
      <c r="I134" s="43">
        <v>1.0</v>
      </c>
      <c r="J134" s="22"/>
      <c r="K134" s="42"/>
    </row>
    <row r="135" ht="39.75" customHeight="1">
      <c r="A135" s="1">
        <v>134.0</v>
      </c>
      <c r="B135" s="2" t="s">
        <v>48</v>
      </c>
      <c r="C135" s="2" t="s">
        <v>39</v>
      </c>
      <c r="D135" s="13"/>
      <c r="E135" s="13"/>
      <c r="F135" s="44" t="s">
        <v>2310</v>
      </c>
      <c r="G135" s="43">
        <v>1.0</v>
      </c>
      <c r="H135" s="42"/>
      <c r="I135" s="43">
        <v>1.0</v>
      </c>
      <c r="J135" s="22"/>
      <c r="K135" s="42"/>
    </row>
    <row r="136" ht="39.75" customHeight="1">
      <c r="A136" s="1">
        <v>135.0</v>
      </c>
      <c r="B136" s="21"/>
      <c r="C136" s="21"/>
      <c r="D136" s="21"/>
      <c r="E136" s="21"/>
      <c r="F136" s="46"/>
      <c r="G136" s="47"/>
      <c r="H136" s="47"/>
      <c r="I136" s="47"/>
      <c r="J136" s="48"/>
      <c r="K136" s="47"/>
      <c r="L136" s="49"/>
      <c r="M136" s="49"/>
      <c r="N136" s="49"/>
    </row>
    <row r="137" ht="39.75" hidden="1" customHeight="1">
      <c r="A137" s="1">
        <v>136.0</v>
      </c>
      <c r="B137" s="2" t="s">
        <v>12</v>
      </c>
      <c r="C137" s="2" t="s">
        <v>13</v>
      </c>
      <c r="D137" s="13"/>
      <c r="E137" s="13"/>
      <c r="F137" s="45"/>
      <c r="G137" s="42"/>
      <c r="H137" s="42"/>
      <c r="I137" s="42"/>
      <c r="J137" s="27" t="s">
        <v>2231</v>
      </c>
      <c r="K137" s="43"/>
      <c r="L137" s="15" t="s">
        <v>128</v>
      </c>
    </row>
    <row r="138" ht="39.75" hidden="1" customHeight="1">
      <c r="A138" s="1">
        <v>137.0</v>
      </c>
      <c r="B138" s="2" t="s">
        <v>16</v>
      </c>
      <c r="C138" s="2" t="s">
        <v>13</v>
      </c>
      <c r="D138" s="13"/>
      <c r="E138" s="13"/>
      <c r="F138" s="45"/>
      <c r="G138" s="42"/>
      <c r="H138" s="42"/>
      <c r="I138" s="42"/>
      <c r="J138" s="27" t="s">
        <v>128</v>
      </c>
      <c r="K138" s="43"/>
    </row>
    <row r="139" ht="39.75" customHeight="1">
      <c r="A139" s="1">
        <v>138.0</v>
      </c>
      <c r="B139" s="2" t="s">
        <v>20</v>
      </c>
      <c r="C139" s="2" t="s">
        <v>271</v>
      </c>
      <c r="D139" s="13"/>
      <c r="E139" s="13"/>
      <c r="F139" s="44"/>
      <c r="G139" s="43"/>
      <c r="H139" s="42"/>
      <c r="I139" s="43"/>
      <c r="J139" s="27" t="s">
        <v>131</v>
      </c>
      <c r="K139" s="43"/>
    </row>
    <row r="140" ht="39.75" hidden="1" customHeight="1">
      <c r="A140" s="1">
        <v>139.0</v>
      </c>
      <c r="B140" s="2" t="s">
        <v>331</v>
      </c>
      <c r="C140" s="2" t="s">
        <v>13</v>
      </c>
      <c r="D140" s="13"/>
      <c r="E140" s="13"/>
      <c r="F140" s="44"/>
      <c r="G140" s="42"/>
      <c r="H140" s="42"/>
      <c r="I140" s="42"/>
      <c r="J140" s="27" t="s">
        <v>410</v>
      </c>
      <c r="K140" s="43"/>
    </row>
    <row r="141" ht="39.75" customHeight="1">
      <c r="A141" s="1">
        <v>140.0</v>
      </c>
      <c r="B141" s="2" t="s">
        <v>21</v>
      </c>
      <c r="C141" s="2" t="s">
        <v>63</v>
      </c>
      <c r="D141" s="13"/>
      <c r="E141" s="13"/>
      <c r="F141" s="44" t="s">
        <v>2311</v>
      </c>
      <c r="G141" s="43">
        <v>1.0</v>
      </c>
      <c r="H141" s="42"/>
      <c r="I141" s="42"/>
      <c r="J141" s="27" t="s">
        <v>412</v>
      </c>
      <c r="K141" s="43"/>
    </row>
    <row r="142" ht="39.75" customHeight="1">
      <c r="A142" s="1">
        <v>141.0</v>
      </c>
      <c r="B142" s="2" t="s">
        <v>22</v>
      </c>
      <c r="C142" s="2" t="s">
        <v>27</v>
      </c>
      <c r="D142" s="13"/>
      <c r="E142" s="13"/>
      <c r="F142" s="44" t="s">
        <v>2312</v>
      </c>
      <c r="G142" s="43">
        <v>1.0</v>
      </c>
      <c r="H142" s="42"/>
      <c r="I142" s="43">
        <v>1.0</v>
      </c>
      <c r="J142" s="27" t="s">
        <v>413</v>
      </c>
      <c r="K142" s="43"/>
    </row>
    <row r="143" ht="39.75" hidden="1" customHeight="1">
      <c r="A143" s="1">
        <v>142.0</v>
      </c>
      <c r="B143" s="2" t="s">
        <v>23</v>
      </c>
      <c r="C143" s="2" t="s">
        <v>13</v>
      </c>
      <c r="D143" s="13"/>
      <c r="E143" s="13"/>
      <c r="F143" s="45"/>
      <c r="G143" s="42"/>
      <c r="H143" s="42"/>
      <c r="I143" s="42"/>
      <c r="J143" s="22"/>
      <c r="K143" s="42"/>
    </row>
    <row r="144" ht="39.75" hidden="1" customHeight="1">
      <c r="A144" s="1">
        <v>143.0</v>
      </c>
      <c r="B144" s="2" t="s">
        <v>24</v>
      </c>
      <c r="C144" s="2" t="s">
        <v>13</v>
      </c>
      <c r="D144" s="13"/>
      <c r="E144" s="13"/>
      <c r="F144" s="45"/>
      <c r="G144" s="42"/>
      <c r="H144" s="42"/>
      <c r="I144" s="42"/>
      <c r="J144" s="22"/>
      <c r="K144" s="42"/>
    </row>
    <row r="145" ht="39.75" customHeight="1">
      <c r="A145" s="1">
        <v>144.0</v>
      </c>
      <c r="B145" s="2" t="s">
        <v>25</v>
      </c>
      <c r="C145" s="2" t="s">
        <v>44</v>
      </c>
      <c r="D145" s="13"/>
      <c r="E145" s="13"/>
      <c r="F145" s="45"/>
      <c r="G145" s="42"/>
      <c r="H145" s="42"/>
      <c r="I145" s="42"/>
      <c r="J145" s="22"/>
      <c r="K145" s="42"/>
    </row>
    <row r="146" ht="39.75" customHeight="1">
      <c r="A146" s="1">
        <v>145.0</v>
      </c>
      <c r="B146" s="2" t="s">
        <v>26</v>
      </c>
      <c r="C146" s="2" t="s">
        <v>54</v>
      </c>
      <c r="D146" s="13"/>
      <c r="E146" s="13"/>
      <c r="F146" s="44" t="s">
        <v>2313</v>
      </c>
      <c r="G146" s="43">
        <v>2.0</v>
      </c>
      <c r="H146" s="42"/>
      <c r="I146" s="42"/>
      <c r="J146" s="22"/>
      <c r="K146" s="42"/>
    </row>
    <row r="147" ht="39.75" hidden="1" customHeight="1">
      <c r="A147" s="1">
        <v>146.0</v>
      </c>
      <c r="B147" s="2" t="s">
        <v>29</v>
      </c>
      <c r="C147" s="2" t="s">
        <v>13</v>
      </c>
      <c r="D147" s="13"/>
      <c r="E147" s="13"/>
      <c r="F147" s="45"/>
      <c r="G147" s="42"/>
      <c r="H147" s="42"/>
      <c r="I147" s="42"/>
      <c r="J147" s="22"/>
      <c r="K147" s="42"/>
    </row>
    <row r="148" ht="39.75" hidden="1" customHeight="1">
      <c r="A148" s="1">
        <v>147.0</v>
      </c>
      <c r="B148" s="2" t="s">
        <v>30</v>
      </c>
      <c r="C148" s="2" t="s">
        <v>13</v>
      </c>
      <c r="D148" s="13"/>
      <c r="E148" s="13"/>
      <c r="F148" s="45"/>
      <c r="G148" s="42"/>
      <c r="H148" s="42"/>
      <c r="I148" s="42"/>
      <c r="J148" s="22"/>
      <c r="K148" s="42"/>
    </row>
    <row r="149" ht="39.75" hidden="1" customHeight="1">
      <c r="A149" s="1">
        <v>148.0</v>
      </c>
      <c r="B149" s="2" t="s">
        <v>31</v>
      </c>
      <c r="C149" s="2" t="s">
        <v>13</v>
      </c>
      <c r="D149" s="13"/>
      <c r="E149" s="13"/>
      <c r="F149" s="45"/>
      <c r="G149" s="42"/>
      <c r="H149" s="42"/>
      <c r="I149" s="42"/>
      <c r="J149" s="22"/>
      <c r="K149" s="42"/>
    </row>
    <row r="150" ht="39.75" customHeight="1">
      <c r="A150" s="1">
        <v>149.0</v>
      </c>
      <c r="B150" s="2" t="s">
        <v>32</v>
      </c>
      <c r="C150" s="2"/>
      <c r="D150" s="40">
        <v>0.375</v>
      </c>
      <c r="E150" s="13"/>
      <c r="F150" s="44" t="s">
        <v>2314</v>
      </c>
      <c r="G150" s="43">
        <v>1.0</v>
      </c>
      <c r="H150" s="42"/>
      <c r="I150" s="42"/>
      <c r="J150" s="22"/>
      <c r="K150" s="42"/>
    </row>
    <row r="151" ht="39.75" hidden="1" customHeight="1">
      <c r="A151" s="1">
        <v>150.0</v>
      </c>
      <c r="B151" s="2" t="s">
        <v>67</v>
      </c>
      <c r="C151" s="2" t="s">
        <v>13</v>
      </c>
      <c r="D151" s="13"/>
      <c r="E151" s="13"/>
      <c r="F151" s="45"/>
      <c r="G151" s="42"/>
      <c r="H151" s="42"/>
      <c r="I151" s="42"/>
      <c r="J151" s="22"/>
      <c r="K151" s="42"/>
    </row>
    <row r="152" ht="39.75" hidden="1" customHeight="1">
      <c r="A152" s="1">
        <v>151.0</v>
      </c>
      <c r="B152" s="2" t="s">
        <v>34</v>
      </c>
      <c r="C152" s="2" t="s">
        <v>13</v>
      </c>
      <c r="D152" s="13"/>
      <c r="E152" s="13"/>
      <c r="F152" s="45"/>
      <c r="G152" s="42"/>
      <c r="H152" s="42"/>
      <c r="I152" s="42"/>
      <c r="J152" s="22"/>
      <c r="K152" s="42"/>
    </row>
    <row r="153" ht="39.75" customHeight="1">
      <c r="A153" s="1">
        <v>152.0</v>
      </c>
      <c r="B153" s="2" t="s">
        <v>35</v>
      </c>
      <c r="C153" s="2"/>
      <c r="D153" s="40">
        <v>0.375</v>
      </c>
      <c r="E153" s="13"/>
      <c r="F153" s="44" t="s">
        <v>2315</v>
      </c>
      <c r="G153" s="43">
        <v>2.0</v>
      </c>
      <c r="H153" s="42"/>
      <c r="I153" s="42"/>
      <c r="J153" s="22"/>
      <c r="K153" s="42"/>
    </row>
    <row r="154" ht="39.75" customHeight="1">
      <c r="A154" s="1">
        <v>153.0</v>
      </c>
      <c r="B154" s="2" t="s">
        <v>36</v>
      </c>
      <c r="C154" s="2" t="s">
        <v>69</v>
      </c>
      <c r="D154" s="13"/>
      <c r="E154" s="13"/>
      <c r="F154" s="44" t="s">
        <v>2316</v>
      </c>
      <c r="G154" s="43">
        <v>1.0</v>
      </c>
      <c r="H154" s="42"/>
      <c r="I154" s="43">
        <v>1.0</v>
      </c>
      <c r="J154" s="22"/>
      <c r="K154" s="42"/>
    </row>
    <row r="155" ht="39.75" customHeight="1">
      <c r="A155" s="1">
        <v>154.0</v>
      </c>
      <c r="B155" s="2" t="s">
        <v>38</v>
      </c>
      <c r="C155" s="2" t="s">
        <v>44</v>
      </c>
      <c r="D155" s="13"/>
      <c r="E155" s="13"/>
      <c r="F155" s="45"/>
      <c r="G155" s="42"/>
      <c r="H155" s="42"/>
      <c r="I155" s="42"/>
      <c r="J155" s="22"/>
      <c r="K155" s="42"/>
    </row>
    <row r="156" ht="39.75" hidden="1" customHeight="1">
      <c r="A156" s="1">
        <v>155.0</v>
      </c>
      <c r="B156" s="2" t="s">
        <v>41</v>
      </c>
      <c r="C156" s="2" t="s">
        <v>13</v>
      </c>
      <c r="D156" s="13"/>
      <c r="E156" s="13"/>
      <c r="F156" s="45"/>
      <c r="G156" s="42"/>
      <c r="H156" s="42"/>
      <c r="I156" s="42"/>
      <c r="J156" s="22"/>
      <c r="K156" s="42"/>
    </row>
    <row r="157" ht="39.75" customHeight="1">
      <c r="A157" s="1">
        <v>156.0</v>
      </c>
      <c r="B157" s="2" t="s">
        <v>267</v>
      </c>
      <c r="C157" s="2" t="s">
        <v>272</v>
      </c>
      <c r="D157" s="13"/>
      <c r="E157" s="13"/>
      <c r="F157" s="44" t="s">
        <v>1186</v>
      </c>
      <c r="G157" s="43">
        <v>1.0</v>
      </c>
      <c r="H157" s="42"/>
      <c r="I157" s="43">
        <v>1.0</v>
      </c>
      <c r="J157" s="22"/>
      <c r="K157" s="42"/>
    </row>
    <row r="158" ht="39.75" customHeight="1">
      <c r="A158" s="1">
        <v>157.0</v>
      </c>
      <c r="B158" s="2" t="s">
        <v>43</v>
      </c>
      <c r="C158" s="2" t="s">
        <v>39</v>
      </c>
      <c r="D158" s="13"/>
      <c r="E158" s="13"/>
      <c r="F158" s="44" t="s">
        <v>2317</v>
      </c>
      <c r="G158" s="43">
        <v>1.0</v>
      </c>
      <c r="H158" s="42"/>
      <c r="I158" s="42"/>
      <c r="J158" s="22"/>
      <c r="K158" s="42"/>
    </row>
    <row r="159" ht="39.75" customHeight="1">
      <c r="A159" s="1">
        <v>158.0</v>
      </c>
      <c r="B159" s="2" t="s">
        <v>45</v>
      </c>
      <c r="C159" s="2" t="s">
        <v>69</v>
      </c>
      <c r="D159" s="53">
        <v>0.5</v>
      </c>
      <c r="E159" s="13"/>
      <c r="F159" s="44" t="s">
        <v>2318</v>
      </c>
      <c r="G159" s="43">
        <v>2.0</v>
      </c>
      <c r="H159" s="42"/>
      <c r="I159" s="42"/>
      <c r="J159" s="22"/>
      <c r="K159" s="42"/>
    </row>
    <row r="160" ht="39.75" hidden="1" customHeight="1">
      <c r="A160" s="1">
        <v>159.0</v>
      </c>
      <c r="B160" s="2" t="s">
        <v>46</v>
      </c>
      <c r="C160" s="2" t="s">
        <v>13</v>
      </c>
      <c r="D160" s="13"/>
      <c r="E160" s="13"/>
      <c r="F160" s="45"/>
      <c r="G160" s="42"/>
      <c r="H160" s="42"/>
      <c r="I160" s="42"/>
      <c r="J160" s="22"/>
      <c r="K160" s="42"/>
    </row>
    <row r="161" ht="39.75" customHeight="1">
      <c r="A161" s="1">
        <v>160.0</v>
      </c>
      <c r="B161" s="2" t="s">
        <v>47</v>
      </c>
      <c r="C161" s="2" t="s">
        <v>54</v>
      </c>
      <c r="D161" s="13"/>
      <c r="E161" s="13"/>
      <c r="F161" s="44" t="s">
        <v>2319</v>
      </c>
      <c r="G161" s="43">
        <v>2.0</v>
      </c>
      <c r="H161" s="42"/>
      <c r="I161" s="43">
        <v>1.0</v>
      </c>
      <c r="J161" s="22"/>
      <c r="K161" s="42"/>
    </row>
    <row r="162" ht="39.75" hidden="1" customHeight="1">
      <c r="A162" s="1">
        <v>161.0</v>
      </c>
      <c r="B162" s="2" t="s">
        <v>48</v>
      </c>
      <c r="C162" s="2" t="s">
        <v>13</v>
      </c>
      <c r="D162" s="13"/>
      <c r="E162" s="13"/>
      <c r="F162" s="45"/>
      <c r="G162" s="42"/>
      <c r="H162" s="42"/>
      <c r="I162" s="42"/>
      <c r="J162" s="22"/>
      <c r="K162" s="42"/>
    </row>
    <row r="163" ht="39.75" customHeight="1">
      <c r="A163" s="1">
        <v>162.0</v>
      </c>
      <c r="B163" s="21"/>
      <c r="C163" s="21"/>
      <c r="D163" s="21"/>
      <c r="E163" s="21"/>
      <c r="F163" s="46"/>
      <c r="G163" s="47"/>
      <c r="H163" s="47"/>
      <c r="I163" s="47"/>
      <c r="J163" s="48"/>
      <c r="K163" s="47"/>
      <c r="L163" s="49"/>
      <c r="M163" s="49"/>
      <c r="N163" s="49"/>
    </row>
    <row r="164" ht="39.75" hidden="1" customHeight="1">
      <c r="A164" s="1">
        <v>163.0</v>
      </c>
      <c r="B164" s="2" t="s">
        <v>12</v>
      </c>
      <c r="C164" s="2" t="s">
        <v>13</v>
      </c>
      <c r="D164" s="13"/>
      <c r="E164" s="13"/>
      <c r="F164" s="45"/>
      <c r="G164" s="42"/>
      <c r="H164" s="42"/>
      <c r="I164" s="42"/>
      <c r="J164" s="27" t="s">
        <v>2231</v>
      </c>
      <c r="K164" s="43"/>
      <c r="L164" s="15" t="s">
        <v>147</v>
      </c>
    </row>
    <row r="165" ht="39.75" hidden="1" customHeight="1">
      <c r="A165" s="1">
        <v>164.0</v>
      </c>
      <c r="B165" s="2" t="s">
        <v>16</v>
      </c>
      <c r="C165" s="2" t="s">
        <v>13</v>
      </c>
      <c r="D165" s="13"/>
      <c r="E165" s="13"/>
      <c r="F165" s="45"/>
      <c r="G165" s="42"/>
      <c r="H165" s="42"/>
      <c r="I165" s="42"/>
      <c r="J165" s="27" t="s">
        <v>147</v>
      </c>
      <c r="K165" s="43"/>
    </row>
    <row r="166" ht="39.75" hidden="1" customHeight="1">
      <c r="A166" s="1">
        <v>165.0</v>
      </c>
      <c r="B166" s="2" t="s">
        <v>17</v>
      </c>
      <c r="C166" s="2" t="s">
        <v>13</v>
      </c>
      <c r="D166" s="13"/>
      <c r="E166" s="13"/>
      <c r="F166" s="45"/>
      <c r="G166" s="42"/>
      <c r="H166" s="42"/>
      <c r="I166" s="42"/>
      <c r="J166" s="27" t="s">
        <v>149</v>
      </c>
      <c r="K166" s="43"/>
    </row>
    <row r="167" ht="39.75" hidden="1" customHeight="1">
      <c r="A167" s="1">
        <v>166.0</v>
      </c>
      <c r="B167" s="2" t="s">
        <v>331</v>
      </c>
      <c r="C167" s="2" t="s">
        <v>13</v>
      </c>
      <c r="D167" s="13"/>
      <c r="E167" s="13"/>
      <c r="F167" s="44"/>
      <c r="G167" s="42"/>
      <c r="H167" s="42"/>
      <c r="I167" s="42"/>
      <c r="J167" s="27" t="s">
        <v>165</v>
      </c>
      <c r="K167" s="43"/>
    </row>
    <row r="168" ht="39.75" hidden="1" customHeight="1">
      <c r="A168" s="1">
        <v>167.0</v>
      </c>
      <c r="B168" s="2" t="s">
        <v>21</v>
      </c>
      <c r="C168" s="2" t="s">
        <v>13</v>
      </c>
      <c r="D168" s="13"/>
      <c r="E168" s="13"/>
      <c r="F168" s="45"/>
      <c r="G168" s="42"/>
      <c r="H168" s="42"/>
      <c r="I168" s="42"/>
      <c r="J168" s="27" t="s">
        <v>166</v>
      </c>
      <c r="K168" s="43"/>
    </row>
    <row r="169" ht="39.75" customHeight="1">
      <c r="A169" s="1">
        <v>168.0</v>
      </c>
      <c r="B169" s="2" t="s">
        <v>22</v>
      </c>
      <c r="C169" s="2" t="s">
        <v>44</v>
      </c>
      <c r="D169" s="13"/>
      <c r="E169" s="13"/>
      <c r="F169" s="45"/>
      <c r="G169" s="42"/>
      <c r="H169" s="42"/>
      <c r="I169" s="42"/>
      <c r="J169" s="27" t="s">
        <v>167</v>
      </c>
      <c r="K169" s="43"/>
    </row>
    <row r="170" ht="39.75" customHeight="1">
      <c r="A170" s="1">
        <v>169.0</v>
      </c>
      <c r="B170" s="2" t="s">
        <v>23</v>
      </c>
      <c r="C170" s="2" t="s">
        <v>27</v>
      </c>
      <c r="D170" s="13"/>
      <c r="E170" s="13"/>
      <c r="F170" s="45"/>
      <c r="G170" s="42"/>
      <c r="H170" s="42"/>
      <c r="I170" s="42"/>
      <c r="J170" s="22"/>
      <c r="K170" s="42"/>
    </row>
    <row r="171" ht="39.75" customHeight="1">
      <c r="A171" s="1">
        <v>170.0</v>
      </c>
      <c r="B171" s="2" t="s">
        <v>24</v>
      </c>
      <c r="C171" s="2" t="s">
        <v>63</v>
      </c>
      <c r="D171" s="13"/>
      <c r="E171" s="13"/>
      <c r="F171" s="44" t="s">
        <v>2311</v>
      </c>
      <c r="G171" s="43">
        <v>1.0</v>
      </c>
      <c r="H171" s="42"/>
      <c r="I171" s="42"/>
      <c r="J171" s="22"/>
      <c r="K171" s="42"/>
    </row>
    <row r="172" ht="39.75" hidden="1" customHeight="1">
      <c r="A172" s="1">
        <v>171.0</v>
      </c>
      <c r="B172" s="2" t="s">
        <v>25</v>
      </c>
      <c r="C172" s="2" t="s">
        <v>13</v>
      </c>
      <c r="D172" s="13"/>
      <c r="E172" s="13"/>
      <c r="F172" s="45"/>
      <c r="G172" s="42"/>
      <c r="H172" s="42"/>
      <c r="I172" s="42"/>
      <c r="J172" s="22"/>
      <c r="K172" s="42"/>
    </row>
    <row r="173" ht="39.75" hidden="1" customHeight="1">
      <c r="A173" s="1">
        <v>172.0</v>
      </c>
      <c r="B173" s="2" t="s">
        <v>26</v>
      </c>
      <c r="C173" s="2" t="s">
        <v>13</v>
      </c>
      <c r="D173" s="13"/>
      <c r="E173" s="13"/>
      <c r="F173" s="45"/>
      <c r="G173" s="42"/>
      <c r="H173" s="42"/>
      <c r="I173" s="42"/>
      <c r="J173" s="22"/>
      <c r="K173" s="42"/>
    </row>
    <row r="174" ht="39.75" hidden="1" customHeight="1">
      <c r="A174" s="1">
        <v>173.0</v>
      </c>
      <c r="B174" s="2" t="s">
        <v>29</v>
      </c>
      <c r="C174" s="2" t="s">
        <v>13</v>
      </c>
      <c r="D174" s="13"/>
      <c r="E174" s="13"/>
      <c r="F174" s="45"/>
      <c r="G174" s="42"/>
      <c r="H174" s="42"/>
      <c r="I174" s="42"/>
      <c r="J174" s="22"/>
      <c r="K174" s="42"/>
    </row>
    <row r="175" ht="39.75" hidden="1" customHeight="1">
      <c r="A175" s="1">
        <v>174.0</v>
      </c>
      <c r="B175" s="2" t="s">
        <v>30</v>
      </c>
      <c r="C175" s="2" t="s">
        <v>13</v>
      </c>
      <c r="D175" s="13"/>
      <c r="E175" s="13"/>
      <c r="F175" s="45"/>
      <c r="G175" s="42"/>
      <c r="H175" s="42"/>
      <c r="I175" s="42"/>
      <c r="J175" s="22"/>
      <c r="K175" s="42"/>
    </row>
    <row r="176" ht="39.75" customHeight="1">
      <c r="A176" s="1">
        <v>175.0</v>
      </c>
      <c r="B176" s="2" t="s">
        <v>31</v>
      </c>
      <c r="C176" s="2" t="s">
        <v>39</v>
      </c>
      <c r="D176" s="13"/>
      <c r="E176" s="13"/>
      <c r="F176" s="44" t="s">
        <v>926</v>
      </c>
      <c r="G176" s="43">
        <v>1.0</v>
      </c>
      <c r="H176" s="42"/>
      <c r="I176" s="43">
        <v>1.0</v>
      </c>
      <c r="J176" s="22"/>
      <c r="K176" s="42"/>
    </row>
    <row r="177" ht="39.75" hidden="1" customHeight="1">
      <c r="A177" s="1">
        <v>176.0</v>
      </c>
      <c r="B177" s="2" t="s">
        <v>32</v>
      </c>
      <c r="C177" s="2" t="s">
        <v>13</v>
      </c>
      <c r="D177" s="13"/>
      <c r="E177" s="13"/>
      <c r="F177" s="45"/>
      <c r="G177" s="42"/>
      <c r="H177" s="42"/>
      <c r="I177" s="42"/>
      <c r="J177" s="22"/>
      <c r="K177" s="42"/>
    </row>
    <row r="178" ht="39.75" hidden="1" customHeight="1">
      <c r="A178" s="1">
        <v>177.0</v>
      </c>
      <c r="B178" s="2" t="s">
        <v>67</v>
      </c>
      <c r="C178" s="2" t="s">
        <v>13</v>
      </c>
      <c r="D178" s="13"/>
      <c r="E178" s="13"/>
      <c r="F178" s="45"/>
      <c r="G178" s="42"/>
      <c r="H178" s="42"/>
      <c r="I178" s="42"/>
      <c r="J178" s="22"/>
      <c r="K178" s="42"/>
    </row>
    <row r="179" ht="39.75" hidden="1" customHeight="1">
      <c r="A179" s="1">
        <v>178.0</v>
      </c>
      <c r="B179" s="2" t="s">
        <v>34</v>
      </c>
      <c r="C179" s="2" t="s">
        <v>13</v>
      </c>
      <c r="D179" s="13"/>
      <c r="E179" s="13"/>
      <c r="F179" s="45"/>
      <c r="G179" s="42"/>
      <c r="H179" s="42"/>
      <c r="I179" s="42"/>
      <c r="J179" s="22"/>
      <c r="K179" s="42"/>
    </row>
    <row r="180" ht="39.75" hidden="1" customHeight="1">
      <c r="A180" s="1">
        <v>179.0</v>
      </c>
      <c r="B180" s="2" t="s">
        <v>35</v>
      </c>
      <c r="C180" s="2" t="s">
        <v>13</v>
      </c>
      <c r="D180" s="13"/>
      <c r="E180" s="13"/>
      <c r="F180" s="45"/>
      <c r="G180" s="42"/>
      <c r="H180" s="42"/>
      <c r="I180" s="42"/>
      <c r="J180" s="22"/>
      <c r="K180" s="42"/>
    </row>
    <row r="181" ht="39.75" customHeight="1">
      <c r="A181" s="1">
        <v>180.0</v>
      </c>
      <c r="B181" s="2" t="s">
        <v>36</v>
      </c>
      <c r="C181" s="13"/>
      <c r="D181" s="40">
        <v>0.375</v>
      </c>
      <c r="E181" s="13"/>
      <c r="F181" s="45"/>
      <c r="G181" s="42"/>
      <c r="H181" s="42"/>
      <c r="I181" s="42"/>
      <c r="J181" s="22"/>
      <c r="K181" s="42"/>
    </row>
    <row r="182" ht="39.75" customHeight="1">
      <c r="A182" s="1">
        <v>181.0</v>
      </c>
      <c r="B182" s="2" t="s">
        <v>267</v>
      </c>
      <c r="C182" s="2" t="s">
        <v>272</v>
      </c>
      <c r="D182" s="13"/>
      <c r="E182" s="13"/>
      <c r="F182" s="44" t="s">
        <v>1186</v>
      </c>
      <c r="G182" s="43">
        <v>1.0</v>
      </c>
      <c r="H182" s="42"/>
      <c r="I182" s="43">
        <v>1.0</v>
      </c>
      <c r="J182" s="22"/>
      <c r="K182" s="42"/>
    </row>
    <row r="183" ht="39.75" hidden="1" customHeight="1">
      <c r="A183" s="1">
        <v>182.0</v>
      </c>
      <c r="B183" s="2" t="s">
        <v>41</v>
      </c>
      <c r="C183" s="2" t="s">
        <v>13</v>
      </c>
      <c r="D183" s="13"/>
      <c r="E183" s="13"/>
      <c r="F183" s="45"/>
      <c r="G183" s="42"/>
      <c r="H183" s="42"/>
      <c r="I183" s="42"/>
      <c r="J183" s="22"/>
      <c r="K183" s="42"/>
    </row>
    <row r="184" ht="39.75" hidden="1" customHeight="1">
      <c r="A184" s="1">
        <v>183.0</v>
      </c>
      <c r="B184" s="2" t="s">
        <v>42</v>
      </c>
      <c r="C184" s="2" t="s">
        <v>13</v>
      </c>
      <c r="D184" s="13"/>
      <c r="E184" s="13"/>
      <c r="F184" s="45"/>
      <c r="G184" s="42"/>
      <c r="H184" s="42"/>
      <c r="I184" s="42"/>
      <c r="J184" s="22"/>
      <c r="K184" s="42"/>
    </row>
    <row r="185" ht="39.75" customHeight="1">
      <c r="A185" s="1">
        <v>184.0</v>
      </c>
      <c r="B185" s="2" t="s">
        <v>43</v>
      </c>
      <c r="C185" s="2"/>
      <c r="D185" s="40">
        <v>0.375</v>
      </c>
      <c r="E185" s="13"/>
      <c r="F185" s="45"/>
      <c r="G185" s="42"/>
      <c r="H185" s="42"/>
      <c r="I185" s="42"/>
      <c r="J185" s="22"/>
      <c r="K185" s="42"/>
    </row>
    <row r="186" ht="39.75" customHeight="1">
      <c r="A186" s="1">
        <v>185.0</v>
      </c>
      <c r="B186" s="2" t="s">
        <v>45</v>
      </c>
      <c r="C186" s="2" t="s">
        <v>49</v>
      </c>
      <c r="D186" s="13"/>
      <c r="E186" s="13"/>
      <c r="F186" s="45"/>
      <c r="G186" s="42"/>
      <c r="H186" s="42"/>
      <c r="I186" s="42"/>
      <c r="J186" s="22"/>
      <c r="K186" s="42"/>
    </row>
    <row r="187" ht="39.75" hidden="1" customHeight="1">
      <c r="A187" s="1">
        <v>186.0</v>
      </c>
      <c r="B187" s="2" t="s">
        <v>46</v>
      </c>
      <c r="C187" s="2" t="s">
        <v>13</v>
      </c>
      <c r="D187" s="13"/>
      <c r="E187" s="13"/>
      <c r="F187" s="45"/>
      <c r="G187" s="42"/>
      <c r="H187" s="42"/>
      <c r="I187" s="42"/>
      <c r="J187" s="22"/>
      <c r="K187" s="42"/>
    </row>
    <row r="188" ht="39.75" hidden="1" customHeight="1">
      <c r="A188" s="1">
        <v>187.0</v>
      </c>
      <c r="B188" s="2" t="s">
        <v>47</v>
      </c>
      <c r="C188" s="2" t="s">
        <v>13</v>
      </c>
      <c r="D188" s="13"/>
      <c r="E188" s="13"/>
      <c r="F188" s="45"/>
      <c r="G188" s="42"/>
      <c r="H188" s="42"/>
      <c r="I188" s="42"/>
      <c r="J188" s="22"/>
      <c r="K188" s="42"/>
    </row>
    <row r="189" ht="39.75" hidden="1" customHeight="1">
      <c r="A189" s="1">
        <v>188.0</v>
      </c>
      <c r="B189" s="2" t="s">
        <v>48</v>
      </c>
      <c r="C189" s="2" t="s">
        <v>13</v>
      </c>
      <c r="D189" s="13"/>
      <c r="E189" s="13"/>
      <c r="F189" s="45"/>
      <c r="G189" s="42"/>
      <c r="H189" s="42"/>
      <c r="I189" s="42"/>
      <c r="J189" s="22"/>
      <c r="K189" s="42"/>
    </row>
    <row r="190" ht="39.75" customHeight="1">
      <c r="A190" s="1">
        <v>189.0</v>
      </c>
      <c r="B190" s="21"/>
      <c r="C190" s="21"/>
      <c r="D190" s="21"/>
      <c r="E190" s="21"/>
      <c r="F190" s="46"/>
      <c r="G190" s="47"/>
      <c r="H190" s="47"/>
      <c r="I190" s="47"/>
      <c r="J190" s="48"/>
      <c r="K190" s="47"/>
      <c r="L190" s="49"/>
      <c r="M190" s="49"/>
      <c r="N190" s="49"/>
    </row>
    <row r="191" ht="39.75" customHeight="1">
      <c r="A191" s="1">
        <v>190.0</v>
      </c>
      <c r="B191" s="2" t="s">
        <v>12</v>
      </c>
      <c r="C191" s="2" t="s">
        <v>39</v>
      </c>
      <c r="D191" s="13"/>
      <c r="E191" s="13"/>
      <c r="F191" s="44" t="s">
        <v>2320</v>
      </c>
      <c r="G191" s="43">
        <v>1.0</v>
      </c>
      <c r="H191" s="42"/>
      <c r="I191" s="42"/>
      <c r="J191" s="27" t="s">
        <v>2231</v>
      </c>
      <c r="K191" s="42"/>
      <c r="L191" s="15" t="s">
        <v>163</v>
      </c>
    </row>
    <row r="192" ht="39.75" hidden="1" customHeight="1">
      <c r="A192" s="1">
        <v>191.0</v>
      </c>
      <c r="B192" s="2" t="s">
        <v>16</v>
      </c>
      <c r="C192" s="2" t="s">
        <v>13</v>
      </c>
      <c r="D192" s="13"/>
      <c r="E192" s="13"/>
      <c r="F192" s="45"/>
      <c r="G192" s="42"/>
      <c r="H192" s="42"/>
      <c r="I192" s="42"/>
      <c r="J192" s="27" t="s">
        <v>163</v>
      </c>
      <c r="K192" s="43"/>
    </row>
    <row r="193" ht="39.75" hidden="1" customHeight="1">
      <c r="A193" s="1">
        <v>192.0</v>
      </c>
      <c r="B193" s="2" t="s">
        <v>17</v>
      </c>
      <c r="C193" s="2" t="s">
        <v>13</v>
      </c>
      <c r="D193" s="13"/>
      <c r="E193" s="13"/>
      <c r="F193" s="45"/>
      <c r="G193" s="42"/>
      <c r="H193" s="42"/>
      <c r="I193" s="42"/>
      <c r="J193" s="27" t="s">
        <v>19</v>
      </c>
      <c r="K193" s="42"/>
    </row>
    <row r="194" ht="39.75" hidden="1" customHeight="1">
      <c r="A194" s="1">
        <v>193.0</v>
      </c>
      <c r="B194" s="2" t="s">
        <v>331</v>
      </c>
      <c r="C194" s="2" t="s">
        <v>13</v>
      </c>
      <c r="D194" s="13"/>
      <c r="E194" s="13"/>
      <c r="F194" s="44"/>
      <c r="G194" s="42"/>
      <c r="H194" s="42"/>
      <c r="I194" s="42"/>
      <c r="J194" s="27" t="s">
        <v>262</v>
      </c>
      <c r="K194" s="42"/>
    </row>
    <row r="195" ht="39.75" hidden="1" customHeight="1">
      <c r="A195" s="1">
        <v>194.0</v>
      </c>
      <c r="B195" s="2" t="s">
        <v>21</v>
      </c>
      <c r="C195" s="2" t="s">
        <v>13</v>
      </c>
      <c r="D195" s="13"/>
      <c r="E195" s="13"/>
      <c r="F195" s="45"/>
      <c r="G195" s="42"/>
      <c r="H195" s="42"/>
      <c r="I195" s="42"/>
      <c r="J195" s="27" t="s">
        <v>264</v>
      </c>
      <c r="K195" s="42"/>
    </row>
    <row r="196" ht="39.75" customHeight="1">
      <c r="A196" s="1">
        <v>195.0</v>
      </c>
      <c r="B196" s="2" t="s">
        <v>33</v>
      </c>
      <c r="C196" s="2" t="s">
        <v>272</v>
      </c>
      <c r="D196" s="13"/>
      <c r="E196" s="13"/>
      <c r="F196" s="44" t="s">
        <v>1268</v>
      </c>
      <c r="G196" s="43">
        <v>1.0</v>
      </c>
      <c r="H196" s="42"/>
      <c r="I196" s="43">
        <v>1.0</v>
      </c>
      <c r="J196" s="27" t="s">
        <v>265</v>
      </c>
      <c r="K196" s="42"/>
    </row>
    <row r="197" ht="39.75" customHeight="1">
      <c r="A197" s="1">
        <v>196.0</v>
      </c>
      <c r="B197" s="2" t="s">
        <v>23</v>
      </c>
      <c r="C197" s="2" t="s">
        <v>44</v>
      </c>
      <c r="D197" s="13"/>
      <c r="E197" s="13"/>
      <c r="F197" s="45"/>
      <c r="G197" s="42"/>
      <c r="H197" s="42"/>
      <c r="I197" s="42"/>
      <c r="J197" s="22"/>
      <c r="K197" s="42"/>
    </row>
    <row r="198" ht="39.75" customHeight="1">
      <c r="A198" s="1">
        <v>197.0</v>
      </c>
      <c r="B198" s="2" t="s">
        <v>24</v>
      </c>
      <c r="C198" s="2" t="s">
        <v>63</v>
      </c>
      <c r="D198" s="13"/>
      <c r="E198" s="13"/>
      <c r="F198" s="44" t="s">
        <v>2311</v>
      </c>
      <c r="G198" s="43">
        <v>1.0</v>
      </c>
      <c r="H198" s="42"/>
      <c r="I198" s="42"/>
      <c r="J198" s="22"/>
      <c r="K198" s="42"/>
    </row>
    <row r="199" ht="39.75" customHeight="1">
      <c r="A199" s="1">
        <v>198.0</v>
      </c>
      <c r="B199" s="2" t="s">
        <v>25</v>
      </c>
      <c r="C199" s="2" t="s">
        <v>49</v>
      </c>
      <c r="D199" s="40">
        <v>0.4583333333333333</v>
      </c>
      <c r="E199" s="13"/>
      <c r="F199" s="44" t="s">
        <v>2321</v>
      </c>
      <c r="G199" s="43">
        <v>1.0</v>
      </c>
      <c r="H199" s="42"/>
      <c r="I199" s="43">
        <v>1.0</v>
      </c>
      <c r="J199" s="22"/>
      <c r="K199" s="42"/>
    </row>
    <row r="200" ht="39.75" hidden="1" customHeight="1">
      <c r="A200" s="1">
        <v>199.0</v>
      </c>
      <c r="B200" s="2" t="s">
        <v>26</v>
      </c>
      <c r="C200" s="2" t="s">
        <v>13</v>
      </c>
      <c r="D200" s="13"/>
      <c r="E200" s="13"/>
      <c r="F200" s="45"/>
      <c r="G200" s="42"/>
      <c r="H200" s="42"/>
      <c r="I200" s="42"/>
      <c r="J200" s="22"/>
      <c r="K200" s="42"/>
    </row>
    <row r="201" ht="39.75" customHeight="1">
      <c r="A201" s="1">
        <v>200.0</v>
      </c>
      <c r="B201" s="2" t="s">
        <v>29</v>
      </c>
      <c r="C201" s="2"/>
      <c r="D201" s="40">
        <v>0.375</v>
      </c>
      <c r="E201" s="13"/>
      <c r="F201" s="45"/>
      <c r="G201" s="42"/>
      <c r="H201" s="42"/>
      <c r="I201" s="42"/>
      <c r="J201" s="22"/>
      <c r="K201" s="42"/>
    </row>
    <row r="202" ht="39.75" hidden="1" customHeight="1">
      <c r="A202" s="1">
        <v>201.0</v>
      </c>
      <c r="B202" s="2" t="s">
        <v>30</v>
      </c>
      <c r="C202" s="2" t="s">
        <v>13</v>
      </c>
      <c r="D202" s="13"/>
      <c r="E202" s="13"/>
      <c r="F202" s="45"/>
      <c r="G202" s="42"/>
      <c r="H202" s="42"/>
      <c r="I202" s="42"/>
      <c r="J202" s="22"/>
      <c r="K202" s="42"/>
    </row>
    <row r="203" ht="39.75" hidden="1" customHeight="1">
      <c r="A203" s="1">
        <v>202.0</v>
      </c>
      <c r="B203" s="2" t="s">
        <v>31</v>
      </c>
      <c r="C203" s="2" t="s">
        <v>13</v>
      </c>
      <c r="D203" s="13"/>
      <c r="E203" s="13"/>
      <c r="F203" s="45"/>
      <c r="G203" s="42"/>
      <c r="H203" s="42"/>
      <c r="I203" s="42"/>
      <c r="J203" s="22"/>
      <c r="K203" s="42"/>
    </row>
    <row r="204" ht="39.75" hidden="1" customHeight="1">
      <c r="A204" s="1">
        <v>203.0</v>
      </c>
      <c r="B204" s="2" t="s">
        <v>32</v>
      </c>
      <c r="C204" s="2" t="s">
        <v>13</v>
      </c>
      <c r="D204" s="13"/>
      <c r="E204" s="13"/>
      <c r="F204" s="45"/>
      <c r="G204" s="42"/>
      <c r="H204" s="42"/>
      <c r="I204" s="42"/>
      <c r="J204" s="22"/>
      <c r="K204" s="42"/>
    </row>
    <row r="205" ht="39.75" hidden="1" customHeight="1">
      <c r="A205" s="1">
        <v>204.0</v>
      </c>
      <c r="B205" s="2" t="s">
        <v>67</v>
      </c>
      <c r="C205" s="2" t="s">
        <v>13</v>
      </c>
      <c r="D205" s="13"/>
      <c r="E205" s="13"/>
      <c r="F205" s="45"/>
      <c r="G205" s="42"/>
      <c r="H205" s="42"/>
      <c r="I205" s="42"/>
      <c r="J205" s="22"/>
      <c r="K205" s="42"/>
    </row>
    <row r="206" ht="39.75" customHeight="1">
      <c r="A206" s="1">
        <v>205.0</v>
      </c>
      <c r="B206" s="2" t="s">
        <v>34</v>
      </c>
      <c r="C206" s="2" t="s">
        <v>27</v>
      </c>
      <c r="D206" s="13"/>
      <c r="E206" s="13"/>
      <c r="F206" s="45"/>
      <c r="G206" s="42"/>
      <c r="H206" s="42"/>
      <c r="I206" s="42"/>
      <c r="J206" s="22"/>
      <c r="K206" s="42"/>
    </row>
    <row r="207" ht="39.75" hidden="1" customHeight="1">
      <c r="A207" s="1">
        <v>206.0</v>
      </c>
      <c r="B207" s="2" t="s">
        <v>35</v>
      </c>
      <c r="C207" s="2" t="s">
        <v>13</v>
      </c>
      <c r="D207" s="13"/>
      <c r="E207" s="13"/>
      <c r="F207" s="45"/>
      <c r="G207" s="42"/>
      <c r="H207" s="42"/>
      <c r="I207" s="42"/>
      <c r="J207" s="22"/>
      <c r="K207" s="42"/>
    </row>
    <row r="208" ht="39.75" hidden="1" customHeight="1">
      <c r="A208" s="1">
        <v>207.0</v>
      </c>
      <c r="B208" s="2" t="s">
        <v>36</v>
      </c>
      <c r="C208" s="2" t="s">
        <v>13</v>
      </c>
      <c r="D208" s="13"/>
      <c r="E208" s="13"/>
      <c r="F208" s="45"/>
      <c r="G208" s="42"/>
      <c r="H208" s="42"/>
      <c r="I208" s="42"/>
      <c r="J208" s="22"/>
      <c r="K208" s="42"/>
    </row>
    <row r="209" ht="39.75" customHeight="1">
      <c r="A209" s="1">
        <v>208.0</v>
      </c>
      <c r="B209" s="2" t="s">
        <v>38</v>
      </c>
      <c r="C209" s="2"/>
      <c r="D209" s="40">
        <v>0.375</v>
      </c>
      <c r="E209" s="13"/>
      <c r="F209" s="44" t="s">
        <v>2322</v>
      </c>
      <c r="G209" s="43">
        <v>1.0</v>
      </c>
      <c r="H209" s="42"/>
      <c r="I209" s="43">
        <v>1.0</v>
      </c>
      <c r="J209" s="22"/>
      <c r="K209" s="42"/>
    </row>
    <row r="210" ht="39.75" hidden="1" customHeight="1">
      <c r="A210" s="1">
        <v>209.0</v>
      </c>
      <c r="B210" s="2" t="s">
        <v>41</v>
      </c>
      <c r="C210" s="2" t="s">
        <v>13</v>
      </c>
      <c r="D210" s="13"/>
      <c r="E210" s="13"/>
      <c r="F210" s="45"/>
      <c r="G210" s="42"/>
      <c r="H210" s="42"/>
      <c r="I210" s="42"/>
      <c r="J210" s="22"/>
      <c r="K210" s="42"/>
    </row>
    <row r="211" ht="39.75" hidden="1" customHeight="1">
      <c r="A211" s="1">
        <v>210.0</v>
      </c>
      <c r="B211" s="2" t="s">
        <v>42</v>
      </c>
      <c r="C211" s="2" t="s">
        <v>13</v>
      </c>
      <c r="D211" s="13"/>
      <c r="E211" s="13"/>
      <c r="F211" s="45"/>
      <c r="G211" s="42"/>
      <c r="H211" s="42"/>
      <c r="I211" s="42"/>
      <c r="J211" s="22"/>
      <c r="K211" s="42"/>
    </row>
    <row r="212" ht="39.75" hidden="1" customHeight="1">
      <c r="A212" s="1">
        <v>211.0</v>
      </c>
      <c r="B212" s="2" t="s">
        <v>43</v>
      </c>
      <c r="C212" s="2" t="s">
        <v>13</v>
      </c>
      <c r="D212" s="13"/>
      <c r="E212" s="13"/>
      <c r="F212" s="45"/>
      <c r="G212" s="42"/>
      <c r="H212" s="42"/>
      <c r="I212" s="42"/>
      <c r="J212" s="22"/>
      <c r="K212" s="42"/>
    </row>
    <row r="213" ht="39.75" hidden="1" customHeight="1">
      <c r="A213" s="1">
        <v>212.0</v>
      </c>
      <c r="B213" s="2" t="s">
        <v>45</v>
      </c>
      <c r="C213" s="2" t="s">
        <v>13</v>
      </c>
      <c r="D213" s="13"/>
      <c r="E213" s="13"/>
      <c r="F213" s="45"/>
      <c r="G213" s="42"/>
      <c r="H213" s="42"/>
      <c r="I213" s="42"/>
      <c r="J213" s="22"/>
      <c r="K213" s="42"/>
    </row>
    <row r="214" ht="39.75" hidden="1" customHeight="1">
      <c r="A214" s="1">
        <v>213.0</v>
      </c>
      <c r="B214" s="2" t="s">
        <v>46</v>
      </c>
      <c r="C214" s="2" t="s">
        <v>13</v>
      </c>
      <c r="D214" s="13"/>
      <c r="E214" s="13"/>
      <c r="F214" s="45"/>
      <c r="G214" s="42"/>
      <c r="H214" s="42"/>
      <c r="I214" s="42"/>
      <c r="J214" s="22"/>
      <c r="K214" s="42"/>
    </row>
    <row r="215" ht="39.75" hidden="1" customHeight="1">
      <c r="A215" s="1">
        <v>214.0</v>
      </c>
      <c r="B215" s="2" t="s">
        <v>47</v>
      </c>
      <c r="C215" s="2" t="s">
        <v>13</v>
      </c>
      <c r="D215" s="13"/>
      <c r="E215" s="13"/>
      <c r="F215" s="45"/>
      <c r="G215" s="42"/>
      <c r="H215" s="42"/>
      <c r="I215" s="42"/>
      <c r="J215" s="22"/>
      <c r="K215" s="42"/>
    </row>
    <row r="216" ht="39.75" hidden="1" customHeight="1">
      <c r="A216" s="1">
        <v>215.0</v>
      </c>
      <c r="B216" s="2" t="s">
        <v>48</v>
      </c>
      <c r="C216" s="2" t="s">
        <v>13</v>
      </c>
      <c r="D216" s="13"/>
      <c r="E216" s="13"/>
      <c r="F216" s="45"/>
      <c r="G216" s="42"/>
      <c r="H216" s="42"/>
      <c r="I216" s="42"/>
      <c r="J216" s="22"/>
      <c r="K216" s="42"/>
    </row>
    <row r="217" ht="39.75" customHeight="1">
      <c r="A217" s="1">
        <v>216.0</v>
      </c>
      <c r="B217" s="21"/>
      <c r="C217" s="21"/>
      <c r="D217" s="21"/>
      <c r="E217" s="21"/>
      <c r="F217" s="46"/>
      <c r="G217" s="47"/>
      <c r="H217" s="47"/>
      <c r="I217" s="47"/>
      <c r="J217" s="48"/>
      <c r="K217" s="47"/>
      <c r="L217" s="49"/>
      <c r="M217" s="49"/>
      <c r="N217" s="49"/>
    </row>
    <row r="218" ht="39.75" hidden="1" customHeight="1">
      <c r="A218" s="1">
        <v>217.0</v>
      </c>
      <c r="B218" s="2" t="s">
        <v>12</v>
      </c>
      <c r="C218" s="2" t="s">
        <v>58</v>
      </c>
      <c r="D218" s="13"/>
      <c r="E218" s="13"/>
      <c r="F218" s="45"/>
      <c r="G218" s="42"/>
      <c r="H218" s="42"/>
      <c r="I218" s="42"/>
      <c r="J218" s="27" t="s">
        <v>2231</v>
      </c>
      <c r="K218" s="42"/>
      <c r="L218" s="15" t="s">
        <v>175</v>
      </c>
    </row>
    <row r="219" ht="63.0" customHeight="1">
      <c r="A219" s="1">
        <v>218.0</v>
      </c>
      <c r="B219" s="2" t="s">
        <v>16</v>
      </c>
      <c r="C219" s="2" t="s">
        <v>39</v>
      </c>
      <c r="D219" s="13"/>
      <c r="E219" s="13"/>
      <c r="F219" s="44" t="s">
        <v>2323</v>
      </c>
      <c r="G219" s="43">
        <v>1.0</v>
      </c>
      <c r="H219" s="42"/>
      <c r="I219" s="43">
        <v>1.0</v>
      </c>
      <c r="J219" s="27" t="s">
        <v>175</v>
      </c>
      <c r="K219" s="43"/>
    </row>
    <row r="220" ht="39.75" hidden="1" customHeight="1">
      <c r="A220" s="1">
        <v>219.0</v>
      </c>
      <c r="B220" s="2" t="s">
        <v>17</v>
      </c>
      <c r="C220" s="2" t="s">
        <v>58</v>
      </c>
      <c r="D220" s="13"/>
      <c r="E220" s="13"/>
      <c r="F220" s="45"/>
      <c r="G220" s="42"/>
      <c r="H220" s="42"/>
      <c r="I220" s="42"/>
      <c r="J220" s="27" t="s">
        <v>56</v>
      </c>
      <c r="K220" s="42"/>
    </row>
    <row r="221" ht="39.75" customHeight="1">
      <c r="A221" s="1">
        <v>220.0</v>
      </c>
      <c r="B221" s="2" t="s">
        <v>331</v>
      </c>
      <c r="C221" s="2" t="s">
        <v>542</v>
      </c>
      <c r="D221" s="13"/>
      <c r="E221" s="13"/>
      <c r="F221" s="44"/>
      <c r="G221" s="42"/>
      <c r="H221" s="42"/>
      <c r="I221" s="42"/>
      <c r="J221" s="22"/>
      <c r="K221" s="42"/>
    </row>
    <row r="222" ht="39.75" customHeight="1">
      <c r="A222" s="1">
        <v>221.0</v>
      </c>
      <c r="B222" s="2" t="s">
        <v>21</v>
      </c>
      <c r="C222" s="2" t="s">
        <v>63</v>
      </c>
      <c r="D222" s="13"/>
      <c r="E222" s="13"/>
      <c r="F222" s="45"/>
      <c r="G222" s="42"/>
      <c r="H222" s="42"/>
      <c r="I222" s="42"/>
      <c r="J222" s="22"/>
      <c r="K222" s="42"/>
    </row>
    <row r="223" ht="39.75" customHeight="1">
      <c r="A223" s="1">
        <v>222.0</v>
      </c>
      <c r="B223" s="2" t="s">
        <v>22</v>
      </c>
      <c r="C223" s="2" t="s">
        <v>54</v>
      </c>
      <c r="D223" s="13"/>
      <c r="E223" s="13"/>
      <c r="F223" s="44" t="s">
        <v>2324</v>
      </c>
      <c r="G223" s="43">
        <v>1.0</v>
      </c>
      <c r="H223" s="42"/>
      <c r="I223" s="42"/>
      <c r="J223" s="22"/>
      <c r="K223" s="42"/>
    </row>
    <row r="224" ht="39.75" customHeight="1">
      <c r="A224" s="1">
        <v>223.0</v>
      </c>
      <c r="B224" s="2" t="s">
        <v>23</v>
      </c>
      <c r="C224" s="2"/>
      <c r="D224" s="13"/>
      <c r="E224" s="13"/>
      <c r="F224" s="45"/>
      <c r="G224" s="42"/>
      <c r="H224" s="42"/>
      <c r="I224" s="42"/>
      <c r="J224" s="22"/>
      <c r="K224" s="42"/>
    </row>
    <row r="225" ht="39.75" customHeight="1">
      <c r="A225" s="1">
        <v>224.0</v>
      </c>
      <c r="B225" s="2" t="s">
        <v>24</v>
      </c>
      <c r="C225" s="2"/>
      <c r="D225" s="13"/>
      <c r="E225" s="13"/>
      <c r="F225" s="44" t="s">
        <v>2325</v>
      </c>
      <c r="G225" s="43">
        <v>1.0</v>
      </c>
      <c r="H225" s="42"/>
      <c r="I225" s="42"/>
      <c r="J225" s="22"/>
      <c r="K225" s="42"/>
    </row>
    <row r="226" ht="39.75" customHeight="1">
      <c r="A226" s="1">
        <v>225.0</v>
      </c>
      <c r="B226" s="2" t="s">
        <v>25</v>
      </c>
      <c r="C226" s="2" t="s">
        <v>69</v>
      </c>
      <c r="D226" s="13"/>
      <c r="E226" s="40">
        <v>0.8611111111111112</v>
      </c>
      <c r="F226" s="44" t="s">
        <v>2326</v>
      </c>
      <c r="G226" s="43">
        <v>1.0</v>
      </c>
      <c r="H226" s="42"/>
      <c r="I226" s="43">
        <v>1.0</v>
      </c>
      <c r="J226" s="22"/>
      <c r="K226" s="42"/>
    </row>
    <row r="227" ht="39.75" customHeight="1">
      <c r="A227" s="1">
        <v>226.0</v>
      </c>
      <c r="B227" s="2" t="s">
        <v>26</v>
      </c>
      <c r="C227" s="2" t="s">
        <v>39</v>
      </c>
      <c r="D227" s="13"/>
      <c r="E227" s="13"/>
      <c r="F227" s="44" t="s">
        <v>2327</v>
      </c>
      <c r="G227" s="43">
        <v>2.0</v>
      </c>
      <c r="H227" s="42"/>
      <c r="I227" s="43"/>
      <c r="J227" s="22"/>
      <c r="K227" s="42"/>
    </row>
    <row r="228" ht="39.75" customHeight="1">
      <c r="A228" s="1">
        <v>227.0</v>
      </c>
      <c r="B228" s="2" t="s">
        <v>29</v>
      </c>
      <c r="C228" s="2"/>
      <c r="D228" s="13"/>
      <c r="E228" s="13"/>
      <c r="F228" s="44" t="s">
        <v>2328</v>
      </c>
      <c r="G228" s="43">
        <v>1.0</v>
      </c>
      <c r="H228" s="42"/>
      <c r="I228" s="42"/>
      <c r="J228" s="22"/>
      <c r="K228" s="42"/>
    </row>
    <row r="229" ht="39.75" customHeight="1">
      <c r="A229" s="1">
        <v>228.0</v>
      </c>
      <c r="B229" s="2" t="s">
        <v>30</v>
      </c>
      <c r="C229" s="2" t="s">
        <v>64</v>
      </c>
      <c r="D229" s="13"/>
      <c r="E229" s="13"/>
      <c r="F229" s="44" t="s">
        <v>2034</v>
      </c>
      <c r="G229" s="43">
        <v>1.0</v>
      </c>
      <c r="H229" s="42"/>
      <c r="I229" s="43">
        <v>1.0</v>
      </c>
      <c r="J229" s="22"/>
      <c r="K229" s="42"/>
    </row>
    <row r="230" ht="39.75" customHeight="1">
      <c r="A230" s="1">
        <v>229.0</v>
      </c>
      <c r="B230" s="2" t="s">
        <v>31</v>
      </c>
      <c r="C230" s="2" t="s">
        <v>69</v>
      </c>
      <c r="D230" s="13"/>
      <c r="E230" s="13"/>
      <c r="F230" s="44" t="s">
        <v>2329</v>
      </c>
      <c r="G230" s="43">
        <v>1.0</v>
      </c>
      <c r="H230" s="42"/>
      <c r="I230" s="42"/>
      <c r="J230" s="22"/>
      <c r="K230" s="42"/>
    </row>
    <row r="231" ht="39.75" customHeight="1">
      <c r="A231" s="1">
        <v>230.0</v>
      </c>
      <c r="B231" s="2" t="s">
        <v>32</v>
      </c>
      <c r="C231" s="2" t="s">
        <v>54</v>
      </c>
      <c r="D231" s="13"/>
      <c r="E231" s="13"/>
      <c r="F231" s="45"/>
      <c r="G231" s="42"/>
      <c r="H231" s="42"/>
      <c r="I231" s="42"/>
      <c r="J231" s="22"/>
      <c r="K231" s="42"/>
    </row>
    <row r="232" ht="39.75" hidden="1" customHeight="1">
      <c r="A232" s="1">
        <v>231.0</v>
      </c>
      <c r="B232" s="2" t="s">
        <v>67</v>
      </c>
      <c r="C232" s="2" t="s">
        <v>58</v>
      </c>
      <c r="D232" s="13"/>
      <c r="E232" s="13"/>
      <c r="F232" s="45"/>
      <c r="G232" s="42"/>
      <c r="H232" s="42"/>
      <c r="I232" s="42"/>
      <c r="J232" s="22"/>
      <c r="K232" s="42"/>
    </row>
    <row r="233" ht="39.75" customHeight="1">
      <c r="A233" s="1">
        <v>232.0</v>
      </c>
      <c r="B233" s="2" t="s">
        <v>34</v>
      </c>
      <c r="C233" s="2" t="s">
        <v>44</v>
      </c>
      <c r="D233" s="13"/>
      <c r="E233" s="13"/>
      <c r="F233" s="45"/>
      <c r="G233" s="42"/>
      <c r="H233" s="42"/>
      <c r="I233" s="42"/>
      <c r="J233" s="22"/>
      <c r="K233" s="42"/>
    </row>
    <row r="234" ht="39.75" hidden="1" customHeight="1">
      <c r="A234" s="1">
        <v>233.0</v>
      </c>
      <c r="B234" s="2" t="s">
        <v>35</v>
      </c>
      <c r="C234" s="2" t="s">
        <v>66</v>
      </c>
      <c r="D234" s="13"/>
      <c r="E234" s="13"/>
      <c r="F234" s="45"/>
      <c r="G234" s="42"/>
      <c r="H234" s="42"/>
      <c r="I234" s="42"/>
      <c r="J234" s="22"/>
      <c r="K234" s="42"/>
    </row>
    <row r="235" ht="39.75" customHeight="1">
      <c r="A235" s="1">
        <v>234.0</v>
      </c>
      <c r="B235" s="2" t="s">
        <v>36</v>
      </c>
      <c r="C235" s="2" t="s">
        <v>54</v>
      </c>
      <c r="D235" s="13"/>
      <c r="E235" s="13"/>
      <c r="F235" s="44" t="s">
        <v>2330</v>
      </c>
      <c r="G235" s="43">
        <v>1.0</v>
      </c>
      <c r="H235" s="42"/>
      <c r="I235" s="42"/>
      <c r="J235" s="22"/>
      <c r="K235" s="42"/>
    </row>
    <row r="236" ht="39.75" customHeight="1">
      <c r="A236" s="1">
        <v>235.0</v>
      </c>
      <c r="B236" s="2" t="s">
        <v>38</v>
      </c>
      <c r="C236" s="2" t="s">
        <v>54</v>
      </c>
      <c r="D236" s="13"/>
      <c r="E236" s="13"/>
      <c r="F236" s="44" t="s">
        <v>2331</v>
      </c>
      <c r="G236" s="43">
        <v>1.0</v>
      </c>
      <c r="H236" s="42"/>
      <c r="I236" s="43"/>
      <c r="J236" s="22"/>
      <c r="K236" s="42"/>
    </row>
    <row r="237" ht="39.75" hidden="1" customHeight="1">
      <c r="A237" s="1">
        <v>236.0</v>
      </c>
      <c r="B237" s="2" t="s">
        <v>41</v>
      </c>
      <c r="C237" s="2" t="s">
        <v>58</v>
      </c>
      <c r="D237" s="13"/>
      <c r="E237" s="13"/>
      <c r="F237" s="45"/>
      <c r="G237" s="42"/>
      <c r="H237" s="42"/>
      <c r="I237" s="42"/>
      <c r="J237" s="22"/>
      <c r="K237" s="42"/>
    </row>
    <row r="238" ht="39.75" hidden="1" customHeight="1">
      <c r="A238" s="1">
        <v>237.0</v>
      </c>
      <c r="B238" s="2" t="s">
        <v>42</v>
      </c>
      <c r="C238" s="2" t="s">
        <v>58</v>
      </c>
      <c r="D238" s="13"/>
      <c r="E238" s="13"/>
      <c r="F238" s="45"/>
      <c r="G238" s="42"/>
      <c r="H238" s="42"/>
      <c r="I238" s="42"/>
      <c r="J238" s="22"/>
      <c r="K238" s="42"/>
    </row>
    <row r="239" ht="39.75" customHeight="1">
      <c r="A239" s="1">
        <v>238.0</v>
      </c>
      <c r="B239" s="2" t="s">
        <v>43</v>
      </c>
      <c r="C239" s="2" t="s">
        <v>27</v>
      </c>
      <c r="D239" s="13"/>
      <c r="E239" s="13"/>
      <c r="F239" s="44" t="s">
        <v>2332</v>
      </c>
      <c r="G239" s="43">
        <v>1.0</v>
      </c>
      <c r="H239" s="42"/>
      <c r="I239" s="42"/>
      <c r="J239" s="22"/>
      <c r="K239" s="42"/>
    </row>
    <row r="240" ht="39.75" customHeight="1">
      <c r="A240" s="1">
        <v>239.0</v>
      </c>
      <c r="B240" s="2" t="s">
        <v>45</v>
      </c>
      <c r="C240" s="2" t="s">
        <v>69</v>
      </c>
      <c r="D240" s="13"/>
      <c r="E240" s="40">
        <v>0.8611111111111112</v>
      </c>
      <c r="F240" s="44" t="s">
        <v>2333</v>
      </c>
      <c r="G240" s="43">
        <v>1.0</v>
      </c>
      <c r="H240" s="42"/>
      <c r="I240" s="42"/>
      <c r="J240" s="22"/>
      <c r="K240" s="42"/>
    </row>
    <row r="241" ht="39.75" customHeight="1">
      <c r="A241" s="1">
        <v>240.0</v>
      </c>
      <c r="B241" s="2" t="s">
        <v>46</v>
      </c>
      <c r="C241" s="13"/>
      <c r="D241" s="13"/>
      <c r="E241" s="13"/>
      <c r="F241" s="44" t="s">
        <v>2334</v>
      </c>
      <c r="G241" s="43">
        <v>1.0</v>
      </c>
      <c r="H241" s="42"/>
      <c r="I241" s="42"/>
      <c r="J241" s="22"/>
      <c r="K241" s="42"/>
    </row>
    <row r="242" ht="39.75" hidden="1" customHeight="1">
      <c r="A242" s="1">
        <v>241.0</v>
      </c>
      <c r="B242" s="2" t="s">
        <v>47</v>
      </c>
      <c r="C242" s="2" t="s">
        <v>58</v>
      </c>
      <c r="D242" s="13"/>
      <c r="E242" s="13"/>
      <c r="F242" s="45"/>
      <c r="G242" s="42"/>
      <c r="H242" s="42"/>
      <c r="I242" s="42"/>
      <c r="J242" s="22"/>
      <c r="K242" s="42"/>
    </row>
    <row r="243" ht="39.75" hidden="1" customHeight="1">
      <c r="A243" s="1">
        <v>242.0</v>
      </c>
      <c r="B243" s="2" t="s">
        <v>48</v>
      </c>
      <c r="C243" s="2" t="s">
        <v>66</v>
      </c>
      <c r="D243" s="13"/>
      <c r="E243" s="13"/>
      <c r="F243" s="45"/>
      <c r="G243" s="42"/>
      <c r="H243" s="42"/>
      <c r="I243" s="42"/>
      <c r="J243" s="22"/>
      <c r="K243" s="42"/>
    </row>
    <row r="244" ht="39.75" customHeight="1">
      <c r="A244" s="1">
        <v>243.0</v>
      </c>
      <c r="B244" s="21"/>
      <c r="C244" s="21"/>
      <c r="D244" s="21"/>
      <c r="E244" s="21"/>
      <c r="F244" s="46"/>
      <c r="G244" s="47"/>
      <c r="H244" s="47"/>
      <c r="I244" s="47"/>
      <c r="J244" s="48"/>
      <c r="K244" s="47"/>
      <c r="L244" s="49"/>
      <c r="M244" s="49"/>
      <c r="N244" s="49"/>
    </row>
    <row r="245" ht="39.75" customHeight="1">
      <c r="A245" s="1">
        <v>244.0</v>
      </c>
      <c r="B245" s="2" t="s">
        <v>12</v>
      </c>
      <c r="C245" s="2" t="s">
        <v>62</v>
      </c>
      <c r="D245" s="13"/>
      <c r="E245" s="13"/>
      <c r="F245" s="44" t="s">
        <v>2163</v>
      </c>
      <c r="G245" s="43">
        <v>1.0</v>
      </c>
      <c r="H245" s="42"/>
      <c r="I245" s="43">
        <v>1.0</v>
      </c>
      <c r="J245" s="27" t="s">
        <v>2231</v>
      </c>
      <c r="K245" s="42"/>
      <c r="L245" s="15" t="s">
        <v>192</v>
      </c>
    </row>
    <row r="246" ht="39.75" hidden="1" customHeight="1">
      <c r="A246" s="1">
        <v>245.0</v>
      </c>
      <c r="B246" s="2" t="s">
        <v>16</v>
      </c>
      <c r="C246" s="2" t="s">
        <v>66</v>
      </c>
      <c r="D246" s="13"/>
      <c r="E246" s="13"/>
      <c r="F246" s="45"/>
      <c r="G246" s="42"/>
      <c r="H246" s="42"/>
      <c r="I246" s="42"/>
      <c r="J246" s="27" t="s">
        <v>192</v>
      </c>
      <c r="K246" s="43"/>
    </row>
    <row r="247" ht="39.75" customHeight="1">
      <c r="A247" s="1">
        <v>246.0</v>
      </c>
      <c r="B247" s="2" t="s">
        <v>17</v>
      </c>
      <c r="C247" s="2" t="s">
        <v>69</v>
      </c>
      <c r="D247" s="13"/>
      <c r="E247" s="40">
        <v>0.8888888888888888</v>
      </c>
      <c r="F247" s="44" t="s">
        <v>2335</v>
      </c>
      <c r="G247" s="43">
        <v>1.0</v>
      </c>
      <c r="H247" s="42"/>
      <c r="I247" s="42"/>
      <c r="J247" s="27" t="s">
        <v>77</v>
      </c>
      <c r="K247" s="42"/>
    </row>
    <row r="248" ht="39.75" customHeight="1">
      <c r="A248" s="1">
        <v>247.0</v>
      </c>
      <c r="B248" s="2" t="s">
        <v>331</v>
      </c>
      <c r="C248" s="2" t="s">
        <v>542</v>
      </c>
      <c r="D248" s="13"/>
      <c r="E248" s="13"/>
      <c r="F248" s="44"/>
      <c r="G248" s="42"/>
      <c r="H248" s="42"/>
      <c r="I248" s="42"/>
      <c r="J248" s="22"/>
      <c r="K248" s="42"/>
    </row>
    <row r="249" ht="39.75" customHeight="1">
      <c r="A249" s="1">
        <v>248.0</v>
      </c>
      <c r="B249" s="2" t="s">
        <v>21</v>
      </c>
      <c r="C249" s="2" t="s">
        <v>63</v>
      </c>
      <c r="D249" s="13"/>
      <c r="E249" s="13"/>
      <c r="F249" s="45"/>
      <c r="G249" s="42"/>
      <c r="H249" s="42"/>
      <c r="I249" s="42"/>
      <c r="J249" s="22"/>
      <c r="K249" s="42"/>
    </row>
    <row r="250" ht="39.75" customHeight="1">
      <c r="A250" s="1">
        <v>249.0</v>
      </c>
      <c r="B250" s="2" t="s">
        <v>22</v>
      </c>
      <c r="C250" s="2" t="s">
        <v>54</v>
      </c>
      <c r="D250" s="13"/>
      <c r="E250" s="13"/>
      <c r="F250" s="44"/>
      <c r="G250" s="42"/>
      <c r="H250" s="42"/>
      <c r="I250" s="42"/>
      <c r="J250" s="22"/>
      <c r="K250" s="42"/>
    </row>
    <row r="251" ht="39.75" customHeight="1">
      <c r="A251" s="1">
        <v>250.0</v>
      </c>
      <c r="B251" s="2" t="s">
        <v>23</v>
      </c>
      <c r="C251" s="2" t="s">
        <v>69</v>
      </c>
      <c r="D251" s="13"/>
      <c r="E251" s="13"/>
      <c r="F251" s="45"/>
      <c r="G251" s="42"/>
      <c r="H251" s="42"/>
      <c r="I251" s="42"/>
      <c r="J251" s="22"/>
      <c r="K251" s="42"/>
    </row>
    <row r="252" ht="39.75" customHeight="1">
      <c r="A252" s="1">
        <v>251.0</v>
      </c>
      <c r="B252" s="2" t="s">
        <v>24</v>
      </c>
      <c r="C252" s="2"/>
      <c r="D252" s="13"/>
      <c r="E252" s="13"/>
      <c r="F252" s="44" t="s">
        <v>2336</v>
      </c>
      <c r="G252" s="43">
        <v>1.0</v>
      </c>
      <c r="H252" s="42"/>
      <c r="I252" s="42"/>
      <c r="J252" s="22"/>
      <c r="K252" s="42"/>
    </row>
    <row r="253" ht="39.75" customHeight="1">
      <c r="A253" s="1">
        <v>252.0</v>
      </c>
      <c r="B253" s="2" t="s">
        <v>25</v>
      </c>
      <c r="C253" s="2" t="s">
        <v>27</v>
      </c>
      <c r="D253" s="13"/>
      <c r="E253" s="13"/>
      <c r="F253" s="44" t="s">
        <v>2337</v>
      </c>
      <c r="G253" s="43">
        <v>1.0</v>
      </c>
      <c r="H253" s="42"/>
      <c r="I253" s="42"/>
      <c r="J253" s="22"/>
      <c r="K253" s="42"/>
    </row>
    <row r="254" ht="39.75" customHeight="1">
      <c r="A254" s="1">
        <v>253.0</v>
      </c>
      <c r="B254" s="2" t="s">
        <v>26</v>
      </c>
      <c r="C254" s="2"/>
      <c r="D254" s="13"/>
      <c r="E254" s="13"/>
      <c r="F254" s="44" t="s">
        <v>2338</v>
      </c>
      <c r="G254" s="43">
        <v>2.0</v>
      </c>
      <c r="H254" s="42"/>
      <c r="I254" s="43">
        <v>2.0</v>
      </c>
      <c r="J254" s="22"/>
      <c r="K254" s="42"/>
    </row>
    <row r="255" ht="39.75" customHeight="1">
      <c r="A255" s="1">
        <v>254.0</v>
      </c>
      <c r="B255" s="2" t="s">
        <v>29</v>
      </c>
      <c r="C255" s="2"/>
      <c r="D255" s="13"/>
      <c r="E255" s="13"/>
      <c r="F255" s="44" t="s">
        <v>1389</v>
      </c>
      <c r="G255" s="43">
        <v>1.0</v>
      </c>
      <c r="H255" s="42"/>
      <c r="I255" s="43">
        <v>1.0</v>
      </c>
      <c r="J255" s="22"/>
      <c r="K255" s="42"/>
    </row>
    <row r="256" ht="39.75" customHeight="1">
      <c r="A256" s="1">
        <v>255.0</v>
      </c>
      <c r="B256" s="2" t="s">
        <v>30</v>
      </c>
      <c r="C256" s="2" t="s">
        <v>64</v>
      </c>
      <c r="D256" s="13"/>
      <c r="E256" s="13"/>
      <c r="F256" s="44" t="s">
        <v>2034</v>
      </c>
      <c r="G256" s="43">
        <v>1.0</v>
      </c>
      <c r="H256" s="42"/>
      <c r="I256" s="43">
        <v>1.0</v>
      </c>
      <c r="J256" s="22"/>
      <c r="K256" s="42"/>
    </row>
    <row r="257" ht="39.75" customHeight="1">
      <c r="A257" s="1">
        <v>256.0</v>
      </c>
      <c r="B257" s="2" t="s">
        <v>31</v>
      </c>
      <c r="C257" s="2"/>
      <c r="D257" s="13"/>
      <c r="E257" s="13"/>
      <c r="F257" s="44" t="s">
        <v>2339</v>
      </c>
      <c r="G257" s="43">
        <v>2.0</v>
      </c>
      <c r="H257" s="42"/>
      <c r="I257" s="43">
        <v>1.0</v>
      </c>
      <c r="J257" s="22"/>
      <c r="K257" s="42"/>
    </row>
    <row r="258" ht="39.75" customHeight="1">
      <c r="A258" s="1">
        <v>257.0</v>
      </c>
      <c r="B258" s="2" t="s">
        <v>32</v>
      </c>
      <c r="C258" s="2" t="s">
        <v>54</v>
      </c>
      <c r="D258" s="13"/>
      <c r="E258" s="13"/>
      <c r="F258" s="45"/>
      <c r="G258" s="42"/>
      <c r="H258" s="42"/>
      <c r="I258" s="42"/>
      <c r="J258" s="22"/>
      <c r="K258" s="42"/>
    </row>
    <row r="259" ht="39.75" customHeight="1">
      <c r="A259" s="1">
        <v>258.0</v>
      </c>
      <c r="B259" s="2" t="s">
        <v>67</v>
      </c>
      <c r="C259" s="2" t="s">
        <v>54</v>
      </c>
      <c r="D259" s="13"/>
      <c r="E259" s="13"/>
      <c r="F259" s="44" t="s">
        <v>2340</v>
      </c>
      <c r="G259" s="43">
        <v>1.0</v>
      </c>
      <c r="H259" s="42"/>
      <c r="I259" s="43">
        <v>1.0</v>
      </c>
      <c r="J259" s="22"/>
      <c r="K259" s="42"/>
    </row>
    <row r="260" ht="39.75" hidden="1" customHeight="1">
      <c r="A260" s="1">
        <v>259.0</v>
      </c>
      <c r="B260" s="2" t="s">
        <v>34</v>
      </c>
      <c r="C260" s="2" t="s">
        <v>66</v>
      </c>
      <c r="D260" s="13"/>
      <c r="E260" s="13"/>
      <c r="F260" s="45"/>
      <c r="G260" s="42"/>
      <c r="H260" s="42"/>
      <c r="I260" s="42"/>
      <c r="J260" s="22"/>
      <c r="K260" s="42"/>
    </row>
    <row r="261" ht="39.75" customHeight="1">
      <c r="A261" s="1">
        <v>260.0</v>
      </c>
      <c r="B261" s="2" t="s">
        <v>35</v>
      </c>
      <c r="C261" s="2" t="s">
        <v>69</v>
      </c>
      <c r="D261" s="13"/>
      <c r="E261" s="13"/>
      <c r="F261" s="45"/>
      <c r="G261" s="42"/>
      <c r="H261" s="42"/>
      <c r="I261" s="42"/>
      <c r="J261" s="22"/>
      <c r="K261" s="42"/>
    </row>
    <row r="262" ht="39.75" customHeight="1">
      <c r="A262" s="1">
        <v>261.0</v>
      </c>
      <c r="B262" s="2" t="s">
        <v>36</v>
      </c>
      <c r="C262" s="13"/>
      <c r="D262" s="13"/>
      <c r="E262" s="13"/>
      <c r="F262" s="44" t="s">
        <v>2341</v>
      </c>
      <c r="G262" s="43">
        <v>1.0</v>
      </c>
      <c r="H262" s="42"/>
      <c r="I262" s="42"/>
      <c r="J262" s="22"/>
      <c r="K262" s="42"/>
    </row>
    <row r="263" ht="39.75" hidden="1" customHeight="1">
      <c r="A263" s="1">
        <v>262.0</v>
      </c>
      <c r="B263" s="2" t="s">
        <v>38</v>
      </c>
      <c r="C263" s="2" t="s">
        <v>58</v>
      </c>
      <c r="D263" s="13"/>
      <c r="E263" s="13"/>
      <c r="F263" s="45"/>
      <c r="G263" s="42"/>
      <c r="H263" s="42"/>
      <c r="I263" s="42"/>
      <c r="J263" s="22"/>
      <c r="K263" s="42"/>
    </row>
    <row r="264" ht="39.75" hidden="1" customHeight="1">
      <c r="A264" s="1">
        <v>263.0</v>
      </c>
      <c r="B264" s="2" t="s">
        <v>41</v>
      </c>
      <c r="C264" s="2" t="s">
        <v>58</v>
      </c>
      <c r="D264" s="13"/>
      <c r="E264" s="13"/>
      <c r="F264" s="45"/>
      <c r="G264" s="42"/>
      <c r="H264" s="42"/>
      <c r="I264" s="42"/>
      <c r="J264" s="22"/>
      <c r="K264" s="42"/>
    </row>
    <row r="265" ht="39.75" hidden="1" customHeight="1">
      <c r="A265" s="1">
        <v>264.0</v>
      </c>
      <c r="B265" s="2" t="s">
        <v>42</v>
      </c>
      <c r="C265" s="2" t="s">
        <v>58</v>
      </c>
      <c r="D265" s="13"/>
      <c r="E265" s="13"/>
      <c r="F265" s="45"/>
      <c r="G265" s="42"/>
      <c r="H265" s="42"/>
      <c r="I265" s="42"/>
      <c r="J265" s="22"/>
      <c r="K265" s="42"/>
    </row>
    <row r="266" ht="39.75" customHeight="1">
      <c r="A266" s="1">
        <v>265.0</v>
      </c>
      <c r="B266" s="2" t="s">
        <v>43</v>
      </c>
      <c r="C266" s="2" t="s">
        <v>44</v>
      </c>
      <c r="D266" s="13"/>
      <c r="E266" s="13"/>
      <c r="F266" s="45"/>
      <c r="G266" s="42"/>
      <c r="H266" s="42"/>
      <c r="I266" s="42"/>
      <c r="J266" s="22"/>
      <c r="K266" s="42"/>
    </row>
    <row r="267" ht="39.75" customHeight="1">
      <c r="A267" s="1">
        <v>266.0</v>
      </c>
      <c r="B267" s="2" t="s">
        <v>45</v>
      </c>
      <c r="C267" s="2" t="s">
        <v>39</v>
      </c>
      <c r="D267" s="13"/>
      <c r="E267" s="13"/>
      <c r="F267" s="44" t="s">
        <v>2342</v>
      </c>
      <c r="G267" s="43">
        <v>1.0</v>
      </c>
      <c r="H267" s="42"/>
      <c r="I267" s="42"/>
      <c r="J267" s="22"/>
      <c r="K267" s="42"/>
    </row>
    <row r="268" ht="39.75" customHeight="1">
      <c r="A268" s="1">
        <v>267.0</v>
      </c>
      <c r="B268" s="2" t="s">
        <v>46</v>
      </c>
      <c r="C268" s="2" t="s">
        <v>54</v>
      </c>
      <c r="D268" s="13"/>
      <c r="E268" s="13"/>
      <c r="F268" s="44" t="s">
        <v>2343</v>
      </c>
      <c r="G268" s="43">
        <v>1.0</v>
      </c>
      <c r="H268" s="42"/>
      <c r="I268" s="42"/>
      <c r="J268" s="22"/>
      <c r="K268" s="42"/>
    </row>
    <row r="269" ht="39.75" hidden="1" customHeight="1">
      <c r="A269" s="1">
        <v>268.0</v>
      </c>
      <c r="B269" s="2" t="s">
        <v>47</v>
      </c>
      <c r="C269" s="2" t="s">
        <v>58</v>
      </c>
      <c r="D269" s="13"/>
      <c r="E269" s="13"/>
      <c r="F269" s="45"/>
      <c r="G269" s="42"/>
      <c r="H269" s="42"/>
      <c r="I269" s="42"/>
      <c r="J269" s="22"/>
      <c r="K269" s="42"/>
    </row>
    <row r="270" ht="39.75" customHeight="1">
      <c r="A270" s="1">
        <v>269.0</v>
      </c>
      <c r="B270" s="2" t="s">
        <v>48</v>
      </c>
      <c r="C270" s="2" t="s">
        <v>39</v>
      </c>
      <c r="D270" s="13"/>
      <c r="E270" s="13"/>
      <c r="F270" s="44" t="s">
        <v>2344</v>
      </c>
      <c r="G270" s="43">
        <v>1.0</v>
      </c>
      <c r="H270" s="42"/>
      <c r="I270" s="42"/>
      <c r="J270" s="22"/>
      <c r="K270" s="42"/>
    </row>
    <row r="271" ht="39.75" customHeight="1">
      <c r="A271" s="1">
        <v>270.0</v>
      </c>
      <c r="B271" s="21"/>
      <c r="C271" s="21"/>
      <c r="D271" s="21"/>
      <c r="E271" s="21"/>
      <c r="F271" s="46"/>
      <c r="G271" s="47"/>
      <c r="H271" s="47"/>
      <c r="I271" s="47"/>
      <c r="J271" s="48"/>
      <c r="K271" s="47"/>
      <c r="L271" s="49"/>
      <c r="M271" s="49"/>
      <c r="N271" s="49"/>
    </row>
    <row r="272" ht="39.75" customHeight="1">
      <c r="A272" s="1">
        <v>271.0</v>
      </c>
      <c r="B272" s="2" t="s">
        <v>12</v>
      </c>
      <c r="C272" s="2" t="s">
        <v>62</v>
      </c>
      <c r="D272" s="13"/>
      <c r="E272" s="13"/>
      <c r="F272" s="45"/>
      <c r="G272" s="42"/>
      <c r="H272" s="42"/>
      <c r="I272" s="42"/>
      <c r="J272" s="27" t="s">
        <v>2231</v>
      </c>
      <c r="K272" s="42"/>
      <c r="L272" s="15" t="s">
        <v>209</v>
      </c>
    </row>
    <row r="273" ht="39.75" customHeight="1">
      <c r="A273" s="1">
        <v>272.0</v>
      </c>
      <c r="B273" s="2" t="s">
        <v>16</v>
      </c>
      <c r="C273" s="2" t="s">
        <v>27</v>
      </c>
      <c r="D273" s="13"/>
      <c r="E273" s="13"/>
      <c r="F273" s="45"/>
      <c r="G273" s="42"/>
      <c r="H273" s="42"/>
      <c r="I273" s="42"/>
      <c r="J273" s="27" t="s">
        <v>209</v>
      </c>
      <c r="K273" s="43"/>
    </row>
    <row r="274" ht="39.75" customHeight="1">
      <c r="A274" s="1">
        <v>273.0</v>
      </c>
      <c r="B274" s="2" t="s">
        <v>17</v>
      </c>
      <c r="C274" s="2" t="s">
        <v>69</v>
      </c>
      <c r="D274" s="13"/>
      <c r="E274" s="13"/>
      <c r="F274" s="45"/>
      <c r="G274" s="42"/>
      <c r="H274" s="42"/>
      <c r="I274" s="42"/>
      <c r="J274" s="27" t="s">
        <v>95</v>
      </c>
      <c r="K274" s="42"/>
    </row>
    <row r="275" ht="39.75" customHeight="1">
      <c r="A275" s="1">
        <v>274.0</v>
      </c>
      <c r="B275" s="2" t="s">
        <v>331</v>
      </c>
      <c r="C275" s="2" t="s">
        <v>542</v>
      </c>
      <c r="D275" s="13"/>
      <c r="E275" s="13"/>
      <c r="F275" s="44"/>
      <c r="G275" s="42"/>
      <c r="H275" s="42"/>
      <c r="I275" s="42"/>
      <c r="J275" s="22"/>
      <c r="K275" s="42"/>
    </row>
    <row r="276" ht="39.75" customHeight="1">
      <c r="A276" s="1">
        <v>275.0</v>
      </c>
      <c r="B276" s="2" t="s">
        <v>21</v>
      </c>
      <c r="C276" s="2" t="s">
        <v>63</v>
      </c>
      <c r="D276" s="13"/>
      <c r="E276" s="13"/>
      <c r="F276" s="45"/>
      <c r="G276" s="42"/>
      <c r="H276" s="42"/>
      <c r="I276" s="42"/>
      <c r="J276" s="22"/>
      <c r="K276" s="42"/>
    </row>
    <row r="277" ht="39.75" customHeight="1">
      <c r="A277" s="1">
        <v>276.0</v>
      </c>
      <c r="B277" s="2" t="s">
        <v>22</v>
      </c>
      <c r="C277" s="2" t="s">
        <v>54</v>
      </c>
      <c r="D277" s="13"/>
      <c r="E277" s="13"/>
      <c r="F277" s="44" t="s">
        <v>2345</v>
      </c>
      <c r="G277" s="43">
        <v>1.0</v>
      </c>
      <c r="H277" s="42"/>
      <c r="I277" s="43">
        <v>1.0</v>
      </c>
      <c r="J277" s="22"/>
      <c r="K277" s="42"/>
    </row>
    <row r="278" ht="39.75" customHeight="1">
      <c r="A278" s="1">
        <v>277.0</v>
      </c>
      <c r="B278" s="2" t="s">
        <v>23</v>
      </c>
      <c r="C278" s="2" t="s">
        <v>69</v>
      </c>
      <c r="D278" s="13"/>
      <c r="E278" s="13"/>
      <c r="F278" s="45"/>
      <c r="G278" s="42"/>
      <c r="H278" s="42"/>
      <c r="I278" s="42"/>
      <c r="J278" s="22"/>
      <c r="K278" s="42"/>
    </row>
    <row r="279" ht="39.75" customHeight="1">
      <c r="A279" s="1">
        <v>278.0</v>
      </c>
      <c r="B279" s="2" t="s">
        <v>116</v>
      </c>
      <c r="C279" s="2" t="s">
        <v>1466</v>
      </c>
      <c r="D279" s="13"/>
      <c r="E279" s="13"/>
      <c r="F279" s="44" t="s">
        <v>2346</v>
      </c>
      <c r="G279" s="43">
        <v>1.0</v>
      </c>
      <c r="H279" s="42"/>
      <c r="I279" s="43">
        <v>1.0</v>
      </c>
      <c r="J279" s="22"/>
      <c r="K279" s="42"/>
    </row>
    <row r="280" ht="39.75" customHeight="1">
      <c r="A280" s="1">
        <v>279.0</v>
      </c>
      <c r="B280" s="2" t="s">
        <v>25</v>
      </c>
      <c r="C280" s="2" t="s">
        <v>44</v>
      </c>
      <c r="D280" s="13"/>
      <c r="E280" s="13"/>
      <c r="F280" s="45"/>
      <c r="G280" s="42"/>
      <c r="H280" s="42"/>
      <c r="I280" s="42"/>
      <c r="J280" s="22"/>
      <c r="K280" s="42"/>
    </row>
    <row r="281" ht="39.75" customHeight="1">
      <c r="A281" s="1">
        <v>280.0</v>
      </c>
      <c r="B281" s="2" t="s">
        <v>26</v>
      </c>
      <c r="C281" s="2" t="s">
        <v>39</v>
      </c>
      <c r="D281" s="13"/>
      <c r="E281" s="13"/>
      <c r="F281" s="44" t="s">
        <v>2347</v>
      </c>
      <c r="G281" s="43">
        <v>1.0</v>
      </c>
      <c r="H281" s="42"/>
      <c r="I281" s="42"/>
      <c r="J281" s="22"/>
      <c r="K281" s="42"/>
    </row>
    <row r="282" ht="39.75" hidden="1" customHeight="1">
      <c r="A282" s="1">
        <v>281.0</v>
      </c>
      <c r="B282" s="2" t="s">
        <v>29</v>
      </c>
      <c r="C282" s="2" t="s">
        <v>58</v>
      </c>
      <c r="D282" s="13"/>
      <c r="E282" s="13"/>
      <c r="F282" s="45"/>
      <c r="G282" s="42"/>
      <c r="H282" s="42"/>
      <c r="I282" s="42"/>
      <c r="J282" s="22"/>
      <c r="K282" s="42"/>
    </row>
    <row r="283" ht="39.75" customHeight="1">
      <c r="A283" s="1">
        <v>282.0</v>
      </c>
      <c r="B283" s="2" t="s">
        <v>30</v>
      </c>
      <c r="C283" s="2" t="s">
        <v>64</v>
      </c>
      <c r="D283" s="13"/>
      <c r="E283" s="13"/>
      <c r="F283" s="45"/>
      <c r="G283" s="42"/>
      <c r="H283" s="42"/>
      <c r="I283" s="42"/>
      <c r="J283" s="22"/>
      <c r="K283" s="42"/>
    </row>
    <row r="284" ht="39.75" customHeight="1">
      <c r="A284" s="1">
        <v>283.0</v>
      </c>
      <c r="B284" s="2" t="s">
        <v>31</v>
      </c>
      <c r="C284" s="2"/>
      <c r="D284" s="13"/>
      <c r="E284" s="13"/>
      <c r="F284" s="44" t="s">
        <v>2348</v>
      </c>
      <c r="G284" s="43">
        <v>1.0</v>
      </c>
      <c r="H284" s="42"/>
      <c r="I284" s="42"/>
      <c r="J284" s="22"/>
      <c r="K284" s="42"/>
    </row>
    <row r="285" ht="39.75" customHeight="1">
      <c r="A285" s="1">
        <v>284.0</v>
      </c>
      <c r="B285" s="2" t="s">
        <v>32</v>
      </c>
      <c r="C285" s="2" t="s">
        <v>54</v>
      </c>
      <c r="D285" s="13"/>
      <c r="E285" s="13"/>
      <c r="F285" s="44" t="s">
        <v>2349</v>
      </c>
      <c r="G285" s="43">
        <v>1.0</v>
      </c>
      <c r="H285" s="42"/>
      <c r="I285" s="42"/>
      <c r="J285" s="22"/>
      <c r="K285" s="42"/>
    </row>
    <row r="286" ht="39.75" customHeight="1">
      <c r="A286" s="1">
        <v>285.0</v>
      </c>
      <c r="B286" s="2" t="s">
        <v>67</v>
      </c>
      <c r="C286" s="2" t="s">
        <v>54</v>
      </c>
      <c r="D286" s="13"/>
      <c r="E286" s="13"/>
      <c r="F286" s="44" t="s">
        <v>2350</v>
      </c>
      <c r="G286" s="43">
        <v>1.0</v>
      </c>
      <c r="H286" s="43">
        <v>1.0</v>
      </c>
      <c r="I286" s="42"/>
      <c r="J286" s="22"/>
      <c r="K286" s="42"/>
    </row>
    <row r="287" ht="39.75" customHeight="1">
      <c r="A287" s="1">
        <v>286.0</v>
      </c>
      <c r="B287" s="2" t="s">
        <v>34</v>
      </c>
      <c r="C287" s="2" t="s">
        <v>69</v>
      </c>
      <c r="D287" s="13"/>
      <c r="E287" s="13"/>
      <c r="F287" s="44"/>
      <c r="G287" s="42"/>
      <c r="H287" s="42"/>
      <c r="I287" s="42"/>
      <c r="J287" s="22"/>
      <c r="K287" s="42"/>
    </row>
    <row r="288" ht="39.75" customHeight="1">
      <c r="A288" s="1">
        <v>287.0</v>
      </c>
      <c r="B288" s="2" t="s">
        <v>35</v>
      </c>
      <c r="C288" s="2" t="s">
        <v>39</v>
      </c>
      <c r="D288" s="53">
        <v>0.25</v>
      </c>
      <c r="E288" s="13"/>
      <c r="F288" s="44" t="s">
        <v>2351</v>
      </c>
      <c r="G288" s="43">
        <v>1.0</v>
      </c>
      <c r="H288" s="42"/>
      <c r="I288" s="43">
        <v>1.0</v>
      </c>
      <c r="J288" s="22"/>
      <c r="K288" s="42"/>
    </row>
    <row r="289" ht="39.75" customHeight="1">
      <c r="A289" s="1">
        <v>288.0</v>
      </c>
      <c r="B289" s="2" t="s">
        <v>36</v>
      </c>
      <c r="C289" s="13"/>
      <c r="D289" s="13"/>
      <c r="E289" s="13"/>
      <c r="F289" s="44" t="s">
        <v>1389</v>
      </c>
      <c r="G289" s="42"/>
      <c r="H289" s="42"/>
      <c r="I289" s="42"/>
      <c r="J289" s="22"/>
      <c r="K289" s="42"/>
    </row>
    <row r="290" ht="39.75" customHeight="1">
      <c r="A290" s="1">
        <v>289.0</v>
      </c>
      <c r="B290" s="2" t="s">
        <v>38</v>
      </c>
      <c r="C290" s="2"/>
      <c r="D290" s="13"/>
      <c r="E290" s="13"/>
      <c r="F290" s="44" t="s">
        <v>2352</v>
      </c>
      <c r="G290" s="43">
        <v>1.0</v>
      </c>
      <c r="H290" s="42"/>
      <c r="I290" s="43">
        <v>1.0</v>
      </c>
      <c r="J290" s="22"/>
      <c r="K290" s="42"/>
    </row>
    <row r="291" ht="39.75" hidden="1" customHeight="1">
      <c r="A291" s="1">
        <v>290.0</v>
      </c>
      <c r="B291" s="2" t="s">
        <v>41</v>
      </c>
      <c r="C291" s="2" t="s">
        <v>58</v>
      </c>
      <c r="D291" s="13"/>
      <c r="E291" s="13"/>
      <c r="F291" s="45"/>
      <c r="G291" s="42"/>
      <c r="H291" s="42"/>
      <c r="I291" s="42"/>
      <c r="J291" s="22"/>
      <c r="K291" s="42"/>
    </row>
    <row r="292" ht="39.75" hidden="1" customHeight="1">
      <c r="A292" s="1">
        <v>291.0</v>
      </c>
      <c r="B292" s="2" t="s">
        <v>42</v>
      </c>
      <c r="C292" s="2" t="s">
        <v>66</v>
      </c>
      <c r="D292" s="13"/>
      <c r="E292" s="13"/>
      <c r="F292" s="45"/>
      <c r="G292" s="42"/>
      <c r="H292" s="42"/>
      <c r="I292" s="42"/>
      <c r="J292" s="22"/>
      <c r="K292" s="42"/>
    </row>
    <row r="293" ht="39.75" customHeight="1">
      <c r="A293" s="1">
        <v>292.0</v>
      </c>
      <c r="B293" s="2" t="s">
        <v>43</v>
      </c>
      <c r="C293" s="2" t="s">
        <v>54</v>
      </c>
      <c r="D293" s="13"/>
      <c r="E293" s="13"/>
      <c r="F293" s="44" t="s">
        <v>2353</v>
      </c>
      <c r="G293" s="43">
        <v>2.0</v>
      </c>
      <c r="H293" s="42"/>
      <c r="I293" s="43">
        <v>1.0</v>
      </c>
      <c r="J293" s="22"/>
      <c r="K293" s="42"/>
    </row>
    <row r="294" ht="39.75" hidden="1" customHeight="1">
      <c r="A294" s="1">
        <v>293.0</v>
      </c>
      <c r="B294" s="2" t="s">
        <v>45</v>
      </c>
      <c r="C294" s="2" t="s">
        <v>58</v>
      </c>
      <c r="D294" s="13"/>
      <c r="E294" s="13"/>
      <c r="F294" s="44"/>
      <c r="G294" s="42"/>
      <c r="H294" s="42"/>
      <c r="I294" s="42"/>
      <c r="J294" s="22"/>
      <c r="K294" s="42"/>
    </row>
    <row r="295" ht="39.75" customHeight="1">
      <c r="A295" s="1">
        <v>294.0</v>
      </c>
      <c r="B295" s="2" t="s">
        <v>46</v>
      </c>
      <c r="C295" s="13"/>
      <c r="D295" s="13"/>
      <c r="E295" s="13"/>
      <c r="F295" s="44" t="s">
        <v>2354</v>
      </c>
      <c r="G295" s="42"/>
      <c r="H295" s="42"/>
      <c r="I295" s="42"/>
      <c r="J295" s="22"/>
      <c r="K295" s="42"/>
    </row>
    <row r="296" ht="39.75" hidden="1" customHeight="1">
      <c r="A296" s="1">
        <v>295.0</v>
      </c>
      <c r="B296" s="2" t="s">
        <v>47</v>
      </c>
      <c r="C296" s="2" t="s">
        <v>58</v>
      </c>
      <c r="D296" s="13"/>
      <c r="E296" s="13"/>
      <c r="F296" s="45"/>
      <c r="G296" s="42"/>
      <c r="H296" s="42"/>
      <c r="I296" s="42"/>
      <c r="J296" s="22"/>
      <c r="K296" s="42"/>
    </row>
    <row r="297" ht="39.75" customHeight="1">
      <c r="A297" s="1">
        <v>296.0</v>
      </c>
      <c r="B297" s="2" t="s">
        <v>48</v>
      </c>
      <c r="C297" s="13"/>
      <c r="D297" s="13"/>
      <c r="E297" s="13"/>
      <c r="F297" s="44" t="s">
        <v>2354</v>
      </c>
      <c r="G297" s="42"/>
      <c r="H297" s="42"/>
      <c r="I297" s="42"/>
      <c r="J297" s="22"/>
      <c r="K297" s="42"/>
    </row>
    <row r="298" ht="39.75" customHeight="1">
      <c r="A298" s="1">
        <v>297.0</v>
      </c>
      <c r="B298" s="21"/>
      <c r="C298" s="21"/>
      <c r="D298" s="21"/>
      <c r="E298" s="21"/>
      <c r="F298" s="46"/>
      <c r="G298" s="47"/>
      <c r="H298" s="47"/>
      <c r="I298" s="47"/>
      <c r="J298" s="48"/>
      <c r="K298" s="47"/>
      <c r="L298" s="49"/>
      <c r="M298" s="49"/>
      <c r="N298" s="49"/>
    </row>
    <row r="299" ht="39.75" customHeight="1">
      <c r="A299" s="1">
        <v>298.0</v>
      </c>
      <c r="B299" s="2" t="s">
        <v>12</v>
      </c>
      <c r="C299" s="2" t="s">
        <v>62</v>
      </c>
      <c r="D299" s="13"/>
      <c r="E299" s="13"/>
      <c r="F299" s="44" t="s">
        <v>2355</v>
      </c>
      <c r="G299" s="43">
        <v>2.0</v>
      </c>
      <c r="H299" s="42"/>
      <c r="I299" s="43">
        <v>2.0</v>
      </c>
      <c r="J299" s="27" t="s">
        <v>2231</v>
      </c>
      <c r="K299" s="42"/>
      <c r="L299" s="15" t="s">
        <v>228</v>
      </c>
    </row>
    <row r="300" ht="39.75" customHeight="1">
      <c r="A300" s="1">
        <v>299.0</v>
      </c>
      <c r="B300" s="2" t="s">
        <v>16</v>
      </c>
      <c r="C300" s="2" t="s">
        <v>44</v>
      </c>
      <c r="D300" s="13"/>
      <c r="E300" s="13"/>
      <c r="F300" s="45"/>
      <c r="G300" s="42"/>
      <c r="H300" s="42"/>
      <c r="I300" s="42"/>
      <c r="J300" s="27" t="s">
        <v>228</v>
      </c>
      <c r="K300" s="43"/>
    </row>
    <row r="301" ht="39.75" customHeight="1">
      <c r="A301" s="1">
        <v>300.0</v>
      </c>
      <c r="B301" s="2" t="s">
        <v>17</v>
      </c>
      <c r="C301" s="2"/>
      <c r="D301" s="13"/>
      <c r="E301" s="13"/>
      <c r="F301" s="44" t="s">
        <v>2356</v>
      </c>
      <c r="G301" s="43">
        <v>1.0</v>
      </c>
      <c r="H301" s="42"/>
      <c r="I301" s="42"/>
      <c r="J301" s="27" t="s">
        <v>111</v>
      </c>
      <c r="K301" s="42"/>
    </row>
    <row r="302" ht="39.75" customHeight="1">
      <c r="A302" s="1">
        <v>301.0</v>
      </c>
      <c r="B302" s="2" t="s">
        <v>331</v>
      </c>
      <c r="C302" s="2" t="s">
        <v>542</v>
      </c>
      <c r="D302" s="13"/>
      <c r="E302" s="13"/>
      <c r="F302" s="44"/>
      <c r="G302" s="42"/>
      <c r="H302" s="42"/>
      <c r="I302" s="42"/>
      <c r="J302" s="22"/>
      <c r="K302" s="42"/>
    </row>
    <row r="303" ht="39.75" customHeight="1">
      <c r="A303" s="1">
        <v>302.0</v>
      </c>
      <c r="B303" s="2" t="s">
        <v>21</v>
      </c>
      <c r="C303" s="2" t="s">
        <v>63</v>
      </c>
      <c r="D303" s="13"/>
      <c r="E303" s="13"/>
      <c r="F303" s="45"/>
      <c r="G303" s="42"/>
      <c r="H303" s="42"/>
      <c r="I303" s="42"/>
      <c r="J303" s="22"/>
      <c r="K303" s="42"/>
    </row>
    <row r="304" ht="39.75" customHeight="1">
      <c r="A304" s="1">
        <v>303.0</v>
      </c>
      <c r="B304" s="2" t="s">
        <v>22</v>
      </c>
      <c r="C304" s="2" t="s">
        <v>54</v>
      </c>
      <c r="D304" s="13"/>
      <c r="E304" s="13"/>
      <c r="F304" s="44" t="s">
        <v>2357</v>
      </c>
      <c r="G304" s="43">
        <v>1.0</v>
      </c>
      <c r="H304" s="42"/>
      <c r="I304" s="42"/>
      <c r="J304" s="22"/>
      <c r="K304" s="42"/>
    </row>
    <row r="305" ht="39.75" customHeight="1">
      <c r="A305" s="1">
        <v>304.0</v>
      </c>
      <c r="B305" s="2" t="s">
        <v>23</v>
      </c>
      <c r="C305" s="2" t="s">
        <v>39</v>
      </c>
      <c r="D305" s="13"/>
      <c r="E305" s="13"/>
      <c r="F305" s="44" t="s">
        <v>2358</v>
      </c>
      <c r="G305" s="43">
        <v>1.0</v>
      </c>
      <c r="H305" s="42"/>
      <c r="I305" s="42"/>
      <c r="J305" s="22"/>
      <c r="K305" s="42"/>
    </row>
    <row r="306" ht="39.75" customHeight="1">
      <c r="A306" s="1">
        <v>305.0</v>
      </c>
      <c r="B306" s="2" t="s">
        <v>116</v>
      </c>
      <c r="C306" s="2" t="s">
        <v>1466</v>
      </c>
      <c r="D306" s="13"/>
      <c r="E306" s="13"/>
      <c r="F306" s="44" t="s">
        <v>2359</v>
      </c>
      <c r="G306" s="43">
        <v>1.0</v>
      </c>
      <c r="H306" s="42"/>
      <c r="I306" s="42"/>
      <c r="J306" s="22"/>
      <c r="K306" s="42"/>
    </row>
    <row r="307" ht="39.75" hidden="1" customHeight="1">
      <c r="A307" s="1">
        <v>306.0</v>
      </c>
      <c r="B307" s="2" t="s">
        <v>25</v>
      </c>
      <c r="C307" s="2" t="s">
        <v>58</v>
      </c>
      <c r="D307" s="13"/>
      <c r="E307" s="13"/>
      <c r="F307" s="45"/>
      <c r="G307" s="42"/>
      <c r="H307" s="42"/>
      <c r="I307" s="42"/>
      <c r="J307" s="22"/>
      <c r="K307" s="42"/>
    </row>
    <row r="308" ht="39.75" customHeight="1">
      <c r="A308" s="1">
        <v>307.0</v>
      </c>
      <c r="B308" s="2" t="s">
        <v>26</v>
      </c>
      <c r="C308" s="2"/>
      <c r="D308" s="13"/>
      <c r="E308" s="13"/>
      <c r="F308" s="44" t="s">
        <v>2360</v>
      </c>
      <c r="G308" s="43">
        <v>1.0</v>
      </c>
      <c r="H308" s="42"/>
      <c r="I308" s="42"/>
      <c r="J308" s="22"/>
      <c r="K308" s="42"/>
    </row>
    <row r="309" ht="39.75" customHeight="1">
      <c r="A309" s="1">
        <v>308.0</v>
      </c>
      <c r="B309" s="2" t="s">
        <v>29</v>
      </c>
      <c r="C309" s="2" t="s">
        <v>27</v>
      </c>
      <c r="D309" s="13"/>
      <c r="E309" s="13"/>
      <c r="F309" s="44" t="s">
        <v>2361</v>
      </c>
      <c r="G309" s="43">
        <v>1.0</v>
      </c>
      <c r="H309" s="42"/>
      <c r="I309" s="42"/>
      <c r="J309" s="22"/>
      <c r="K309" s="42"/>
    </row>
    <row r="310" ht="39.75" customHeight="1">
      <c r="A310" s="1">
        <v>309.0</v>
      </c>
      <c r="B310" s="2" t="s">
        <v>30</v>
      </c>
      <c r="C310" s="2" t="s">
        <v>64</v>
      </c>
      <c r="D310" s="13"/>
      <c r="E310" s="13"/>
      <c r="F310" s="44" t="s">
        <v>2362</v>
      </c>
      <c r="G310" s="43">
        <v>2.0</v>
      </c>
      <c r="H310" s="42"/>
      <c r="I310" s="43">
        <v>2.0</v>
      </c>
      <c r="J310" s="22"/>
      <c r="K310" s="42"/>
    </row>
    <row r="311" ht="39.75" customHeight="1">
      <c r="A311" s="1">
        <v>310.0</v>
      </c>
      <c r="B311" s="2" t="s">
        <v>31</v>
      </c>
      <c r="C311" s="2"/>
      <c r="D311" s="13"/>
      <c r="E311" s="13"/>
      <c r="F311" s="44" t="s">
        <v>2363</v>
      </c>
      <c r="G311" s="43">
        <v>2.0</v>
      </c>
      <c r="H311" s="42"/>
      <c r="I311" s="43">
        <v>1.0</v>
      </c>
      <c r="J311" s="22"/>
      <c r="K311" s="42"/>
    </row>
    <row r="312" ht="39.75" customHeight="1">
      <c r="A312" s="1">
        <v>311.0</v>
      </c>
      <c r="B312" s="2" t="s">
        <v>32</v>
      </c>
      <c r="C312" s="2" t="s">
        <v>54</v>
      </c>
      <c r="D312" s="13"/>
      <c r="E312" s="13"/>
      <c r="F312" s="44" t="s">
        <v>2364</v>
      </c>
      <c r="G312" s="43">
        <v>1.0</v>
      </c>
      <c r="H312" s="42"/>
      <c r="I312" s="42"/>
      <c r="J312" s="22"/>
      <c r="K312" s="42"/>
    </row>
    <row r="313" ht="39.75" customHeight="1">
      <c r="A313" s="1">
        <v>312.0</v>
      </c>
      <c r="B313" s="2" t="s">
        <v>67</v>
      </c>
      <c r="C313" s="2" t="s">
        <v>54</v>
      </c>
      <c r="D313" s="13"/>
      <c r="E313" s="13"/>
      <c r="F313" s="44" t="s">
        <v>2365</v>
      </c>
      <c r="G313" s="43">
        <v>1.0</v>
      </c>
      <c r="H313" s="42"/>
      <c r="I313" s="42"/>
      <c r="J313" s="22"/>
      <c r="K313" s="42"/>
    </row>
    <row r="314" ht="39.75" customHeight="1">
      <c r="A314" s="1">
        <v>313.0</v>
      </c>
      <c r="B314" s="2" t="s">
        <v>34</v>
      </c>
      <c r="C314" s="2"/>
      <c r="D314" s="13"/>
      <c r="E314" s="13"/>
      <c r="F314" s="44" t="s">
        <v>2366</v>
      </c>
      <c r="G314" s="43">
        <v>1.0</v>
      </c>
      <c r="H314" s="43">
        <v>1.0</v>
      </c>
      <c r="I314" s="42"/>
      <c r="J314" s="22"/>
      <c r="K314" s="42"/>
    </row>
    <row r="315" ht="39.75" customHeight="1">
      <c r="A315" s="1">
        <v>314.0</v>
      </c>
      <c r="B315" s="2" t="s">
        <v>35</v>
      </c>
      <c r="C315" s="2" t="s">
        <v>69</v>
      </c>
      <c r="D315" s="13"/>
      <c r="E315" s="13"/>
      <c r="F315" s="44" t="s">
        <v>2367</v>
      </c>
      <c r="G315" s="43">
        <v>2.0</v>
      </c>
      <c r="H315" s="42"/>
      <c r="I315" s="43">
        <v>2.0</v>
      </c>
      <c r="J315" s="22"/>
      <c r="K315" s="42"/>
    </row>
    <row r="316" ht="39.75" customHeight="1">
      <c r="A316" s="1">
        <v>315.0</v>
      </c>
      <c r="B316" s="2" t="s">
        <v>36</v>
      </c>
      <c r="C316" s="2" t="s">
        <v>69</v>
      </c>
      <c r="D316" s="13"/>
      <c r="E316" s="13"/>
      <c r="F316" s="44" t="s">
        <v>2368</v>
      </c>
      <c r="G316" s="43">
        <v>1.0</v>
      </c>
      <c r="H316" s="42"/>
      <c r="I316" s="42"/>
      <c r="J316" s="22"/>
      <c r="K316" s="42"/>
    </row>
    <row r="317" ht="39.75" customHeight="1">
      <c r="A317" s="1">
        <v>316.0</v>
      </c>
      <c r="B317" s="2" t="s">
        <v>38</v>
      </c>
      <c r="C317" s="2"/>
      <c r="D317" s="13"/>
      <c r="E317" s="13"/>
      <c r="F317" s="44" t="s">
        <v>1389</v>
      </c>
      <c r="G317" s="43">
        <v>1.0</v>
      </c>
      <c r="H317" s="42"/>
      <c r="I317" s="43">
        <v>1.0</v>
      </c>
      <c r="J317" s="22"/>
      <c r="K317" s="42"/>
    </row>
    <row r="318" ht="39.75" hidden="1" customHeight="1">
      <c r="A318" s="1">
        <v>317.0</v>
      </c>
      <c r="B318" s="2" t="s">
        <v>41</v>
      </c>
      <c r="C318" s="2" t="s">
        <v>58</v>
      </c>
      <c r="D318" s="13"/>
      <c r="E318" s="13"/>
      <c r="F318" s="45"/>
      <c r="G318" s="42"/>
      <c r="H318" s="42"/>
      <c r="I318" s="42"/>
      <c r="J318" s="22"/>
      <c r="K318" s="42"/>
    </row>
    <row r="319" ht="39.75" customHeight="1">
      <c r="A319" s="1">
        <v>318.0</v>
      </c>
      <c r="B319" s="2" t="s">
        <v>42</v>
      </c>
      <c r="C319" s="2" t="s">
        <v>69</v>
      </c>
      <c r="D319" s="13"/>
      <c r="E319" s="13"/>
      <c r="F319" s="44" t="s">
        <v>2369</v>
      </c>
      <c r="G319" s="43">
        <v>3.0</v>
      </c>
      <c r="H319" s="42"/>
      <c r="I319" s="43">
        <v>1.0</v>
      </c>
      <c r="J319" s="22"/>
      <c r="K319" s="42"/>
    </row>
    <row r="320" ht="39.75" customHeight="1">
      <c r="A320" s="1">
        <v>319.0</v>
      </c>
      <c r="B320" s="2" t="s">
        <v>43</v>
      </c>
      <c r="C320" s="2" t="s">
        <v>39</v>
      </c>
      <c r="D320" s="13"/>
      <c r="E320" s="13"/>
      <c r="F320" s="80" t="s">
        <v>2370</v>
      </c>
      <c r="G320" s="43">
        <v>1.0</v>
      </c>
      <c r="H320" s="42"/>
      <c r="I320" s="42"/>
      <c r="J320" s="22"/>
      <c r="K320" s="42"/>
    </row>
    <row r="321" ht="39.75" hidden="1" customHeight="1">
      <c r="A321" s="1">
        <v>320.0</v>
      </c>
      <c r="B321" s="2" t="s">
        <v>45</v>
      </c>
      <c r="C321" s="2" t="s">
        <v>66</v>
      </c>
      <c r="D321" s="13"/>
      <c r="E321" s="13"/>
      <c r="F321" s="45"/>
      <c r="G321" s="42"/>
      <c r="H321" s="42"/>
      <c r="I321" s="42"/>
      <c r="J321" s="22"/>
      <c r="K321" s="42"/>
    </row>
    <row r="322" ht="39.75" customHeight="1">
      <c r="A322" s="1">
        <v>321.0</v>
      </c>
      <c r="B322" s="2" t="s">
        <v>46</v>
      </c>
      <c r="C322" s="2" t="s">
        <v>54</v>
      </c>
      <c r="D322" s="13"/>
      <c r="E322" s="13"/>
      <c r="F322" s="44" t="s">
        <v>2354</v>
      </c>
      <c r="G322" s="42"/>
      <c r="H322" s="42"/>
      <c r="I322" s="42"/>
      <c r="J322" s="22"/>
      <c r="K322" s="42"/>
    </row>
    <row r="323" ht="39.75" hidden="1" customHeight="1">
      <c r="A323" s="1">
        <v>322.0</v>
      </c>
      <c r="B323" s="2" t="s">
        <v>47</v>
      </c>
      <c r="C323" s="2" t="s">
        <v>58</v>
      </c>
      <c r="D323" s="13"/>
      <c r="E323" s="13"/>
      <c r="F323" s="45"/>
      <c r="G323" s="42"/>
      <c r="H323" s="42"/>
      <c r="I323" s="42"/>
      <c r="J323" s="22"/>
      <c r="K323" s="42"/>
    </row>
    <row r="324" ht="39.75" customHeight="1">
      <c r="A324" s="1">
        <v>323.0</v>
      </c>
      <c r="B324" s="2" t="s">
        <v>48</v>
      </c>
      <c r="C324" s="13"/>
      <c r="D324" s="13"/>
      <c r="E324" s="13"/>
      <c r="F324" s="44" t="s">
        <v>2354</v>
      </c>
      <c r="G324" s="42"/>
      <c r="H324" s="42"/>
      <c r="I324" s="42"/>
      <c r="J324" s="22"/>
      <c r="K324" s="42"/>
    </row>
    <row r="325" ht="39.75" customHeight="1">
      <c r="A325" s="1">
        <v>324.0</v>
      </c>
      <c r="B325" s="21"/>
      <c r="C325" s="21"/>
      <c r="D325" s="21"/>
      <c r="E325" s="21"/>
      <c r="F325" s="46"/>
      <c r="G325" s="47"/>
      <c r="H325" s="47"/>
      <c r="I325" s="47"/>
      <c r="J325" s="48"/>
      <c r="K325" s="47"/>
      <c r="L325" s="49"/>
      <c r="M325" s="49"/>
      <c r="N325" s="49"/>
    </row>
    <row r="326" ht="39.75" customHeight="1">
      <c r="A326" s="1">
        <v>325.0</v>
      </c>
      <c r="B326" s="2" t="s">
        <v>12</v>
      </c>
      <c r="C326" s="2" t="s">
        <v>62</v>
      </c>
      <c r="D326" s="13"/>
      <c r="E326" s="13"/>
      <c r="F326" s="45"/>
      <c r="G326" s="42"/>
      <c r="H326" s="42"/>
      <c r="I326" s="42"/>
      <c r="J326" s="27" t="s">
        <v>2231</v>
      </c>
      <c r="K326" s="42"/>
      <c r="L326" s="15" t="s">
        <v>244</v>
      </c>
    </row>
    <row r="327" ht="39.75" customHeight="1">
      <c r="A327" s="1">
        <v>326.0</v>
      </c>
      <c r="B327" s="2" t="s">
        <v>16</v>
      </c>
      <c r="C327" s="2" t="s">
        <v>69</v>
      </c>
      <c r="D327" s="13"/>
      <c r="E327" s="13"/>
      <c r="F327" s="44" t="s">
        <v>2371</v>
      </c>
      <c r="G327" s="43">
        <v>1.0</v>
      </c>
      <c r="H327" s="42"/>
      <c r="I327" s="42"/>
      <c r="J327" s="27" t="s">
        <v>244</v>
      </c>
      <c r="K327" s="43"/>
    </row>
    <row r="328" ht="39.75" customHeight="1">
      <c r="A328" s="1">
        <v>327.0</v>
      </c>
      <c r="B328" s="2" t="s">
        <v>17</v>
      </c>
      <c r="C328" s="2"/>
      <c r="D328" s="13"/>
      <c r="E328" s="13"/>
      <c r="F328" s="44" t="s">
        <v>1204</v>
      </c>
      <c r="G328" s="43">
        <v>1.0</v>
      </c>
      <c r="H328" s="42"/>
      <c r="I328" s="43">
        <v>1.0</v>
      </c>
      <c r="J328" s="27" t="s">
        <v>131</v>
      </c>
      <c r="K328" s="42"/>
    </row>
    <row r="329" ht="39.75" customHeight="1">
      <c r="A329" s="1">
        <v>328.0</v>
      </c>
      <c r="B329" s="2" t="s">
        <v>331</v>
      </c>
      <c r="C329" s="2" t="s">
        <v>542</v>
      </c>
      <c r="D329" s="13"/>
      <c r="E329" s="13"/>
      <c r="F329" s="44"/>
      <c r="G329" s="42"/>
      <c r="H329" s="42"/>
      <c r="I329" s="42"/>
      <c r="J329" s="22"/>
      <c r="K329" s="42"/>
    </row>
    <row r="330" ht="39.75" customHeight="1">
      <c r="A330" s="1">
        <v>329.0</v>
      </c>
      <c r="B330" s="2" t="s">
        <v>21</v>
      </c>
      <c r="C330" s="2" t="s">
        <v>63</v>
      </c>
      <c r="D330" s="13"/>
      <c r="E330" s="13"/>
      <c r="F330" s="45"/>
      <c r="G330" s="42"/>
      <c r="H330" s="42"/>
      <c r="I330" s="42"/>
      <c r="J330" s="22"/>
      <c r="K330" s="42"/>
    </row>
    <row r="331" ht="39.75" customHeight="1">
      <c r="A331" s="1">
        <v>330.0</v>
      </c>
      <c r="B331" s="2" t="s">
        <v>22</v>
      </c>
      <c r="C331" s="2" t="s">
        <v>54</v>
      </c>
      <c r="D331" s="13"/>
      <c r="E331" s="13"/>
      <c r="F331" s="44" t="s">
        <v>2372</v>
      </c>
      <c r="G331" s="43">
        <v>1.0</v>
      </c>
      <c r="H331" s="42"/>
      <c r="I331" s="42"/>
      <c r="J331" s="22"/>
      <c r="K331" s="42"/>
    </row>
    <row r="332" ht="39.75" customHeight="1">
      <c r="A332" s="1">
        <v>331.0</v>
      </c>
      <c r="B332" s="2" t="s">
        <v>23</v>
      </c>
      <c r="C332" s="2" t="s">
        <v>69</v>
      </c>
      <c r="D332" s="13"/>
      <c r="E332" s="13"/>
      <c r="F332" s="44" t="s">
        <v>2373</v>
      </c>
      <c r="G332" s="43">
        <v>1.0</v>
      </c>
      <c r="H332" s="42"/>
      <c r="I332" s="42"/>
      <c r="J332" s="22"/>
      <c r="K332" s="42"/>
    </row>
    <row r="333" ht="39.75" customHeight="1">
      <c r="A333" s="1">
        <v>332.0</v>
      </c>
      <c r="B333" s="2" t="s">
        <v>24</v>
      </c>
      <c r="C333" s="2"/>
      <c r="D333" s="13"/>
      <c r="E333" s="13"/>
      <c r="F333" s="45"/>
      <c r="G333" s="42"/>
      <c r="H333" s="42"/>
      <c r="I333" s="42"/>
      <c r="J333" s="22"/>
      <c r="K333" s="42"/>
    </row>
    <row r="334" ht="39.75" customHeight="1">
      <c r="A334" s="1">
        <v>333.0</v>
      </c>
      <c r="B334" s="2" t="s">
        <v>25</v>
      </c>
      <c r="C334" s="2"/>
      <c r="D334" s="13"/>
      <c r="E334" s="13"/>
      <c r="F334" s="44" t="s">
        <v>2374</v>
      </c>
      <c r="G334" s="43">
        <v>2.0</v>
      </c>
      <c r="H334" s="42"/>
      <c r="I334" s="43">
        <v>1.0</v>
      </c>
      <c r="J334" s="22"/>
      <c r="K334" s="42"/>
    </row>
    <row r="335" ht="39.75" customHeight="1">
      <c r="A335" s="1">
        <v>334.0</v>
      </c>
      <c r="B335" s="2" t="s">
        <v>26</v>
      </c>
      <c r="C335" s="2"/>
      <c r="D335" s="13"/>
      <c r="E335" s="13"/>
      <c r="F335" s="44" t="s">
        <v>1389</v>
      </c>
      <c r="G335" s="43">
        <v>1.0</v>
      </c>
      <c r="H335" s="42"/>
      <c r="I335" s="43">
        <v>1.0</v>
      </c>
      <c r="J335" s="22"/>
      <c r="K335" s="42"/>
    </row>
    <row r="336" ht="39.75" customHeight="1">
      <c r="A336" s="1">
        <v>335.0</v>
      </c>
      <c r="B336" s="2" t="s">
        <v>29</v>
      </c>
      <c r="C336" s="2" t="s">
        <v>44</v>
      </c>
      <c r="D336" s="13"/>
      <c r="E336" s="13"/>
      <c r="F336" s="45"/>
      <c r="G336" s="42"/>
      <c r="H336" s="42"/>
      <c r="I336" s="42"/>
      <c r="J336" s="22"/>
      <c r="K336" s="42"/>
    </row>
    <row r="337" ht="39.75" customHeight="1">
      <c r="A337" s="1">
        <v>336.0</v>
      </c>
      <c r="B337" s="2" t="s">
        <v>30</v>
      </c>
      <c r="C337" s="2" t="s">
        <v>64</v>
      </c>
      <c r="D337" s="13"/>
      <c r="E337" s="13"/>
      <c r="F337" s="44" t="s">
        <v>2375</v>
      </c>
      <c r="G337" s="43">
        <v>2.0</v>
      </c>
      <c r="H337" s="42"/>
      <c r="I337" s="43">
        <v>2.0</v>
      </c>
      <c r="J337" s="22"/>
      <c r="K337" s="42"/>
    </row>
    <row r="338" ht="39.75" customHeight="1">
      <c r="A338" s="1">
        <v>337.0</v>
      </c>
      <c r="B338" s="2" t="s">
        <v>31</v>
      </c>
      <c r="C338" s="2" t="s">
        <v>39</v>
      </c>
      <c r="D338" s="13"/>
      <c r="E338" s="13"/>
      <c r="F338" s="44" t="s">
        <v>2376</v>
      </c>
      <c r="G338" s="43">
        <v>1.0</v>
      </c>
      <c r="H338" s="42"/>
      <c r="I338" s="43">
        <v>1.0</v>
      </c>
      <c r="J338" s="22"/>
      <c r="K338" s="42"/>
    </row>
    <row r="339" ht="39.75" customHeight="1">
      <c r="A339" s="1">
        <v>338.0</v>
      </c>
      <c r="B339" s="2" t="s">
        <v>32</v>
      </c>
      <c r="C339" s="2" t="s">
        <v>54</v>
      </c>
      <c r="D339" s="13"/>
      <c r="E339" s="13"/>
      <c r="F339" s="80" t="s">
        <v>2377</v>
      </c>
      <c r="G339" s="43">
        <v>1.0</v>
      </c>
      <c r="H339" s="42"/>
      <c r="I339" s="42"/>
      <c r="J339" s="22"/>
      <c r="K339" s="42"/>
    </row>
    <row r="340" ht="39.75" customHeight="1">
      <c r="A340" s="1">
        <v>339.0</v>
      </c>
      <c r="B340" s="2" t="s">
        <v>67</v>
      </c>
      <c r="C340" s="2" t="s">
        <v>54</v>
      </c>
      <c r="D340" s="13"/>
      <c r="E340" s="13"/>
      <c r="F340" s="45"/>
      <c r="G340" s="42"/>
      <c r="H340" s="42"/>
      <c r="I340" s="42"/>
      <c r="J340" s="22"/>
      <c r="K340" s="42"/>
    </row>
    <row r="341" ht="39.75" customHeight="1">
      <c r="A341" s="1">
        <v>340.0</v>
      </c>
      <c r="B341" s="2" t="s">
        <v>34</v>
      </c>
      <c r="C341" s="2"/>
      <c r="D341" s="13"/>
      <c r="E341" s="51">
        <v>0.8958333333333334</v>
      </c>
      <c r="F341" s="44" t="s">
        <v>2366</v>
      </c>
      <c r="G341" s="43">
        <v>1.0</v>
      </c>
      <c r="H341" s="43">
        <v>1.0</v>
      </c>
      <c r="I341" s="42"/>
      <c r="J341" s="22"/>
      <c r="K341" s="42"/>
    </row>
    <row r="342" ht="39.75" customHeight="1">
      <c r="A342" s="1">
        <v>341.0</v>
      </c>
      <c r="B342" s="2" t="s">
        <v>35</v>
      </c>
      <c r="C342" s="2" t="s">
        <v>69</v>
      </c>
      <c r="D342" s="13"/>
      <c r="E342" s="13"/>
      <c r="F342" s="44" t="s">
        <v>2378</v>
      </c>
      <c r="G342" s="43"/>
      <c r="H342" s="42"/>
      <c r="I342" s="42"/>
      <c r="J342" s="22"/>
      <c r="K342" s="42"/>
    </row>
    <row r="343" ht="39.75" hidden="1" customHeight="1">
      <c r="A343" s="1">
        <v>342.0</v>
      </c>
      <c r="B343" s="2" t="s">
        <v>36</v>
      </c>
      <c r="C343" s="2" t="s">
        <v>66</v>
      </c>
      <c r="D343" s="13"/>
      <c r="E343" s="13"/>
      <c r="F343" s="45"/>
      <c r="G343" s="42"/>
      <c r="H343" s="42"/>
      <c r="I343" s="42"/>
      <c r="J343" s="22"/>
      <c r="K343" s="42"/>
    </row>
    <row r="344" ht="39.75" customHeight="1">
      <c r="A344" s="1">
        <v>343.0</v>
      </c>
      <c r="B344" s="2" t="s">
        <v>38</v>
      </c>
      <c r="C344" s="2"/>
      <c r="D344" s="13"/>
      <c r="E344" s="13"/>
      <c r="F344" s="44" t="s">
        <v>2379</v>
      </c>
      <c r="G344" s="43">
        <v>1.0</v>
      </c>
      <c r="H344" s="42"/>
      <c r="I344" s="42"/>
      <c r="J344" s="22"/>
      <c r="K344" s="42"/>
    </row>
    <row r="345" ht="39.75" hidden="1" customHeight="1">
      <c r="A345" s="1">
        <v>344.0</v>
      </c>
      <c r="B345" s="2" t="s">
        <v>41</v>
      </c>
      <c r="C345" s="2" t="s">
        <v>58</v>
      </c>
      <c r="D345" s="13"/>
      <c r="E345" s="13"/>
      <c r="F345" s="45"/>
      <c r="G345" s="42"/>
      <c r="H345" s="42"/>
      <c r="I345" s="42"/>
      <c r="J345" s="22"/>
      <c r="K345" s="42"/>
    </row>
    <row r="346" ht="39.75" customHeight="1">
      <c r="A346" s="1">
        <v>345.0</v>
      </c>
      <c r="B346" s="2" t="s">
        <v>42</v>
      </c>
      <c r="C346" s="2"/>
      <c r="D346" s="13"/>
      <c r="E346" s="13"/>
      <c r="F346" s="44" t="s">
        <v>2380</v>
      </c>
      <c r="G346" s="43">
        <v>1.0</v>
      </c>
      <c r="H346" s="42"/>
      <c r="I346" s="42"/>
      <c r="J346" s="22"/>
      <c r="K346" s="42"/>
    </row>
    <row r="347" ht="39.75" customHeight="1">
      <c r="A347" s="1">
        <v>346.0</v>
      </c>
      <c r="B347" s="2" t="s">
        <v>43</v>
      </c>
      <c r="C347" s="2" t="s">
        <v>27</v>
      </c>
      <c r="D347" s="13"/>
      <c r="E347" s="13"/>
      <c r="F347" s="44" t="s">
        <v>2381</v>
      </c>
      <c r="G347" s="43">
        <v>1.0</v>
      </c>
      <c r="H347" s="42"/>
      <c r="I347" s="42"/>
      <c r="J347" s="22"/>
      <c r="K347" s="42"/>
    </row>
    <row r="348" ht="39.75" customHeight="1">
      <c r="A348" s="1">
        <v>347.0</v>
      </c>
      <c r="B348" s="2" t="s">
        <v>45</v>
      </c>
      <c r="C348" s="2"/>
      <c r="D348" s="13"/>
      <c r="E348" s="13"/>
      <c r="F348" s="81" t="s">
        <v>2382</v>
      </c>
      <c r="G348" s="43">
        <v>1.0</v>
      </c>
      <c r="H348" s="42"/>
      <c r="I348" s="42"/>
      <c r="J348" s="22"/>
      <c r="K348" s="42"/>
    </row>
    <row r="349" ht="39.75" customHeight="1">
      <c r="A349" s="1">
        <v>348.0</v>
      </c>
      <c r="B349" s="2" t="s">
        <v>46</v>
      </c>
      <c r="C349" s="2" t="s">
        <v>54</v>
      </c>
      <c r="D349" s="13"/>
      <c r="E349" s="13"/>
      <c r="F349" s="44" t="s">
        <v>2383</v>
      </c>
      <c r="G349" s="43">
        <v>1.0</v>
      </c>
      <c r="H349" s="42"/>
      <c r="I349" s="42"/>
      <c r="J349" s="22"/>
      <c r="K349" s="42"/>
    </row>
    <row r="350" ht="39.75" hidden="1" customHeight="1">
      <c r="A350" s="1">
        <v>349.0</v>
      </c>
      <c r="B350" s="2" t="s">
        <v>47</v>
      </c>
      <c r="C350" s="2" t="s">
        <v>58</v>
      </c>
      <c r="D350" s="13"/>
      <c r="E350" s="13"/>
      <c r="F350" s="45"/>
      <c r="G350" s="42"/>
      <c r="H350" s="42"/>
      <c r="I350" s="42"/>
      <c r="J350" s="22"/>
      <c r="K350" s="42"/>
    </row>
    <row r="351" ht="39.75" hidden="1" customHeight="1">
      <c r="A351" s="1">
        <v>350.0</v>
      </c>
      <c r="B351" s="2" t="s">
        <v>48</v>
      </c>
      <c r="C351" s="2" t="s">
        <v>58</v>
      </c>
      <c r="D351" s="13"/>
      <c r="E351" s="13"/>
      <c r="F351" s="45"/>
      <c r="G351" s="42"/>
      <c r="H351" s="42"/>
      <c r="I351" s="42"/>
      <c r="J351" s="22"/>
      <c r="K351" s="42"/>
    </row>
    <row r="352" ht="39.75" customHeight="1">
      <c r="A352" s="1">
        <v>351.0</v>
      </c>
      <c r="B352" s="21"/>
      <c r="C352" s="21"/>
      <c r="D352" s="21"/>
      <c r="E352" s="21"/>
      <c r="F352" s="46"/>
      <c r="G352" s="47"/>
      <c r="H352" s="47"/>
      <c r="I352" s="47"/>
      <c r="J352" s="48"/>
      <c r="K352" s="47"/>
      <c r="L352" s="49"/>
      <c r="M352" s="49"/>
      <c r="N352" s="49"/>
    </row>
    <row r="353" ht="39.75" customHeight="1">
      <c r="A353" s="1">
        <v>352.0</v>
      </c>
      <c r="B353" s="2" t="s">
        <v>12</v>
      </c>
      <c r="C353" s="2" t="s">
        <v>27</v>
      </c>
      <c r="D353" s="13"/>
      <c r="E353" s="13"/>
      <c r="F353" s="45"/>
      <c r="G353" s="42"/>
      <c r="H353" s="42"/>
      <c r="I353" s="42"/>
      <c r="J353" s="27" t="s">
        <v>2231</v>
      </c>
      <c r="K353" s="42"/>
      <c r="L353" s="15" t="s">
        <v>260</v>
      </c>
    </row>
    <row r="354" ht="39.75" hidden="1" customHeight="1">
      <c r="A354" s="1">
        <v>353.0</v>
      </c>
      <c r="B354" s="2" t="s">
        <v>16</v>
      </c>
      <c r="C354" s="2" t="s">
        <v>13</v>
      </c>
      <c r="D354" s="13"/>
      <c r="E354" s="13"/>
      <c r="F354" s="45"/>
      <c r="G354" s="42"/>
      <c r="H354" s="42"/>
      <c r="I354" s="42"/>
      <c r="J354" s="27" t="s">
        <v>260</v>
      </c>
      <c r="K354" s="43"/>
    </row>
    <row r="355" ht="39.75" hidden="1" customHeight="1">
      <c r="A355" s="1">
        <v>354.0</v>
      </c>
      <c r="B355" s="2" t="s">
        <v>17</v>
      </c>
      <c r="C355" s="2" t="s">
        <v>13</v>
      </c>
      <c r="D355" s="13"/>
      <c r="E355" s="13"/>
      <c r="F355" s="45"/>
      <c r="G355" s="42"/>
      <c r="H355" s="42"/>
      <c r="I355" s="42"/>
      <c r="J355" s="27" t="s">
        <v>149</v>
      </c>
      <c r="K355" s="42"/>
    </row>
    <row r="356" ht="39.75" customHeight="1">
      <c r="A356" s="1">
        <v>355.0</v>
      </c>
      <c r="B356" s="2" t="s">
        <v>331</v>
      </c>
      <c r="C356" s="13"/>
      <c r="D356" s="40">
        <v>0.375</v>
      </c>
      <c r="E356" s="13"/>
      <c r="F356" s="44"/>
      <c r="G356" s="42"/>
      <c r="H356" s="42"/>
      <c r="I356" s="42"/>
      <c r="J356" s="27" t="s">
        <v>410</v>
      </c>
      <c r="K356" s="42"/>
    </row>
    <row r="357" ht="39.75" customHeight="1">
      <c r="A357" s="1">
        <v>356.0</v>
      </c>
      <c r="B357" s="2" t="s">
        <v>268</v>
      </c>
      <c r="C357" s="2" t="s">
        <v>63</v>
      </c>
      <c r="D357" s="13"/>
      <c r="E357" s="13"/>
      <c r="F357" s="45"/>
      <c r="G357" s="42"/>
      <c r="H357" s="42"/>
      <c r="I357" s="42"/>
      <c r="J357" s="27" t="s">
        <v>412</v>
      </c>
      <c r="K357" s="42"/>
    </row>
    <row r="358" ht="39.75" customHeight="1">
      <c r="A358" s="1">
        <v>357.0</v>
      </c>
      <c r="B358" s="2" t="s">
        <v>266</v>
      </c>
      <c r="C358" s="2" t="s">
        <v>272</v>
      </c>
      <c r="D358" s="13"/>
      <c r="E358" s="13"/>
      <c r="F358" s="45"/>
      <c r="G358" s="42"/>
      <c r="H358" s="42"/>
      <c r="I358" s="42"/>
      <c r="J358" s="27" t="s">
        <v>413</v>
      </c>
      <c r="K358" s="42"/>
    </row>
    <row r="359" ht="39.75" hidden="1" customHeight="1">
      <c r="A359" s="1">
        <v>358.0</v>
      </c>
      <c r="B359" s="2" t="s">
        <v>23</v>
      </c>
      <c r="C359" s="2" t="s">
        <v>13</v>
      </c>
      <c r="D359" s="13"/>
      <c r="E359" s="13"/>
      <c r="F359" s="45"/>
      <c r="G359" s="42"/>
      <c r="H359" s="42"/>
      <c r="I359" s="42"/>
      <c r="J359" s="22"/>
      <c r="K359" s="42"/>
    </row>
    <row r="360" ht="39.75" hidden="1" customHeight="1">
      <c r="A360" s="1">
        <v>359.0</v>
      </c>
      <c r="B360" s="2" t="s">
        <v>24</v>
      </c>
      <c r="C360" s="2" t="s">
        <v>13</v>
      </c>
      <c r="D360" s="13"/>
      <c r="E360" s="13"/>
      <c r="F360" s="45"/>
      <c r="G360" s="42"/>
      <c r="H360" s="42"/>
      <c r="I360" s="42"/>
      <c r="J360" s="22"/>
      <c r="K360" s="42"/>
    </row>
    <row r="361" ht="39.75" hidden="1" customHeight="1">
      <c r="A361" s="1">
        <v>360.0</v>
      </c>
      <c r="B361" s="2" t="s">
        <v>25</v>
      </c>
      <c r="C361" s="2" t="s">
        <v>13</v>
      </c>
      <c r="D361" s="13"/>
      <c r="E361" s="13"/>
      <c r="F361" s="45"/>
      <c r="G361" s="42"/>
      <c r="H361" s="42"/>
      <c r="I361" s="42"/>
      <c r="J361" s="22"/>
      <c r="K361" s="42"/>
    </row>
    <row r="362" ht="39.75" hidden="1" customHeight="1">
      <c r="A362" s="1">
        <v>361.0</v>
      </c>
      <c r="B362" s="2" t="s">
        <v>26</v>
      </c>
      <c r="C362" s="2" t="s">
        <v>13</v>
      </c>
      <c r="D362" s="13"/>
      <c r="E362" s="13"/>
      <c r="F362" s="45"/>
      <c r="G362" s="42"/>
      <c r="H362" s="42"/>
      <c r="I362" s="42"/>
      <c r="J362" s="22"/>
      <c r="K362" s="42"/>
    </row>
    <row r="363" ht="39.75" hidden="1" customHeight="1">
      <c r="A363" s="1">
        <v>362.0</v>
      </c>
      <c r="B363" s="2" t="s">
        <v>29</v>
      </c>
      <c r="C363" s="2" t="s">
        <v>13</v>
      </c>
      <c r="D363" s="13"/>
      <c r="E363" s="13"/>
      <c r="F363" s="45"/>
      <c r="G363" s="42"/>
      <c r="H363" s="42"/>
      <c r="I363" s="42"/>
      <c r="J363" s="22"/>
      <c r="K363" s="42"/>
    </row>
    <row r="364" ht="39.75" hidden="1" customHeight="1">
      <c r="A364" s="1">
        <v>363.0</v>
      </c>
      <c r="B364" s="2" t="s">
        <v>30</v>
      </c>
      <c r="C364" s="2" t="s">
        <v>13</v>
      </c>
      <c r="D364" s="13"/>
      <c r="E364" s="13"/>
      <c r="F364" s="45"/>
      <c r="G364" s="42"/>
      <c r="H364" s="42"/>
      <c r="I364" s="42"/>
      <c r="J364" s="22"/>
      <c r="K364" s="42"/>
    </row>
    <row r="365" ht="39.75" hidden="1" customHeight="1">
      <c r="A365" s="1">
        <v>364.0</v>
      </c>
      <c r="B365" s="2" t="s">
        <v>31</v>
      </c>
      <c r="C365" s="2" t="s">
        <v>13</v>
      </c>
      <c r="D365" s="13"/>
      <c r="E365" s="13"/>
      <c r="F365" s="45"/>
      <c r="G365" s="42"/>
      <c r="H365" s="42"/>
      <c r="I365" s="42"/>
      <c r="J365" s="22"/>
      <c r="K365" s="42"/>
    </row>
    <row r="366" ht="39.75" hidden="1" customHeight="1">
      <c r="A366" s="1">
        <v>365.0</v>
      </c>
      <c r="B366" s="2" t="s">
        <v>32</v>
      </c>
      <c r="C366" s="2" t="s">
        <v>13</v>
      </c>
      <c r="D366" s="13"/>
      <c r="E366" s="13"/>
      <c r="F366" s="45"/>
      <c r="G366" s="42"/>
      <c r="H366" s="42"/>
      <c r="I366" s="42"/>
      <c r="J366" s="22"/>
      <c r="K366" s="42"/>
    </row>
    <row r="367" ht="39.75" customHeight="1">
      <c r="A367" s="1">
        <v>366.0</v>
      </c>
      <c r="B367" s="2" t="s">
        <v>67</v>
      </c>
      <c r="C367" s="2" t="s">
        <v>39</v>
      </c>
      <c r="D367" s="13"/>
      <c r="E367" s="13"/>
      <c r="F367" s="44" t="s">
        <v>2384</v>
      </c>
      <c r="G367" s="43">
        <v>1.0</v>
      </c>
      <c r="H367" s="42"/>
      <c r="I367" s="42"/>
      <c r="J367" s="22"/>
      <c r="K367" s="42"/>
    </row>
    <row r="368" ht="39.75" customHeight="1">
      <c r="A368" s="1">
        <v>367.0</v>
      </c>
      <c r="B368" s="2" t="s">
        <v>34</v>
      </c>
      <c r="C368" s="2" t="s">
        <v>49</v>
      </c>
      <c r="D368" s="13"/>
      <c r="E368" s="13"/>
      <c r="F368" s="44" t="s">
        <v>2385</v>
      </c>
      <c r="G368" s="43">
        <v>1.0</v>
      </c>
      <c r="H368" s="42"/>
      <c r="I368" s="42"/>
      <c r="J368" s="22"/>
      <c r="K368" s="42"/>
    </row>
    <row r="369" ht="39.75" hidden="1" customHeight="1">
      <c r="A369" s="1">
        <v>368.0</v>
      </c>
      <c r="B369" s="2" t="s">
        <v>35</v>
      </c>
      <c r="C369" s="2" t="s">
        <v>13</v>
      </c>
      <c r="D369" s="13"/>
      <c r="E369" s="13"/>
      <c r="F369" s="45"/>
      <c r="G369" s="42"/>
      <c r="H369" s="42"/>
      <c r="I369" s="42"/>
      <c r="J369" s="22"/>
      <c r="K369" s="42"/>
    </row>
    <row r="370" ht="39.75" hidden="1" customHeight="1">
      <c r="A370" s="1">
        <v>369.0</v>
      </c>
      <c r="B370" s="2" t="s">
        <v>36</v>
      </c>
      <c r="C370" s="2" t="s">
        <v>13</v>
      </c>
      <c r="D370" s="13"/>
      <c r="E370" s="13"/>
      <c r="F370" s="45"/>
      <c r="G370" s="42"/>
      <c r="H370" s="42"/>
      <c r="I370" s="42"/>
      <c r="J370" s="22"/>
      <c r="K370" s="42"/>
    </row>
    <row r="371" ht="39.75" hidden="1" customHeight="1">
      <c r="A371" s="1">
        <v>370.0</v>
      </c>
      <c r="B371" s="2" t="s">
        <v>38</v>
      </c>
      <c r="C371" s="2" t="s">
        <v>13</v>
      </c>
      <c r="D371" s="13"/>
      <c r="E371" s="13"/>
      <c r="F371" s="45"/>
      <c r="G371" s="42"/>
      <c r="H371" s="42"/>
      <c r="I371" s="42"/>
      <c r="J371" s="22"/>
      <c r="K371" s="42"/>
    </row>
    <row r="372" ht="39.75" hidden="1" customHeight="1">
      <c r="A372" s="1">
        <v>371.0</v>
      </c>
      <c r="B372" s="2" t="s">
        <v>41</v>
      </c>
      <c r="C372" s="2" t="s">
        <v>13</v>
      </c>
      <c r="D372" s="13"/>
      <c r="E372" s="13"/>
      <c r="F372" s="45"/>
      <c r="G372" s="42"/>
      <c r="H372" s="42"/>
      <c r="I372" s="42"/>
      <c r="J372" s="22"/>
      <c r="K372" s="42"/>
    </row>
    <row r="373" ht="39.75" hidden="1" customHeight="1">
      <c r="A373" s="1">
        <v>372.0</v>
      </c>
      <c r="B373" s="2" t="s">
        <v>42</v>
      </c>
      <c r="C373" s="2" t="s">
        <v>13</v>
      </c>
      <c r="D373" s="13"/>
      <c r="E373" s="13"/>
      <c r="F373" s="45"/>
      <c r="G373" s="42"/>
      <c r="H373" s="42"/>
      <c r="I373" s="42"/>
      <c r="J373" s="22"/>
      <c r="K373" s="42"/>
    </row>
    <row r="374" ht="39.75" customHeight="1">
      <c r="A374" s="1">
        <v>373.0</v>
      </c>
      <c r="B374" s="2" t="s">
        <v>43</v>
      </c>
      <c r="C374" s="2" t="s">
        <v>44</v>
      </c>
      <c r="D374" s="13"/>
      <c r="E374" s="13"/>
      <c r="F374" s="45"/>
      <c r="G374" s="42"/>
      <c r="H374" s="42"/>
      <c r="I374" s="42"/>
      <c r="J374" s="22"/>
      <c r="K374" s="42"/>
    </row>
    <row r="375" ht="39.75" hidden="1" customHeight="1">
      <c r="A375" s="1">
        <v>374.0</v>
      </c>
      <c r="B375" s="2" t="s">
        <v>45</v>
      </c>
      <c r="C375" s="2" t="s">
        <v>13</v>
      </c>
      <c r="D375" s="13"/>
      <c r="E375" s="13"/>
      <c r="F375" s="45"/>
      <c r="G375" s="42"/>
      <c r="H375" s="42"/>
      <c r="I375" s="42"/>
      <c r="J375" s="22"/>
      <c r="K375" s="42"/>
    </row>
    <row r="376" ht="39.75" customHeight="1">
      <c r="A376" s="1">
        <v>375.0</v>
      </c>
      <c r="B376" s="2" t="s">
        <v>46</v>
      </c>
      <c r="C376" s="13"/>
      <c r="D376" s="40">
        <v>0.375</v>
      </c>
      <c r="E376" s="13"/>
      <c r="F376" s="44" t="s">
        <v>2386</v>
      </c>
      <c r="G376" s="43">
        <v>1.0</v>
      </c>
      <c r="H376" s="42"/>
      <c r="I376" s="43">
        <v>1.0</v>
      </c>
      <c r="J376" s="22"/>
      <c r="K376" s="42"/>
    </row>
    <row r="377" ht="39.75" hidden="1" customHeight="1">
      <c r="A377" s="1">
        <v>376.0</v>
      </c>
      <c r="B377" s="2" t="s">
        <v>47</v>
      </c>
      <c r="C377" s="2" t="s">
        <v>13</v>
      </c>
      <c r="D377" s="13"/>
      <c r="E377" s="13"/>
      <c r="F377" s="45"/>
      <c r="G377" s="42"/>
      <c r="H377" s="42"/>
      <c r="I377" s="42"/>
      <c r="J377" s="22"/>
      <c r="K377" s="42"/>
    </row>
    <row r="378" ht="39.75" hidden="1" customHeight="1">
      <c r="A378" s="1">
        <v>377.0</v>
      </c>
      <c r="B378" s="2" t="s">
        <v>48</v>
      </c>
      <c r="C378" s="2" t="s">
        <v>13</v>
      </c>
      <c r="D378" s="13"/>
      <c r="E378" s="13"/>
      <c r="F378" s="45"/>
      <c r="G378" s="42"/>
      <c r="H378" s="42"/>
      <c r="I378" s="42"/>
      <c r="J378" s="22"/>
      <c r="K378" s="42"/>
    </row>
    <row r="379" ht="39.75" customHeight="1">
      <c r="A379" s="1">
        <v>378.0</v>
      </c>
      <c r="B379" s="21"/>
      <c r="C379" s="21"/>
      <c r="D379" s="21"/>
      <c r="E379" s="21"/>
      <c r="F379" s="46"/>
      <c r="G379" s="47"/>
      <c r="H379" s="47"/>
      <c r="I379" s="47"/>
      <c r="J379" s="48"/>
      <c r="K379" s="47"/>
      <c r="L379" s="49"/>
      <c r="M379" s="49"/>
      <c r="N379" s="49"/>
    </row>
    <row r="380" ht="39.75" customHeight="1">
      <c r="A380" s="1">
        <v>379.0</v>
      </c>
      <c r="B380" s="2" t="s">
        <v>12</v>
      </c>
      <c r="C380" s="2" t="s">
        <v>44</v>
      </c>
      <c r="D380" s="13"/>
      <c r="E380" s="13"/>
      <c r="F380" s="45"/>
      <c r="G380" s="42"/>
      <c r="H380" s="42"/>
      <c r="I380" s="42"/>
      <c r="J380" s="27" t="s">
        <v>2231</v>
      </c>
      <c r="K380" s="42"/>
      <c r="L380" s="15" t="s">
        <v>269</v>
      </c>
    </row>
    <row r="381" ht="39.75" hidden="1" customHeight="1">
      <c r="A381" s="1">
        <v>380.0</v>
      </c>
      <c r="B381" s="2" t="s">
        <v>16</v>
      </c>
      <c r="C381" s="2" t="s">
        <v>13</v>
      </c>
      <c r="D381" s="13"/>
      <c r="E381" s="13"/>
      <c r="F381" s="45"/>
      <c r="G381" s="42"/>
      <c r="H381" s="42"/>
      <c r="I381" s="42"/>
      <c r="J381" s="27" t="s">
        <v>269</v>
      </c>
      <c r="K381" s="43"/>
    </row>
    <row r="382" ht="39.75" customHeight="1">
      <c r="A382" s="1">
        <v>381.0</v>
      </c>
      <c r="B382" s="2" t="s">
        <v>17</v>
      </c>
      <c r="C382" s="2" t="s">
        <v>27</v>
      </c>
      <c r="D382" s="13"/>
      <c r="E382" s="13"/>
      <c r="F382" s="44" t="s">
        <v>2387</v>
      </c>
      <c r="G382" s="43">
        <v>1.0</v>
      </c>
      <c r="H382" s="42"/>
      <c r="I382" s="43">
        <v>1.0</v>
      </c>
      <c r="J382" s="27" t="s">
        <v>19</v>
      </c>
      <c r="K382" s="42"/>
    </row>
    <row r="383" ht="39.75" hidden="1" customHeight="1">
      <c r="A383" s="1">
        <v>382.0</v>
      </c>
      <c r="B383" s="2" t="s">
        <v>331</v>
      </c>
      <c r="C383" s="2" t="s">
        <v>13</v>
      </c>
      <c r="D383" s="13"/>
      <c r="E383" s="13"/>
      <c r="F383" s="44"/>
      <c r="G383" s="42"/>
      <c r="H383" s="42"/>
      <c r="I383" s="42"/>
      <c r="J383" s="27" t="s">
        <v>262</v>
      </c>
      <c r="K383" s="42"/>
    </row>
    <row r="384" ht="39.75" customHeight="1">
      <c r="A384" s="1">
        <v>383.0</v>
      </c>
      <c r="B384" s="2" t="s">
        <v>268</v>
      </c>
      <c r="C384" s="2" t="s">
        <v>63</v>
      </c>
      <c r="D384" s="13"/>
      <c r="E384" s="40"/>
      <c r="F384" s="44" t="s">
        <v>2388</v>
      </c>
      <c r="G384" s="43">
        <v>2.0</v>
      </c>
      <c r="H384" s="42"/>
      <c r="I384" s="43">
        <v>1.0</v>
      </c>
      <c r="J384" s="27" t="s">
        <v>264</v>
      </c>
      <c r="K384" s="42"/>
    </row>
    <row r="385" ht="39.75" hidden="1" customHeight="1">
      <c r="A385" s="1">
        <v>384.0</v>
      </c>
      <c r="B385" s="2" t="s">
        <v>22</v>
      </c>
      <c r="C385" s="2" t="s">
        <v>13</v>
      </c>
      <c r="D385" s="13"/>
      <c r="E385" s="13"/>
      <c r="F385" s="45"/>
      <c r="G385" s="42"/>
      <c r="H385" s="42"/>
      <c r="I385" s="42"/>
      <c r="J385" s="27" t="s">
        <v>265</v>
      </c>
      <c r="K385" s="42"/>
    </row>
    <row r="386" ht="39.75" hidden="1" customHeight="1">
      <c r="A386" s="1">
        <v>385.0</v>
      </c>
      <c r="B386" s="2" t="s">
        <v>23</v>
      </c>
      <c r="C386" s="2" t="s">
        <v>13</v>
      </c>
      <c r="D386" s="13"/>
      <c r="E386" s="13"/>
      <c r="F386" s="45"/>
      <c r="G386" s="42"/>
      <c r="H386" s="42"/>
      <c r="I386" s="42"/>
      <c r="J386" s="22"/>
      <c r="K386" s="42"/>
    </row>
    <row r="387" ht="39.75" hidden="1" customHeight="1">
      <c r="A387" s="1">
        <v>386.0</v>
      </c>
      <c r="B387" s="2" t="s">
        <v>24</v>
      </c>
      <c r="C387" s="2" t="s">
        <v>13</v>
      </c>
      <c r="D387" s="13"/>
      <c r="E387" s="13"/>
      <c r="F387" s="45"/>
      <c r="G387" s="42"/>
      <c r="H387" s="42"/>
      <c r="I387" s="42"/>
      <c r="J387" s="22"/>
      <c r="K387" s="42"/>
    </row>
    <row r="388" ht="39.75" hidden="1" customHeight="1">
      <c r="A388" s="1">
        <v>387.0</v>
      </c>
      <c r="B388" s="2" t="s">
        <v>25</v>
      </c>
      <c r="C388" s="2" t="s">
        <v>13</v>
      </c>
      <c r="D388" s="13"/>
      <c r="E388" s="13"/>
      <c r="F388" s="45"/>
      <c r="G388" s="42"/>
      <c r="H388" s="42"/>
      <c r="I388" s="42"/>
      <c r="J388" s="22"/>
      <c r="K388" s="42"/>
    </row>
    <row r="389" ht="39.75" customHeight="1">
      <c r="A389" s="1">
        <v>388.0</v>
      </c>
      <c r="B389" s="2" t="s">
        <v>26</v>
      </c>
      <c r="C389" s="2"/>
      <c r="D389" s="40">
        <v>0.375</v>
      </c>
      <c r="E389" s="13"/>
      <c r="F389" s="45"/>
      <c r="G389" s="42"/>
      <c r="H389" s="42"/>
      <c r="I389" s="42"/>
      <c r="J389" s="22"/>
      <c r="K389" s="42"/>
    </row>
    <row r="390" ht="39.75" customHeight="1">
      <c r="A390" s="1">
        <v>389.0</v>
      </c>
      <c r="B390" s="2" t="s">
        <v>29</v>
      </c>
      <c r="C390" s="2" t="s">
        <v>39</v>
      </c>
      <c r="D390" s="13"/>
      <c r="E390" s="13"/>
      <c r="F390" s="44" t="s">
        <v>2389</v>
      </c>
      <c r="G390" s="43">
        <v>1.0</v>
      </c>
      <c r="H390" s="42"/>
      <c r="I390" s="43">
        <v>1.0</v>
      </c>
      <c r="J390" s="22"/>
      <c r="K390" s="42"/>
    </row>
    <row r="391" ht="39.75" hidden="1" customHeight="1">
      <c r="A391" s="1">
        <v>390.0</v>
      </c>
      <c r="B391" s="2" t="s">
        <v>30</v>
      </c>
      <c r="C391" s="2" t="s">
        <v>13</v>
      </c>
      <c r="D391" s="13"/>
      <c r="E391" s="13"/>
      <c r="F391" s="45"/>
      <c r="G391" s="42"/>
      <c r="H391" s="42"/>
      <c r="I391" s="42"/>
      <c r="J391" s="22"/>
      <c r="K391" s="42"/>
    </row>
    <row r="392" ht="39.75" customHeight="1">
      <c r="A392" s="1">
        <v>391.0</v>
      </c>
      <c r="B392" s="2" t="s">
        <v>31</v>
      </c>
      <c r="C392" s="2" t="s">
        <v>49</v>
      </c>
      <c r="D392" s="13"/>
      <c r="E392" s="13"/>
      <c r="F392" s="45"/>
      <c r="G392" s="42"/>
      <c r="H392" s="42"/>
      <c r="I392" s="42"/>
      <c r="J392" s="22"/>
      <c r="K392" s="42"/>
    </row>
    <row r="393" ht="39.75" hidden="1" customHeight="1">
      <c r="A393" s="1">
        <v>392.0</v>
      </c>
      <c r="B393" s="2" t="s">
        <v>32</v>
      </c>
      <c r="C393" s="2" t="s">
        <v>13</v>
      </c>
      <c r="D393" s="13"/>
      <c r="E393" s="13"/>
      <c r="F393" s="45"/>
      <c r="G393" s="42"/>
      <c r="H393" s="42"/>
      <c r="I393" s="42"/>
      <c r="J393" s="22"/>
      <c r="K393" s="42"/>
    </row>
    <row r="394" ht="39.75" hidden="1" customHeight="1">
      <c r="A394" s="1">
        <v>393.0</v>
      </c>
      <c r="B394" s="2" t="s">
        <v>67</v>
      </c>
      <c r="C394" s="2" t="s">
        <v>13</v>
      </c>
      <c r="D394" s="13"/>
      <c r="E394" s="13"/>
      <c r="F394" s="45"/>
      <c r="G394" s="42"/>
      <c r="H394" s="42"/>
      <c r="I394" s="42"/>
      <c r="J394" s="22"/>
      <c r="K394" s="42"/>
    </row>
    <row r="395" ht="39.75" hidden="1" customHeight="1">
      <c r="A395" s="1">
        <v>394.0</v>
      </c>
      <c r="B395" s="2" t="s">
        <v>34</v>
      </c>
      <c r="C395" s="2" t="s">
        <v>13</v>
      </c>
      <c r="D395" s="13"/>
      <c r="E395" s="13"/>
      <c r="F395" s="45"/>
      <c r="G395" s="42"/>
      <c r="H395" s="42"/>
      <c r="I395" s="42"/>
      <c r="J395" s="22"/>
      <c r="K395" s="42"/>
    </row>
    <row r="396" ht="39.75" customHeight="1">
      <c r="A396" s="1">
        <v>395.0</v>
      </c>
      <c r="B396" s="2" t="s">
        <v>35</v>
      </c>
      <c r="C396" s="2"/>
      <c r="D396" s="40">
        <v>0.375</v>
      </c>
      <c r="E396" s="13"/>
      <c r="F396" s="45"/>
      <c r="G396" s="42"/>
      <c r="H396" s="42"/>
      <c r="I396" s="42"/>
      <c r="J396" s="22"/>
      <c r="K396" s="42"/>
    </row>
    <row r="397" ht="39.75" hidden="1" customHeight="1">
      <c r="A397" s="1">
        <v>396.0</v>
      </c>
      <c r="B397" s="2" t="s">
        <v>36</v>
      </c>
      <c r="C397" s="2" t="s">
        <v>13</v>
      </c>
      <c r="D397" s="13"/>
      <c r="E397" s="13"/>
      <c r="F397" s="45"/>
      <c r="G397" s="42"/>
      <c r="H397" s="42"/>
      <c r="I397" s="42"/>
      <c r="J397" s="22"/>
      <c r="K397" s="42"/>
    </row>
    <row r="398" ht="39.75" hidden="1" customHeight="1">
      <c r="A398" s="1">
        <v>397.0</v>
      </c>
      <c r="B398" s="2" t="s">
        <v>38</v>
      </c>
      <c r="C398" s="2" t="s">
        <v>13</v>
      </c>
      <c r="D398" s="13"/>
      <c r="E398" s="13"/>
      <c r="F398" s="45"/>
      <c r="G398" s="42"/>
      <c r="H398" s="42"/>
      <c r="I398" s="42"/>
      <c r="J398" s="22"/>
      <c r="K398" s="42"/>
    </row>
    <row r="399" ht="39.75" hidden="1" customHeight="1">
      <c r="A399" s="1">
        <v>398.0</v>
      </c>
      <c r="B399" s="2" t="s">
        <v>41</v>
      </c>
      <c r="C399" s="2" t="s">
        <v>13</v>
      </c>
      <c r="D399" s="13"/>
      <c r="E399" s="13"/>
      <c r="F399" s="45"/>
      <c r="G399" s="42"/>
      <c r="H399" s="42"/>
      <c r="I399" s="42"/>
      <c r="J399" s="22"/>
      <c r="K399" s="42"/>
    </row>
    <row r="400" ht="39.75" hidden="1" customHeight="1">
      <c r="A400" s="1">
        <v>399.0</v>
      </c>
      <c r="B400" s="2" t="s">
        <v>42</v>
      </c>
      <c r="C400" s="2" t="s">
        <v>13</v>
      </c>
      <c r="D400" s="13"/>
      <c r="E400" s="13"/>
      <c r="F400" s="45"/>
      <c r="G400" s="42"/>
      <c r="H400" s="42"/>
      <c r="I400" s="42"/>
      <c r="J400" s="22"/>
      <c r="K400" s="42"/>
    </row>
    <row r="401" ht="39.75" customHeight="1">
      <c r="A401" s="1">
        <v>400.0</v>
      </c>
      <c r="B401" s="2" t="s">
        <v>267</v>
      </c>
      <c r="C401" s="2" t="s">
        <v>272</v>
      </c>
      <c r="D401" s="13"/>
      <c r="E401" s="13"/>
      <c r="F401" s="44" t="s">
        <v>2390</v>
      </c>
      <c r="G401" s="43">
        <v>3.0</v>
      </c>
      <c r="H401" s="42"/>
      <c r="I401" s="43">
        <v>3.0</v>
      </c>
      <c r="J401" s="22"/>
      <c r="K401" s="42"/>
    </row>
    <row r="402" ht="39.75" hidden="1" customHeight="1">
      <c r="A402" s="1">
        <v>401.0</v>
      </c>
      <c r="B402" s="2" t="s">
        <v>45</v>
      </c>
      <c r="C402" s="2" t="s">
        <v>13</v>
      </c>
      <c r="D402" s="13"/>
      <c r="E402" s="13"/>
      <c r="F402" s="45"/>
      <c r="G402" s="42"/>
      <c r="H402" s="42"/>
      <c r="I402" s="42"/>
      <c r="J402" s="22"/>
      <c r="K402" s="42"/>
    </row>
    <row r="403" ht="39.75" hidden="1" customHeight="1">
      <c r="A403" s="1">
        <v>402.0</v>
      </c>
      <c r="B403" s="2" t="s">
        <v>46</v>
      </c>
      <c r="C403" s="2" t="s">
        <v>13</v>
      </c>
      <c r="D403" s="13"/>
      <c r="E403" s="13"/>
      <c r="F403" s="45"/>
      <c r="G403" s="42"/>
      <c r="H403" s="42"/>
      <c r="I403" s="42"/>
      <c r="J403" s="22"/>
      <c r="K403" s="42"/>
    </row>
    <row r="404" ht="39.75" hidden="1" customHeight="1">
      <c r="A404" s="1">
        <v>403.0</v>
      </c>
      <c r="B404" s="2" t="s">
        <v>47</v>
      </c>
      <c r="C404" s="2" t="s">
        <v>13</v>
      </c>
      <c r="D404" s="13"/>
      <c r="E404" s="13"/>
      <c r="F404" s="45"/>
      <c r="G404" s="42"/>
      <c r="H404" s="42"/>
      <c r="I404" s="42"/>
      <c r="J404" s="22"/>
      <c r="K404" s="42"/>
    </row>
    <row r="405" ht="39.75" hidden="1" customHeight="1">
      <c r="A405" s="1">
        <v>404.0</v>
      </c>
      <c r="B405" s="2" t="s">
        <v>48</v>
      </c>
      <c r="C405" s="2" t="s">
        <v>13</v>
      </c>
      <c r="D405" s="13"/>
      <c r="E405" s="13"/>
      <c r="F405" s="45"/>
      <c r="G405" s="42"/>
      <c r="H405" s="42"/>
      <c r="I405" s="42"/>
      <c r="J405" s="22"/>
      <c r="K405" s="42"/>
    </row>
    <row r="406" ht="39.75" customHeight="1">
      <c r="A406" s="1">
        <v>405.0</v>
      </c>
      <c r="B406" s="21"/>
      <c r="C406" s="21"/>
      <c r="D406" s="21"/>
      <c r="E406" s="21"/>
      <c r="F406" s="46"/>
      <c r="G406" s="47"/>
      <c r="H406" s="47"/>
      <c r="I406" s="47"/>
      <c r="J406" s="48"/>
      <c r="K406" s="47"/>
      <c r="L406" s="49"/>
      <c r="M406" s="49"/>
      <c r="N406" s="49"/>
    </row>
    <row r="407" ht="39.75" customHeight="1">
      <c r="A407" s="1">
        <v>406.0</v>
      </c>
      <c r="B407" s="2" t="s">
        <v>12</v>
      </c>
      <c r="C407" s="2" t="s">
        <v>62</v>
      </c>
      <c r="D407" s="40"/>
      <c r="E407" s="40"/>
      <c r="F407" s="44" t="s">
        <v>1543</v>
      </c>
      <c r="G407" s="43">
        <v>1.0</v>
      </c>
      <c r="H407" s="42"/>
      <c r="I407" s="43">
        <v>1.0</v>
      </c>
      <c r="J407" s="27" t="s">
        <v>2231</v>
      </c>
      <c r="K407" s="42"/>
      <c r="L407" s="15" t="s">
        <v>274</v>
      </c>
    </row>
    <row r="408" ht="39.75" hidden="1" customHeight="1">
      <c r="A408" s="1">
        <v>407.0</v>
      </c>
      <c r="B408" s="2" t="s">
        <v>16</v>
      </c>
      <c r="C408" s="2" t="s">
        <v>58</v>
      </c>
      <c r="D408" s="13"/>
      <c r="E408" s="13"/>
      <c r="F408" s="44"/>
      <c r="G408" s="42"/>
      <c r="H408" s="42"/>
      <c r="I408" s="42"/>
      <c r="J408" s="27" t="s">
        <v>274</v>
      </c>
      <c r="K408" s="43"/>
    </row>
    <row r="409" ht="39.75" customHeight="1">
      <c r="A409" s="1">
        <v>408.0</v>
      </c>
      <c r="B409" s="2" t="s">
        <v>17</v>
      </c>
      <c r="C409" s="2" t="s">
        <v>44</v>
      </c>
      <c r="D409" s="13"/>
      <c r="E409" s="13"/>
      <c r="F409" s="44"/>
      <c r="G409" s="42"/>
      <c r="H409" s="42"/>
      <c r="I409" s="42"/>
      <c r="J409" s="27" t="s">
        <v>56</v>
      </c>
      <c r="K409" s="42"/>
    </row>
    <row r="410" ht="39.75" customHeight="1">
      <c r="A410" s="1">
        <v>409.0</v>
      </c>
      <c r="B410" s="2" t="s">
        <v>331</v>
      </c>
      <c r="C410" s="2" t="s">
        <v>542</v>
      </c>
      <c r="D410" s="13"/>
      <c r="E410" s="13"/>
      <c r="F410" s="44" t="s">
        <v>2391</v>
      </c>
      <c r="G410" s="43">
        <v>1.0</v>
      </c>
      <c r="H410" s="42"/>
      <c r="I410" s="42"/>
      <c r="J410" s="22"/>
      <c r="K410" s="42"/>
    </row>
    <row r="411" ht="39.75" customHeight="1">
      <c r="A411" s="1">
        <v>410.0</v>
      </c>
      <c r="B411" s="2" t="s">
        <v>21</v>
      </c>
      <c r="C411" s="2"/>
      <c r="D411" s="13"/>
      <c r="E411" s="13"/>
      <c r="F411" s="44" t="s">
        <v>2392</v>
      </c>
      <c r="G411" s="43">
        <v>1.0</v>
      </c>
      <c r="H411" s="42"/>
      <c r="I411" s="43">
        <v>1.0</v>
      </c>
      <c r="J411" s="22"/>
      <c r="K411" s="42"/>
    </row>
    <row r="412" ht="39.75" customHeight="1">
      <c r="A412" s="1">
        <v>411.0</v>
      </c>
      <c r="B412" s="2" t="s">
        <v>22</v>
      </c>
      <c r="C412" s="2" t="s">
        <v>69</v>
      </c>
      <c r="D412" s="13"/>
      <c r="E412" s="13"/>
      <c r="F412" s="45"/>
      <c r="G412" s="42"/>
      <c r="H412" s="42"/>
      <c r="I412" s="42"/>
      <c r="J412" s="22"/>
      <c r="K412" s="42"/>
    </row>
    <row r="413" ht="39.75" hidden="1" customHeight="1">
      <c r="A413" s="1">
        <v>412.0</v>
      </c>
      <c r="B413" s="2" t="s">
        <v>23</v>
      </c>
      <c r="C413" s="2" t="s">
        <v>58</v>
      </c>
      <c r="D413" s="13"/>
      <c r="E413" s="13"/>
      <c r="F413" s="44"/>
      <c r="G413" s="42"/>
      <c r="H413" s="42"/>
      <c r="I413" s="42"/>
      <c r="J413" s="22"/>
      <c r="K413" s="42"/>
    </row>
    <row r="414" ht="39.75" customHeight="1">
      <c r="A414" s="1">
        <v>413.0</v>
      </c>
      <c r="B414" s="2" t="s">
        <v>24</v>
      </c>
      <c r="C414" s="2" t="s">
        <v>63</v>
      </c>
      <c r="D414" s="13"/>
      <c r="E414" s="13"/>
      <c r="F414" s="45"/>
      <c r="G414" s="42"/>
      <c r="H414" s="42"/>
      <c r="I414" s="42"/>
      <c r="J414" s="22"/>
      <c r="K414" s="42"/>
    </row>
    <row r="415" ht="39.75" customHeight="1">
      <c r="A415" s="1">
        <v>414.0</v>
      </c>
      <c r="B415" s="2" t="s">
        <v>25</v>
      </c>
      <c r="C415" s="2" t="s">
        <v>39</v>
      </c>
      <c r="D415" s="13"/>
      <c r="E415" s="13"/>
      <c r="F415" s="44" t="s">
        <v>2393</v>
      </c>
      <c r="G415" s="43">
        <v>1.0</v>
      </c>
      <c r="H415" s="43"/>
      <c r="I415" s="43">
        <v>1.0</v>
      </c>
      <c r="J415" s="22"/>
      <c r="K415" s="42"/>
    </row>
    <row r="416" ht="39.75" customHeight="1">
      <c r="A416" s="1">
        <v>415.0</v>
      </c>
      <c r="B416" s="2" t="s">
        <v>26</v>
      </c>
      <c r="C416" s="2" t="s">
        <v>54</v>
      </c>
      <c r="D416" s="13"/>
      <c r="E416" s="13"/>
      <c r="F416" s="44" t="s">
        <v>2394</v>
      </c>
      <c r="G416" s="43">
        <v>1.0</v>
      </c>
      <c r="H416" s="42"/>
      <c r="I416" s="43"/>
      <c r="J416" s="22"/>
      <c r="K416" s="42"/>
    </row>
    <row r="417" ht="39.75" customHeight="1">
      <c r="A417" s="1">
        <v>416.0</v>
      </c>
      <c r="B417" s="2" t="s">
        <v>29</v>
      </c>
      <c r="C417" s="2" t="s">
        <v>54</v>
      </c>
      <c r="D417" s="13"/>
      <c r="E417" s="13"/>
      <c r="F417" s="44" t="s">
        <v>2395</v>
      </c>
      <c r="G417" s="43">
        <v>1.0</v>
      </c>
      <c r="H417" s="42"/>
      <c r="I417" s="42"/>
      <c r="J417" s="22"/>
      <c r="K417" s="42"/>
    </row>
    <row r="418" ht="39.75" customHeight="1">
      <c r="A418" s="1">
        <v>417.0</v>
      </c>
      <c r="B418" s="2" t="s">
        <v>30</v>
      </c>
      <c r="C418" s="2" t="s">
        <v>64</v>
      </c>
      <c r="D418" s="13"/>
      <c r="E418" s="13"/>
      <c r="F418" s="44" t="s">
        <v>2396</v>
      </c>
      <c r="G418" s="43">
        <v>2.0</v>
      </c>
      <c r="H418" s="42"/>
      <c r="I418" s="43">
        <v>2.0</v>
      </c>
      <c r="J418" s="22"/>
      <c r="K418" s="42"/>
    </row>
    <row r="419" ht="39.75" customHeight="1">
      <c r="A419" s="1">
        <v>418.0</v>
      </c>
      <c r="B419" s="2" t="s">
        <v>31</v>
      </c>
      <c r="C419" s="13"/>
      <c r="D419" s="13"/>
      <c r="E419" s="13"/>
      <c r="F419" s="44" t="s">
        <v>2397</v>
      </c>
      <c r="G419" s="43">
        <v>1.0</v>
      </c>
      <c r="H419" s="42"/>
      <c r="I419" s="42"/>
      <c r="J419" s="22"/>
      <c r="K419" s="42"/>
    </row>
    <row r="420" ht="39.75" hidden="1" customHeight="1">
      <c r="A420" s="1">
        <v>419.0</v>
      </c>
      <c r="B420" s="2" t="s">
        <v>32</v>
      </c>
      <c r="C420" s="2" t="s">
        <v>58</v>
      </c>
      <c r="D420" s="13"/>
      <c r="E420" s="13"/>
      <c r="F420" s="45"/>
      <c r="G420" s="42"/>
      <c r="H420" s="42"/>
      <c r="I420" s="42"/>
      <c r="J420" s="22"/>
      <c r="K420" s="42"/>
    </row>
    <row r="421" ht="39.75" customHeight="1">
      <c r="A421" s="1">
        <v>420.0</v>
      </c>
      <c r="B421" s="2" t="s">
        <v>67</v>
      </c>
      <c r="C421" s="2"/>
      <c r="D421" s="13"/>
      <c r="E421" s="13"/>
      <c r="F421" s="44" t="s">
        <v>2398</v>
      </c>
      <c r="G421" s="43">
        <v>1.0</v>
      </c>
      <c r="H421" s="42"/>
      <c r="I421" s="43">
        <v>1.0</v>
      </c>
      <c r="J421" s="22"/>
      <c r="K421" s="42"/>
    </row>
    <row r="422" ht="39.75" customHeight="1">
      <c r="A422" s="1">
        <v>421.0</v>
      </c>
      <c r="B422" s="2" t="s">
        <v>34</v>
      </c>
      <c r="C422" s="2"/>
      <c r="D422" s="13"/>
      <c r="E422" s="13"/>
      <c r="F422" s="44" t="s">
        <v>1204</v>
      </c>
      <c r="G422" s="43">
        <v>1.0</v>
      </c>
      <c r="H422" s="43"/>
      <c r="I422" s="43">
        <v>1.0</v>
      </c>
      <c r="J422" s="22"/>
      <c r="K422" s="42"/>
    </row>
    <row r="423" ht="39.75" customHeight="1">
      <c r="A423" s="1">
        <v>422.0</v>
      </c>
      <c r="B423" s="2" t="s">
        <v>35</v>
      </c>
      <c r="C423" s="2" t="s">
        <v>54</v>
      </c>
      <c r="D423" s="13"/>
      <c r="E423" s="13"/>
      <c r="F423" s="44" t="s">
        <v>2399</v>
      </c>
      <c r="G423" s="43">
        <v>1.0</v>
      </c>
      <c r="H423" s="42"/>
      <c r="I423" s="42"/>
      <c r="J423" s="22"/>
      <c r="K423" s="42"/>
    </row>
    <row r="424" ht="39.75" customHeight="1">
      <c r="A424" s="1">
        <v>423.0</v>
      </c>
      <c r="B424" s="2" t="s">
        <v>36</v>
      </c>
      <c r="C424" s="2" t="s">
        <v>27</v>
      </c>
      <c r="D424" s="13"/>
      <c r="E424" s="13"/>
      <c r="F424" s="44" t="s">
        <v>2400</v>
      </c>
      <c r="G424" s="43">
        <v>1.0</v>
      </c>
      <c r="H424" s="42"/>
      <c r="I424" s="42"/>
      <c r="J424" s="22"/>
      <c r="K424" s="42"/>
    </row>
    <row r="425" ht="39.75" hidden="1" customHeight="1">
      <c r="A425" s="1">
        <v>424.0</v>
      </c>
      <c r="B425" s="2" t="s">
        <v>38</v>
      </c>
      <c r="C425" s="2" t="s">
        <v>66</v>
      </c>
      <c r="D425" s="13"/>
      <c r="E425" s="13"/>
      <c r="F425" s="44"/>
      <c r="G425" s="42"/>
      <c r="H425" s="42"/>
      <c r="I425" s="42"/>
      <c r="J425" s="22"/>
      <c r="K425" s="42"/>
    </row>
    <row r="426" ht="39.75" hidden="1" customHeight="1">
      <c r="A426" s="1">
        <v>425.0</v>
      </c>
      <c r="B426" s="2" t="s">
        <v>41</v>
      </c>
      <c r="C426" s="2" t="s">
        <v>58</v>
      </c>
      <c r="D426" s="13"/>
      <c r="E426" s="13"/>
      <c r="F426" s="44"/>
      <c r="G426" s="42"/>
      <c r="H426" s="42"/>
      <c r="I426" s="42"/>
      <c r="J426" s="22"/>
      <c r="K426" s="42"/>
    </row>
    <row r="427" ht="39.75" customHeight="1">
      <c r="A427" s="1">
        <v>426.0</v>
      </c>
      <c r="B427" s="2" t="s">
        <v>42</v>
      </c>
      <c r="C427" s="2" t="s">
        <v>69</v>
      </c>
      <c r="D427" s="13"/>
      <c r="E427" s="13"/>
      <c r="F427" s="44" t="s">
        <v>2401</v>
      </c>
      <c r="G427" s="43">
        <v>1.0</v>
      </c>
      <c r="H427" s="42"/>
      <c r="I427" s="43"/>
      <c r="J427" s="22"/>
      <c r="K427" s="42"/>
    </row>
    <row r="428" ht="39.75" customHeight="1">
      <c r="A428" s="1">
        <v>427.0</v>
      </c>
      <c r="B428" s="2" t="s">
        <v>43</v>
      </c>
      <c r="C428" s="2" t="s">
        <v>54</v>
      </c>
      <c r="D428" s="13"/>
      <c r="E428" s="51">
        <v>0.8333333333333334</v>
      </c>
      <c r="F428" s="44" t="s">
        <v>2402</v>
      </c>
      <c r="G428" s="43">
        <v>1.0</v>
      </c>
      <c r="H428" s="42"/>
      <c r="I428" s="42"/>
      <c r="J428" s="22"/>
      <c r="K428" s="42"/>
    </row>
    <row r="429" ht="39.75" customHeight="1">
      <c r="A429" s="1">
        <v>428.0</v>
      </c>
      <c r="B429" s="2" t="s">
        <v>45</v>
      </c>
      <c r="C429" s="2" t="s">
        <v>69</v>
      </c>
      <c r="D429" s="13"/>
      <c r="E429" s="13"/>
      <c r="F429" s="45"/>
      <c r="G429" s="42"/>
      <c r="H429" s="42"/>
      <c r="I429" s="42"/>
      <c r="J429" s="22"/>
      <c r="K429" s="42"/>
    </row>
    <row r="430" ht="39.75" customHeight="1">
      <c r="A430" s="1">
        <v>429.0</v>
      </c>
      <c r="B430" s="2" t="s">
        <v>46</v>
      </c>
      <c r="C430" s="2" t="s">
        <v>39</v>
      </c>
      <c r="D430" s="40"/>
      <c r="E430" s="13"/>
      <c r="F430" s="44" t="s">
        <v>2403</v>
      </c>
      <c r="G430" s="43">
        <v>2.0</v>
      </c>
      <c r="H430" s="42"/>
      <c r="I430" s="43">
        <v>1.0</v>
      </c>
      <c r="J430" s="22"/>
      <c r="K430" s="42"/>
    </row>
    <row r="431" ht="39.75" customHeight="1">
      <c r="A431" s="1">
        <v>430.0</v>
      </c>
      <c r="B431" s="2" t="s">
        <v>47</v>
      </c>
      <c r="C431" s="2"/>
      <c r="D431" s="13"/>
      <c r="E431" s="13"/>
      <c r="F431" s="44" t="s">
        <v>2404</v>
      </c>
      <c r="G431" s="43">
        <v>2.0</v>
      </c>
      <c r="H431" s="42"/>
      <c r="I431" s="42"/>
      <c r="J431" s="22"/>
      <c r="K431" s="42"/>
    </row>
    <row r="432" ht="39.75" hidden="1" customHeight="1">
      <c r="A432" s="1">
        <v>431.0</v>
      </c>
      <c r="B432" s="2" t="s">
        <v>48</v>
      </c>
      <c r="C432" s="2" t="s">
        <v>58</v>
      </c>
      <c r="D432" s="13"/>
      <c r="E432" s="13"/>
      <c r="F432" s="45"/>
      <c r="G432" s="42"/>
      <c r="H432" s="42"/>
      <c r="I432" s="42"/>
      <c r="J432" s="22"/>
      <c r="K432" s="42"/>
    </row>
    <row r="433" ht="39.75" customHeight="1">
      <c r="A433" s="1">
        <v>432.0</v>
      </c>
      <c r="B433" s="21"/>
      <c r="C433" s="21"/>
      <c r="D433" s="21"/>
      <c r="E433" s="21"/>
      <c r="F433" s="46"/>
      <c r="G433" s="47"/>
      <c r="H433" s="47"/>
      <c r="I433" s="47"/>
      <c r="J433" s="48"/>
      <c r="K433" s="47"/>
      <c r="L433" s="49"/>
      <c r="M433" s="49"/>
      <c r="N433" s="49"/>
    </row>
    <row r="434" ht="39.75" customHeight="1">
      <c r="A434" s="1">
        <v>433.0</v>
      </c>
      <c r="B434" s="2" t="s">
        <v>12</v>
      </c>
      <c r="C434" s="2" t="s">
        <v>62</v>
      </c>
      <c r="D434" s="13"/>
      <c r="E434" s="13"/>
      <c r="F434" s="44" t="s">
        <v>2163</v>
      </c>
      <c r="G434" s="43">
        <v>1.0</v>
      </c>
      <c r="H434" s="42"/>
      <c r="I434" s="43">
        <v>1.0</v>
      </c>
      <c r="J434" s="27" t="s">
        <v>2231</v>
      </c>
      <c r="K434" s="42"/>
      <c r="L434" s="15" t="s">
        <v>294</v>
      </c>
    </row>
    <row r="435" ht="39.75" customHeight="1">
      <c r="A435" s="1">
        <v>434.0</v>
      </c>
      <c r="B435" s="2" t="s">
        <v>16</v>
      </c>
      <c r="C435" s="2" t="s">
        <v>69</v>
      </c>
      <c r="D435" s="13"/>
      <c r="E435" s="13"/>
      <c r="F435" s="44" t="s">
        <v>2405</v>
      </c>
      <c r="G435" s="43">
        <v>1.0</v>
      </c>
      <c r="H435" s="42"/>
      <c r="I435" s="43">
        <v>1.0</v>
      </c>
      <c r="J435" s="27" t="s">
        <v>294</v>
      </c>
      <c r="K435" s="43"/>
    </row>
    <row r="436" ht="39.75" customHeight="1">
      <c r="A436" s="1">
        <v>435.0</v>
      </c>
      <c r="B436" s="2" t="s">
        <v>17</v>
      </c>
      <c r="C436" s="2" t="s">
        <v>39</v>
      </c>
      <c r="D436" s="13"/>
      <c r="E436" s="13"/>
      <c r="F436" s="44" t="s">
        <v>2406</v>
      </c>
      <c r="G436" s="43">
        <v>1.0</v>
      </c>
      <c r="H436" s="42"/>
      <c r="I436" s="42"/>
      <c r="J436" s="27" t="s">
        <v>77</v>
      </c>
      <c r="K436" s="42"/>
    </row>
    <row r="437" ht="39.75" customHeight="1">
      <c r="A437" s="1">
        <v>436.0</v>
      </c>
      <c r="B437" s="2" t="s">
        <v>331</v>
      </c>
      <c r="C437" s="2" t="s">
        <v>542</v>
      </c>
      <c r="D437" s="13"/>
      <c r="E437" s="13"/>
      <c r="F437" s="44" t="s">
        <v>2407</v>
      </c>
      <c r="G437" s="43">
        <v>1.0</v>
      </c>
      <c r="H437" s="42"/>
      <c r="I437" s="42"/>
      <c r="J437" s="22"/>
      <c r="K437" s="42"/>
    </row>
    <row r="438" ht="39.75" customHeight="1">
      <c r="A438" s="1">
        <v>437.0</v>
      </c>
      <c r="B438" s="2" t="s">
        <v>21</v>
      </c>
      <c r="C438" s="2"/>
      <c r="D438" s="13"/>
      <c r="E438" s="13"/>
      <c r="F438" s="44" t="s">
        <v>2408</v>
      </c>
      <c r="G438" s="43">
        <v>1.0</v>
      </c>
      <c r="H438" s="42"/>
      <c r="I438" s="42"/>
      <c r="J438" s="22"/>
      <c r="K438" s="42"/>
    </row>
    <row r="439" ht="39.75" hidden="1" customHeight="1">
      <c r="A439" s="1">
        <v>438.0</v>
      </c>
      <c r="B439" s="2" t="s">
        <v>22</v>
      </c>
      <c r="C439" s="2" t="s">
        <v>58</v>
      </c>
      <c r="D439" s="13"/>
      <c r="E439" s="13"/>
      <c r="F439" s="45"/>
      <c r="G439" s="42"/>
      <c r="H439" s="42"/>
      <c r="I439" s="42"/>
      <c r="J439" s="22"/>
      <c r="K439" s="42"/>
    </row>
    <row r="440" ht="39.75" customHeight="1">
      <c r="A440" s="1">
        <v>439.0</v>
      </c>
      <c r="B440" s="2" t="s">
        <v>23</v>
      </c>
      <c r="C440" s="2" t="s">
        <v>39</v>
      </c>
      <c r="D440" s="13"/>
      <c r="E440" s="13"/>
      <c r="F440" s="44" t="s">
        <v>2409</v>
      </c>
      <c r="G440" s="43">
        <v>2.0</v>
      </c>
      <c r="H440" s="42"/>
      <c r="I440" s="43">
        <v>1.0</v>
      </c>
      <c r="J440" s="22"/>
      <c r="K440" s="42"/>
    </row>
    <row r="441" ht="39.75" customHeight="1">
      <c r="A441" s="1">
        <v>440.0</v>
      </c>
      <c r="B441" s="2" t="s">
        <v>24</v>
      </c>
      <c r="C441" s="2" t="s">
        <v>63</v>
      </c>
      <c r="D441" s="13"/>
      <c r="E441" s="13"/>
      <c r="F441" s="45"/>
      <c r="G441" s="42"/>
      <c r="H441" s="42"/>
      <c r="I441" s="42"/>
      <c r="J441" s="22"/>
      <c r="K441" s="42"/>
    </row>
    <row r="442" ht="39.75" customHeight="1">
      <c r="A442" s="1">
        <v>441.0</v>
      </c>
      <c r="B442" s="2" t="s">
        <v>25</v>
      </c>
      <c r="C442" s="13"/>
      <c r="D442" s="13"/>
      <c r="E442" s="13"/>
      <c r="F442" s="44" t="s">
        <v>2410</v>
      </c>
      <c r="G442" s="43">
        <v>1.0</v>
      </c>
      <c r="H442" s="42"/>
      <c r="I442" s="43">
        <v>1.0</v>
      </c>
      <c r="J442" s="22"/>
      <c r="K442" s="42"/>
    </row>
    <row r="443" ht="39.75" hidden="1" customHeight="1">
      <c r="A443" s="1">
        <v>442.0</v>
      </c>
      <c r="B443" s="2" t="s">
        <v>26</v>
      </c>
      <c r="C443" s="2" t="s">
        <v>58</v>
      </c>
      <c r="D443" s="13"/>
      <c r="E443" s="13"/>
      <c r="F443" s="45"/>
      <c r="G443" s="42"/>
      <c r="H443" s="42"/>
      <c r="I443" s="42"/>
      <c r="J443" s="22"/>
      <c r="K443" s="42"/>
    </row>
    <row r="444" ht="39.75" customHeight="1">
      <c r="A444" s="1">
        <v>443.0</v>
      </c>
      <c r="B444" s="2" t="s">
        <v>29</v>
      </c>
      <c r="C444" s="2" t="s">
        <v>54</v>
      </c>
      <c r="D444" s="53">
        <v>0.25</v>
      </c>
      <c r="E444" s="40">
        <v>0.6527777777777778</v>
      </c>
      <c r="F444" s="44" t="s">
        <v>2411</v>
      </c>
      <c r="G444" s="43">
        <v>1.0</v>
      </c>
      <c r="H444" s="43">
        <v>1.0</v>
      </c>
      <c r="I444" s="42"/>
      <c r="J444" s="22"/>
      <c r="K444" s="42"/>
    </row>
    <row r="445" ht="39.75" customHeight="1">
      <c r="A445" s="1">
        <v>444.0</v>
      </c>
      <c r="B445" s="2" t="s">
        <v>30</v>
      </c>
      <c r="C445" s="2" t="s">
        <v>64</v>
      </c>
      <c r="D445" s="13"/>
      <c r="E445" s="13"/>
      <c r="F445" s="45"/>
      <c r="G445" s="42"/>
      <c r="H445" s="42"/>
      <c r="I445" s="42"/>
      <c r="J445" s="22"/>
      <c r="K445" s="42"/>
    </row>
    <row r="446" ht="39.75" customHeight="1">
      <c r="A446" s="1">
        <v>445.0</v>
      </c>
      <c r="B446" s="2" t="s">
        <v>31</v>
      </c>
      <c r="C446" s="2" t="s">
        <v>54</v>
      </c>
      <c r="D446" s="13"/>
      <c r="E446" s="13"/>
      <c r="F446" s="44" t="s">
        <v>2412</v>
      </c>
      <c r="G446" s="43">
        <v>2.0</v>
      </c>
      <c r="H446" s="42"/>
      <c r="I446" s="43">
        <v>2.0</v>
      </c>
      <c r="J446" s="22"/>
      <c r="K446" s="42"/>
    </row>
    <row r="447" ht="39.75" hidden="1" customHeight="1">
      <c r="A447" s="1">
        <v>446.0</v>
      </c>
      <c r="B447" s="2" t="s">
        <v>32</v>
      </c>
      <c r="C447" s="2" t="s">
        <v>66</v>
      </c>
      <c r="D447" s="13"/>
      <c r="E447" s="13"/>
      <c r="F447" s="45"/>
      <c r="G447" s="42"/>
      <c r="H447" s="42"/>
      <c r="I447" s="42"/>
      <c r="J447" s="22"/>
      <c r="K447" s="42"/>
    </row>
    <row r="448" ht="39.75" customHeight="1">
      <c r="A448" s="1">
        <v>447.0</v>
      </c>
      <c r="B448" s="2" t="s">
        <v>67</v>
      </c>
      <c r="C448" s="2"/>
      <c r="D448" s="13"/>
      <c r="E448" s="13"/>
      <c r="F448" s="44" t="s">
        <v>2413</v>
      </c>
      <c r="G448" s="43">
        <v>1.0</v>
      </c>
      <c r="H448" s="42"/>
      <c r="I448" s="43">
        <v>1.0</v>
      </c>
      <c r="J448" s="22"/>
      <c r="K448" s="42"/>
    </row>
    <row r="449" ht="39.75" customHeight="1">
      <c r="A449" s="1">
        <v>448.0</v>
      </c>
      <c r="B449" s="2" t="s">
        <v>34</v>
      </c>
      <c r="C449" s="2"/>
      <c r="D449" s="13"/>
      <c r="E449" s="13"/>
      <c r="F449" s="44" t="s">
        <v>2414</v>
      </c>
      <c r="G449" s="43">
        <v>1.0</v>
      </c>
      <c r="H449" s="42"/>
      <c r="I449" s="42"/>
      <c r="J449" s="22"/>
      <c r="K449" s="42"/>
    </row>
    <row r="450" ht="39.75" hidden="1" customHeight="1">
      <c r="A450" s="1">
        <v>449.0</v>
      </c>
      <c r="B450" s="2" t="s">
        <v>35</v>
      </c>
      <c r="C450" s="2" t="s">
        <v>58</v>
      </c>
      <c r="D450" s="13"/>
      <c r="E450" s="13"/>
      <c r="F450" s="45"/>
      <c r="G450" s="42"/>
      <c r="H450" s="42"/>
      <c r="I450" s="42"/>
      <c r="J450" s="22"/>
      <c r="K450" s="42"/>
    </row>
    <row r="451" ht="39.75" customHeight="1">
      <c r="A451" s="1">
        <v>450.0</v>
      </c>
      <c r="B451" s="2" t="s">
        <v>36</v>
      </c>
      <c r="C451" s="2" t="s">
        <v>44</v>
      </c>
      <c r="D451" s="13"/>
      <c r="E451" s="13"/>
      <c r="F451" s="45"/>
      <c r="G451" s="42"/>
      <c r="H451" s="42"/>
      <c r="I451" s="42"/>
      <c r="J451" s="22"/>
      <c r="K451" s="42"/>
    </row>
    <row r="452" ht="39.75" customHeight="1">
      <c r="A452" s="1">
        <v>451.0</v>
      </c>
      <c r="B452" s="2" t="s">
        <v>38</v>
      </c>
      <c r="C452" s="2" t="s">
        <v>27</v>
      </c>
      <c r="D452" s="13"/>
      <c r="E452" s="13"/>
      <c r="F452" s="44" t="s">
        <v>2415</v>
      </c>
      <c r="G452" s="43">
        <v>1.0</v>
      </c>
      <c r="H452" s="42"/>
      <c r="I452" s="43">
        <v>1.0</v>
      </c>
      <c r="J452" s="22"/>
      <c r="K452" s="42"/>
    </row>
    <row r="453" ht="39.75" hidden="1" customHeight="1">
      <c r="A453" s="1">
        <v>452.0</v>
      </c>
      <c r="B453" s="2" t="s">
        <v>41</v>
      </c>
      <c r="C453" s="2" t="s">
        <v>58</v>
      </c>
      <c r="D453" s="13"/>
      <c r="E453" s="13"/>
      <c r="F453" s="45"/>
      <c r="G453" s="42"/>
      <c r="H453" s="42"/>
      <c r="I453" s="42"/>
      <c r="J453" s="22"/>
      <c r="K453" s="42"/>
    </row>
    <row r="454" ht="39.75" customHeight="1">
      <c r="A454" s="1">
        <v>453.0</v>
      </c>
      <c r="B454" s="2" t="s">
        <v>42</v>
      </c>
      <c r="C454" s="2" t="s">
        <v>54</v>
      </c>
      <c r="D454" s="13"/>
      <c r="E454" s="13"/>
      <c r="F454" s="44" t="s">
        <v>2416</v>
      </c>
      <c r="G454" s="43">
        <v>1.0</v>
      </c>
      <c r="H454" s="42"/>
      <c r="I454" s="42"/>
      <c r="J454" s="22"/>
      <c r="K454" s="42"/>
    </row>
    <row r="455" ht="39.75" customHeight="1">
      <c r="A455" s="1">
        <v>454.0</v>
      </c>
      <c r="B455" s="2" t="s">
        <v>43</v>
      </c>
      <c r="C455" s="2" t="s">
        <v>54</v>
      </c>
      <c r="D455" s="13"/>
      <c r="E455" s="13"/>
      <c r="F455" s="44" t="s">
        <v>2417</v>
      </c>
      <c r="G455" s="43">
        <v>1.0</v>
      </c>
      <c r="H455" s="42"/>
      <c r="I455" s="42"/>
      <c r="J455" s="22"/>
      <c r="K455" s="42"/>
    </row>
    <row r="456" ht="39.75" customHeight="1">
      <c r="A456" s="1">
        <v>455.0</v>
      </c>
      <c r="B456" s="2" t="s">
        <v>45</v>
      </c>
      <c r="C456" s="2" t="s">
        <v>69</v>
      </c>
      <c r="D456" s="13"/>
      <c r="E456" s="13"/>
      <c r="F456" s="44" t="s">
        <v>2418</v>
      </c>
      <c r="G456" s="43">
        <v>1.0</v>
      </c>
      <c r="H456" s="42"/>
      <c r="I456" s="43">
        <v>1.0</v>
      </c>
      <c r="J456" s="22"/>
      <c r="K456" s="42"/>
    </row>
    <row r="457" ht="39.75" customHeight="1">
      <c r="A457" s="1">
        <v>456.0</v>
      </c>
      <c r="B457" s="2" t="s">
        <v>46</v>
      </c>
      <c r="C457" s="2"/>
      <c r="D457" s="13"/>
      <c r="E457" s="13"/>
      <c r="F457" s="44" t="s">
        <v>2419</v>
      </c>
      <c r="G457" s="43">
        <v>1.0</v>
      </c>
      <c r="H457" s="42"/>
      <c r="I457" s="43">
        <v>1.0</v>
      </c>
      <c r="J457" s="22"/>
      <c r="K457" s="42"/>
    </row>
    <row r="458" ht="39.75" customHeight="1">
      <c r="A458" s="1">
        <v>457.0</v>
      </c>
      <c r="B458" s="2" t="s">
        <v>47</v>
      </c>
      <c r="C458" s="2" t="s">
        <v>69</v>
      </c>
      <c r="D458" s="13"/>
      <c r="E458" s="13"/>
      <c r="F458" s="45"/>
      <c r="G458" s="42"/>
      <c r="H458" s="42"/>
      <c r="I458" s="42"/>
      <c r="J458" s="22"/>
      <c r="K458" s="42"/>
    </row>
    <row r="459" ht="39.75" hidden="1" customHeight="1">
      <c r="A459" s="1">
        <v>458.0</v>
      </c>
      <c r="B459" s="2" t="s">
        <v>48</v>
      </c>
      <c r="C459" s="2" t="s">
        <v>58</v>
      </c>
      <c r="D459" s="13"/>
      <c r="E459" s="13"/>
      <c r="F459" s="45"/>
      <c r="G459" s="42"/>
      <c r="H459" s="42"/>
      <c r="I459" s="42"/>
      <c r="J459" s="22"/>
      <c r="K459" s="42"/>
    </row>
    <row r="460" ht="39.75" customHeight="1">
      <c r="A460" s="1">
        <v>459.0</v>
      </c>
      <c r="B460" s="21"/>
      <c r="C460" s="21"/>
      <c r="D460" s="21"/>
      <c r="E460" s="21"/>
      <c r="F460" s="46"/>
      <c r="G460" s="47"/>
      <c r="H460" s="47"/>
      <c r="I460" s="47"/>
      <c r="J460" s="48"/>
      <c r="K460" s="47"/>
      <c r="L460" s="49"/>
      <c r="M460" s="49"/>
      <c r="N460" s="49"/>
    </row>
    <row r="461" ht="39.75" hidden="1" customHeight="1">
      <c r="A461" s="1">
        <v>460.0</v>
      </c>
      <c r="B461" s="2" t="s">
        <v>12</v>
      </c>
      <c r="C461" s="2" t="s">
        <v>66</v>
      </c>
      <c r="D461" s="13"/>
      <c r="E461" s="13"/>
      <c r="F461" s="45"/>
      <c r="G461" s="42"/>
      <c r="H461" s="42"/>
      <c r="I461" s="42"/>
      <c r="J461" s="27" t="s">
        <v>2231</v>
      </c>
      <c r="K461" s="42"/>
      <c r="L461" s="15" t="s">
        <v>309</v>
      </c>
    </row>
    <row r="462" ht="39.75" customHeight="1">
      <c r="A462" s="1">
        <v>461.0</v>
      </c>
      <c r="B462" s="2" t="s">
        <v>16</v>
      </c>
      <c r="C462" s="2"/>
      <c r="D462" s="13"/>
      <c r="E462" s="13"/>
      <c r="F462" s="44" t="s">
        <v>2420</v>
      </c>
      <c r="G462" s="43">
        <v>1.0</v>
      </c>
      <c r="H462" s="42"/>
      <c r="I462" s="43">
        <v>1.0</v>
      </c>
      <c r="J462" s="27" t="s">
        <v>309</v>
      </c>
      <c r="K462" s="43"/>
    </row>
    <row r="463" ht="39.75" hidden="1" customHeight="1">
      <c r="A463" s="1">
        <v>462.0</v>
      </c>
      <c r="B463" s="2" t="s">
        <v>17</v>
      </c>
      <c r="C463" s="2" t="s">
        <v>66</v>
      </c>
      <c r="D463" s="13"/>
      <c r="E463" s="13"/>
      <c r="F463" s="45"/>
      <c r="G463" s="42"/>
      <c r="H463" s="42"/>
      <c r="I463" s="42"/>
      <c r="J463" s="27" t="s">
        <v>95</v>
      </c>
      <c r="K463" s="42"/>
    </row>
    <row r="464" ht="39.75" customHeight="1">
      <c r="A464" s="1">
        <v>463.0</v>
      </c>
      <c r="B464" s="2" t="s">
        <v>331</v>
      </c>
      <c r="C464" s="2" t="s">
        <v>542</v>
      </c>
      <c r="D464" s="13"/>
      <c r="E464" s="13"/>
      <c r="F464" s="44" t="s">
        <v>2421</v>
      </c>
      <c r="G464" s="43">
        <v>2.0</v>
      </c>
      <c r="H464" s="42"/>
      <c r="I464" s="43">
        <v>1.0</v>
      </c>
      <c r="J464" s="22"/>
      <c r="K464" s="42"/>
    </row>
    <row r="465" ht="39.75" customHeight="1">
      <c r="A465" s="1">
        <v>464.0</v>
      </c>
      <c r="B465" s="2" t="s">
        <v>21</v>
      </c>
      <c r="C465" s="2"/>
      <c r="D465" s="13"/>
      <c r="E465" s="13"/>
      <c r="F465" s="45"/>
      <c r="G465" s="42"/>
      <c r="H465" s="42"/>
      <c r="I465" s="42"/>
      <c r="J465" s="22"/>
      <c r="K465" s="42"/>
    </row>
    <row r="466" ht="39.75" hidden="1" customHeight="1">
      <c r="A466" s="1">
        <v>465.0</v>
      </c>
      <c r="B466" s="2" t="s">
        <v>22</v>
      </c>
      <c r="C466" s="2" t="s">
        <v>58</v>
      </c>
      <c r="D466" s="13"/>
      <c r="E466" s="13"/>
      <c r="F466" s="45"/>
      <c r="G466" s="42"/>
      <c r="H466" s="42"/>
      <c r="I466" s="42"/>
      <c r="J466" s="22"/>
      <c r="K466" s="42"/>
    </row>
    <row r="467" ht="39.75" customHeight="1">
      <c r="A467" s="1">
        <v>466.0</v>
      </c>
      <c r="B467" s="2" t="s">
        <v>23</v>
      </c>
      <c r="C467" s="2" t="s">
        <v>54</v>
      </c>
      <c r="D467" s="13"/>
      <c r="E467" s="13"/>
      <c r="F467" s="44" t="s">
        <v>2422</v>
      </c>
      <c r="G467" s="43">
        <v>1.0</v>
      </c>
      <c r="H467" s="42"/>
      <c r="I467" s="43">
        <v>1.0</v>
      </c>
      <c r="J467" s="22"/>
      <c r="K467" s="42"/>
    </row>
    <row r="468" ht="39.75" customHeight="1">
      <c r="A468" s="1">
        <v>467.0</v>
      </c>
      <c r="B468" s="2" t="s">
        <v>24</v>
      </c>
      <c r="C468" s="2" t="s">
        <v>63</v>
      </c>
      <c r="D468" s="13"/>
      <c r="E468" s="13"/>
      <c r="F468" s="44" t="s">
        <v>44</v>
      </c>
      <c r="G468" s="42"/>
      <c r="H468" s="42"/>
      <c r="I468" s="42"/>
      <c r="J468" s="22"/>
      <c r="K468" s="42"/>
    </row>
    <row r="469" ht="39.75" customHeight="1">
      <c r="A469" s="1">
        <v>468.0</v>
      </c>
      <c r="B469" s="2" t="s">
        <v>25</v>
      </c>
      <c r="C469" s="2" t="s">
        <v>69</v>
      </c>
      <c r="D469" s="13"/>
      <c r="E469" s="13"/>
      <c r="F469" s="44" t="s">
        <v>2423</v>
      </c>
      <c r="G469" s="43">
        <v>1.0</v>
      </c>
      <c r="H469" s="42"/>
      <c r="I469" s="42"/>
      <c r="J469" s="22"/>
      <c r="K469" s="42"/>
    </row>
    <row r="470" ht="39.75" customHeight="1">
      <c r="A470" s="1">
        <v>469.0</v>
      </c>
      <c r="B470" s="2" t="s">
        <v>26</v>
      </c>
      <c r="C470" s="2" t="s">
        <v>27</v>
      </c>
      <c r="D470" s="13"/>
      <c r="E470" s="13"/>
      <c r="F470" s="45"/>
      <c r="G470" s="42"/>
      <c r="H470" s="42"/>
      <c r="I470" s="42"/>
      <c r="J470" s="22"/>
      <c r="K470" s="42"/>
    </row>
    <row r="471" ht="39.75" customHeight="1">
      <c r="A471" s="1">
        <v>470.0</v>
      </c>
      <c r="B471" s="2" t="s">
        <v>29</v>
      </c>
      <c r="C471" s="2" t="s">
        <v>54</v>
      </c>
      <c r="D471" s="13"/>
      <c r="E471" s="13"/>
      <c r="F471" s="44" t="s">
        <v>2424</v>
      </c>
      <c r="G471" s="43">
        <v>2.0</v>
      </c>
      <c r="H471" s="42"/>
      <c r="I471" s="43">
        <v>2.0</v>
      </c>
      <c r="J471" s="22"/>
      <c r="K471" s="42"/>
    </row>
    <row r="472" ht="39.75" customHeight="1">
      <c r="A472" s="1">
        <v>471.0</v>
      </c>
      <c r="B472" s="2" t="s">
        <v>30</v>
      </c>
      <c r="C472" s="2" t="s">
        <v>64</v>
      </c>
      <c r="D472" s="13"/>
      <c r="E472" s="13"/>
      <c r="F472" s="45"/>
      <c r="G472" s="42"/>
      <c r="H472" s="42"/>
      <c r="I472" s="42"/>
      <c r="J472" s="22"/>
      <c r="K472" s="42"/>
    </row>
    <row r="473" ht="39.75" customHeight="1">
      <c r="A473" s="1">
        <v>472.0</v>
      </c>
      <c r="B473" s="2" t="s">
        <v>31</v>
      </c>
      <c r="C473" s="2" t="s">
        <v>69</v>
      </c>
      <c r="D473" s="13"/>
      <c r="E473" s="13"/>
      <c r="F473" s="44" t="s">
        <v>2425</v>
      </c>
      <c r="G473" s="43">
        <v>2.0</v>
      </c>
      <c r="H473" s="42"/>
      <c r="I473" s="43">
        <v>1.0</v>
      </c>
      <c r="J473" s="22"/>
      <c r="K473" s="42"/>
    </row>
    <row r="474" ht="39.75" hidden="1" customHeight="1">
      <c r="A474" s="1">
        <v>473.0</v>
      </c>
      <c r="B474" s="2" t="s">
        <v>32</v>
      </c>
      <c r="C474" s="2" t="s">
        <v>58</v>
      </c>
      <c r="D474" s="13"/>
      <c r="E474" s="13"/>
      <c r="F474" s="45"/>
      <c r="G474" s="42"/>
      <c r="H474" s="42"/>
      <c r="I474" s="42"/>
      <c r="J474" s="22"/>
      <c r="K474" s="42"/>
    </row>
    <row r="475" ht="39.75" hidden="1" customHeight="1">
      <c r="A475" s="1">
        <v>474.0</v>
      </c>
      <c r="B475" s="2" t="s">
        <v>67</v>
      </c>
      <c r="C475" s="2" t="s">
        <v>58</v>
      </c>
      <c r="D475" s="13"/>
      <c r="E475" s="13"/>
      <c r="F475" s="45"/>
      <c r="G475" s="42"/>
      <c r="H475" s="42"/>
      <c r="I475" s="42"/>
      <c r="J475" s="22"/>
      <c r="K475" s="42"/>
    </row>
    <row r="476" ht="39.75" customHeight="1">
      <c r="A476" s="1">
        <v>475.0</v>
      </c>
      <c r="B476" s="2" t="s">
        <v>34</v>
      </c>
      <c r="C476" s="2"/>
      <c r="D476" s="13"/>
      <c r="E476" s="13"/>
      <c r="F476" s="44" t="s">
        <v>2426</v>
      </c>
      <c r="G476" s="43">
        <v>1.0</v>
      </c>
      <c r="H476" s="42"/>
      <c r="I476" s="43">
        <v>1.0</v>
      </c>
      <c r="J476" s="22"/>
      <c r="K476" s="42"/>
    </row>
    <row r="477" ht="39.75" customHeight="1">
      <c r="A477" s="1">
        <v>476.0</v>
      </c>
      <c r="B477" s="2" t="s">
        <v>35</v>
      </c>
      <c r="C477" s="13"/>
      <c r="D477" s="13"/>
      <c r="E477" s="13"/>
      <c r="F477" s="44" t="s">
        <v>2427</v>
      </c>
      <c r="G477" s="43">
        <v>1.0</v>
      </c>
      <c r="H477" s="42"/>
      <c r="I477" s="42"/>
      <c r="J477" s="22"/>
      <c r="K477" s="42"/>
    </row>
    <row r="478" ht="39.75" customHeight="1">
      <c r="A478" s="1">
        <v>477.0</v>
      </c>
      <c r="B478" s="2" t="s">
        <v>36</v>
      </c>
      <c r="C478" s="2"/>
      <c r="D478" s="13"/>
      <c r="E478" s="13"/>
      <c r="F478" s="44" t="s">
        <v>2428</v>
      </c>
      <c r="G478" s="43">
        <v>2.0</v>
      </c>
      <c r="H478" s="42"/>
      <c r="I478" s="43">
        <v>1.0</v>
      </c>
      <c r="J478" s="22"/>
      <c r="K478" s="42"/>
    </row>
    <row r="479" ht="39.75" customHeight="1">
      <c r="A479" s="1">
        <v>478.0</v>
      </c>
      <c r="B479" s="2" t="s">
        <v>38</v>
      </c>
      <c r="C479" s="2" t="s">
        <v>44</v>
      </c>
      <c r="D479" s="13"/>
      <c r="E479" s="13"/>
      <c r="F479" s="45"/>
      <c r="G479" s="42"/>
      <c r="H479" s="42"/>
      <c r="I479" s="42"/>
      <c r="J479" s="22"/>
      <c r="K479" s="42"/>
    </row>
    <row r="480" ht="39.75" hidden="1" customHeight="1">
      <c r="A480" s="1">
        <v>479.0</v>
      </c>
      <c r="B480" s="2" t="s">
        <v>41</v>
      </c>
      <c r="C480" s="2" t="s">
        <v>58</v>
      </c>
      <c r="D480" s="13"/>
      <c r="E480" s="13"/>
      <c r="F480" s="45"/>
      <c r="G480" s="42"/>
      <c r="H480" s="42"/>
      <c r="I480" s="42"/>
      <c r="J480" s="22"/>
      <c r="K480" s="42"/>
    </row>
    <row r="481" ht="39.75" customHeight="1">
      <c r="A481" s="1">
        <v>480.0</v>
      </c>
      <c r="B481" s="2" t="s">
        <v>42</v>
      </c>
      <c r="C481" s="2" t="s">
        <v>54</v>
      </c>
      <c r="D481" s="53">
        <v>0.2569444444444444</v>
      </c>
      <c r="E481" s="13"/>
      <c r="F481" s="44" t="s">
        <v>2429</v>
      </c>
      <c r="G481" s="43">
        <v>1.0</v>
      </c>
      <c r="H481" s="43">
        <v>1.0</v>
      </c>
      <c r="I481" s="42"/>
      <c r="J481" s="22"/>
      <c r="K481" s="42"/>
    </row>
    <row r="482" ht="39.75" customHeight="1">
      <c r="A482" s="1">
        <v>481.0</v>
      </c>
      <c r="B482" s="2" t="s">
        <v>43</v>
      </c>
      <c r="C482" s="2" t="s">
        <v>54</v>
      </c>
      <c r="D482" s="13"/>
      <c r="E482" s="13"/>
      <c r="F482" s="44" t="s">
        <v>2430</v>
      </c>
      <c r="G482" s="43">
        <v>1.0</v>
      </c>
      <c r="H482" s="42"/>
      <c r="I482" s="42"/>
      <c r="J482" s="22"/>
      <c r="K482" s="42"/>
    </row>
    <row r="483" ht="39.75" customHeight="1">
      <c r="A483" s="1">
        <v>482.0</v>
      </c>
      <c r="B483" s="2" t="s">
        <v>45</v>
      </c>
      <c r="C483" s="2" t="s">
        <v>69</v>
      </c>
      <c r="D483" s="13"/>
      <c r="E483" s="13"/>
      <c r="F483" s="45"/>
      <c r="G483" s="42"/>
      <c r="H483" s="42"/>
      <c r="I483" s="42"/>
      <c r="J483" s="22"/>
      <c r="K483" s="42"/>
    </row>
    <row r="484" ht="39.75" customHeight="1">
      <c r="A484" s="1">
        <v>483.0</v>
      </c>
      <c r="B484" s="2" t="s">
        <v>46</v>
      </c>
      <c r="C484" s="2" t="s">
        <v>39</v>
      </c>
      <c r="D484" s="13"/>
      <c r="E484" s="13"/>
      <c r="F484" s="44" t="s">
        <v>2431</v>
      </c>
      <c r="G484" s="43">
        <v>1.0</v>
      </c>
      <c r="H484" s="42"/>
      <c r="I484" s="43">
        <v>1.0</v>
      </c>
      <c r="J484" s="22"/>
      <c r="K484" s="42"/>
    </row>
    <row r="485" ht="39.75" customHeight="1">
      <c r="A485" s="1">
        <v>484.0</v>
      </c>
      <c r="B485" s="2" t="s">
        <v>47</v>
      </c>
      <c r="C485" s="13"/>
      <c r="D485" s="13"/>
      <c r="E485" s="13"/>
      <c r="F485" s="44" t="s">
        <v>1218</v>
      </c>
      <c r="G485" s="43">
        <v>1.0</v>
      </c>
      <c r="H485" s="42"/>
      <c r="I485" s="43">
        <v>1.0</v>
      </c>
      <c r="J485" s="22"/>
      <c r="K485" s="42"/>
    </row>
    <row r="486" ht="39.75" customHeight="1">
      <c r="A486" s="1">
        <v>485.0</v>
      </c>
      <c r="B486" s="2" t="s">
        <v>48</v>
      </c>
      <c r="C486" s="2" t="s">
        <v>39</v>
      </c>
      <c r="D486" s="13"/>
      <c r="E486" s="13"/>
      <c r="F486" s="44" t="s">
        <v>2432</v>
      </c>
      <c r="G486" s="43">
        <v>1.0</v>
      </c>
      <c r="H486" s="42"/>
      <c r="I486" s="43">
        <v>1.0</v>
      </c>
      <c r="J486" s="22"/>
      <c r="K486" s="42"/>
    </row>
    <row r="487" ht="39.75" customHeight="1">
      <c r="A487" s="1">
        <v>486.0</v>
      </c>
      <c r="B487" s="21"/>
      <c r="C487" s="21"/>
      <c r="D487" s="21"/>
      <c r="E487" s="21"/>
      <c r="F487" s="46"/>
      <c r="G487" s="47"/>
      <c r="H487" s="47"/>
      <c r="I487" s="47"/>
      <c r="J487" s="48"/>
      <c r="K487" s="47"/>
      <c r="L487" s="49"/>
      <c r="M487" s="49"/>
      <c r="N487" s="49"/>
    </row>
    <row r="488" ht="39.75" customHeight="1">
      <c r="A488" s="1">
        <v>487.0</v>
      </c>
      <c r="B488" s="2" t="s">
        <v>12</v>
      </c>
      <c r="C488" s="2" t="s">
        <v>62</v>
      </c>
      <c r="D488" s="13"/>
      <c r="E488" s="13"/>
      <c r="F488" s="45"/>
      <c r="G488" s="42"/>
      <c r="H488" s="42"/>
      <c r="I488" s="42"/>
      <c r="J488" s="27" t="s">
        <v>2231</v>
      </c>
      <c r="K488" s="42"/>
      <c r="L488" s="15" t="s">
        <v>328</v>
      </c>
    </row>
    <row r="489" ht="39.75" customHeight="1">
      <c r="A489" s="1">
        <v>488.0</v>
      </c>
      <c r="B489" s="2" t="s">
        <v>16</v>
      </c>
      <c r="C489" s="13"/>
      <c r="D489" s="13"/>
      <c r="E489" s="13"/>
      <c r="F489" s="44" t="s">
        <v>1218</v>
      </c>
      <c r="G489" s="43">
        <v>1.0</v>
      </c>
      <c r="H489" s="42"/>
      <c r="I489" s="43">
        <v>1.0</v>
      </c>
      <c r="J489" s="27" t="s">
        <v>328</v>
      </c>
      <c r="K489" s="43"/>
    </row>
    <row r="490" ht="39.75" hidden="1" customHeight="1">
      <c r="A490" s="1">
        <v>489.0</v>
      </c>
      <c r="B490" s="2" t="s">
        <v>17</v>
      </c>
      <c r="C490" s="2" t="s">
        <v>58</v>
      </c>
      <c r="D490" s="13"/>
      <c r="E490" s="13"/>
      <c r="F490" s="44"/>
      <c r="G490" s="42"/>
      <c r="H490" s="42"/>
      <c r="I490" s="42"/>
      <c r="J490" s="27" t="s">
        <v>111</v>
      </c>
      <c r="K490" s="42"/>
    </row>
    <row r="491" ht="39.75" hidden="1" customHeight="1">
      <c r="A491" s="1">
        <v>490.0</v>
      </c>
      <c r="B491" s="2" t="s">
        <v>331</v>
      </c>
      <c r="C491" s="2" t="s">
        <v>58</v>
      </c>
      <c r="D491" s="13"/>
      <c r="E491" s="13"/>
      <c r="F491" s="44" t="s">
        <v>2433</v>
      </c>
      <c r="G491" s="43"/>
      <c r="H491" s="42"/>
      <c r="I491" s="42"/>
      <c r="J491" s="22"/>
      <c r="K491" s="42"/>
    </row>
    <row r="492" ht="39.75" hidden="1" customHeight="1">
      <c r="A492" s="1">
        <v>491.0</v>
      </c>
      <c r="B492" s="2" t="s">
        <v>21</v>
      </c>
      <c r="C492" s="2" t="s">
        <v>66</v>
      </c>
      <c r="D492" s="13"/>
      <c r="E492" s="13"/>
      <c r="F492" s="45"/>
      <c r="G492" s="42"/>
      <c r="H492" s="42"/>
      <c r="I492" s="42"/>
      <c r="J492" s="22"/>
      <c r="K492" s="42"/>
    </row>
    <row r="493" ht="39.75" hidden="1" customHeight="1">
      <c r="A493" s="1">
        <v>492.0</v>
      </c>
      <c r="B493" s="2" t="s">
        <v>22</v>
      </c>
      <c r="C493" s="2" t="s">
        <v>66</v>
      </c>
      <c r="D493" s="13"/>
      <c r="E493" s="13"/>
      <c r="F493" s="45"/>
      <c r="G493" s="42"/>
      <c r="H493" s="42"/>
      <c r="I493" s="42"/>
      <c r="J493" s="22"/>
      <c r="K493" s="42"/>
    </row>
    <row r="494" ht="39.75" customHeight="1">
      <c r="A494" s="1">
        <v>493.0</v>
      </c>
      <c r="B494" s="2" t="s">
        <v>23</v>
      </c>
      <c r="C494" s="13"/>
      <c r="D494" s="13"/>
      <c r="E494" s="13"/>
      <c r="F494" s="44" t="s">
        <v>2434</v>
      </c>
      <c r="G494" s="43">
        <v>1.0</v>
      </c>
      <c r="H494" s="42"/>
      <c r="I494" s="42"/>
      <c r="J494" s="22"/>
      <c r="K494" s="42"/>
    </row>
    <row r="495" ht="39.75" customHeight="1">
      <c r="A495" s="1">
        <v>494.0</v>
      </c>
      <c r="B495" s="2" t="s">
        <v>24</v>
      </c>
      <c r="C495" s="2" t="s">
        <v>63</v>
      </c>
      <c r="D495" s="13"/>
      <c r="E495" s="13"/>
      <c r="F495" s="45"/>
      <c r="G495" s="42"/>
      <c r="H495" s="42"/>
      <c r="I495" s="42"/>
      <c r="J495" s="22"/>
      <c r="K495" s="42"/>
    </row>
    <row r="496" ht="39.75" customHeight="1">
      <c r="A496" s="1">
        <v>495.0</v>
      </c>
      <c r="B496" s="2" t="s">
        <v>25</v>
      </c>
      <c r="C496" s="2"/>
      <c r="D496" s="13"/>
      <c r="E496" s="13"/>
      <c r="F496" s="44" t="s">
        <v>2435</v>
      </c>
      <c r="G496" s="43">
        <v>1.0</v>
      </c>
      <c r="H496" s="42"/>
      <c r="I496" s="43">
        <v>1.0</v>
      </c>
      <c r="J496" s="22"/>
      <c r="K496" s="42"/>
    </row>
    <row r="497" ht="39.75" customHeight="1">
      <c r="A497" s="1">
        <v>496.0</v>
      </c>
      <c r="B497" s="2" t="s">
        <v>26</v>
      </c>
      <c r="C497" s="2" t="s">
        <v>44</v>
      </c>
      <c r="D497" s="13"/>
      <c r="E497" s="13"/>
      <c r="F497" s="45"/>
      <c r="G497" s="42"/>
      <c r="H497" s="42"/>
      <c r="I497" s="42"/>
      <c r="J497" s="22"/>
      <c r="K497" s="42"/>
    </row>
    <row r="498" ht="39.75" customHeight="1">
      <c r="A498" s="1">
        <v>497.0</v>
      </c>
      <c r="B498" s="2" t="s">
        <v>29</v>
      </c>
      <c r="C498" s="2" t="s">
        <v>54</v>
      </c>
      <c r="D498" s="13"/>
      <c r="E498" s="13"/>
      <c r="F498" s="44" t="s">
        <v>2436</v>
      </c>
      <c r="G498" s="43">
        <v>1.0</v>
      </c>
      <c r="H498" s="42"/>
      <c r="I498" s="43">
        <v>1.0</v>
      </c>
      <c r="J498" s="22"/>
      <c r="K498" s="42"/>
    </row>
    <row r="499" ht="39.75" customHeight="1">
      <c r="A499" s="1">
        <v>498.0</v>
      </c>
      <c r="B499" s="2" t="s">
        <v>30</v>
      </c>
      <c r="C499" s="2" t="s">
        <v>64</v>
      </c>
      <c r="D499" s="13"/>
      <c r="E499" s="13"/>
      <c r="F499" s="44" t="s">
        <v>2437</v>
      </c>
      <c r="G499" s="43">
        <v>1.0</v>
      </c>
      <c r="H499" s="42"/>
      <c r="I499" s="43">
        <v>1.0</v>
      </c>
      <c r="J499" s="22"/>
      <c r="K499" s="42"/>
    </row>
    <row r="500" ht="39.75" customHeight="1">
      <c r="A500" s="1">
        <v>499.0</v>
      </c>
      <c r="B500" s="2" t="s">
        <v>31</v>
      </c>
      <c r="C500" s="2" t="s">
        <v>27</v>
      </c>
      <c r="D500" s="13"/>
      <c r="E500" s="13"/>
      <c r="F500" s="44" t="s">
        <v>2438</v>
      </c>
      <c r="G500" s="43">
        <v>1.0</v>
      </c>
      <c r="H500" s="42"/>
      <c r="I500" s="43">
        <v>1.0</v>
      </c>
      <c r="J500" s="22"/>
      <c r="K500" s="42"/>
    </row>
    <row r="501" ht="39.75" customHeight="1">
      <c r="A501" s="1">
        <v>500.0</v>
      </c>
      <c r="B501" s="2" t="s">
        <v>32</v>
      </c>
      <c r="C501" s="2" t="s">
        <v>69</v>
      </c>
      <c r="D501" s="13"/>
      <c r="E501" s="13"/>
      <c r="F501" s="45"/>
      <c r="G501" s="42"/>
      <c r="H501" s="42"/>
      <c r="I501" s="42"/>
      <c r="J501" s="22"/>
      <c r="K501" s="42"/>
    </row>
    <row r="502" ht="39.75" customHeight="1">
      <c r="A502" s="1">
        <v>501.0</v>
      </c>
      <c r="B502" s="2" t="s">
        <v>67</v>
      </c>
      <c r="C502" s="2"/>
      <c r="D502" s="13"/>
      <c r="E502" s="13"/>
      <c r="F502" s="44" t="s">
        <v>2439</v>
      </c>
      <c r="G502" s="43">
        <v>2.0</v>
      </c>
      <c r="H502" s="42"/>
      <c r="I502" s="42"/>
      <c r="J502" s="22"/>
      <c r="K502" s="42"/>
    </row>
    <row r="503" ht="39.75" customHeight="1">
      <c r="A503" s="1">
        <v>502.0</v>
      </c>
      <c r="B503" s="2" t="s">
        <v>34</v>
      </c>
      <c r="C503" s="2"/>
      <c r="D503" s="53">
        <v>0.3125</v>
      </c>
      <c r="E503" s="13"/>
      <c r="F503" s="44" t="s">
        <v>2440</v>
      </c>
      <c r="G503" s="43">
        <v>1.0</v>
      </c>
      <c r="H503" s="42"/>
      <c r="I503" s="42"/>
      <c r="J503" s="22"/>
      <c r="K503" s="42"/>
    </row>
    <row r="504" ht="39.75" customHeight="1">
      <c r="A504" s="1">
        <v>503.0</v>
      </c>
      <c r="B504" s="2" t="s">
        <v>35</v>
      </c>
      <c r="C504" s="2"/>
      <c r="D504" s="13"/>
      <c r="E504" s="13"/>
      <c r="F504" s="44" t="s">
        <v>926</v>
      </c>
      <c r="G504" s="43">
        <v>1.0</v>
      </c>
      <c r="H504" s="42"/>
      <c r="I504" s="43">
        <v>1.0</v>
      </c>
      <c r="J504" s="22"/>
      <c r="K504" s="42"/>
    </row>
    <row r="505" ht="39.75" customHeight="1">
      <c r="A505" s="1">
        <v>504.0</v>
      </c>
      <c r="B505" s="2" t="s">
        <v>36</v>
      </c>
      <c r="C505" s="2" t="s">
        <v>39</v>
      </c>
      <c r="D505" s="13"/>
      <c r="E505" s="13"/>
      <c r="F505" s="44" t="s">
        <v>2441</v>
      </c>
      <c r="G505" s="43">
        <v>1.0</v>
      </c>
      <c r="H505" s="42"/>
      <c r="I505" s="43">
        <v>1.0</v>
      </c>
      <c r="J505" s="22"/>
      <c r="K505" s="42"/>
    </row>
    <row r="506" ht="94.5" customHeight="1">
      <c r="A506" s="1">
        <v>505.0</v>
      </c>
      <c r="B506" s="2" t="s">
        <v>38</v>
      </c>
      <c r="C506" s="2" t="s">
        <v>54</v>
      </c>
      <c r="D506" s="53">
        <v>0.2777777777777778</v>
      </c>
      <c r="E506" s="13"/>
      <c r="F506" s="44" t="s">
        <v>2442</v>
      </c>
      <c r="G506" s="43">
        <v>1.0</v>
      </c>
      <c r="H506" s="43">
        <v>1.0</v>
      </c>
      <c r="I506" s="42"/>
      <c r="J506" s="22"/>
      <c r="K506" s="42"/>
    </row>
    <row r="507" ht="39.75" hidden="1" customHeight="1">
      <c r="A507" s="1">
        <v>506.0</v>
      </c>
      <c r="B507" s="2" t="s">
        <v>41</v>
      </c>
      <c r="C507" s="2" t="s">
        <v>58</v>
      </c>
      <c r="D507" s="13"/>
      <c r="E507" s="13"/>
      <c r="F507" s="45"/>
      <c r="G507" s="42"/>
      <c r="H507" s="42"/>
      <c r="I507" s="42"/>
      <c r="J507" s="22"/>
      <c r="K507" s="42"/>
    </row>
    <row r="508" ht="39.75" customHeight="1">
      <c r="A508" s="1">
        <v>507.0</v>
      </c>
      <c r="B508" s="2" t="s">
        <v>42</v>
      </c>
      <c r="C508" s="2" t="s">
        <v>54</v>
      </c>
      <c r="D508" s="13"/>
      <c r="E508" s="13"/>
      <c r="F508" s="44" t="s">
        <v>2443</v>
      </c>
      <c r="G508" s="43">
        <v>2.0</v>
      </c>
      <c r="H508" s="42"/>
      <c r="I508" s="43">
        <v>2.0</v>
      </c>
      <c r="J508" s="22"/>
      <c r="K508" s="42"/>
    </row>
    <row r="509" ht="39.75" customHeight="1">
      <c r="A509" s="1">
        <v>508.0</v>
      </c>
      <c r="B509" s="2" t="s">
        <v>43</v>
      </c>
      <c r="C509" s="2" t="s">
        <v>54</v>
      </c>
      <c r="D509" s="53">
        <v>0.3333333333333333</v>
      </c>
      <c r="E509" s="13"/>
      <c r="F509" s="44" t="s">
        <v>2444</v>
      </c>
      <c r="G509" s="43">
        <v>1.0</v>
      </c>
      <c r="H509" s="43">
        <v>1.0</v>
      </c>
      <c r="I509" s="42"/>
      <c r="J509" s="22"/>
      <c r="K509" s="42"/>
    </row>
    <row r="510" ht="39.75" customHeight="1">
      <c r="A510" s="1">
        <v>509.0</v>
      </c>
      <c r="B510" s="2" t="s">
        <v>45</v>
      </c>
      <c r="C510" s="2"/>
      <c r="D510" s="13"/>
      <c r="E510" s="13"/>
      <c r="F510" s="44" t="s">
        <v>1331</v>
      </c>
      <c r="G510" s="43">
        <v>1.0</v>
      </c>
      <c r="H510" s="42"/>
      <c r="I510" s="43">
        <v>1.0</v>
      </c>
      <c r="J510" s="22"/>
      <c r="K510" s="42"/>
    </row>
    <row r="511" ht="39.75" customHeight="1">
      <c r="A511" s="1">
        <v>510.0</v>
      </c>
      <c r="B511" s="2" t="s">
        <v>46</v>
      </c>
      <c r="C511" s="2" t="s">
        <v>69</v>
      </c>
      <c r="D511" s="13"/>
      <c r="E511" s="13"/>
      <c r="F511" s="44" t="s">
        <v>2445</v>
      </c>
      <c r="G511" s="43">
        <v>2.0</v>
      </c>
      <c r="H511" s="42"/>
      <c r="I511" s="43">
        <v>1.0</v>
      </c>
      <c r="J511" s="22"/>
      <c r="K511" s="42"/>
    </row>
    <row r="512" ht="39.75" customHeight="1">
      <c r="A512" s="1">
        <v>511.0</v>
      </c>
      <c r="B512" s="2" t="s">
        <v>47</v>
      </c>
      <c r="C512" s="2" t="s">
        <v>39</v>
      </c>
      <c r="D512" s="13"/>
      <c r="E512" s="13"/>
      <c r="F512" s="44" t="s">
        <v>2446</v>
      </c>
      <c r="G512" s="43">
        <v>1.0</v>
      </c>
      <c r="H512" s="42"/>
      <c r="I512" s="42"/>
      <c r="J512" s="22"/>
      <c r="K512" s="42"/>
    </row>
    <row r="513" ht="39.75" customHeight="1">
      <c r="A513" s="1">
        <v>512.0</v>
      </c>
      <c r="B513" s="2" t="s">
        <v>48</v>
      </c>
      <c r="C513" s="2" t="s">
        <v>69</v>
      </c>
      <c r="D513" s="13"/>
      <c r="E513" s="13"/>
      <c r="F513" s="44" t="s">
        <v>2447</v>
      </c>
      <c r="G513" s="43">
        <v>1.0</v>
      </c>
      <c r="H513" s="42"/>
      <c r="I513" s="42"/>
      <c r="J513" s="22"/>
      <c r="K513" s="42"/>
    </row>
    <row r="514" ht="39.75" customHeight="1">
      <c r="A514" s="1">
        <v>513.0</v>
      </c>
      <c r="B514" s="21"/>
      <c r="C514" s="21"/>
      <c r="D514" s="21"/>
      <c r="E514" s="21"/>
      <c r="F514" s="46"/>
      <c r="G514" s="47"/>
      <c r="H514" s="47"/>
      <c r="I514" s="47"/>
      <c r="J514" s="48"/>
      <c r="K514" s="47"/>
      <c r="L514" s="49"/>
      <c r="M514" s="49"/>
      <c r="N514" s="49"/>
    </row>
    <row r="515" ht="39.75" customHeight="1">
      <c r="A515" s="1">
        <v>514.0</v>
      </c>
      <c r="B515" s="2" t="s">
        <v>12</v>
      </c>
      <c r="C515" s="2" t="s">
        <v>62</v>
      </c>
      <c r="D515" s="13"/>
      <c r="E515" s="13"/>
      <c r="F515" s="45"/>
      <c r="G515" s="42"/>
      <c r="H515" s="42"/>
      <c r="I515" s="42"/>
      <c r="J515" s="27" t="s">
        <v>2231</v>
      </c>
      <c r="K515" s="42"/>
      <c r="L515" s="15" t="s">
        <v>347</v>
      </c>
    </row>
    <row r="516" ht="39.75" hidden="1" customHeight="1">
      <c r="A516" s="1">
        <v>515.0</v>
      </c>
      <c r="B516" s="2" t="s">
        <v>16</v>
      </c>
      <c r="C516" s="2" t="s">
        <v>58</v>
      </c>
      <c r="D516" s="13"/>
      <c r="E516" s="13"/>
      <c r="F516" s="45"/>
      <c r="G516" s="42"/>
      <c r="H516" s="42"/>
      <c r="I516" s="42"/>
      <c r="J516" s="27" t="s">
        <v>347</v>
      </c>
      <c r="K516" s="43"/>
    </row>
    <row r="517" ht="39.75" hidden="1" customHeight="1">
      <c r="A517" s="1">
        <v>516.0</v>
      </c>
      <c r="B517" s="2" t="s">
        <v>17</v>
      </c>
      <c r="C517" s="2" t="s">
        <v>58</v>
      </c>
      <c r="D517" s="13"/>
      <c r="E517" s="13"/>
      <c r="F517" s="45"/>
      <c r="G517" s="42"/>
      <c r="H517" s="42"/>
      <c r="I517" s="42"/>
      <c r="J517" s="27" t="s">
        <v>131</v>
      </c>
      <c r="K517" s="42"/>
    </row>
    <row r="518" ht="39.75" customHeight="1">
      <c r="A518" s="1">
        <v>517.0</v>
      </c>
      <c r="B518" s="2" t="s">
        <v>331</v>
      </c>
      <c r="C518" s="2" t="s">
        <v>542</v>
      </c>
      <c r="D518" s="13"/>
      <c r="E518" s="13"/>
      <c r="F518" s="44"/>
      <c r="G518" s="42"/>
      <c r="H518" s="42"/>
      <c r="I518" s="42"/>
      <c r="J518" s="22"/>
      <c r="K518" s="42"/>
    </row>
    <row r="519" ht="39.75" customHeight="1">
      <c r="A519" s="1">
        <v>518.0</v>
      </c>
      <c r="B519" s="2" t="s">
        <v>21</v>
      </c>
      <c r="C519" s="2"/>
      <c r="D519" s="13"/>
      <c r="E519" s="13"/>
      <c r="F519" s="45"/>
      <c r="G519" s="42"/>
      <c r="H519" s="42"/>
      <c r="I519" s="42"/>
      <c r="J519" s="22"/>
      <c r="K519" s="42"/>
    </row>
    <row r="520" ht="39.75" customHeight="1">
      <c r="A520" s="1">
        <v>519.0</v>
      </c>
      <c r="B520" s="2" t="s">
        <v>22</v>
      </c>
      <c r="C520" s="2" t="s">
        <v>69</v>
      </c>
      <c r="D520" s="13"/>
      <c r="E520" s="40">
        <v>0.8611111111111112</v>
      </c>
      <c r="F520" s="44" t="s">
        <v>2448</v>
      </c>
      <c r="G520" s="43">
        <v>1.0</v>
      </c>
      <c r="H520" s="42"/>
      <c r="I520" s="42"/>
      <c r="J520" s="22"/>
      <c r="K520" s="42"/>
    </row>
    <row r="521" ht="39.75" hidden="1" customHeight="1">
      <c r="A521" s="1">
        <v>520.0</v>
      </c>
      <c r="B521" s="2" t="s">
        <v>23</v>
      </c>
      <c r="C521" s="2" t="s">
        <v>58</v>
      </c>
      <c r="D521" s="13"/>
      <c r="E521" s="13"/>
      <c r="F521" s="45"/>
      <c r="G521" s="42"/>
      <c r="H521" s="42"/>
      <c r="I521" s="42"/>
      <c r="J521" s="22"/>
      <c r="K521" s="42"/>
    </row>
    <row r="522" ht="39.75" customHeight="1">
      <c r="A522" s="1">
        <v>521.0</v>
      </c>
      <c r="B522" s="2" t="s">
        <v>24</v>
      </c>
      <c r="C522" s="2" t="s">
        <v>63</v>
      </c>
      <c r="D522" s="13"/>
      <c r="E522" s="13"/>
      <c r="F522" s="45"/>
      <c r="G522" s="42"/>
      <c r="H522" s="42"/>
      <c r="I522" s="42"/>
      <c r="J522" s="22"/>
      <c r="K522" s="42"/>
    </row>
    <row r="523" ht="39.75" customHeight="1">
      <c r="A523" s="1">
        <v>522.0</v>
      </c>
      <c r="B523" s="2" t="s">
        <v>25</v>
      </c>
      <c r="C523" s="2"/>
      <c r="D523" s="13"/>
      <c r="E523" s="13"/>
      <c r="F523" s="45"/>
      <c r="G523" s="42"/>
      <c r="H523" s="42"/>
      <c r="I523" s="42"/>
      <c r="J523" s="22"/>
      <c r="K523" s="42"/>
    </row>
    <row r="524" ht="39.75" customHeight="1">
      <c r="A524" s="1">
        <v>523.0</v>
      </c>
      <c r="B524" s="2" t="s">
        <v>26</v>
      </c>
      <c r="C524" s="2"/>
      <c r="D524" s="13"/>
      <c r="E524" s="13"/>
      <c r="F524" s="44"/>
      <c r="G524" s="43"/>
      <c r="H524" s="42"/>
      <c r="I524" s="43"/>
      <c r="J524" s="22"/>
      <c r="K524" s="42"/>
    </row>
    <row r="525" ht="63.0" customHeight="1">
      <c r="A525" s="1">
        <v>524.0</v>
      </c>
      <c r="B525" s="2" t="s">
        <v>29</v>
      </c>
      <c r="C525" s="2" t="s">
        <v>54</v>
      </c>
      <c r="D525" s="53">
        <v>0.2847222222222222</v>
      </c>
      <c r="E525" s="13"/>
      <c r="F525" s="44" t="s">
        <v>2449</v>
      </c>
      <c r="G525" s="43">
        <v>2.0</v>
      </c>
      <c r="H525" s="42"/>
      <c r="I525" s="43">
        <v>2.0</v>
      </c>
      <c r="J525" s="22"/>
      <c r="K525" s="42"/>
    </row>
    <row r="526" ht="39.75" customHeight="1">
      <c r="A526" s="1">
        <v>525.0</v>
      </c>
      <c r="B526" s="2" t="s">
        <v>30</v>
      </c>
      <c r="C526" s="2" t="s">
        <v>64</v>
      </c>
      <c r="D526" s="13"/>
      <c r="E526" s="13"/>
      <c r="F526" s="44" t="s">
        <v>2450</v>
      </c>
      <c r="G526" s="43">
        <v>2.0</v>
      </c>
      <c r="H526" s="42"/>
      <c r="I526" s="43">
        <v>2.0</v>
      </c>
      <c r="J526" s="22"/>
      <c r="K526" s="42"/>
    </row>
    <row r="527" ht="39.75" customHeight="1">
      <c r="A527" s="1">
        <v>526.0</v>
      </c>
      <c r="B527" s="2" t="s">
        <v>31</v>
      </c>
      <c r="C527" s="2" t="s">
        <v>44</v>
      </c>
      <c r="D527" s="13"/>
      <c r="E527" s="13"/>
      <c r="F527" s="52" t="s">
        <v>2451</v>
      </c>
      <c r="G527" s="56">
        <v>1.0</v>
      </c>
      <c r="H527" s="42"/>
      <c r="I527" s="56">
        <v>1.0</v>
      </c>
      <c r="J527" s="22"/>
      <c r="K527" s="42"/>
    </row>
    <row r="528" ht="39.75" customHeight="1">
      <c r="A528" s="1">
        <v>527.0</v>
      </c>
      <c r="B528" s="2" t="s">
        <v>32</v>
      </c>
      <c r="C528" s="2" t="s">
        <v>69</v>
      </c>
      <c r="D528" s="13"/>
      <c r="E528" s="13"/>
      <c r="F528" s="44" t="s">
        <v>2452</v>
      </c>
      <c r="G528" s="43">
        <v>2.0</v>
      </c>
      <c r="H528" s="42"/>
      <c r="I528" s="43">
        <v>1.0</v>
      </c>
      <c r="J528" s="22"/>
      <c r="K528" s="42"/>
    </row>
    <row r="529" ht="39.75" customHeight="1">
      <c r="A529" s="1">
        <v>528.0</v>
      </c>
      <c r="B529" s="2" t="s">
        <v>67</v>
      </c>
      <c r="C529" s="2" t="s">
        <v>39</v>
      </c>
      <c r="D529" s="40">
        <v>0.2916666666666667</v>
      </c>
      <c r="E529" s="13"/>
      <c r="F529" s="44" t="s">
        <v>2453</v>
      </c>
      <c r="G529" s="43">
        <v>2.0</v>
      </c>
      <c r="H529" s="42"/>
      <c r="I529" s="43">
        <v>2.0</v>
      </c>
      <c r="J529" s="22"/>
      <c r="K529" s="42"/>
    </row>
    <row r="530" ht="39.75" customHeight="1">
      <c r="A530" s="1">
        <v>529.0</v>
      </c>
      <c r="B530" s="2" t="s">
        <v>34</v>
      </c>
      <c r="C530" s="2" t="s">
        <v>39</v>
      </c>
      <c r="D530" s="53">
        <v>0.25</v>
      </c>
      <c r="E530" s="13"/>
      <c r="F530" s="44" t="s">
        <v>2454</v>
      </c>
      <c r="G530" s="43">
        <v>1.0</v>
      </c>
      <c r="H530" s="42"/>
      <c r="I530" s="42"/>
      <c r="J530" s="22"/>
      <c r="K530" s="42"/>
    </row>
    <row r="531" ht="39.75" customHeight="1">
      <c r="A531" s="1">
        <v>530.0</v>
      </c>
      <c r="B531" s="2" t="s">
        <v>35</v>
      </c>
      <c r="C531" s="2" t="s">
        <v>54</v>
      </c>
      <c r="D531" s="13"/>
      <c r="E531" s="13"/>
      <c r="F531" s="44" t="s">
        <v>2455</v>
      </c>
      <c r="G531" s="43">
        <v>1.0</v>
      </c>
      <c r="H531" s="42"/>
      <c r="I531" s="42"/>
      <c r="J531" s="22"/>
      <c r="K531" s="42"/>
    </row>
    <row r="532" ht="39.75" customHeight="1">
      <c r="A532" s="1">
        <v>531.0</v>
      </c>
      <c r="B532" s="2" t="s">
        <v>36</v>
      </c>
      <c r="C532" s="13"/>
      <c r="D532" s="53">
        <v>0.3333333333333333</v>
      </c>
      <c r="E532" s="13"/>
      <c r="F532" s="44" t="s">
        <v>2456</v>
      </c>
      <c r="G532" s="43">
        <v>1.0</v>
      </c>
      <c r="H532" s="42"/>
      <c r="I532" s="42"/>
      <c r="J532" s="22"/>
      <c r="K532" s="42"/>
    </row>
    <row r="533" ht="39.75" customHeight="1">
      <c r="A533" s="1">
        <v>532.0</v>
      </c>
      <c r="B533" s="2" t="s">
        <v>38</v>
      </c>
      <c r="C533" s="2" t="s">
        <v>69</v>
      </c>
      <c r="D533" s="13"/>
      <c r="E533" s="40">
        <v>0.875</v>
      </c>
      <c r="F533" s="44" t="s">
        <v>2457</v>
      </c>
      <c r="G533" s="43">
        <v>1.0</v>
      </c>
      <c r="H533" s="42"/>
      <c r="I533" s="42"/>
      <c r="J533" s="22"/>
      <c r="K533" s="42"/>
    </row>
    <row r="534" ht="39.75" hidden="1" customHeight="1">
      <c r="A534" s="1">
        <v>533.0</v>
      </c>
      <c r="B534" s="2" t="s">
        <v>41</v>
      </c>
      <c r="C534" s="2" t="s">
        <v>58</v>
      </c>
      <c r="D534" s="13"/>
      <c r="E534" s="13"/>
      <c r="F534" s="45"/>
      <c r="G534" s="42"/>
      <c r="H534" s="42"/>
      <c r="I534" s="42"/>
      <c r="J534" s="22"/>
      <c r="K534" s="42"/>
    </row>
    <row r="535" ht="39.75" customHeight="1">
      <c r="A535" s="1">
        <v>534.0</v>
      </c>
      <c r="B535" s="2" t="s">
        <v>42</v>
      </c>
      <c r="C535" s="2" t="s">
        <v>54</v>
      </c>
      <c r="D535" s="13"/>
      <c r="E535" s="13"/>
      <c r="F535" s="44" t="s">
        <v>2458</v>
      </c>
      <c r="G535" s="43">
        <v>1.0</v>
      </c>
      <c r="H535" s="42"/>
      <c r="I535" s="42"/>
      <c r="J535" s="22"/>
      <c r="K535" s="42"/>
    </row>
    <row r="536" ht="39.75" hidden="1" customHeight="1">
      <c r="A536" s="1">
        <v>535.0</v>
      </c>
      <c r="B536" s="2" t="s">
        <v>43</v>
      </c>
      <c r="C536" s="2" t="s">
        <v>58</v>
      </c>
      <c r="D536" s="13"/>
      <c r="E536" s="13"/>
      <c r="F536" s="45"/>
      <c r="G536" s="42"/>
      <c r="H536" s="42"/>
      <c r="I536" s="42"/>
      <c r="J536" s="22"/>
      <c r="K536" s="42"/>
    </row>
    <row r="537" ht="39.75" customHeight="1">
      <c r="A537" s="1">
        <v>536.0</v>
      </c>
      <c r="B537" s="2" t="s">
        <v>45</v>
      </c>
      <c r="C537" s="2"/>
      <c r="D537" s="53">
        <v>0.3333333333333333</v>
      </c>
      <c r="E537" s="13"/>
      <c r="F537" s="44" t="s">
        <v>2459</v>
      </c>
      <c r="G537" s="43">
        <v>1.0</v>
      </c>
      <c r="H537" s="42"/>
      <c r="I537" s="43">
        <v>1.0</v>
      </c>
      <c r="J537" s="22"/>
      <c r="K537" s="42"/>
    </row>
    <row r="538" ht="39.75" customHeight="1">
      <c r="A538" s="1">
        <v>537.0</v>
      </c>
      <c r="B538" s="2" t="s">
        <v>46</v>
      </c>
      <c r="C538" s="2" t="s">
        <v>54</v>
      </c>
      <c r="D538" s="13"/>
      <c r="E538" s="51">
        <v>0.8541666666666666</v>
      </c>
      <c r="F538" s="44" t="s">
        <v>2460</v>
      </c>
      <c r="G538" s="43">
        <v>1.0</v>
      </c>
      <c r="H538" s="42"/>
      <c r="I538" s="42"/>
      <c r="J538" s="22"/>
      <c r="K538" s="42"/>
    </row>
    <row r="539" ht="39.75" hidden="1" customHeight="1">
      <c r="A539" s="1">
        <v>538.0</v>
      </c>
      <c r="B539" s="2" t="s">
        <v>47</v>
      </c>
      <c r="C539" s="2" t="s">
        <v>66</v>
      </c>
      <c r="D539" s="13"/>
      <c r="E539" s="13"/>
      <c r="F539" s="45"/>
      <c r="G539" s="42"/>
      <c r="H539" s="42"/>
      <c r="I539" s="42"/>
      <c r="J539" s="22"/>
      <c r="K539" s="42"/>
    </row>
    <row r="540" ht="39.75" customHeight="1">
      <c r="A540" s="1">
        <v>539.0</v>
      </c>
      <c r="B540" s="2" t="s">
        <v>48</v>
      </c>
      <c r="C540" s="2" t="s">
        <v>27</v>
      </c>
      <c r="D540" s="13"/>
      <c r="E540" s="13"/>
      <c r="F540" s="44" t="s">
        <v>2461</v>
      </c>
      <c r="G540" s="43">
        <v>1.0</v>
      </c>
      <c r="H540" s="42"/>
      <c r="I540" s="42"/>
      <c r="J540" s="22"/>
      <c r="K540" s="42"/>
    </row>
    <row r="541" ht="39.75" customHeight="1">
      <c r="A541" s="1">
        <v>540.0</v>
      </c>
      <c r="B541" s="21"/>
      <c r="C541" s="21"/>
      <c r="D541" s="21"/>
      <c r="E541" s="21"/>
      <c r="F541" s="46"/>
      <c r="G541" s="47"/>
      <c r="H541" s="47"/>
      <c r="I541" s="47"/>
      <c r="J541" s="48"/>
      <c r="K541" s="47"/>
      <c r="L541" s="49"/>
      <c r="M541" s="49"/>
      <c r="N541" s="49"/>
    </row>
    <row r="542" ht="39.75" hidden="1" customHeight="1">
      <c r="A542" s="1">
        <v>541.0</v>
      </c>
      <c r="B542" s="2" t="s">
        <v>12</v>
      </c>
      <c r="C542" s="2" t="s">
        <v>13</v>
      </c>
      <c r="D542" s="13"/>
      <c r="E542" s="13"/>
      <c r="F542" s="45"/>
      <c r="G542" s="42"/>
      <c r="H542" s="42"/>
      <c r="I542" s="42"/>
      <c r="J542" s="27" t="s">
        <v>2231</v>
      </c>
      <c r="K542" s="42"/>
      <c r="L542" s="15" t="s">
        <v>362</v>
      </c>
    </row>
    <row r="543" ht="39.75" hidden="1" customHeight="1">
      <c r="A543" s="1">
        <v>542.0</v>
      </c>
      <c r="B543" s="2" t="s">
        <v>16</v>
      </c>
      <c r="C543" s="2" t="s">
        <v>13</v>
      </c>
      <c r="D543" s="40"/>
      <c r="E543" s="13"/>
      <c r="F543" s="45"/>
      <c r="G543" s="42"/>
      <c r="H543" s="42"/>
      <c r="I543" s="42"/>
      <c r="J543" s="27" t="s">
        <v>362</v>
      </c>
      <c r="K543" s="43"/>
    </row>
    <row r="544" ht="39.75" hidden="1" customHeight="1">
      <c r="A544" s="1">
        <v>543.0</v>
      </c>
      <c r="B544" s="2" t="s">
        <v>17</v>
      </c>
      <c r="C544" s="2" t="s">
        <v>13</v>
      </c>
      <c r="D544" s="13"/>
      <c r="E544" s="13"/>
      <c r="F544" s="45"/>
      <c r="G544" s="42"/>
      <c r="H544" s="42"/>
      <c r="I544" s="42"/>
      <c r="J544" s="27" t="s">
        <v>149</v>
      </c>
      <c r="K544" s="42"/>
    </row>
    <row r="545" ht="39.75" hidden="1" customHeight="1">
      <c r="A545" s="1">
        <v>544.0</v>
      </c>
      <c r="B545" s="2" t="s">
        <v>331</v>
      </c>
      <c r="C545" s="2" t="s">
        <v>13</v>
      </c>
      <c r="D545" s="13"/>
      <c r="E545" s="13"/>
      <c r="F545" s="44"/>
      <c r="G545" s="42"/>
      <c r="H545" s="42"/>
      <c r="I545" s="42"/>
      <c r="J545" s="27" t="s">
        <v>165</v>
      </c>
      <c r="K545" s="42"/>
    </row>
    <row r="546" ht="39.75" hidden="1" customHeight="1">
      <c r="A546" s="1">
        <v>545.0</v>
      </c>
      <c r="B546" s="2" t="s">
        <v>21</v>
      </c>
      <c r="C546" s="2" t="s">
        <v>13</v>
      </c>
      <c r="D546" s="13"/>
      <c r="E546" s="13"/>
      <c r="F546" s="45"/>
      <c r="G546" s="42"/>
      <c r="H546" s="42"/>
      <c r="I546" s="42"/>
      <c r="J546" s="27" t="s">
        <v>166</v>
      </c>
      <c r="K546" s="42"/>
    </row>
    <row r="547" ht="39.75" customHeight="1">
      <c r="A547" s="1">
        <v>546.0</v>
      </c>
      <c r="B547" s="2" t="s">
        <v>266</v>
      </c>
      <c r="C547" s="2" t="s">
        <v>272</v>
      </c>
      <c r="D547" s="13"/>
      <c r="E547" s="13"/>
      <c r="F547" s="44" t="s">
        <v>2462</v>
      </c>
      <c r="G547" s="43">
        <v>1.0</v>
      </c>
      <c r="H547" s="42"/>
      <c r="I547" s="43">
        <v>1.0</v>
      </c>
      <c r="J547" s="27" t="s">
        <v>167</v>
      </c>
      <c r="K547" s="42"/>
    </row>
    <row r="548" ht="39.75" customHeight="1">
      <c r="A548" s="1">
        <v>547.0</v>
      </c>
      <c r="B548" s="2" t="s">
        <v>23</v>
      </c>
      <c r="C548" s="2" t="s">
        <v>49</v>
      </c>
      <c r="D548" s="13"/>
      <c r="E548" s="13"/>
      <c r="F548" s="44" t="s">
        <v>2463</v>
      </c>
      <c r="G548" s="43">
        <v>1.0</v>
      </c>
      <c r="H548" s="42"/>
      <c r="I548" s="43">
        <v>1.0</v>
      </c>
      <c r="J548" s="22"/>
      <c r="K548" s="42"/>
    </row>
    <row r="549" ht="39.75" customHeight="1">
      <c r="A549" s="1">
        <v>548.0</v>
      </c>
      <c r="B549" s="2" t="s">
        <v>24</v>
      </c>
      <c r="C549" s="2" t="s">
        <v>63</v>
      </c>
      <c r="D549" s="13"/>
      <c r="E549" s="13"/>
      <c r="F549" s="45"/>
      <c r="G549" s="42"/>
      <c r="H549" s="42"/>
      <c r="I549" s="42"/>
      <c r="J549" s="22"/>
      <c r="K549" s="42"/>
    </row>
    <row r="550" ht="39.75" hidden="1" customHeight="1">
      <c r="A550" s="1">
        <v>549.0</v>
      </c>
      <c r="B550" s="2" t="s">
        <v>25</v>
      </c>
      <c r="C550" s="2" t="s">
        <v>13</v>
      </c>
      <c r="D550" s="13"/>
      <c r="E550" s="13"/>
      <c r="F550" s="45"/>
      <c r="G550" s="42"/>
      <c r="H550" s="42"/>
      <c r="I550" s="42"/>
      <c r="J550" s="22"/>
      <c r="K550" s="42"/>
    </row>
    <row r="551" ht="39.75" hidden="1" customHeight="1">
      <c r="A551" s="1">
        <v>550.0</v>
      </c>
      <c r="B551" s="2" t="s">
        <v>26</v>
      </c>
      <c r="C551" s="2" t="s">
        <v>13</v>
      </c>
      <c r="D551" s="13"/>
      <c r="E551" s="13"/>
      <c r="F551" s="45"/>
      <c r="G551" s="42"/>
      <c r="H551" s="42"/>
      <c r="I551" s="42"/>
      <c r="J551" s="22"/>
      <c r="K551" s="42"/>
    </row>
    <row r="552" ht="39.75" hidden="1" customHeight="1">
      <c r="A552" s="1">
        <v>551.0</v>
      </c>
      <c r="B552" s="2" t="s">
        <v>29</v>
      </c>
      <c r="C552" s="2" t="s">
        <v>13</v>
      </c>
      <c r="D552" s="13"/>
      <c r="E552" s="13"/>
      <c r="F552" s="45"/>
      <c r="G552" s="42"/>
      <c r="H552" s="42"/>
      <c r="I552" s="42"/>
      <c r="J552" s="22"/>
      <c r="K552" s="42"/>
    </row>
    <row r="553" ht="39.75" hidden="1" customHeight="1">
      <c r="A553" s="1">
        <v>552.0</v>
      </c>
      <c r="B553" s="2" t="s">
        <v>30</v>
      </c>
      <c r="C553" s="2" t="s">
        <v>13</v>
      </c>
      <c r="D553" s="13"/>
      <c r="E553" s="13"/>
      <c r="F553" s="45"/>
      <c r="G553" s="42"/>
      <c r="H553" s="42"/>
      <c r="I553" s="42"/>
      <c r="J553" s="22"/>
      <c r="K553" s="42"/>
    </row>
    <row r="554" ht="39.75" customHeight="1">
      <c r="A554" s="1">
        <v>553.0</v>
      </c>
      <c r="B554" s="2" t="s">
        <v>31</v>
      </c>
      <c r="C554" s="2" t="s">
        <v>27</v>
      </c>
      <c r="D554" s="13"/>
      <c r="E554" s="13"/>
      <c r="F554" s="45"/>
      <c r="G554" s="42"/>
      <c r="H554" s="42"/>
      <c r="I554" s="42"/>
      <c r="J554" s="22"/>
      <c r="K554" s="42"/>
    </row>
    <row r="555" ht="39.75" customHeight="1">
      <c r="A555" s="1">
        <v>554.0</v>
      </c>
      <c r="B555" s="2" t="s">
        <v>32</v>
      </c>
      <c r="C555" s="2"/>
      <c r="D555" s="40">
        <v>0.375</v>
      </c>
      <c r="E555" s="13"/>
      <c r="F555" s="44" t="s">
        <v>2464</v>
      </c>
      <c r="G555" s="43">
        <v>1.0</v>
      </c>
      <c r="H555" s="42"/>
      <c r="I555" s="42"/>
      <c r="J555" s="22"/>
      <c r="K555" s="42"/>
    </row>
    <row r="556" ht="39.75" hidden="1" customHeight="1">
      <c r="A556" s="1">
        <v>555.0</v>
      </c>
      <c r="B556" s="2" t="s">
        <v>67</v>
      </c>
      <c r="C556" s="2" t="s">
        <v>13</v>
      </c>
      <c r="D556" s="13"/>
      <c r="E556" s="13"/>
      <c r="F556" s="45"/>
      <c r="G556" s="42"/>
      <c r="H556" s="42"/>
      <c r="I556" s="42"/>
      <c r="J556" s="22"/>
      <c r="K556" s="42"/>
    </row>
    <row r="557" ht="39.75" hidden="1" customHeight="1">
      <c r="A557" s="1">
        <v>556.0</v>
      </c>
      <c r="B557" s="2" t="s">
        <v>34</v>
      </c>
      <c r="C557" s="2" t="s">
        <v>13</v>
      </c>
      <c r="D557" s="13"/>
      <c r="E557" s="13"/>
      <c r="F557" s="45"/>
      <c r="G557" s="42"/>
      <c r="H557" s="42"/>
      <c r="I557" s="42"/>
      <c r="J557" s="22"/>
      <c r="K557" s="42"/>
    </row>
    <row r="558" ht="39.75" hidden="1" customHeight="1">
      <c r="A558" s="1">
        <v>557.0</v>
      </c>
      <c r="B558" s="2" t="s">
        <v>35</v>
      </c>
      <c r="C558" s="2" t="s">
        <v>13</v>
      </c>
      <c r="D558" s="13"/>
      <c r="E558" s="13"/>
      <c r="F558" s="45"/>
      <c r="G558" s="42"/>
      <c r="H558" s="42"/>
      <c r="I558" s="42"/>
      <c r="J558" s="22"/>
      <c r="K558" s="42"/>
    </row>
    <row r="559" ht="39.75" customHeight="1">
      <c r="A559" s="1">
        <v>558.0</v>
      </c>
      <c r="B559" s="2" t="s">
        <v>36</v>
      </c>
      <c r="C559" s="2" t="s">
        <v>39</v>
      </c>
      <c r="D559" s="13"/>
      <c r="E559" s="13"/>
      <c r="F559" s="44" t="s">
        <v>2465</v>
      </c>
      <c r="G559" s="43">
        <v>2.0</v>
      </c>
      <c r="H559" s="42"/>
      <c r="I559" s="43">
        <v>2.0</v>
      </c>
      <c r="J559" s="22"/>
      <c r="K559" s="42"/>
    </row>
    <row r="560" ht="39.75" hidden="1" customHeight="1">
      <c r="A560" s="1">
        <v>559.0</v>
      </c>
      <c r="B560" s="2" t="s">
        <v>38</v>
      </c>
      <c r="C560" s="2" t="s">
        <v>13</v>
      </c>
      <c r="D560" s="13"/>
      <c r="E560" s="13"/>
      <c r="F560" s="45"/>
      <c r="G560" s="42"/>
      <c r="H560" s="42"/>
      <c r="I560" s="42"/>
      <c r="J560" s="22"/>
      <c r="K560" s="42"/>
    </row>
    <row r="561" ht="39.75" hidden="1" customHeight="1">
      <c r="A561" s="1">
        <v>560.0</v>
      </c>
      <c r="B561" s="2" t="s">
        <v>41</v>
      </c>
      <c r="C561" s="2" t="s">
        <v>13</v>
      </c>
      <c r="D561" s="13"/>
      <c r="E561" s="13"/>
      <c r="F561" s="45"/>
      <c r="G561" s="42"/>
      <c r="H561" s="42"/>
      <c r="I561" s="42"/>
      <c r="J561" s="22"/>
      <c r="K561" s="42"/>
    </row>
    <row r="562" ht="39.75" hidden="1" customHeight="1">
      <c r="A562" s="1">
        <v>561.0</v>
      </c>
      <c r="B562" s="2" t="s">
        <v>42</v>
      </c>
      <c r="C562" s="2" t="s">
        <v>13</v>
      </c>
      <c r="D562" s="13"/>
      <c r="E562" s="13"/>
      <c r="F562" s="45"/>
      <c r="G562" s="42"/>
      <c r="H562" s="42"/>
      <c r="I562" s="42"/>
      <c r="J562" s="22"/>
      <c r="K562" s="42"/>
    </row>
    <row r="563" ht="39.75" hidden="1" customHeight="1">
      <c r="A563" s="1">
        <v>562.0</v>
      </c>
      <c r="B563" s="2" t="s">
        <v>43</v>
      </c>
      <c r="C563" s="2" t="s">
        <v>13</v>
      </c>
      <c r="D563" s="13"/>
      <c r="E563" s="13"/>
      <c r="F563" s="45"/>
      <c r="G563" s="42"/>
      <c r="H563" s="42"/>
      <c r="I563" s="42"/>
      <c r="J563" s="22"/>
      <c r="K563" s="42"/>
    </row>
    <row r="564" ht="39.75" hidden="1" customHeight="1">
      <c r="A564" s="1">
        <v>563.0</v>
      </c>
      <c r="B564" s="2" t="s">
        <v>45</v>
      </c>
      <c r="C564" s="2" t="s">
        <v>13</v>
      </c>
      <c r="D564" s="13"/>
      <c r="E564" s="13"/>
      <c r="F564" s="45"/>
      <c r="G564" s="42"/>
      <c r="H564" s="42"/>
      <c r="I564" s="42"/>
      <c r="J564" s="22"/>
      <c r="K564" s="42"/>
    </row>
    <row r="565" ht="39.75" hidden="1" customHeight="1">
      <c r="A565" s="1">
        <v>564.0</v>
      </c>
      <c r="B565" s="2" t="s">
        <v>46</v>
      </c>
      <c r="C565" s="2" t="s">
        <v>13</v>
      </c>
      <c r="D565" s="13"/>
      <c r="E565" s="13"/>
      <c r="F565" s="45"/>
      <c r="G565" s="42"/>
      <c r="H565" s="42"/>
      <c r="I565" s="42"/>
      <c r="J565" s="22"/>
      <c r="K565" s="42"/>
    </row>
    <row r="566" ht="39.75" hidden="1" customHeight="1">
      <c r="A566" s="1">
        <v>565.0</v>
      </c>
      <c r="B566" s="2" t="s">
        <v>47</v>
      </c>
      <c r="C566" s="2" t="s">
        <v>13</v>
      </c>
      <c r="D566" s="13"/>
      <c r="E566" s="13"/>
      <c r="F566" s="45"/>
      <c r="G566" s="42"/>
      <c r="H566" s="42"/>
      <c r="I566" s="42"/>
      <c r="J566" s="22"/>
      <c r="K566" s="42"/>
    </row>
    <row r="567" ht="39.75" customHeight="1">
      <c r="A567" s="1">
        <v>566.0</v>
      </c>
      <c r="B567" s="2" t="s">
        <v>48</v>
      </c>
      <c r="C567" s="2" t="s">
        <v>44</v>
      </c>
      <c r="D567" s="13"/>
      <c r="E567" s="13"/>
      <c r="F567" s="45"/>
      <c r="G567" s="42"/>
      <c r="H567" s="42"/>
      <c r="I567" s="42"/>
      <c r="J567" s="22"/>
      <c r="K567" s="42"/>
    </row>
    <row r="568" ht="39.75" customHeight="1">
      <c r="A568" s="1">
        <v>567.0</v>
      </c>
      <c r="B568" s="21"/>
      <c r="C568" s="21"/>
      <c r="D568" s="21"/>
      <c r="E568" s="21"/>
      <c r="F568" s="46"/>
      <c r="G568" s="47"/>
      <c r="H568" s="47"/>
      <c r="I568" s="47"/>
      <c r="J568" s="48"/>
      <c r="K568" s="47"/>
      <c r="L568" s="49"/>
      <c r="M568" s="49"/>
      <c r="N568" s="49"/>
    </row>
    <row r="569" ht="39.75" hidden="1" customHeight="1">
      <c r="A569" s="1">
        <v>568.0</v>
      </c>
      <c r="B569" s="2" t="s">
        <v>12</v>
      </c>
      <c r="C569" s="2" t="s">
        <v>13</v>
      </c>
      <c r="D569" s="13"/>
      <c r="E569" s="13"/>
      <c r="F569" s="45"/>
      <c r="G569" s="42"/>
      <c r="H569" s="42"/>
      <c r="I569" s="42"/>
      <c r="J569" s="27" t="s">
        <v>2231</v>
      </c>
      <c r="K569" s="42"/>
      <c r="L569" s="15" t="s">
        <v>369</v>
      </c>
    </row>
    <row r="570" ht="39.75" customHeight="1">
      <c r="A570" s="1">
        <v>569.0</v>
      </c>
      <c r="B570" s="2" t="s">
        <v>20</v>
      </c>
      <c r="C570" s="2" t="s">
        <v>271</v>
      </c>
      <c r="D570" s="13"/>
      <c r="E570" s="13"/>
      <c r="F570" s="45"/>
      <c r="G570" s="42"/>
      <c r="H570" s="42"/>
      <c r="I570" s="42"/>
      <c r="J570" s="27" t="s">
        <v>369</v>
      </c>
      <c r="K570" s="43"/>
    </row>
    <row r="571" ht="39.75" customHeight="1">
      <c r="A571" s="1">
        <v>570.0</v>
      </c>
      <c r="B571" s="2" t="s">
        <v>263</v>
      </c>
      <c r="C571" s="2" t="s">
        <v>272</v>
      </c>
      <c r="D571" s="13"/>
      <c r="E571" s="13"/>
      <c r="F571" s="44" t="s">
        <v>1186</v>
      </c>
      <c r="G571" s="43">
        <v>1.0</v>
      </c>
      <c r="H571" s="42"/>
      <c r="I571" s="43">
        <v>1.0</v>
      </c>
      <c r="J571" s="27" t="s">
        <v>19</v>
      </c>
      <c r="K571" s="42"/>
    </row>
    <row r="572" ht="39.75" hidden="1" customHeight="1">
      <c r="A572" s="1">
        <v>571.0</v>
      </c>
      <c r="B572" s="2" t="s">
        <v>331</v>
      </c>
      <c r="C572" s="2" t="s">
        <v>13</v>
      </c>
      <c r="D572" s="13"/>
      <c r="E572" s="13"/>
      <c r="F572" s="44"/>
      <c r="G572" s="42"/>
      <c r="H572" s="42"/>
      <c r="I572" s="42"/>
      <c r="J572" s="27" t="s">
        <v>410</v>
      </c>
      <c r="K572" s="42"/>
    </row>
    <row r="573" ht="39.75" customHeight="1">
      <c r="A573" s="1">
        <v>572.0</v>
      </c>
      <c r="B573" s="2" t="s">
        <v>21</v>
      </c>
      <c r="C573" s="2" t="s">
        <v>63</v>
      </c>
      <c r="D573" s="13"/>
      <c r="E573" s="13"/>
      <c r="F573" s="45"/>
      <c r="G573" s="42"/>
      <c r="H573" s="42"/>
      <c r="I573" s="42"/>
      <c r="J573" s="27" t="s">
        <v>412</v>
      </c>
      <c r="K573" s="42"/>
    </row>
    <row r="574" ht="39.75" hidden="1" customHeight="1">
      <c r="A574" s="1">
        <v>573.0</v>
      </c>
      <c r="B574" s="2" t="s">
        <v>22</v>
      </c>
      <c r="C574" s="2" t="s">
        <v>13</v>
      </c>
      <c r="D574" s="40"/>
      <c r="E574" s="13"/>
      <c r="F574" s="45"/>
      <c r="G574" s="42"/>
      <c r="H574" s="42"/>
      <c r="I574" s="42"/>
      <c r="J574" s="27" t="s">
        <v>413</v>
      </c>
      <c r="K574" s="42"/>
    </row>
    <row r="575" ht="39.75" hidden="1" customHeight="1">
      <c r="A575" s="1">
        <v>574.0</v>
      </c>
      <c r="B575" s="2" t="s">
        <v>23</v>
      </c>
      <c r="C575" s="2" t="s">
        <v>13</v>
      </c>
      <c r="D575" s="13"/>
      <c r="E575" s="13"/>
      <c r="F575" s="45"/>
      <c r="G575" s="42"/>
      <c r="H575" s="42"/>
      <c r="I575" s="42"/>
      <c r="J575" s="22"/>
      <c r="K575" s="42"/>
    </row>
    <row r="576" ht="39.75" hidden="1" customHeight="1">
      <c r="A576" s="1">
        <v>575.0</v>
      </c>
      <c r="B576" s="2" t="s">
        <v>24</v>
      </c>
      <c r="C576" s="2" t="s">
        <v>13</v>
      </c>
      <c r="D576" s="13"/>
      <c r="E576" s="13"/>
      <c r="F576" s="45"/>
      <c r="G576" s="42"/>
      <c r="H576" s="42"/>
      <c r="I576" s="42"/>
      <c r="J576" s="22"/>
      <c r="K576" s="42"/>
    </row>
    <row r="577" ht="39.75" hidden="1" customHeight="1">
      <c r="A577" s="1">
        <v>576.0</v>
      </c>
      <c r="B577" s="2" t="s">
        <v>25</v>
      </c>
      <c r="C577" s="2" t="s">
        <v>13</v>
      </c>
      <c r="D577" s="13"/>
      <c r="E577" s="13"/>
      <c r="F577" s="45"/>
      <c r="G577" s="42"/>
      <c r="H577" s="42"/>
      <c r="I577" s="42"/>
      <c r="J577" s="22"/>
      <c r="K577" s="42"/>
    </row>
    <row r="578" ht="39.75" customHeight="1">
      <c r="A578" s="1">
        <v>577.0</v>
      </c>
      <c r="B578" s="2" t="s">
        <v>26</v>
      </c>
      <c r="C578" s="2" t="s">
        <v>39</v>
      </c>
      <c r="D578" s="53">
        <v>0.2916666666666667</v>
      </c>
      <c r="E578" s="13"/>
      <c r="F578" s="44" t="s">
        <v>2466</v>
      </c>
      <c r="G578" s="43">
        <v>2.0</v>
      </c>
      <c r="H578" s="42"/>
      <c r="I578" s="43">
        <v>2.0</v>
      </c>
      <c r="J578" s="22"/>
      <c r="K578" s="42"/>
    </row>
    <row r="579" ht="39.75" hidden="1" customHeight="1">
      <c r="A579" s="1">
        <v>578.0</v>
      </c>
      <c r="B579" s="2" t="s">
        <v>29</v>
      </c>
      <c r="C579" s="2" t="s">
        <v>13</v>
      </c>
      <c r="D579" s="13"/>
      <c r="E579" s="13"/>
      <c r="F579" s="45"/>
      <c r="G579" s="42"/>
      <c r="H579" s="42"/>
      <c r="I579" s="42"/>
      <c r="J579" s="22"/>
      <c r="K579" s="42"/>
    </row>
    <row r="580" ht="39.75" hidden="1" customHeight="1">
      <c r="A580" s="1">
        <v>579.0</v>
      </c>
      <c r="B580" s="2" t="s">
        <v>30</v>
      </c>
      <c r="C580" s="2" t="s">
        <v>13</v>
      </c>
      <c r="D580" s="13"/>
      <c r="E580" s="13"/>
      <c r="F580" s="45"/>
      <c r="G580" s="42"/>
      <c r="H580" s="42"/>
      <c r="I580" s="42"/>
      <c r="J580" s="22"/>
      <c r="K580" s="42"/>
    </row>
    <row r="581" ht="39.75" customHeight="1">
      <c r="A581" s="1">
        <v>580.0</v>
      </c>
      <c r="B581" s="2" t="s">
        <v>31</v>
      </c>
      <c r="C581" s="2" t="s">
        <v>44</v>
      </c>
      <c r="D581" s="13"/>
      <c r="E581" s="13"/>
      <c r="F581" s="45"/>
      <c r="G581" s="42"/>
      <c r="H581" s="42"/>
      <c r="I581" s="42"/>
      <c r="J581" s="22"/>
      <c r="K581" s="42"/>
    </row>
    <row r="582" ht="39.75" hidden="1" customHeight="1">
      <c r="A582" s="1">
        <v>581.0</v>
      </c>
      <c r="B582" s="2" t="s">
        <v>32</v>
      </c>
      <c r="C582" s="2" t="s">
        <v>13</v>
      </c>
      <c r="D582" s="13"/>
      <c r="E582" s="13"/>
      <c r="F582" s="45"/>
      <c r="G582" s="42"/>
      <c r="H582" s="42"/>
      <c r="I582" s="42"/>
      <c r="J582" s="22"/>
      <c r="K582" s="42"/>
    </row>
    <row r="583" ht="39.75" hidden="1" customHeight="1">
      <c r="A583" s="1">
        <v>582.0</v>
      </c>
      <c r="B583" s="2" t="s">
        <v>67</v>
      </c>
      <c r="C583" s="2" t="s">
        <v>13</v>
      </c>
      <c r="D583" s="13"/>
      <c r="E583" s="13"/>
      <c r="F583" s="45"/>
      <c r="G583" s="42"/>
      <c r="H583" s="42"/>
      <c r="I583" s="42"/>
      <c r="J583" s="22"/>
      <c r="K583" s="42"/>
    </row>
    <row r="584" ht="39.75" hidden="1" customHeight="1">
      <c r="A584" s="1">
        <v>583.0</v>
      </c>
      <c r="B584" s="2" t="s">
        <v>34</v>
      </c>
      <c r="C584" s="2" t="s">
        <v>13</v>
      </c>
      <c r="D584" s="13"/>
      <c r="E584" s="13"/>
      <c r="F584" s="45"/>
      <c r="G584" s="42"/>
      <c r="H584" s="42"/>
      <c r="I584" s="42"/>
      <c r="J584" s="22"/>
      <c r="K584" s="42"/>
    </row>
    <row r="585" ht="39.75" hidden="1" customHeight="1">
      <c r="A585" s="1">
        <v>584.0</v>
      </c>
      <c r="B585" s="2" t="s">
        <v>35</v>
      </c>
      <c r="C585" s="2" t="s">
        <v>13</v>
      </c>
      <c r="D585" s="13"/>
      <c r="E585" s="13"/>
      <c r="F585" s="45"/>
      <c r="G585" s="42"/>
      <c r="H585" s="42"/>
      <c r="I585" s="42"/>
      <c r="J585" s="22"/>
      <c r="K585" s="42"/>
    </row>
    <row r="586" ht="39.75" hidden="1" customHeight="1">
      <c r="A586" s="1">
        <v>585.0</v>
      </c>
      <c r="B586" s="2" t="s">
        <v>36</v>
      </c>
      <c r="C586" s="2" t="s">
        <v>13</v>
      </c>
      <c r="D586" s="13"/>
      <c r="E586" s="13"/>
      <c r="F586" s="45"/>
      <c r="G586" s="42"/>
      <c r="H586" s="42"/>
      <c r="I586" s="42"/>
      <c r="J586" s="22"/>
      <c r="K586" s="42"/>
    </row>
    <row r="587" ht="39.75" hidden="1" customHeight="1">
      <c r="A587" s="1">
        <v>586.0</v>
      </c>
      <c r="B587" s="2" t="s">
        <v>38</v>
      </c>
      <c r="C587" s="2" t="s">
        <v>13</v>
      </c>
      <c r="D587" s="13"/>
      <c r="E587" s="13"/>
      <c r="F587" s="45"/>
      <c r="G587" s="42"/>
      <c r="H587" s="42"/>
      <c r="I587" s="42"/>
      <c r="J587" s="22"/>
      <c r="K587" s="42"/>
    </row>
    <row r="588" ht="39.75" hidden="1" customHeight="1">
      <c r="A588" s="1">
        <v>587.0</v>
      </c>
      <c r="B588" s="2" t="s">
        <v>41</v>
      </c>
      <c r="C588" s="2" t="s">
        <v>13</v>
      </c>
      <c r="D588" s="13"/>
      <c r="E588" s="13"/>
      <c r="F588" s="45"/>
      <c r="G588" s="42"/>
      <c r="H588" s="42"/>
      <c r="I588" s="42"/>
      <c r="J588" s="22"/>
      <c r="K588" s="42"/>
    </row>
    <row r="589" ht="39.75" customHeight="1">
      <c r="A589" s="1">
        <v>588.0</v>
      </c>
      <c r="B589" s="2" t="s">
        <v>42</v>
      </c>
      <c r="C589" s="2" t="s">
        <v>49</v>
      </c>
      <c r="D589" s="13"/>
      <c r="E589" s="13"/>
      <c r="F589" s="44" t="s">
        <v>2467</v>
      </c>
      <c r="G589" s="43">
        <v>2.0</v>
      </c>
      <c r="H589" s="42"/>
      <c r="I589" s="43">
        <v>2.0</v>
      </c>
      <c r="J589" s="22"/>
      <c r="K589" s="42"/>
    </row>
    <row r="590" ht="39.75" hidden="1" customHeight="1">
      <c r="A590" s="1">
        <v>589.0</v>
      </c>
      <c r="B590" s="2" t="s">
        <v>43</v>
      </c>
      <c r="C590" s="2" t="s">
        <v>13</v>
      </c>
      <c r="D590" s="13"/>
      <c r="E590" s="13"/>
      <c r="F590" s="45"/>
      <c r="G590" s="42"/>
      <c r="H590" s="42"/>
      <c r="I590" s="42"/>
      <c r="J590" s="22"/>
      <c r="K590" s="42"/>
    </row>
    <row r="591" ht="39.75" customHeight="1">
      <c r="A591" s="1">
        <v>590.0</v>
      </c>
      <c r="B591" s="2" t="s">
        <v>45</v>
      </c>
      <c r="C591" s="2" t="s">
        <v>27</v>
      </c>
      <c r="D591" s="13"/>
      <c r="E591" s="13"/>
      <c r="F591" s="44" t="s">
        <v>2468</v>
      </c>
      <c r="G591" s="43">
        <v>1.0</v>
      </c>
      <c r="H591" s="42"/>
      <c r="I591" s="42"/>
      <c r="J591" s="22"/>
      <c r="K591" s="42"/>
    </row>
    <row r="592" ht="39.75" hidden="1" customHeight="1">
      <c r="A592" s="1">
        <v>591.0</v>
      </c>
      <c r="B592" s="2" t="s">
        <v>46</v>
      </c>
      <c r="C592" s="2" t="s">
        <v>13</v>
      </c>
      <c r="D592" s="13"/>
      <c r="E592" s="13"/>
      <c r="F592" s="45"/>
      <c r="G592" s="42"/>
      <c r="H592" s="42"/>
      <c r="I592" s="42"/>
      <c r="J592" s="22"/>
      <c r="K592" s="42"/>
    </row>
    <row r="593" ht="39.75" hidden="1" customHeight="1">
      <c r="A593" s="1">
        <v>592.0</v>
      </c>
      <c r="B593" s="2" t="s">
        <v>47</v>
      </c>
      <c r="C593" s="2" t="s">
        <v>13</v>
      </c>
      <c r="D593" s="13"/>
      <c r="E593" s="13"/>
      <c r="F593" s="45"/>
      <c r="G593" s="42"/>
      <c r="H593" s="42"/>
      <c r="I593" s="42"/>
      <c r="J593" s="22"/>
      <c r="K593" s="42"/>
    </row>
    <row r="594" ht="39.75" customHeight="1">
      <c r="A594" s="1">
        <v>593.0</v>
      </c>
      <c r="B594" s="2" t="s">
        <v>48</v>
      </c>
      <c r="C594" s="13"/>
      <c r="D594" s="40">
        <v>0.375</v>
      </c>
      <c r="E594" s="13"/>
      <c r="F594" s="44" t="s">
        <v>2469</v>
      </c>
      <c r="G594" s="43">
        <v>2.0</v>
      </c>
      <c r="H594" s="42"/>
      <c r="I594" s="42"/>
      <c r="J594" s="22"/>
      <c r="K594" s="42"/>
    </row>
    <row r="595" ht="39.75" customHeight="1">
      <c r="A595" s="1">
        <v>594.0</v>
      </c>
      <c r="B595" s="21"/>
      <c r="C595" s="21"/>
      <c r="D595" s="21"/>
      <c r="E595" s="21"/>
      <c r="F595" s="46"/>
      <c r="G595" s="47"/>
      <c r="H595" s="47"/>
      <c r="I595" s="47"/>
      <c r="J595" s="48"/>
      <c r="K595" s="47"/>
      <c r="L595" s="49"/>
      <c r="M595" s="49"/>
      <c r="N595" s="49"/>
    </row>
    <row r="596" ht="39.75" customHeight="1">
      <c r="A596" s="1">
        <v>595.0</v>
      </c>
      <c r="B596" s="2" t="s">
        <v>12</v>
      </c>
      <c r="C596" s="2" t="s">
        <v>62</v>
      </c>
      <c r="D596" s="13"/>
      <c r="E596" s="13"/>
      <c r="F596" s="44" t="s">
        <v>2470</v>
      </c>
      <c r="G596" s="43">
        <v>1.0</v>
      </c>
      <c r="H596" s="42"/>
      <c r="I596" s="43">
        <v>1.0</v>
      </c>
      <c r="J596" s="27" t="s">
        <v>2231</v>
      </c>
      <c r="K596" s="42"/>
      <c r="L596" s="15" t="s">
        <v>376</v>
      </c>
    </row>
    <row r="597" ht="60.75" customHeight="1">
      <c r="A597" s="1">
        <v>596.0</v>
      </c>
      <c r="B597" s="2" t="s">
        <v>16</v>
      </c>
      <c r="C597" s="2" t="s">
        <v>54</v>
      </c>
      <c r="D597" s="13"/>
      <c r="E597" s="13"/>
      <c r="F597" s="44" t="s">
        <v>2471</v>
      </c>
      <c r="G597" s="43">
        <v>2.0</v>
      </c>
      <c r="H597" s="42"/>
      <c r="I597" s="43">
        <v>2.0</v>
      </c>
      <c r="J597" s="27" t="s">
        <v>376</v>
      </c>
      <c r="K597" s="43"/>
    </row>
    <row r="598" ht="39.75" customHeight="1">
      <c r="A598" s="1">
        <v>597.0</v>
      </c>
      <c r="B598" s="2" t="s">
        <v>17</v>
      </c>
      <c r="C598" s="2" t="s">
        <v>54</v>
      </c>
      <c r="D598" s="13"/>
      <c r="E598" s="13"/>
      <c r="F598" s="44" t="s">
        <v>2472</v>
      </c>
      <c r="G598" s="43">
        <v>2.0</v>
      </c>
      <c r="H598" s="42"/>
      <c r="I598" s="43">
        <v>2.0</v>
      </c>
      <c r="J598" s="27" t="s">
        <v>56</v>
      </c>
      <c r="K598" s="42"/>
    </row>
    <row r="599" ht="39.75" customHeight="1">
      <c r="A599" s="1">
        <v>598.0</v>
      </c>
      <c r="B599" s="2" t="s">
        <v>331</v>
      </c>
      <c r="C599" s="2" t="s">
        <v>542</v>
      </c>
      <c r="D599" s="13"/>
      <c r="E599" s="13"/>
      <c r="F599" s="44" t="s">
        <v>2473</v>
      </c>
      <c r="G599" s="43">
        <v>2.0</v>
      </c>
      <c r="H599" s="42"/>
      <c r="I599" s="42"/>
      <c r="J599" s="22"/>
      <c r="K599" s="42"/>
    </row>
    <row r="600" ht="39.75" customHeight="1">
      <c r="A600" s="1">
        <v>599.0</v>
      </c>
      <c r="B600" s="2" t="s">
        <v>21</v>
      </c>
      <c r="C600" s="2" t="s">
        <v>63</v>
      </c>
      <c r="D600" s="13"/>
      <c r="E600" s="13"/>
      <c r="F600" s="45"/>
      <c r="G600" s="42"/>
      <c r="H600" s="42"/>
      <c r="I600" s="42"/>
      <c r="J600" s="22"/>
      <c r="K600" s="42"/>
    </row>
    <row r="601" ht="39.75" customHeight="1">
      <c r="A601" s="1">
        <v>600.0</v>
      </c>
      <c r="B601" s="2" t="s">
        <v>22</v>
      </c>
      <c r="C601" s="2" t="s">
        <v>69</v>
      </c>
      <c r="D601" s="13"/>
      <c r="E601" s="13"/>
      <c r="F601" s="45"/>
      <c r="G601" s="42"/>
      <c r="H601" s="42"/>
      <c r="I601" s="42"/>
      <c r="J601" s="22"/>
      <c r="K601" s="42"/>
    </row>
    <row r="602" ht="39.75" customHeight="1">
      <c r="A602" s="1">
        <v>601.0</v>
      </c>
      <c r="B602" s="2" t="s">
        <v>23</v>
      </c>
      <c r="C602" s="2" t="s">
        <v>69</v>
      </c>
      <c r="D602" s="13"/>
      <c r="E602" s="13"/>
      <c r="F602" s="45"/>
      <c r="G602" s="42"/>
      <c r="H602" s="42"/>
      <c r="I602" s="42"/>
      <c r="J602" s="22"/>
      <c r="K602" s="42"/>
    </row>
    <row r="603" ht="39.75" customHeight="1">
      <c r="A603" s="1">
        <v>602.0</v>
      </c>
      <c r="B603" s="2" t="s">
        <v>24</v>
      </c>
      <c r="C603" s="2"/>
      <c r="D603" s="13"/>
      <c r="E603" s="13"/>
      <c r="F603" s="44" t="s">
        <v>2474</v>
      </c>
      <c r="G603" s="43">
        <v>1.0</v>
      </c>
      <c r="H603" s="42"/>
      <c r="I603" s="42"/>
      <c r="J603" s="22"/>
      <c r="K603" s="42"/>
    </row>
    <row r="604" ht="39.75" hidden="1" customHeight="1">
      <c r="A604" s="1">
        <v>603.0</v>
      </c>
      <c r="B604" s="2" t="s">
        <v>25</v>
      </c>
      <c r="C604" s="2" t="s">
        <v>58</v>
      </c>
      <c r="D604" s="13"/>
      <c r="E604" s="13"/>
      <c r="F604" s="45"/>
      <c r="G604" s="42"/>
      <c r="H604" s="42"/>
      <c r="I604" s="42"/>
      <c r="J604" s="22"/>
      <c r="K604" s="42"/>
    </row>
    <row r="605" ht="39.75" customHeight="1">
      <c r="A605" s="1">
        <v>604.0</v>
      </c>
      <c r="B605" s="2" t="s">
        <v>26</v>
      </c>
      <c r="C605" s="2"/>
      <c r="D605" s="13"/>
      <c r="E605" s="13"/>
      <c r="F605" s="44" t="s">
        <v>2475</v>
      </c>
      <c r="G605" s="43">
        <v>2.0</v>
      </c>
      <c r="H605" s="42"/>
      <c r="I605" s="43">
        <v>2.0</v>
      </c>
      <c r="J605" s="22"/>
      <c r="K605" s="42"/>
    </row>
    <row r="606" ht="39.75" hidden="1" customHeight="1">
      <c r="A606" s="1">
        <v>605.0</v>
      </c>
      <c r="B606" s="2" t="s">
        <v>29</v>
      </c>
      <c r="C606" s="2" t="s">
        <v>66</v>
      </c>
      <c r="D606" s="13"/>
      <c r="E606" s="13"/>
      <c r="F606" s="45"/>
      <c r="G606" s="42"/>
      <c r="H606" s="42"/>
      <c r="I606" s="42"/>
      <c r="J606" s="22"/>
      <c r="K606" s="42"/>
    </row>
    <row r="607" ht="39.75" hidden="1" customHeight="1">
      <c r="A607" s="1">
        <v>606.0</v>
      </c>
      <c r="B607" s="2" t="s">
        <v>30</v>
      </c>
      <c r="C607" s="2" t="s">
        <v>58</v>
      </c>
      <c r="D607" s="13"/>
      <c r="E607" s="13"/>
      <c r="F607" s="45"/>
      <c r="G607" s="42"/>
      <c r="H607" s="42"/>
      <c r="I607" s="42"/>
      <c r="J607" s="22"/>
      <c r="K607" s="42"/>
    </row>
    <row r="608" ht="39.75" customHeight="1">
      <c r="A608" s="1">
        <v>607.0</v>
      </c>
      <c r="B608" s="2" t="s">
        <v>31</v>
      </c>
      <c r="C608" s="2" t="s">
        <v>54</v>
      </c>
      <c r="D608" s="13"/>
      <c r="E608" s="13"/>
      <c r="F608" s="44" t="s">
        <v>2476</v>
      </c>
      <c r="G608" s="43">
        <v>1.0</v>
      </c>
      <c r="H608" s="42"/>
      <c r="I608" s="43">
        <v>1.0</v>
      </c>
      <c r="J608" s="22"/>
      <c r="K608" s="42"/>
    </row>
    <row r="609" ht="39.75" customHeight="1">
      <c r="A609" s="1">
        <v>608.0</v>
      </c>
      <c r="B609" s="2" t="s">
        <v>32</v>
      </c>
      <c r="C609" s="2" t="s">
        <v>39</v>
      </c>
      <c r="D609" s="13"/>
      <c r="E609" s="13"/>
      <c r="F609" s="44" t="s">
        <v>2477</v>
      </c>
      <c r="G609" s="43">
        <v>1.0</v>
      </c>
      <c r="H609" s="42"/>
      <c r="I609" s="42"/>
      <c r="J609" s="22"/>
      <c r="K609" s="42"/>
    </row>
    <row r="610" ht="39.75" customHeight="1">
      <c r="A610" s="1">
        <v>609.0</v>
      </c>
      <c r="B610" s="2" t="s">
        <v>67</v>
      </c>
      <c r="C610" s="2"/>
      <c r="D610" s="13"/>
      <c r="E610" s="13"/>
      <c r="F610" s="44" t="s">
        <v>1285</v>
      </c>
      <c r="G610" s="43">
        <v>1.0</v>
      </c>
      <c r="H610" s="42"/>
      <c r="I610" s="43">
        <v>1.0</v>
      </c>
      <c r="J610" s="22"/>
      <c r="K610" s="42"/>
    </row>
    <row r="611" ht="39.75" customHeight="1">
      <c r="A611" s="1">
        <v>610.0</v>
      </c>
      <c r="B611" s="2" t="s">
        <v>34</v>
      </c>
      <c r="C611" s="2"/>
      <c r="D611" s="13"/>
      <c r="E611" s="13"/>
      <c r="F611" s="44" t="s">
        <v>2000</v>
      </c>
      <c r="G611" s="43">
        <v>1.0</v>
      </c>
      <c r="H611" s="42"/>
      <c r="I611" s="42"/>
      <c r="J611" s="22"/>
      <c r="K611" s="42"/>
    </row>
    <row r="612" ht="39.75" hidden="1" customHeight="1">
      <c r="A612" s="1">
        <v>611.0</v>
      </c>
      <c r="B612" s="2" t="s">
        <v>35</v>
      </c>
      <c r="C612" s="2" t="s">
        <v>58</v>
      </c>
      <c r="D612" s="13"/>
      <c r="E612" s="13"/>
      <c r="F612" s="45"/>
      <c r="G612" s="42"/>
      <c r="H612" s="42"/>
      <c r="I612" s="42"/>
      <c r="J612" s="22"/>
      <c r="K612" s="42"/>
    </row>
    <row r="613" ht="39.75" customHeight="1">
      <c r="A613" s="1">
        <v>612.0</v>
      </c>
      <c r="B613" s="2" t="s">
        <v>36</v>
      </c>
      <c r="C613" s="13"/>
      <c r="D613" s="13"/>
      <c r="E613" s="13"/>
      <c r="F613" s="44" t="s">
        <v>2478</v>
      </c>
      <c r="G613" s="43">
        <v>1.0</v>
      </c>
      <c r="H613" s="42"/>
      <c r="I613" s="42"/>
      <c r="J613" s="22"/>
      <c r="K613" s="42"/>
    </row>
    <row r="614" ht="39.75" hidden="1" customHeight="1">
      <c r="A614" s="1">
        <v>613.0</v>
      </c>
      <c r="B614" s="2" t="s">
        <v>38</v>
      </c>
      <c r="C614" s="2" t="s">
        <v>58</v>
      </c>
      <c r="D614" s="13"/>
      <c r="E614" s="13"/>
      <c r="F614" s="45"/>
      <c r="G614" s="42"/>
      <c r="H614" s="42"/>
      <c r="I614" s="42"/>
      <c r="J614" s="22"/>
      <c r="K614" s="42"/>
    </row>
    <row r="615" ht="39.75" hidden="1" customHeight="1">
      <c r="A615" s="1">
        <v>614.0</v>
      </c>
      <c r="B615" s="2" t="s">
        <v>41</v>
      </c>
      <c r="C615" s="2" t="s">
        <v>58</v>
      </c>
      <c r="D615" s="13"/>
      <c r="E615" s="13"/>
      <c r="F615" s="45"/>
      <c r="G615" s="42"/>
      <c r="H615" s="42"/>
      <c r="I615" s="42"/>
      <c r="J615" s="22"/>
      <c r="K615" s="42"/>
    </row>
    <row r="616" ht="39.75" customHeight="1">
      <c r="A616" s="1">
        <v>615.0</v>
      </c>
      <c r="B616" s="2" t="s">
        <v>42</v>
      </c>
      <c r="C616" s="2" t="s">
        <v>69</v>
      </c>
      <c r="D616" s="13"/>
      <c r="E616" s="13"/>
      <c r="F616" s="44" t="s">
        <v>2479</v>
      </c>
      <c r="G616" s="43">
        <v>1.0</v>
      </c>
      <c r="H616" s="42"/>
      <c r="I616" s="42"/>
      <c r="J616" s="22"/>
      <c r="K616" s="42"/>
    </row>
    <row r="617" ht="39.75" customHeight="1">
      <c r="A617" s="1">
        <v>616.0</v>
      </c>
      <c r="B617" s="2" t="s">
        <v>43</v>
      </c>
      <c r="C617" s="2" t="s">
        <v>39</v>
      </c>
      <c r="D617" s="13"/>
      <c r="E617" s="13"/>
      <c r="F617" s="44" t="s">
        <v>2480</v>
      </c>
      <c r="G617" s="43">
        <v>1.0</v>
      </c>
      <c r="H617" s="42"/>
      <c r="I617" s="43">
        <v>1.0</v>
      </c>
      <c r="J617" s="22"/>
      <c r="K617" s="42"/>
    </row>
    <row r="618" ht="39.75" customHeight="1">
      <c r="A618" s="1">
        <v>617.0</v>
      </c>
      <c r="B618" s="2" t="s">
        <v>45</v>
      </c>
      <c r="C618" s="2" t="s">
        <v>44</v>
      </c>
      <c r="D618" s="13"/>
      <c r="E618" s="13"/>
      <c r="F618" s="45"/>
      <c r="G618" s="42"/>
      <c r="H618" s="42"/>
      <c r="I618" s="42"/>
      <c r="J618" s="22"/>
      <c r="K618" s="42"/>
    </row>
    <row r="619" ht="39.75" hidden="1" customHeight="1">
      <c r="A619" s="1">
        <v>618.0</v>
      </c>
      <c r="B619" s="2" t="s">
        <v>46</v>
      </c>
      <c r="C619" s="2" t="s">
        <v>66</v>
      </c>
      <c r="D619" s="13"/>
      <c r="E619" s="13"/>
      <c r="F619" s="45"/>
      <c r="G619" s="42"/>
      <c r="H619" s="42"/>
      <c r="I619" s="42"/>
      <c r="J619" s="22"/>
      <c r="K619" s="42"/>
    </row>
    <row r="620" ht="39.75" customHeight="1">
      <c r="A620" s="1">
        <v>619.0</v>
      </c>
      <c r="B620" s="2" t="s">
        <v>47</v>
      </c>
      <c r="C620" s="2" t="s">
        <v>27</v>
      </c>
      <c r="D620" s="13"/>
      <c r="E620" s="13"/>
      <c r="F620" s="45"/>
      <c r="G620" s="42"/>
      <c r="H620" s="42"/>
      <c r="I620" s="42"/>
      <c r="J620" s="22"/>
      <c r="K620" s="42"/>
    </row>
    <row r="621" ht="39.75" customHeight="1">
      <c r="A621" s="1">
        <v>620.0</v>
      </c>
      <c r="B621" s="2" t="s">
        <v>48</v>
      </c>
      <c r="C621" s="2" t="s">
        <v>54</v>
      </c>
      <c r="D621" s="13"/>
      <c r="E621" s="13"/>
      <c r="F621" s="44" t="s">
        <v>2481</v>
      </c>
      <c r="G621" s="43">
        <v>2.0</v>
      </c>
      <c r="H621" s="42"/>
      <c r="I621" s="43">
        <v>2.0</v>
      </c>
      <c r="J621" s="22"/>
      <c r="K621" s="42"/>
    </row>
    <row r="622" ht="39.75" customHeight="1">
      <c r="A622" s="1">
        <v>621.0</v>
      </c>
      <c r="B622" s="21"/>
      <c r="C622" s="21"/>
      <c r="D622" s="21"/>
      <c r="E622" s="21"/>
      <c r="F622" s="46"/>
      <c r="G622" s="47"/>
      <c r="H622" s="47"/>
      <c r="I622" s="47"/>
      <c r="J622" s="48"/>
      <c r="K622" s="47"/>
      <c r="L622" s="49"/>
      <c r="M622" s="49"/>
      <c r="N622" s="49"/>
    </row>
    <row r="623" ht="39.75" customHeight="1">
      <c r="A623" s="1">
        <v>622.0</v>
      </c>
      <c r="B623" s="2" t="s">
        <v>12</v>
      </c>
      <c r="C623" s="2" t="s">
        <v>62</v>
      </c>
      <c r="D623" s="13"/>
      <c r="E623" s="13"/>
      <c r="F623" s="44" t="s">
        <v>2482</v>
      </c>
      <c r="G623" s="43">
        <v>1.0</v>
      </c>
      <c r="H623" s="42"/>
      <c r="I623" s="43">
        <v>1.0</v>
      </c>
      <c r="J623" s="27" t="s">
        <v>2231</v>
      </c>
      <c r="K623" s="42"/>
      <c r="L623" s="15" t="s">
        <v>389</v>
      </c>
    </row>
    <row r="624" ht="39.75" customHeight="1">
      <c r="A624" s="1">
        <v>623.0</v>
      </c>
      <c r="B624" s="2" t="s">
        <v>16</v>
      </c>
      <c r="C624" s="2" t="s">
        <v>54</v>
      </c>
      <c r="D624" s="13"/>
      <c r="E624" s="13"/>
      <c r="F624" s="44" t="s">
        <v>2483</v>
      </c>
      <c r="G624" s="43">
        <v>1.0</v>
      </c>
      <c r="H624" s="42"/>
      <c r="I624" s="42"/>
      <c r="J624" s="27" t="s">
        <v>389</v>
      </c>
      <c r="K624" s="43"/>
    </row>
    <row r="625" ht="39.75" customHeight="1">
      <c r="A625" s="1">
        <v>624.0</v>
      </c>
      <c r="B625" s="2" t="s">
        <v>17</v>
      </c>
      <c r="C625" s="2" t="s">
        <v>54</v>
      </c>
      <c r="D625" s="13"/>
      <c r="E625" s="13"/>
      <c r="F625" s="44" t="s">
        <v>2345</v>
      </c>
      <c r="G625" s="43">
        <v>1.0</v>
      </c>
      <c r="H625" s="42"/>
      <c r="I625" s="43">
        <v>1.0</v>
      </c>
      <c r="J625" s="27" t="s">
        <v>77</v>
      </c>
      <c r="K625" s="42"/>
    </row>
    <row r="626" ht="39.75" hidden="1" customHeight="1">
      <c r="A626" s="1">
        <v>625.0</v>
      </c>
      <c r="B626" s="2" t="s">
        <v>331</v>
      </c>
      <c r="C626" s="2" t="s">
        <v>66</v>
      </c>
      <c r="D626" s="13"/>
      <c r="E626" s="13"/>
      <c r="F626" s="44"/>
      <c r="G626" s="42"/>
      <c r="H626" s="42"/>
      <c r="I626" s="42"/>
      <c r="J626" s="22"/>
      <c r="K626" s="42"/>
    </row>
    <row r="627" ht="39.75" customHeight="1">
      <c r="A627" s="1">
        <v>626.0</v>
      </c>
      <c r="B627" s="2" t="s">
        <v>21</v>
      </c>
      <c r="C627" s="2" t="s">
        <v>63</v>
      </c>
      <c r="D627" s="13"/>
      <c r="E627" s="13"/>
      <c r="F627" s="45"/>
      <c r="G627" s="42"/>
      <c r="H627" s="42"/>
      <c r="I627" s="42"/>
      <c r="J627" s="22"/>
      <c r="K627" s="42"/>
    </row>
    <row r="628" ht="39.75" customHeight="1">
      <c r="A628" s="1">
        <v>627.0</v>
      </c>
      <c r="B628" s="2" t="s">
        <v>22</v>
      </c>
      <c r="C628" s="2"/>
      <c r="D628" s="13"/>
      <c r="E628" s="13"/>
      <c r="F628" s="44" t="s">
        <v>1204</v>
      </c>
      <c r="G628" s="43">
        <v>1.0</v>
      </c>
      <c r="H628" s="42"/>
      <c r="I628" s="43">
        <v>1.0</v>
      </c>
      <c r="J628" s="22"/>
      <c r="K628" s="42"/>
    </row>
    <row r="629" ht="39.75" customHeight="1">
      <c r="A629" s="1">
        <v>628.0</v>
      </c>
      <c r="B629" s="2" t="s">
        <v>23</v>
      </c>
      <c r="C629" s="2" t="s">
        <v>27</v>
      </c>
      <c r="D629" s="13"/>
      <c r="E629" s="13"/>
      <c r="F629" s="44" t="s">
        <v>2484</v>
      </c>
      <c r="G629" s="43">
        <v>2.0</v>
      </c>
      <c r="H629" s="42"/>
      <c r="I629" s="42"/>
      <c r="J629" s="22"/>
      <c r="K629" s="42"/>
    </row>
    <row r="630" ht="39.75" customHeight="1">
      <c r="A630" s="1">
        <v>629.0</v>
      </c>
      <c r="B630" s="2" t="s">
        <v>24</v>
      </c>
      <c r="C630" s="2"/>
      <c r="D630" s="13"/>
      <c r="E630" s="13"/>
      <c r="F630" s="44" t="s">
        <v>2485</v>
      </c>
      <c r="G630" s="43">
        <v>1.0</v>
      </c>
      <c r="H630" s="42"/>
      <c r="I630" s="43">
        <v>1.0</v>
      </c>
      <c r="J630" s="22"/>
      <c r="K630" s="42"/>
    </row>
    <row r="631" ht="39.75" customHeight="1">
      <c r="A631" s="1">
        <v>630.0</v>
      </c>
      <c r="B631" s="2" t="s">
        <v>25</v>
      </c>
      <c r="C631" s="2"/>
      <c r="D631" s="13"/>
      <c r="E631" s="13"/>
      <c r="F631" s="44" t="s">
        <v>2486</v>
      </c>
      <c r="G631" s="43">
        <v>1.0</v>
      </c>
      <c r="H631" s="42"/>
      <c r="I631" s="42"/>
      <c r="J631" s="22"/>
      <c r="K631" s="42"/>
    </row>
    <row r="632" ht="39.75" customHeight="1">
      <c r="A632" s="1">
        <v>631.0</v>
      </c>
      <c r="B632" s="2" t="s">
        <v>26</v>
      </c>
      <c r="C632" s="2"/>
      <c r="D632" s="13"/>
      <c r="E632" s="13"/>
      <c r="F632" s="44" t="s">
        <v>2413</v>
      </c>
      <c r="G632" s="43">
        <v>1.0</v>
      </c>
      <c r="H632" s="42"/>
      <c r="I632" s="43">
        <v>1.0</v>
      </c>
      <c r="J632" s="22"/>
      <c r="K632" s="42"/>
    </row>
    <row r="633" ht="39.75" hidden="1" customHeight="1">
      <c r="A633" s="1">
        <v>632.0</v>
      </c>
      <c r="B633" s="2" t="s">
        <v>29</v>
      </c>
      <c r="C633" s="2" t="s">
        <v>58</v>
      </c>
      <c r="D633" s="13"/>
      <c r="E633" s="13"/>
      <c r="F633" s="45"/>
      <c r="G633" s="42"/>
      <c r="H633" s="42"/>
      <c r="I633" s="42"/>
      <c r="J633" s="22"/>
      <c r="K633" s="42"/>
    </row>
    <row r="634" ht="39.75" hidden="1" customHeight="1">
      <c r="A634" s="1">
        <v>633.0</v>
      </c>
      <c r="B634" s="2" t="s">
        <v>30</v>
      </c>
      <c r="C634" s="2" t="s">
        <v>66</v>
      </c>
      <c r="D634" s="13"/>
      <c r="E634" s="13"/>
      <c r="F634" s="45"/>
      <c r="G634" s="42"/>
      <c r="H634" s="42"/>
      <c r="I634" s="42"/>
      <c r="J634" s="22"/>
      <c r="K634" s="42"/>
    </row>
    <row r="635" ht="39.75" customHeight="1">
      <c r="A635" s="1">
        <v>634.0</v>
      </c>
      <c r="B635" s="2" t="s">
        <v>31</v>
      </c>
      <c r="C635" s="2"/>
      <c r="D635" s="13"/>
      <c r="E635" s="13"/>
      <c r="F635" s="44" t="s">
        <v>2487</v>
      </c>
      <c r="G635" s="43">
        <v>2.0</v>
      </c>
      <c r="H635" s="42"/>
      <c r="I635" s="43">
        <v>2.0</v>
      </c>
      <c r="J635" s="22"/>
      <c r="K635" s="42"/>
    </row>
    <row r="636" ht="39.75" customHeight="1">
      <c r="A636" s="1">
        <v>635.0</v>
      </c>
      <c r="B636" s="2" t="s">
        <v>32</v>
      </c>
      <c r="C636" s="2"/>
      <c r="D636" s="13"/>
      <c r="E636" s="13"/>
      <c r="F636" s="44" t="s">
        <v>1285</v>
      </c>
      <c r="G636" s="43">
        <v>1.0</v>
      </c>
      <c r="H636" s="42"/>
      <c r="I636" s="43">
        <v>1.0</v>
      </c>
      <c r="J636" s="22"/>
      <c r="K636" s="42"/>
    </row>
    <row r="637" ht="39.75" customHeight="1">
      <c r="A637" s="1">
        <v>636.0</v>
      </c>
      <c r="B637" s="2" t="s">
        <v>67</v>
      </c>
      <c r="C637" s="2" t="s">
        <v>39</v>
      </c>
      <c r="D637" s="13"/>
      <c r="E637" s="13"/>
      <c r="F637" s="44" t="s">
        <v>2488</v>
      </c>
      <c r="G637" s="43">
        <v>2.0</v>
      </c>
      <c r="H637" s="42"/>
      <c r="I637" s="43">
        <v>1.0</v>
      </c>
      <c r="J637" s="22"/>
      <c r="K637" s="42"/>
    </row>
    <row r="638" ht="39.75" customHeight="1">
      <c r="A638" s="1">
        <v>637.0</v>
      </c>
      <c r="B638" s="2" t="s">
        <v>34</v>
      </c>
      <c r="C638" s="2" t="s">
        <v>69</v>
      </c>
      <c r="D638" s="13"/>
      <c r="E638" s="13"/>
      <c r="F638" s="44" t="s">
        <v>2489</v>
      </c>
      <c r="G638" s="43">
        <v>1.0</v>
      </c>
      <c r="H638" s="42"/>
      <c r="I638" s="42"/>
      <c r="J638" s="22"/>
      <c r="K638" s="42"/>
    </row>
    <row r="639" ht="39.75" customHeight="1">
      <c r="A639" s="1">
        <v>638.0</v>
      </c>
      <c r="B639" s="2" t="s">
        <v>35</v>
      </c>
      <c r="C639" s="2" t="s">
        <v>54</v>
      </c>
      <c r="D639" s="13"/>
      <c r="E639" s="13"/>
      <c r="F639" s="44" t="s">
        <v>2490</v>
      </c>
      <c r="G639" s="43">
        <v>2.0</v>
      </c>
      <c r="H639" s="42"/>
      <c r="I639" s="43">
        <v>1.0</v>
      </c>
      <c r="J639" s="22"/>
      <c r="K639" s="42"/>
    </row>
    <row r="640" ht="39.75" customHeight="1">
      <c r="A640" s="1">
        <v>639.0</v>
      </c>
      <c r="B640" s="2" t="s">
        <v>36</v>
      </c>
      <c r="C640" s="2" t="s">
        <v>69</v>
      </c>
      <c r="D640" s="13"/>
      <c r="E640" s="13"/>
      <c r="F640" s="44" t="s">
        <v>2491</v>
      </c>
      <c r="G640" s="43">
        <v>1.0</v>
      </c>
      <c r="H640" s="42"/>
      <c r="I640" s="43">
        <v>1.0</v>
      </c>
      <c r="J640" s="22"/>
      <c r="K640" s="42"/>
    </row>
    <row r="641" ht="39.75" customHeight="1">
      <c r="A641" s="1">
        <v>640.0</v>
      </c>
      <c r="B641" s="2" t="s">
        <v>38</v>
      </c>
      <c r="C641" s="2"/>
      <c r="D641" s="13"/>
      <c r="E641" s="13"/>
      <c r="F641" s="44" t="s">
        <v>2492</v>
      </c>
      <c r="G641" s="43">
        <v>2.0</v>
      </c>
      <c r="H641" s="42"/>
      <c r="I641" s="43">
        <v>1.0</v>
      </c>
      <c r="J641" s="22"/>
      <c r="K641" s="42"/>
    </row>
    <row r="642" ht="39.75" hidden="1" customHeight="1">
      <c r="A642" s="1">
        <v>641.0</v>
      </c>
      <c r="B642" s="2" t="s">
        <v>41</v>
      </c>
      <c r="C642" s="2" t="s">
        <v>58</v>
      </c>
      <c r="D642" s="13"/>
      <c r="E642" s="13"/>
      <c r="F642" s="45"/>
      <c r="G642" s="42"/>
      <c r="H642" s="42"/>
      <c r="I642" s="42"/>
      <c r="J642" s="22"/>
      <c r="K642" s="42"/>
    </row>
    <row r="643" ht="39.75" customHeight="1">
      <c r="A643" s="1">
        <v>642.0</v>
      </c>
      <c r="B643" s="2" t="s">
        <v>42</v>
      </c>
      <c r="C643" s="2" t="s">
        <v>69</v>
      </c>
      <c r="D643" s="13"/>
      <c r="E643" s="13"/>
      <c r="F643" s="44" t="s">
        <v>2493</v>
      </c>
      <c r="G643" s="43">
        <v>1.0</v>
      </c>
      <c r="H643" s="42"/>
      <c r="I643" s="43">
        <v>1.0</v>
      </c>
      <c r="J643" s="22"/>
      <c r="K643" s="42"/>
    </row>
    <row r="644" ht="39.75" customHeight="1">
      <c r="A644" s="1">
        <v>643.0</v>
      </c>
      <c r="B644" s="2" t="s">
        <v>43</v>
      </c>
      <c r="C644" s="2" t="s">
        <v>39</v>
      </c>
      <c r="D644" s="13"/>
      <c r="E644" s="13"/>
      <c r="F644" s="44" t="s">
        <v>2494</v>
      </c>
      <c r="G644" s="43">
        <v>2.0</v>
      </c>
      <c r="H644" s="42"/>
      <c r="I644" s="43">
        <v>1.0</v>
      </c>
      <c r="J644" s="22"/>
      <c r="K644" s="42"/>
    </row>
    <row r="645" ht="39.75" hidden="1" customHeight="1">
      <c r="A645" s="1">
        <v>644.0</v>
      </c>
      <c r="B645" s="2" t="s">
        <v>45</v>
      </c>
      <c r="C645" s="2" t="s">
        <v>58</v>
      </c>
      <c r="D645" s="13"/>
      <c r="E645" s="13"/>
      <c r="F645" s="45"/>
      <c r="G645" s="42"/>
      <c r="H645" s="42"/>
      <c r="I645" s="42"/>
      <c r="J645" s="22"/>
      <c r="K645" s="42"/>
    </row>
    <row r="646" ht="39.75" hidden="1" customHeight="1">
      <c r="A646" s="1">
        <v>645.0</v>
      </c>
      <c r="B646" s="2" t="s">
        <v>46</v>
      </c>
      <c r="C646" s="2" t="s">
        <v>58</v>
      </c>
      <c r="D646" s="13"/>
      <c r="E646" s="13"/>
      <c r="F646" s="45"/>
      <c r="G646" s="42"/>
      <c r="H646" s="42"/>
      <c r="I646" s="42"/>
      <c r="J646" s="22"/>
      <c r="K646" s="42"/>
    </row>
    <row r="647" ht="39.75" customHeight="1">
      <c r="A647" s="1">
        <v>646.0</v>
      </c>
      <c r="B647" s="2" t="s">
        <v>47</v>
      </c>
      <c r="C647" s="2" t="s">
        <v>44</v>
      </c>
      <c r="D647" s="13"/>
      <c r="E647" s="13"/>
      <c r="F647" s="52" t="s">
        <v>2495</v>
      </c>
      <c r="G647" s="56">
        <v>1.0</v>
      </c>
      <c r="H647" s="42"/>
      <c r="I647" s="42"/>
      <c r="J647" s="22"/>
      <c r="K647" s="42"/>
    </row>
    <row r="648" ht="39.75" customHeight="1">
      <c r="A648" s="1">
        <v>647.0</v>
      </c>
      <c r="B648" s="2" t="s">
        <v>48</v>
      </c>
      <c r="C648" s="2" t="s">
        <v>54</v>
      </c>
      <c r="D648" s="13"/>
      <c r="E648" s="13"/>
      <c r="F648" s="44" t="s">
        <v>2496</v>
      </c>
      <c r="G648" s="43">
        <v>2.0</v>
      </c>
      <c r="H648" s="42"/>
      <c r="I648" s="43">
        <v>2.0</v>
      </c>
      <c r="J648" s="22"/>
      <c r="K648" s="42"/>
    </row>
    <row r="649" ht="39.75" customHeight="1">
      <c r="A649" s="1">
        <v>648.0</v>
      </c>
      <c r="B649" s="21"/>
      <c r="C649" s="21"/>
      <c r="D649" s="21"/>
      <c r="E649" s="21"/>
      <c r="F649" s="46"/>
      <c r="G649" s="47"/>
      <c r="H649" s="47"/>
      <c r="I649" s="47"/>
      <c r="J649" s="48"/>
      <c r="K649" s="47"/>
      <c r="L649" s="49"/>
      <c r="M649" s="49"/>
      <c r="N649" s="49"/>
    </row>
    <row r="650" ht="39.75" customHeight="1">
      <c r="A650" s="1">
        <v>649.0</v>
      </c>
      <c r="B650" s="2" t="s">
        <v>116</v>
      </c>
      <c r="C650" s="2" t="s">
        <v>1466</v>
      </c>
      <c r="D650" s="13"/>
      <c r="E650" s="51">
        <v>0.9236111111111112</v>
      </c>
      <c r="F650" s="44" t="s">
        <v>2497</v>
      </c>
      <c r="G650" s="43">
        <v>1.0</v>
      </c>
      <c r="H650" s="42"/>
      <c r="I650" s="43">
        <v>1.0</v>
      </c>
      <c r="J650" s="27" t="s">
        <v>2231</v>
      </c>
      <c r="K650" s="42"/>
      <c r="L650" s="15" t="s">
        <v>406</v>
      </c>
    </row>
    <row r="651" ht="39.75" customHeight="1">
      <c r="A651" s="1">
        <v>650.0</v>
      </c>
      <c r="B651" s="2" t="s">
        <v>16</v>
      </c>
      <c r="C651" s="2" t="s">
        <v>54</v>
      </c>
      <c r="D651" s="13"/>
      <c r="E651" s="13"/>
      <c r="F651" s="44" t="s">
        <v>2498</v>
      </c>
      <c r="G651" s="43">
        <v>2.0</v>
      </c>
      <c r="H651" s="42"/>
      <c r="I651" s="42"/>
      <c r="J651" s="27" t="s">
        <v>406</v>
      </c>
      <c r="K651" s="43"/>
    </row>
    <row r="652" ht="39.75" customHeight="1">
      <c r="A652" s="1">
        <v>651.0</v>
      </c>
      <c r="B652" s="2" t="s">
        <v>17</v>
      </c>
      <c r="C652" s="2" t="s">
        <v>54</v>
      </c>
      <c r="D652" s="13"/>
      <c r="E652" s="51">
        <v>0.8854166666666666</v>
      </c>
      <c r="F652" s="44" t="s">
        <v>2499</v>
      </c>
      <c r="G652" s="43">
        <v>2.0</v>
      </c>
      <c r="H652" s="42"/>
      <c r="I652" s="42"/>
      <c r="J652" s="27" t="s">
        <v>95</v>
      </c>
      <c r="K652" s="42"/>
    </row>
    <row r="653" ht="39.75" customHeight="1">
      <c r="A653" s="1">
        <v>652.0</v>
      </c>
      <c r="B653" s="2" t="s">
        <v>331</v>
      </c>
      <c r="C653" s="2" t="s">
        <v>542</v>
      </c>
      <c r="D653" s="13"/>
      <c r="E653" s="13"/>
      <c r="F653" s="44" t="s">
        <v>2500</v>
      </c>
      <c r="G653" s="42"/>
      <c r="H653" s="42"/>
      <c r="I653" s="42"/>
      <c r="J653" s="22"/>
      <c r="K653" s="42"/>
    </row>
    <row r="654" ht="39.75" customHeight="1">
      <c r="A654" s="1">
        <v>653.0</v>
      </c>
      <c r="B654" s="2" t="s">
        <v>21</v>
      </c>
      <c r="C654" s="2" t="s">
        <v>63</v>
      </c>
      <c r="D654" s="13"/>
      <c r="E654" s="13"/>
      <c r="F654" s="45"/>
      <c r="G654" s="42"/>
      <c r="H654" s="42"/>
      <c r="I654" s="42"/>
      <c r="J654" s="22"/>
      <c r="K654" s="42"/>
    </row>
    <row r="655" ht="39.75" hidden="1" customHeight="1">
      <c r="A655" s="1">
        <v>654.0</v>
      </c>
      <c r="B655" s="2" t="s">
        <v>22</v>
      </c>
      <c r="C655" s="2" t="s">
        <v>58</v>
      </c>
      <c r="D655" s="13"/>
      <c r="E655" s="13"/>
      <c r="F655" s="45"/>
      <c r="G655" s="42"/>
      <c r="H655" s="42"/>
      <c r="I655" s="42"/>
      <c r="J655" s="22"/>
      <c r="K655" s="42"/>
    </row>
    <row r="656" ht="39.75" customHeight="1">
      <c r="A656" s="1">
        <v>655.0</v>
      </c>
      <c r="B656" s="2" t="s">
        <v>23</v>
      </c>
      <c r="C656" s="2" t="s">
        <v>44</v>
      </c>
      <c r="D656" s="13"/>
      <c r="E656" s="13"/>
      <c r="F656" s="45"/>
      <c r="G656" s="42"/>
      <c r="H656" s="42"/>
      <c r="I656" s="42"/>
      <c r="J656" s="22"/>
      <c r="K656" s="42"/>
    </row>
    <row r="657" ht="39.75" customHeight="1">
      <c r="A657" s="1">
        <v>656.0</v>
      </c>
      <c r="B657" s="2" t="s">
        <v>24</v>
      </c>
      <c r="C657" s="2"/>
      <c r="D657" s="13"/>
      <c r="E657" s="13"/>
      <c r="F657" s="44" t="s">
        <v>2501</v>
      </c>
      <c r="G657" s="43">
        <v>2.0</v>
      </c>
      <c r="H657" s="42"/>
      <c r="I657" s="42"/>
      <c r="J657" s="22"/>
      <c r="K657" s="42"/>
    </row>
    <row r="658" ht="39.75" customHeight="1">
      <c r="A658" s="1">
        <v>657.0</v>
      </c>
      <c r="B658" s="2" t="s">
        <v>25</v>
      </c>
      <c r="C658" s="2"/>
      <c r="D658" s="53">
        <v>0.3263888888888889</v>
      </c>
      <c r="E658" s="13"/>
      <c r="F658" s="44" t="s">
        <v>2502</v>
      </c>
      <c r="G658" s="43">
        <v>1.0</v>
      </c>
      <c r="H658" s="42"/>
      <c r="I658" s="43">
        <v>1.0</v>
      </c>
      <c r="J658" s="22"/>
      <c r="K658" s="42"/>
    </row>
    <row r="659" ht="39.75" customHeight="1">
      <c r="A659" s="1">
        <v>658.0</v>
      </c>
      <c r="B659" s="2" t="s">
        <v>26</v>
      </c>
      <c r="C659" s="2"/>
      <c r="D659" s="13"/>
      <c r="E659" s="13"/>
      <c r="F659" s="44" t="s">
        <v>2503</v>
      </c>
      <c r="G659" s="43">
        <v>3.0</v>
      </c>
      <c r="H659" s="42"/>
      <c r="I659" s="43">
        <v>3.0</v>
      </c>
      <c r="J659" s="22"/>
      <c r="K659" s="42"/>
    </row>
    <row r="660" ht="39.75" customHeight="1">
      <c r="A660" s="1">
        <v>659.0</v>
      </c>
      <c r="B660" s="2" t="s">
        <v>29</v>
      </c>
      <c r="C660" s="2" t="s">
        <v>69</v>
      </c>
      <c r="D660" s="13"/>
      <c r="E660" s="40">
        <v>0.8819444444444444</v>
      </c>
      <c r="F660" s="44" t="s">
        <v>2504</v>
      </c>
      <c r="G660" s="43">
        <v>2.0</v>
      </c>
      <c r="H660" s="42"/>
      <c r="I660" s="43">
        <v>1.0</v>
      </c>
      <c r="J660" s="22"/>
      <c r="K660" s="42"/>
    </row>
    <row r="661" ht="39.75" customHeight="1">
      <c r="A661" s="1">
        <v>660.0</v>
      </c>
      <c r="B661" s="2" t="s">
        <v>30</v>
      </c>
      <c r="C661" s="2" t="s">
        <v>64</v>
      </c>
      <c r="D661" s="13"/>
      <c r="E661" s="13"/>
      <c r="F661" s="44" t="s">
        <v>2505</v>
      </c>
      <c r="G661" s="43">
        <v>1.0</v>
      </c>
      <c r="H661" s="42"/>
      <c r="I661" s="43">
        <v>1.0</v>
      </c>
      <c r="J661" s="22"/>
      <c r="K661" s="42"/>
    </row>
    <row r="662" ht="39.75" customHeight="1">
      <c r="A662" s="1">
        <v>661.0</v>
      </c>
      <c r="B662" s="2" t="s">
        <v>31</v>
      </c>
      <c r="C662" s="2" t="s">
        <v>54</v>
      </c>
      <c r="D662" s="13"/>
      <c r="E662" s="51">
        <v>0.875</v>
      </c>
      <c r="F662" s="44" t="s">
        <v>2506</v>
      </c>
      <c r="G662" s="43">
        <v>2.0</v>
      </c>
      <c r="H662" s="42"/>
      <c r="I662" s="42"/>
      <c r="J662" s="22"/>
      <c r="K662" s="42"/>
    </row>
    <row r="663" ht="39.75" hidden="1" customHeight="1">
      <c r="A663" s="1">
        <v>662.0</v>
      </c>
      <c r="B663" s="2" t="s">
        <v>32</v>
      </c>
      <c r="C663" s="2" t="s">
        <v>58</v>
      </c>
      <c r="D663" s="13"/>
      <c r="E663" s="13"/>
      <c r="F663" s="45"/>
      <c r="G663" s="42"/>
      <c r="H663" s="42"/>
      <c r="I663" s="42"/>
      <c r="J663" s="22"/>
      <c r="K663" s="42"/>
    </row>
    <row r="664" ht="39.75" customHeight="1">
      <c r="A664" s="1">
        <v>663.0</v>
      </c>
      <c r="B664" s="2" t="s">
        <v>67</v>
      </c>
      <c r="C664" s="2"/>
      <c r="D664" s="13"/>
      <c r="E664" s="13"/>
      <c r="F664" s="44" t="s">
        <v>2507</v>
      </c>
      <c r="G664" s="43">
        <v>1.0</v>
      </c>
      <c r="H664" s="42"/>
      <c r="I664" s="43">
        <v>1.0</v>
      </c>
      <c r="J664" s="22"/>
      <c r="K664" s="42"/>
    </row>
    <row r="665" ht="39.75" customHeight="1">
      <c r="A665" s="1">
        <v>664.0</v>
      </c>
      <c r="B665" s="2" t="s">
        <v>34</v>
      </c>
      <c r="C665" s="2" t="s">
        <v>69</v>
      </c>
      <c r="D665" s="13"/>
      <c r="E665" s="40">
        <v>0.8819444444444444</v>
      </c>
      <c r="F665" s="81" t="s">
        <v>2508</v>
      </c>
      <c r="G665" s="43">
        <v>2.0</v>
      </c>
      <c r="H665" s="42"/>
      <c r="I665" s="43">
        <v>1.0</v>
      </c>
      <c r="J665" s="22"/>
      <c r="K665" s="42"/>
    </row>
    <row r="666" ht="39.75" customHeight="1">
      <c r="A666" s="1">
        <v>665.0</v>
      </c>
      <c r="B666" s="2" t="s">
        <v>35</v>
      </c>
      <c r="C666" s="2" t="s">
        <v>39</v>
      </c>
      <c r="D666" s="53">
        <v>0.2708333333333333</v>
      </c>
      <c r="E666" s="13"/>
      <c r="F666" s="44" t="s">
        <v>2509</v>
      </c>
      <c r="G666" s="43">
        <v>1.0</v>
      </c>
      <c r="H666" s="42"/>
      <c r="I666" s="43">
        <v>1.0</v>
      </c>
      <c r="J666" s="22"/>
      <c r="K666" s="42"/>
    </row>
    <row r="667" ht="39.75" hidden="1" customHeight="1">
      <c r="A667" s="1">
        <v>666.0</v>
      </c>
      <c r="B667" s="2" t="s">
        <v>36</v>
      </c>
      <c r="C667" s="2" t="s">
        <v>58</v>
      </c>
      <c r="D667" s="13"/>
      <c r="E667" s="13"/>
      <c r="F667" s="45"/>
      <c r="G667" s="42"/>
      <c r="H667" s="42"/>
      <c r="I667" s="42"/>
      <c r="J667" s="22"/>
      <c r="K667" s="42"/>
    </row>
    <row r="668" ht="39.75" customHeight="1">
      <c r="A668" s="1">
        <v>667.0</v>
      </c>
      <c r="B668" s="2" t="s">
        <v>38</v>
      </c>
      <c r="C668" s="2" t="s">
        <v>69</v>
      </c>
      <c r="D668" s="13"/>
      <c r="E668" s="40">
        <v>0.8958333333333334</v>
      </c>
      <c r="F668" s="44" t="s">
        <v>2510</v>
      </c>
      <c r="G668" s="43">
        <v>1.0</v>
      </c>
      <c r="H668" s="42"/>
      <c r="I668" s="42"/>
      <c r="J668" s="22"/>
      <c r="K668" s="42"/>
    </row>
    <row r="669" ht="39.75" hidden="1" customHeight="1">
      <c r="A669" s="1">
        <v>668.0</v>
      </c>
      <c r="B669" s="2" t="s">
        <v>41</v>
      </c>
      <c r="C669" s="2" t="s">
        <v>58</v>
      </c>
      <c r="D669" s="13"/>
      <c r="E669" s="13"/>
      <c r="F669" s="45"/>
      <c r="G669" s="42"/>
      <c r="H669" s="42"/>
      <c r="I669" s="42"/>
      <c r="J669" s="22"/>
      <c r="K669" s="42"/>
    </row>
    <row r="670" ht="39.75" customHeight="1">
      <c r="A670" s="1">
        <v>669.0</v>
      </c>
      <c r="B670" s="2" t="s">
        <v>42</v>
      </c>
      <c r="C670" s="2"/>
      <c r="D670" s="13"/>
      <c r="E670" s="13"/>
      <c r="F670" s="44" t="s">
        <v>2511</v>
      </c>
      <c r="G670" s="43">
        <v>1.0</v>
      </c>
      <c r="H670" s="42"/>
      <c r="I670" s="42"/>
      <c r="J670" s="22"/>
      <c r="K670" s="42"/>
    </row>
    <row r="671" ht="39.75" hidden="1" customHeight="1">
      <c r="A671" s="1">
        <v>670.0</v>
      </c>
      <c r="B671" s="2" t="s">
        <v>43</v>
      </c>
      <c r="C671" s="2" t="s">
        <v>66</v>
      </c>
      <c r="D671" s="13"/>
      <c r="E671" s="13"/>
      <c r="F671" s="45"/>
      <c r="G671" s="42"/>
      <c r="H671" s="42"/>
      <c r="I671" s="42"/>
      <c r="J671" s="22"/>
      <c r="K671" s="42"/>
    </row>
    <row r="672" ht="39.75" customHeight="1">
      <c r="A672" s="1">
        <v>671.0</v>
      </c>
      <c r="B672" s="2" t="s">
        <v>45</v>
      </c>
      <c r="C672" s="2"/>
      <c r="D672" s="53">
        <v>0.3333333333333333</v>
      </c>
      <c r="E672" s="13"/>
      <c r="F672" s="44" t="s">
        <v>2512</v>
      </c>
      <c r="G672" s="43">
        <v>1.0</v>
      </c>
      <c r="H672" s="42"/>
      <c r="I672" s="42"/>
      <c r="J672" s="22"/>
      <c r="K672" s="42"/>
    </row>
    <row r="673" ht="39.75" customHeight="1">
      <c r="A673" s="1">
        <v>672.0</v>
      </c>
      <c r="B673" s="2" t="s">
        <v>46</v>
      </c>
      <c r="C673" s="2" t="s">
        <v>27</v>
      </c>
      <c r="D673" s="13"/>
      <c r="E673" s="13"/>
      <c r="F673" s="44" t="s">
        <v>2513</v>
      </c>
      <c r="G673" s="43">
        <v>1.0</v>
      </c>
      <c r="H673" s="42"/>
      <c r="I673" s="43">
        <v>1.0</v>
      </c>
      <c r="J673" s="22"/>
      <c r="K673" s="42"/>
    </row>
    <row r="674" ht="39.75" customHeight="1">
      <c r="A674" s="1">
        <v>673.0</v>
      </c>
      <c r="B674" s="2" t="s">
        <v>47</v>
      </c>
      <c r="C674" s="2" t="s">
        <v>39</v>
      </c>
      <c r="D674" s="13"/>
      <c r="E674" s="13"/>
      <c r="F674" s="44" t="s">
        <v>2514</v>
      </c>
      <c r="G674" s="43">
        <v>1.0</v>
      </c>
      <c r="H674" s="42"/>
      <c r="I674" s="42"/>
      <c r="J674" s="22"/>
      <c r="K674" s="42"/>
    </row>
    <row r="675" ht="39.75" customHeight="1">
      <c r="A675" s="1">
        <v>674.0</v>
      </c>
      <c r="B675" s="2" t="s">
        <v>48</v>
      </c>
      <c r="C675" s="2" t="s">
        <v>54</v>
      </c>
      <c r="D675" s="13"/>
      <c r="E675" s="51">
        <v>0.8854166666666666</v>
      </c>
      <c r="F675" s="80" t="s">
        <v>2515</v>
      </c>
      <c r="G675" s="43">
        <v>2.0</v>
      </c>
      <c r="H675" s="42"/>
      <c r="I675" s="43">
        <v>1.0</v>
      </c>
      <c r="J675" s="22"/>
      <c r="K675" s="42"/>
    </row>
    <row r="676" ht="39.75" customHeight="1">
      <c r="A676" s="1">
        <v>675.0</v>
      </c>
      <c r="B676" s="21"/>
      <c r="C676" s="21"/>
      <c r="D676" s="21"/>
      <c r="E676" s="21"/>
      <c r="F676" s="46"/>
      <c r="G676" s="47"/>
      <c r="H676" s="47"/>
      <c r="I676" s="47"/>
      <c r="J676" s="48"/>
      <c r="K676" s="47"/>
      <c r="L676" s="49"/>
      <c r="M676" s="49"/>
      <c r="N676" s="49"/>
    </row>
    <row r="677" ht="39.75" customHeight="1">
      <c r="A677" s="1">
        <v>676.0</v>
      </c>
      <c r="B677" s="2" t="s">
        <v>12</v>
      </c>
      <c r="C677" s="2" t="s">
        <v>62</v>
      </c>
      <c r="D677" s="13"/>
      <c r="E677" s="13"/>
      <c r="F677" s="45"/>
      <c r="G677" s="42"/>
      <c r="H677" s="42"/>
      <c r="I677" s="42"/>
      <c r="J677" s="27" t="s">
        <v>2231</v>
      </c>
      <c r="K677" s="42"/>
      <c r="L677" s="15" t="s">
        <v>423</v>
      </c>
    </row>
    <row r="678" ht="39.75" customHeight="1">
      <c r="A678" s="1">
        <v>677.0</v>
      </c>
      <c r="B678" s="2" t="s">
        <v>16</v>
      </c>
      <c r="C678" s="2" t="s">
        <v>54</v>
      </c>
      <c r="D678" s="13"/>
      <c r="E678" s="51">
        <v>0.8055555555555556</v>
      </c>
      <c r="F678" s="44" t="s">
        <v>2516</v>
      </c>
      <c r="G678" s="43">
        <v>1.0</v>
      </c>
      <c r="H678" s="42"/>
      <c r="I678" s="42"/>
      <c r="J678" s="27" t="s">
        <v>423</v>
      </c>
      <c r="K678" s="43"/>
    </row>
    <row r="679" ht="39.75" customHeight="1">
      <c r="A679" s="1">
        <v>678.0</v>
      </c>
      <c r="B679" s="2" t="s">
        <v>17</v>
      </c>
      <c r="C679" s="2" t="s">
        <v>54</v>
      </c>
      <c r="D679" s="13"/>
      <c r="E679" s="13"/>
      <c r="F679" s="44" t="s">
        <v>2517</v>
      </c>
      <c r="G679" s="43">
        <v>1.0</v>
      </c>
      <c r="H679" s="42"/>
      <c r="I679" s="43">
        <v>1.0</v>
      </c>
      <c r="J679" s="27" t="s">
        <v>111</v>
      </c>
      <c r="K679" s="42"/>
    </row>
    <row r="680" ht="39.75" customHeight="1">
      <c r="A680" s="1">
        <v>679.0</v>
      </c>
      <c r="B680" s="2" t="s">
        <v>331</v>
      </c>
      <c r="C680" s="2" t="s">
        <v>542</v>
      </c>
      <c r="D680" s="13"/>
      <c r="E680" s="13"/>
      <c r="F680" s="44" t="s">
        <v>2518</v>
      </c>
      <c r="G680" s="43">
        <v>1.0</v>
      </c>
      <c r="H680" s="42"/>
      <c r="I680" s="42"/>
      <c r="J680" s="22"/>
      <c r="K680" s="42"/>
    </row>
    <row r="681" ht="39.75" customHeight="1">
      <c r="A681" s="1">
        <v>680.0</v>
      </c>
      <c r="B681" s="2" t="s">
        <v>21</v>
      </c>
      <c r="C681" s="2" t="s">
        <v>63</v>
      </c>
      <c r="D681" s="13"/>
      <c r="E681" s="13"/>
      <c r="F681" s="45"/>
      <c r="G681" s="42"/>
      <c r="H681" s="42"/>
      <c r="I681" s="42"/>
      <c r="J681" s="22"/>
      <c r="K681" s="42"/>
    </row>
    <row r="682" ht="39.75" hidden="1" customHeight="1">
      <c r="A682" s="1">
        <v>681.0</v>
      </c>
      <c r="B682" s="2" t="s">
        <v>22</v>
      </c>
      <c r="C682" s="2" t="s">
        <v>58</v>
      </c>
      <c r="D682" s="13"/>
      <c r="E682" s="13"/>
      <c r="F682" s="45"/>
      <c r="G682" s="42"/>
      <c r="H682" s="42"/>
      <c r="I682" s="42"/>
      <c r="J682" s="22"/>
      <c r="K682" s="42"/>
    </row>
    <row r="683" ht="39.75" hidden="1" customHeight="1">
      <c r="A683" s="1">
        <v>682.0</v>
      </c>
      <c r="B683" s="2" t="s">
        <v>23</v>
      </c>
      <c r="C683" s="2" t="s">
        <v>66</v>
      </c>
      <c r="D683" s="13"/>
      <c r="E683" s="13"/>
      <c r="F683" s="45"/>
      <c r="G683" s="42"/>
      <c r="H683" s="42"/>
      <c r="I683" s="42"/>
      <c r="J683" s="22"/>
      <c r="K683" s="42"/>
    </row>
    <row r="684" ht="39.75" customHeight="1">
      <c r="A684" s="1">
        <v>683.0</v>
      </c>
      <c r="B684" s="2" t="s">
        <v>24</v>
      </c>
      <c r="C684" s="2"/>
      <c r="D684" s="13"/>
      <c r="E684" s="13"/>
      <c r="F684" s="44" t="s">
        <v>2519</v>
      </c>
      <c r="G684" s="43">
        <v>1.0</v>
      </c>
      <c r="H684" s="42"/>
      <c r="I684" s="43">
        <v>1.0</v>
      </c>
      <c r="J684" s="22"/>
      <c r="K684" s="42"/>
    </row>
    <row r="685" ht="39.75" hidden="1" customHeight="1">
      <c r="A685" s="1">
        <v>684.0</v>
      </c>
      <c r="B685" s="2" t="s">
        <v>25</v>
      </c>
      <c r="C685" s="2" t="s">
        <v>66</v>
      </c>
      <c r="D685" s="13"/>
      <c r="E685" s="13"/>
      <c r="F685" s="45"/>
      <c r="G685" s="42"/>
      <c r="H685" s="42"/>
      <c r="I685" s="42"/>
      <c r="J685" s="22"/>
      <c r="K685" s="42"/>
    </row>
    <row r="686" ht="39.75" customHeight="1">
      <c r="A686" s="1">
        <v>685.0</v>
      </c>
      <c r="B686" s="2" t="s">
        <v>26</v>
      </c>
      <c r="C686" s="2" t="s">
        <v>39</v>
      </c>
      <c r="D686" s="53">
        <v>0.2708333333333333</v>
      </c>
      <c r="E686" s="13"/>
      <c r="F686" s="44" t="s">
        <v>2520</v>
      </c>
      <c r="G686" s="43">
        <v>1.0</v>
      </c>
      <c r="H686" s="42"/>
      <c r="I686" s="43">
        <v>1.0</v>
      </c>
      <c r="J686" s="22"/>
      <c r="K686" s="42"/>
    </row>
    <row r="687" ht="39.75" customHeight="1">
      <c r="A687" s="1">
        <v>686.0</v>
      </c>
      <c r="B687" s="2" t="s">
        <v>29</v>
      </c>
      <c r="C687" s="2" t="s">
        <v>39</v>
      </c>
      <c r="D687" s="13"/>
      <c r="E687" s="13"/>
      <c r="F687" s="44" t="s">
        <v>2521</v>
      </c>
      <c r="G687" s="43">
        <v>2.0</v>
      </c>
      <c r="H687" s="42"/>
      <c r="I687" s="43">
        <v>1.0</v>
      </c>
      <c r="J687" s="22"/>
      <c r="K687" s="42"/>
    </row>
    <row r="688" ht="39.75" customHeight="1">
      <c r="A688" s="1">
        <v>687.0</v>
      </c>
      <c r="B688" s="2" t="s">
        <v>30</v>
      </c>
      <c r="C688" s="2" t="s">
        <v>64</v>
      </c>
      <c r="D688" s="13"/>
      <c r="E688" s="13"/>
      <c r="F688" s="45"/>
      <c r="G688" s="42"/>
      <c r="H688" s="42"/>
      <c r="I688" s="42"/>
      <c r="J688" s="22"/>
      <c r="K688" s="42"/>
    </row>
    <row r="689" ht="39.75" customHeight="1">
      <c r="A689" s="1">
        <v>688.0</v>
      </c>
      <c r="B689" s="2" t="s">
        <v>31</v>
      </c>
      <c r="C689" s="2" t="s">
        <v>54</v>
      </c>
      <c r="D689" s="13"/>
      <c r="E689" s="13"/>
      <c r="F689" s="44" t="s">
        <v>2522</v>
      </c>
      <c r="G689" s="43">
        <v>1.0</v>
      </c>
      <c r="H689" s="42"/>
      <c r="I689" s="42"/>
      <c r="J689" s="22"/>
      <c r="K689" s="42"/>
    </row>
    <row r="690" ht="39.75" customHeight="1">
      <c r="A690" s="1">
        <v>689.0</v>
      </c>
      <c r="B690" s="2" t="s">
        <v>32</v>
      </c>
      <c r="C690" s="2" t="s">
        <v>27</v>
      </c>
      <c r="D690" s="13"/>
      <c r="E690" s="13"/>
      <c r="F690" s="45"/>
      <c r="G690" s="42"/>
      <c r="H690" s="42"/>
      <c r="I690" s="42"/>
      <c r="J690" s="22"/>
      <c r="K690" s="42"/>
    </row>
    <row r="691" ht="39.75" customHeight="1">
      <c r="A691" s="1">
        <v>690.0</v>
      </c>
      <c r="B691" s="2" t="s">
        <v>67</v>
      </c>
      <c r="C691" s="2" t="s">
        <v>69</v>
      </c>
      <c r="D691" s="13"/>
      <c r="E691" s="13"/>
      <c r="F691" s="44" t="s">
        <v>2523</v>
      </c>
      <c r="G691" s="43">
        <v>1.0</v>
      </c>
      <c r="H691" s="42"/>
      <c r="I691" s="43">
        <v>1.0</v>
      </c>
      <c r="J691" s="22"/>
      <c r="K691" s="42"/>
    </row>
    <row r="692" ht="39.75" hidden="1" customHeight="1">
      <c r="A692" s="1">
        <v>691.0</v>
      </c>
      <c r="B692" s="2" t="s">
        <v>34</v>
      </c>
      <c r="C692" s="2" t="s">
        <v>58</v>
      </c>
      <c r="D692" s="13"/>
      <c r="E692" s="13"/>
      <c r="F692" s="45"/>
      <c r="G692" s="42"/>
      <c r="H692" s="42"/>
      <c r="I692" s="42"/>
      <c r="J692" s="22"/>
      <c r="K692" s="42"/>
    </row>
    <row r="693" ht="39.75" customHeight="1">
      <c r="A693" s="1">
        <v>692.0</v>
      </c>
      <c r="B693" s="2" t="s">
        <v>35</v>
      </c>
      <c r="C693" s="2"/>
      <c r="D693" s="82">
        <v>0.3333333333333333</v>
      </c>
      <c r="E693" s="13"/>
      <c r="F693" s="44" t="s">
        <v>2524</v>
      </c>
      <c r="G693" s="42"/>
      <c r="H693" s="42"/>
      <c r="I693" s="42"/>
      <c r="J693" s="22"/>
      <c r="K693" s="42"/>
    </row>
    <row r="694" ht="39.75" hidden="1" customHeight="1">
      <c r="A694" s="1">
        <v>693.0</v>
      </c>
      <c r="B694" s="2" t="s">
        <v>36</v>
      </c>
      <c r="C694" s="2" t="s">
        <v>58</v>
      </c>
      <c r="D694" s="13"/>
      <c r="E694" s="13"/>
      <c r="F694" s="45"/>
      <c r="G694" s="42"/>
      <c r="H694" s="42"/>
      <c r="I694" s="42"/>
      <c r="J694" s="22"/>
      <c r="K694" s="42"/>
    </row>
    <row r="695" ht="39.75" customHeight="1">
      <c r="A695" s="1">
        <v>694.0</v>
      </c>
      <c r="B695" s="2" t="s">
        <v>38</v>
      </c>
      <c r="C695" s="2"/>
      <c r="D695" s="13"/>
      <c r="E695" s="13"/>
      <c r="F695" s="44" t="s">
        <v>2510</v>
      </c>
      <c r="G695" s="43">
        <v>1.0</v>
      </c>
      <c r="H695" s="42"/>
      <c r="I695" s="42"/>
      <c r="J695" s="22"/>
      <c r="K695" s="42"/>
    </row>
    <row r="696" ht="39.75" hidden="1" customHeight="1">
      <c r="A696" s="1">
        <v>695.0</v>
      </c>
      <c r="B696" s="2" t="s">
        <v>41</v>
      </c>
      <c r="C696" s="2" t="s">
        <v>58</v>
      </c>
      <c r="D696" s="13"/>
      <c r="E696" s="13"/>
      <c r="F696" s="45"/>
      <c r="G696" s="42"/>
      <c r="H696" s="42"/>
      <c r="I696" s="42"/>
      <c r="J696" s="22"/>
      <c r="K696" s="42"/>
    </row>
    <row r="697" ht="39.75" hidden="1" customHeight="1">
      <c r="A697" s="1">
        <v>696.0</v>
      </c>
      <c r="B697" s="2" t="s">
        <v>42</v>
      </c>
      <c r="C697" s="2" t="s">
        <v>58</v>
      </c>
      <c r="D697" s="13"/>
      <c r="E697" s="13"/>
      <c r="F697" s="45"/>
      <c r="G697" s="42"/>
      <c r="H697" s="42"/>
      <c r="I697" s="42"/>
      <c r="J697" s="22"/>
      <c r="K697" s="42"/>
    </row>
    <row r="698" ht="39.75" customHeight="1">
      <c r="A698" s="1">
        <v>697.0</v>
      </c>
      <c r="B698" s="2" t="s">
        <v>43</v>
      </c>
      <c r="C698" s="2" t="s">
        <v>69</v>
      </c>
      <c r="D698" s="13"/>
      <c r="E698" s="13"/>
      <c r="F698" s="44" t="s">
        <v>2525</v>
      </c>
      <c r="G698" s="43">
        <v>1.0</v>
      </c>
      <c r="H698" s="42"/>
      <c r="I698" s="42"/>
      <c r="J698" s="22"/>
      <c r="K698" s="42"/>
    </row>
    <row r="699" ht="39.75" customHeight="1">
      <c r="A699" s="1">
        <v>698.0</v>
      </c>
      <c r="B699" s="2" t="s">
        <v>45</v>
      </c>
      <c r="C699" s="2"/>
      <c r="D699" s="13"/>
      <c r="E699" s="13"/>
      <c r="F699" s="44" t="s">
        <v>2526</v>
      </c>
      <c r="G699" s="43">
        <v>2.0</v>
      </c>
      <c r="H699" s="42"/>
      <c r="I699" s="42"/>
      <c r="J699" s="22"/>
      <c r="K699" s="42"/>
    </row>
    <row r="700" ht="39.75" customHeight="1">
      <c r="A700" s="1">
        <v>699.0</v>
      </c>
      <c r="B700" s="2" t="s">
        <v>46</v>
      </c>
      <c r="C700" s="2" t="s">
        <v>44</v>
      </c>
      <c r="D700" s="13"/>
      <c r="E700" s="13"/>
      <c r="F700" s="45"/>
      <c r="G700" s="42"/>
      <c r="H700" s="42"/>
      <c r="I700" s="42"/>
      <c r="J700" s="22"/>
      <c r="K700" s="42"/>
    </row>
    <row r="701" ht="39.75" customHeight="1">
      <c r="A701" s="1">
        <v>700.0</v>
      </c>
      <c r="B701" s="2" t="s">
        <v>47</v>
      </c>
      <c r="C701" s="2" t="s">
        <v>69</v>
      </c>
      <c r="D701" s="13"/>
      <c r="E701" s="13"/>
      <c r="F701" s="44" t="s">
        <v>2527</v>
      </c>
      <c r="G701" s="43">
        <v>1.0</v>
      </c>
      <c r="H701" s="42"/>
      <c r="I701" s="43">
        <v>1.0</v>
      </c>
      <c r="J701" s="22"/>
      <c r="K701" s="42"/>
    </row>
    <row r="702" ht="39.75" customHeight="1">
      <c r="A702" s="1">
        <v>701.0</v>
      </c>
      <c r="B702" s="2" t="s">
        <v>48</v>
      </c>
      <c r="C702" s="2" t="s">
        <v>54</v>
      </c>
      <c r="D702" s="13"/>
      <c r="E702" s="13"/>
      <c r="F702" s="44" t="s">
        <v>2528</v>
      </c>
      <c r="G702" s="43">
        <v>1.0</v>
      </c>
      <c r="H702" s="42"/>
      <c r="I702" s="42"/>
      <c r="J702" s="22"/>
      <c r="K702" s="42"/>
    </row>
    <row r="703" ht="39.75" customHeight="1">
      <c r="A703" s="1">
        <v>702.0</v>
      </c>
      <c r="B703" s="21"/>
      <c r="C703" s="21"/>
      <c r="D703" s="21"/>
      <c r="E703" s="21"/>
      <c r="F703" s="46"/>
      <c r="G703" s="47"/>
      <c r="H703" s="47"/>
      <c r="I703" s="47"/>
      <c r="J703" s="48"/>
      <c r="K703" s="47"/>
      <c r="L703" s="49"/>
      <c r="M703" s="49"/>
      <c r="N703" s="49"/>
    </row>
    <row r="704" ht="39.75" customHeight="1">
      <c r="A704" s="1">
        <v>703.0</v>
      </c>
      <c r="B704" s="2" t="s">
        <v>12</v>
      </c>
      <c r="C704" s="2" t="s">
        <v>62</v>
      </c>
      <c r="D704" s="13"/>
      <c r="E704" s="13"/>
      <c r="F704" s="44" t="s">
        <v>2529</v>
      </c>
      <c r="G704" s="43">
        <v>1.0</v>
      </c>
      <c r="H704" s="42"/>
      <c r="I704" s="43">
        <v>1.0</v>
      </c>
      <c r="J704" s="27" t="s">
        <v>2231</v>
      </c>
      <c r="K704" s="42"/>
      <c r="L704" s="15" t="s">
        <v>438</v>
      </c>
    </row>
    <row r="705" ht="39.75" customHeight="1">
      <c r="A705" s="1">
        <v>704.0</v>
      </c>
      <c r="B705" s="2" t="s">
        <v>16</v>
      </c>
      <c r="C705" s="2" t="s">
        <v>54</v>
      </c>
      <c r="D705" s="13"/>
      <c r="E705" s="13"/>
      <c r="F705" s="45"/>
      <c r="G705" s="42"/>
      <c r="H705" s="42"/>
      <c r="I705" s="42"/>
      <c r="J705" s="27" t="s">
        <v>438</v>
      </c>
      <c r="K705" s="43"/>
    </row>
    <row r="706" ht="39.75" customHeight="1">
      <c r="A706" s="1">
        <v>705.0</v>
      </c>
      <c r="B706" s="2" t="s">
        <v>17</v>
      </c>
      <c r="C706" s="2" t="s">
        <v>54</v>
      </c>
      <c r="D706" s="13"/>
      <c r="E706" s="51">
        <v>0.8333333333333334</v>
      </c>
      <c r="F706" s="44" t="s">
        <v>2530</v>
      </c>
      <c r="G706" s="43">
        <v>1.0</v>
      </c>
      <c r="H706" s="42"/>
      <c r="I706" s="42"/>
      <c r="J706" s="27" t="s">
        <v>131</v>
      </c>
      <c r="K706" s="42"/>
    </row>
    <row r="707" ht="39.75" customHeight="1">
      <c r="A707" s="1">
        <v>706.0</v>
      </c>
      <c r="B707" s="2" t="s">
        <v>331</v>
      </c>
      <c r="C707" s="2" t="s">
        <v>542</v>
      </c>
      <c r="D707" s="13"/>
      <c r="E707" s="13"/>
      <c r="F707" s="44" t="s">
        <v>2531</v>
      </c>
      <c r="G707" s="43">
        <v>1.0</v>
      </c>
      <c r="H707" s="42"/>
      <c r="I707" s="42"/>
      <c r="J707" s="22"/>
      <c r="K707" s="42"/>
    </row>
    <row r="708" ht="39.75" customHeight="1">
      <c r="A708" s="1">
        <v>707.0</v>
      </c>
      <c r="B708" s="2" t="s">
        <v>21</v>
      </c>
      <c r="C708" s="2" t="s">
        <v>63</v>
      </c>
      <c r="D708" s="13"/>
      <c r="E708" s="13"/>
      <c r="F708" s="45"/>
      <c r="G708" s="42"/>
      <c r="H708" s="42"/>
      <c r="I708" s="42"/>
      <c r="J708" s="22"/>
      <c r="K708" s="42"/>
    </row>
    <row r="709" ht="39.75" customHeight="1">
      <c r="A709" s="1">
        <v>708.0</v>
      </c>
      <c r="B709" s="2" t="s">
        <v>22</v>
      </c>
      <c r="C709" s="2" t="s">
        <v>39</v>
      </c>
      <c r="D709" s="13"/>
      <c r="E709" s="13"/>
      <c r="F709" s="44" t="s">
        <v>2532</v>
      </c>
      <c r="G709" s="43">
        <v>1.0</v>
      </c>
      <c r="H709" s="42"/>
      <c r="I709" s="42"/>
      <c r="J709" s="22"/>
      <c r="K709" s="42"/>
    </row>
    <row r="710" ht="39.75" hidden="1" customHeight="1">
      <c r="A710" s="1">
        <v>709.0</v>
      </c>
      <c r="B710" s="2" t="s">
        <v>23</v>
      </c>
      <c r="C710" s="2" t="s">
        <v>58</v>
      </c>
      <c r="D710" s="13"/>
      <c r="E710" s="13"/>
      <c r="F710" s="45"/>
      <c r="G710" s="42"/>
      <c r="H710" s="42"/>
      <c r="I710" s="42"/>
      <c r="J710" s="22"/>
      <c r="K710" s="42"/>
    </row>
    <row r="711" ht="39.75" customHeight="1">
      <c r="A711" s="1">
        <v>710.0</v>
      </c>
      <c r="B711" s="2" t="s">
        <v>24</v>
      </c>
      <c r="C711" s="2"/>
      <c r="D711" s="13"/>
      <c r="E711" s="13"/>
      <c r="F711" s="44" t="s">
        <v>2533</v>
      </c>
      <c r="G711" s="43">
        <v>1.0</v>
      </c>
      <c r="H711" s="42"/>
      <c r="I711" s="43">
        <v>1.0</v>
      </c>
      <c r="J711" s="22"/>
      <c r="K711" s="42"/>
    </row>
    <row r="712" ht="39.75" customHeight="1">
      <c r="A712" s="1">
        <v>711.0</v>
      </c>
      <c r="B712" s="2" t="s">
        <v>25</v>
      </c>
      <c r="C712" s="2" t="s">
        <v>69</v>
      </c>
      <c r="D712" s="13"/>
      <c r="E712" s="13"/>
      <c r="F712" s="44" t="s">
        <v>2534</v>
      </c>
      <c r="G712" s="43">
        <v>1.0</v>
      </c>
      <c r="H712" s="42"/>
      <c r="I712" s="42"/>
      <c r="J712" s="22"/>
      <c r="K712" s="42"/>
    </row>
    <row r="713" ht="39.75" hidden="1" customHeight="1">
      <c r="A713" s="1">
        <v>712.0</v>
      </c>
      <c r="B713" s="2" t="s">
        <v>26</v>
      </c>
      <c r="C713" s="2" t="s">
        <v>58</v>
      </c>
      <c r="D713" s="13"/>
      <c r="E713" s="13"/>
      <c r="F713" s="45"/>
      <c r="G713" s="42"/>
      <c r="H713" s="42"/>
      <c r="I713" s="42"/>
      <c r="J713" s="22"/>
      <c r="K713" s="42"/>
    </row>
    <row r="714" ht="39.75" customHeight="1">
      <c r="A714" s="1">
        <v>713.0</v>
      </c>
      <c r="B714" s="2" t="s">
        <v>29</v>
      </c>
      <c r="C714" s="2"/>
      <c r="D714" s="13"/>
      <c r="E714" s="13"/>
      <c r="F714" s="45"/>
      <c r="G714" s="42"/>
      <c r="H714" s="42"/>
      <c r="I714" s="42"/>
      <c r="J714" s="22"/>
      <c r="K714" s="42"/>
    </row>
    <row r="715" ht="39.75" customHeight="1">
      <c r="A715" s="1">
        <v>714.0</v>
      </c>
      <c r="B715" s="2" t="s">
        <v>30</v>
      </c>
      <c r="C715" s="2" t="s">
        <v>64</v>
      </c>
      <c r="D715" s="13"/>
      <c r="E715" s="13"/>
      <c r="F715" s="44" t="s">
        <v>2034</v>
      </c>
      <c r="G715" s="43">
        <v>1.0</v>
      </c>
      <c r="H715" s="42"/>
      <c r="I715" s="43">
        <v>1.0</v>
      </c>
      <c r="J715" s="22"/>
      <c r="K715" s="42"/>
    </row>
    <row r="716" ht="39.75" customHeight="1">
      <c r="A716" s="1">
        <v>715.0</v>
      </c>
      <c r="B716" s="2" t="s">
        <v>31</v>
      </c>
      <c r="C716" s="2" t="s">
        <v>54</v>
      </c>
      <c r="D716" s="13"/>
      <c r="E716" s="13"/>
      <c r="F716" s="44" t="s">
        <v>472</v>
      </c>
      <c r="G716" s="42"/>
      <c r="H716" s="42"/>
      <c r="I716" s="42"/>
      <c r="J716" s="22"/>
      <c r="K716" s="42"/>
    </row>
    <row r="717" ht="39.75" customHeight="1">
      <c r="A717" s="1">
        <v>716.0</v>
      </c>
      <c r="B717" s="2" t="s">
        <v>32</v>
      </c>
      <c r="C717" s="2" t="s">
        <v>44</v>
      </c>
      <c r="D717" s="13"/>
      <c r="E717" s="13"/>
      <c r="F717" s="45"/>
      <c r="G717" s="42"/>
      <c r="H717" s="42"/>
      <c r="I717" s="42"/>
      <c r="J717" s="22"/>
      <c r="K717" s="42"/>
    </row>
    <row r="718" ht="39.75" hidden="1" customHeight="1">
      <c r="A718" s="1">
        <v>717.0</v>
      </c>
      <c r="B718" s="2" t="s">
        <v>67</v>
      </c>
      <c r="C718" s="2" t="s">
        <v>66</v>
      </c>
      <c r="D718" s="13"/>
      <c r="E718" s="13"/>
      <c r="F718" s="45"/>
      <c r="G718" s="42"/>
      <c r="H718" s="42"/>
      <c r="I718" s="42"/>
      <c r="J718" s="22"/>
      <c r="K718" s="42"/>
    </row>
    <row r="719" ht="39.75" hidden="1" customHeight="1">
      <c r="A719" s="1">
        <v>718.0</v>
      </c>
      <c r="B719" s="2" t="s">
        <v>34</v>
      </c>
      <c r="C719" s="2" t="s">
        <v>58</v>
      </c>
      <c r="D719" s="13"/>
      <c r="E719" s="13"/>
      <c r="F719" s="45"/>
      <c r="G719" s="42"/>
      <c r="H719" s="42"/>
      <c r="I719" s="42"/>
      <c r="J719" s="22"/>
      <c r="K719" s="42"/>
    </row>
    <row r="720" ht="39.75" customHeight="1">
      <c r="A720" s="1">
        <v>719.0</v>
      </c>
      <c r="B720" s="2" t="s">
        <v>35</v>
      </c>
      <c r="C720" s="2" t="s">
        <v>27</v>
      </c>
      <c r="D720" s="13"/>
      <c r="E720" s="13"/>
      <c r="F720" s="44" t="s">
        <v>2535</v>
      </c>
      <c r="G720" s="43">
        <v>1.0</v>
      </c>
      <c r="H720" s="42"/>
      <c r="I720" s="42"/>
      <c r="J720" s="22"/>
      <c r="K720" s="42"/>
    </row>
    <row r="721" ht="39.75" customHeight="1">
      <c r="A721" s="1">
        <v>720.0</v>
      </c>
      <c r="B721" s="2" t="s">
        <v>36</v>
      </c>
      <c r="C721" s="2" t="s">
        <v>69</v>
      </c>
      <c r="D721" s="13"/>
      <c r="E721" s="40">
        <v>0.8263888888888888</v>
      </c>
      <c r="F721" s="83" t="s">
        <v>2536</v>
      </c>
      <c r="G721" s="42"/>
      <c r="H721" s="42"/>
      <c r="I721" s="42"/>
      <c r="J721" s="22"/>
      <c r="K721" s="42"/>
    </row>
    <row r="722" ht="39.75" customHeight="1">
      <c r="A722" s="1">
        <v>721.0</v>
      </c>
      <c r="B722" s="2" t="s">
        <v>38</v>
      </c>
      <c r="C722" s="2"/>
      <c r="D722" s="13"/>
      <c r="E722" s="13"/>
      <c r="F722" s="44" t="s">
        <v>2537</v>
      </c>
      <c r="G722" s="43">
        <v>1.0</v>
      </c>
      <c r="H722" s="42"/>
      <c r="I722" s="43">
        <v>1.0</v>
      </c>
      <c r="J722" s="22"/>
      <c r="K722" s="42"/>
    </row>
    <row r="723" ht="39.75" hidden="1" customHeight="1">
      <c r="A723" s="1">
        <v>722.0</v>
      </c>
      <c r="B723" s="2" t="s">
        <v>41</v>
      </c>
      <c r="C723" s="2" t="s">
        <v>58</v>
      </c>
      <c r="D723" s="13"/>
      <c r="E723" s="13"/>
      <c r="F723" s="45"/>
      <c r="G723" s="42"/>
      <c r="H723" s="42"/>
      <c r="I723" s="42"/>
      <c r="J723" s="22"/>
      <c r="K723" s="42"/>
    </row>
    <row r="724" ht="39.75" customHeight="1">
      <c r="A724" s="1">
        <v>723.0</v>
      </c>
      <c r="B724" s="2" t="s">
        <v>42</v>
      </c>
      <c r="C724" s="2"/>
      <c r="D724" s="13"/>
      <c r="E724" s="13"/>
      <c r="F724" s="44" t="s">
        <v>2538</v>
      </c>
      <c r="G724" s="43">
        <v>1.0</v>
      </c>
      <c r="H724" s="42"/>
      <c r="I724" s="42"/>
      <c r="J724" s="22"/>
      <c r="K724" s="42"/>
    </row>
    <row r="725" ht="39.75" hidden="1" customHeight="1">
      <c r="A725" s="1">
        <v>724.0</v>
      </c>
      <c r="B725" s="2" t="s">
        <v>43</v>
      </c>
      <c r="C725" s="2" t="s">
        <v>58</v>
      </c>
      <c r="D725" s="13"/>
      <c r="E725" s="13"/>
      <c r="F725" s="45"/>
      <c r="G725" s="42"/>
      <c r="H725" s="42"/>
      <c r="I725" s="42"/>
      <c r="J725" s="22"/>
      <c r="K725" s="42"/>
    </row>
    <row r="726" ht="39.75" customHeight="1">
      <c r="A726" s="1">
        <v>725.0</v>
      </c>
      <c r="B726" s="2" t="s">
        <v>45</v>
      </c>
      <c r="C726" s="2" t="s">
        <v>39</v>
      </c>
      <c r="D726" s="13"/>
      <c r="E726" s="13"/>
      <c r="F726" s="44" t="s">
        <v>2539</v>
      </c>
      <c r="G726" s="43">
        <v>1.0</v>
      </c>
      <c r="H726" s="42"/>
      <c r="I726" s="42"/>
      <c r="J726" s="22"/>
      <c r="K726" s="42"/>
    </row>
    <row r="727" ht="39.75" customHeight="1">
      <c r="A727" s="1">
        <v>726.0</v>
      </c>
      <c r="B727" s="2" t="s">
        <v>46</v>
      </c>
      <c r="C727" s="2" t="s">
        <v>69</v>
      </c>
      <c r="D727" s="13"/>
      <c r="E727" s="13"/>
      <c r="F727" s="44" t="s">
        <v>2540</v>
      </c>
      <c r="G727" s="43">
        <v>1.0</v>
      </c>
      <c r="H727" s="42"/>
      <c r="I727" s="42"/>
      <c r="J727" s="22"/>
      <c r="K727" s="42"/>
    </row>
    <row r="728" ht="39.75" customHeight="1">
      <c r="A728" s="1">
        <v>727.0</v>
      </c>
      <c r="B728" s="2" t="s">
        <v>47</v>
      </c>
      <c r="C728" s="13"/>
      <c r="D728" s="13"/>
      <c r="E728" s="13"/>
      <c r="F728" s="44" t="s">
        <v>2541</v>
      </c>
      <c r="G728" s="43">
        <v>1.0</v>
      </c>
      <c r="H728" s="42"/>
      <c r="I728" s="43">
        <v>1.0</v>
      </c>
      <c r="J728" s="22"/>
      <c r="K728" s="42"/>
    </row>
    <row r="729" ht="39.75" customHeight="1">
      <c r="A729" s="1">
        <v>728.0</v>
      </c>
      <c r="B729" s="2" t="s">
        <v>48</v>
      </c>
      <c r="C729" s="2" t="s">
        <v>54</v>
      </c>
      <c r="D729" s="13"/>
      <c r="E729" s="13"/>
      <c r="F729" s="44" t="s">
        <v>2542</v>
      </c>
      <c r="G729" s="43">
        <v>1.0</v>
      </c>
      <c r="H729" s="42"/>
      <c r="I729" s="43">
        <v>1.0</v>
      </c>
      <c r="J729" s="22"/>
      <c r="K729" s="42"/>
    </row>
    <row r="730" ht="39.75" customHeight="1">
      <c r="A730" s="1">
        <v>729.0</v>
      </c>
      <c r="B730" s="21"/>
      <c r="C730" s="21"/>
      <c r="D730" s="21"/>
      <c r="E730" s="21"/>
      <c r="F730" s="46"/>
      <c r="G730" s="47"/>
      <c r="H730" s="47"/>
      <c r="I730" s="47"/>
      <c r="J730" s="48"/>
      <c r="K730" s="47"/>
      <c r="L730" s="49"/>
      <c r="M730" s="49"/>
      <c r="N730" s="49"/>
    </row>
    <row r="731" ht="39.75" customHeight="1">
      <c r="A731" s="1">
        <v>730.0</v>
      </c>
      <c r="B731" s="2" t="s">
        <v>12</v>
      </c>
      <c r="C731" s="2"/>
      <c r="D731" s="53">
        <v>0.375</v>
      </c>
      <c r="E731" s="51">
        <v>0.9375</v>
      </c>
      <c r="F731" s="44" t="s">
        <v>2543</v>
      </c>
      <c r="G731" s="43">
        <v>1.0</v>
      </c>
      <c r="H731" s="42"/>
      <c r="I731" s="42"/>
      <c r="J731" s="27" t="s">
        <v>2231</v>
      </c>
      <c r="K731" s="42"/>
      <c r="L731" s="15" t="s">
        <v>452</v>
      </c>
    </row>
    <row r="732" ht="39.75" hidden="1" customHeight="1">
      <c r="A732" s="1">
        <v>731.0</v>
      </c>
      <c r="B732" s="2" t="s">
        <v>16</v>
      </c>
      <c r="C732" s="2" t="s">
        <v>13</v>
      </c>
      <c r="D732" s="13"/>
      <c r="E732" s="13"/>
      <c r="F732" s="45"/>
      <c r="G732" s="42"/>
      <c r="H732" s="42"/>
      <c r="I732" s="42"/>
      <c r="J732" s="27" t="s">
        <v>452</v>
      </c>
      <c r="K732" s="43"/>
    </row>
    <row r="733" ht="39.75" customHeight="1">
      <c r="A733" s="1">
        <v>732.0</v>
      </c>
      <c r="B733" s="2" t="s">
        <v>263</v>
      </c>
      <c r="C733" s="2" t="s">
        <v>272</v>
      </c>
      <c r="D733" s="13"/>
      <c r="E733" s="13"/>
      <c r="F733" s="45"/>
      <c r="G733" s="42"/>
      <c r="H733" s="42"/>
      <c r="I733" s="42"/>
      <c r="J733" s="27" t="s">
        <v>149</v>
      </c>
      <c r="K733" s="42"/>
    </row>
    <row r="734" ht="39.75" hidden="1" customHeight="1">
      <c r="A734" s="1">
        <v>733.0</v>
      </c>
      <c r="B734" s="2" t="s">
        <v>331</v>
      </c>
      <c r="C734" s="2" t="s">
        <v>13</v>
      </c>
      <c r="D734" s="13"/>
      <c r="E734" s="13"/>
      <c r="F734" s="44"/>
      <c r="G734" s="42"/>
      <c r="H734" s="42"/>
      <c r="I734" s="42"/>
      <c r="J734" s="27" t="s">
        <v>165</v>
      </c>
      <c r="K734" s="42"/>
    </row>
    <row r="735" ht="39.75" customHeight="1">
      <c r="A735" s="1">
        <v>734.0</v>
      </c>
      <c r="B735" s="2" t="s">
        <v>21</v>
      </c>
      <c r="C735" s="2" t="s">
        <v>63</v>
      </c>
      <c r="D735" s="13"/>
      <c r="E735" s="13"/>
      <c r="F735" s="45"/>
      <c r="G735" s="42"/>
      <c r="H735" s="42"/>
      <c r="I735" s="42"/>
      <c r="J735" s="27" t="s">
        <v>166</v>
      </c>
      <c r="K735" s="42"/>
    </row>
    <row r="736" ht="39.75" hidden="1" customHeight="1">
      <c r="A736" s="1">
        <v>735.0</v>
      </c>
      <c r="B736" s="2" t="s">
        <v>22</v>
      </c>
      <c r="C736" s="2" t="s">
        <v>13</v>
      </c>
      <c r="D736" s="13"/>
      <c r="E736" s="13"/>
      <c r="F736" s="45"/>
      <c r="G736" s="42"/>
      <c r="H736" s="42"/>
      <c r="I736" s="42"/>
      <c r="J736" s="27" t="s">
        <v>167</v>
      </c>
      <c r="K736" s="42"/>
    </row>
    <row r="737" ht="39.75" hidden="1" customHeight="1">
      <c r="A737" s="1">
        <v>736.0</v>
      </c>
      <c r="B737" s="2" t="s">
        <v>23</v>
      </c>
      <c r="C737" s="2" t="s">
        <v>13</v>
      </c>
      <c r="D737" s="13"/>
      <c r="E737" s="13"/>
      <c r="F737" s="45"/>
      <c r="G737" s="42"/>
      <c r="H737" s="42"/>
      <c r="I737" s="42"/>
      <c r="J737" s="22"/>
      <c r="K737" s="42"/>
    </row>
    <row r="738" ht="39.75" hidden="1" customHeight="1">
      <c r="A738" s="1">
        <v>737.0</v>
      </c>
      <c r="B738" s="2" t="s">
        <v>24</v>
      </c>
      <c r="C738" s="2" t="s">
        <v>13</v>
      </c>
      <c r="D738" s="13"/>
      <c r="E738" s="13"/>
      <c r="F738" s="45"/>
      <c r="G738" s="42"/>
      <c r="H738" s="42"/>
      <c r="I738" s="42"/>
      <c r="J738" s="22"/>
      <c r="K738" s="42"/>
    </row>
    <row r="739" ht="39.75" customHeight="1">
      <c r="A739" s="1">
        <v>738.0</v>
      </c>
      <c r="B739" s="2" t="s">
        <v>25</v>
      </c>
      <c r="C739" s="2" t="s">
        <v>49</v>
      </c>
      <c r="D739" s="53">
        <v>0.3333333333333333</v>
      </c>
      <c r="E739" s="13"/>
      <c r="F739" s="44" t="s">
        <v>2544</v>
      </c>
      <c r="G739" s="43">
        <v>2.0</v>
      </c>
      <c r="H739" s="42"/>
      <c r="I739" s="43">
        <v>1.0</v>
      </c>
      <c r="J739" s="22"/>
      <c r="K739" s="42"/>
    </row>
    <row r="740" ht="39.75" hidden="1" customHeight="1">
      <c r="A740" s="1">
        <v>739.0</v>
      </c>
      <c r="B740" s="2" t="s">
        <v>26</v>
      </c>
      <c r="C740" s="2" t="s">
        <v>13</v>
      </c>
      <c r="D740" s="13"/>
      <c r="E740" s="13"/>
      <c r="F740" s="45"/>
      <c r="G740" s="42"/>
      <c r="H740" s="42"/>
      <c r="I740" s="42"/>
      <c r="J740" s="22"/>
      <c r="K740" s="42"/>
    </row>
    <row r="741" ht="39.75" hidden="1" customHeight="1">
      <c r="A741" s="1">
        <v>740.0</v>
      </c>
      <c r="B741" s="2" t="s">
        <v>29</v>
      </c>
      <c r="C741" s="2" t="s">
        <v>13</v>
      </c>
      <c r="D741" s="13"/>
      <c r="E741" s="13"/>
      <c r="F741" s="45"/>
      <c r="G741" s="42"/>
      <c r="H741" s="42"/>
      <c r="I741" s="42"/>
      <c r="J741" s="22"/>
      <c r="K741" s="42"/>
    </row>
    <row r="742" ht="39.75" hidden="1" customHeight="1">
      <c r="A742" s="1">
        <v>741.0</v>
      </c>
      <c r="B742" s="2" t="s">
        <v>30</v>
      </c>
      <c r="C742" s="2" t="s">
        <v>13</v>
      </c>
      <c r="D742" s="13"/>
      <c r="E742" s="13"/>
      <c r="F742" s="45"/>
      <c r="G742" s="42"/>
      <c r="H742" s="42"/>
      <c r="I742" s="42"/>
      <c r="J742" s="22"/>
      <c r="K742" s="42"/>
    </row>
    <row r="743" ht="39.75" hidden="1" customHeight="1">
      <c r="A743" s="1">
        <v>742.0</v>
      </c>
      <c r="B743" s="2" t="s">
        <v>31</v>
      </c>
      <c r="C743" s="2" t="s">
        <v>13</v>
      </c>
      <c r="D743" s="13"/>
      <c r="E743" s="13"/>
      <c r="F743" s="45"/>
      <c r="G743" s="42"/>
      <c r="H743" s="42"/>
      <c r="I743" s="42"/>
      <c r="J743" s="22"/>
      <c r="K743" s="42"/>
    </row>
    <row r="744" ht="39.75" customHeight="1">
      <c r="A744" s="1">
        <v>743.0</v>
      </c>
      <c r="B744" s="2" t="s">
        <v>32</v>
      </c>
      <c r="C744" s="2" t="s">
        <v>39</v>
      </c>
      <c r="D744" s="53">
        <v>0.3333333333333333</v>
      </c>
      <c r="E744" s="13"/>
      <c r="F744" s="84" t="s">
        <v>2545</v>
      </c>
      <c r="G744" s="43">
        <v>3.0</v>
      </c>
      <c r="H744" s="42"/>
      <c r="I744" s="43">
        <v>2.0</v>
      </c>
      <c r="J744" s="22"/>
      <c r="K744" s="42"/>
    </row>
    <row r="745" ht="39.75" hidden="1" customHeight="1">
      <c r="A745" s="1">
        <v>744.0</v>
      </c>
      <c r="B745" s="2" t="s">
        <v>67</v>
      </c>
      <c r="C745" s="2" t="s">
        <v>13</v>
      </c>
      <c r="D745" s="13"/>
      <c r="E745" s="13"/>
      <c r="F745" s="45"/>
      <c r="G745" s="42"/>
      <c r="H745" s="42"/>
      <c r="I745" s="42"/>
      <c r="J745" s="22"/>
      <c r="K745" s="42"/>
    </row>
    <row r="746" ht="39.75" hidden="1" customHeight="1">
      <c r="A746" s="1">
        <v>745.0</v>
      </c>
      <c r="B746" s="2" t="s">
        <v>34</v>
      </c>
      <c r="C746" s="2" t="s">
        <v>13</v>
      </c>
      <c r="D746" s="13"/>
      <c r="E746" s="13"/>
      <c r="F746" s="45"/>
      <c r="G746" s="42"/>
      <c r="H746" s="42"/>
      <c r="I746" s="42"/>
      <c r="J746" s="22"/>
      <c r="K746" s="42"/>
    </row>
    <row r="747" ht="39.75" customHeight="1">
      <c r="A747" s="1">
        <v>746.0</v>
      </c>
      <c r="B747" s="2" t="s">
        <v>35</v>
      </c>
      <c r="C747" s="2" t="s">
        <v>44</v>
      </c>
      <c r="D747" s="13"/>
      <c r="E747" s="13"/>
      <c r="F747" s="45"/>
      <c r="G747" s="42"/>
      <c r="H747" s="42"/>
      <c r="I747" s="42"/>
      <c r="J747" s="22"/>
      <c r="K747" s="42"/>
    </row>
    <row r="748" ht="39.75" hidden="1" customHeight="1">
      <c r="A748" s="1">
        <v>747.0</v>
      </c>
      <c r="B748" s="2" t="s">
        <v>36</v>
      </c>
      <c r="C748" s="2" t="s">
        <v>13</v>
      </c>
      <c r="D748" s="13"/>
      <c r="E748" s="13"/>
      <c r="F748" s="45"/>
      <c r="G748" s="42"/>
      <c r="H748" s="42"/>
      <c r="I748" s="42"/>
      <c r="J748" s="22"/>
      <c r="K748" s="42"/>
    </row>
    <row r="749" ht="39.75" hidden="1" customHeight="1">
      <c r="A749" s="1">
        <v>748.0</v>
      </c>
      <c r="B749" s="2" t="s">
        <v>38</v>
      </c>
      <c r="C749" s="2" t="s">
        <v>13</v>
      </c>
      <c r="D749" s="13"/>
      <c r="E749" s="13"/>
      <c r="F749" s="45"/>
      <c r="G749" s="42"/>
      <c r="H749" s="42"/>
      <c r="I749" s="42"/>
      <c r="J749" s="22"/>
      <c r="K749" s="42"/>
    </row>
    <row r="750" ht="39.75" hidden="1" customHeight="1">
      <c r="A750" s="1">
        <v>749.0</v>
      </c>
      <c r="B750" s="2" t="s">
        <v>41</v>
      </c>
      <c r="C750" s="2" t="s">
        <v>13</v>
      </c>
      <c r="D750" s="13"/>
      <c r="E750" s="13"/>
      <c r="F750" s="45"/>
      <c r="G750" s="42"/>
      <c r="H750" s="42"/>
      <c r="I750" s="42"/>
      <c r="J750" s="22"/>
      <c r="K750" s="42"/>
    </row>
    <row r="751" ht="39.75" hidden="1" customHeight="1">
      <c r="A751" s="1">
        <v>750.0</v>
      </c>
      <c r="B751" s="2" t="s">
        <v>42</v>
      </c>
      <c r="C751" s="2" t="s">
        <v>13</v>
      </c>
      <c r="D751" s="13"/>
      <c r="E751" s="13"/>
      <c r="F751" s="45"/>
      <c r="G751" s="42"/>
      <c r="H751" s="42"/>
      <c r="I751" s="42"/>
      <c r="J751" s="22"/>
      <c r="K751" s="42"/>
    </row>
    <row r="752" ht="39.75" hidden="1" customHeight="1">
      <c r="A752" s="1">
        <v>751.0</v>
      </c>
      <c r="B752" s="2" t="s">
        <v>43</v>
      </c>
      <c r="C752" s="2" t="s">
        <v>13</v>
      </c>
      <c r="D752" s="13"/>
      <c r="E752" s="13"/>
      <c r="F752" s="45"/>
      <c r="G752" s="42"/>
      <c r="H752" s="42"/>
      <c r="I752" s="42"/>
      <c r="J752" s="22"/>
      <c r="K752" s="42"/>
    </row>
    <row r="753" ht="39.75" hidden="1" customHeight="1">
      <c r="A753" s="1">
        <v>752.0</v>
      </c>
      <c r="B753" s="2" t="s">
        <v>45</v>
      </c>
      <c r="C753" s="2" t="s">
        <v>13</v>
      </c>
      <c r="D753" s="13"/>
      <c r="E753" s="13"/>
      <c r="F753" s="45"/>
      <c r="G753" s="42"/>
      <c r="H753" s="42"/>
      <c r="I753" s="42"/>
      <c r="J753" s="22"/>
      <c r="K753" s="42"/>
    </row>
    <row r="754" ht="39.75" customHeight="1">
      <c r="A754" s="1">
        <v>753.0</v>
      </c>
      <c r="B754" s="2" t="s">
        <v>46</v>
      </c>
      <c r="C754" s="2" t="s">
        <v>27</v>
      </c>
      <c r="D754" s="13"/>
      <c r="E754" s="13"/>
      <c r="F754" s="83" t="s">
        <v>2546</v>
      </c>
      <c r="G754" s="43">
        <v>2.0</v>
      </c>
      <c r="H754" s="42"/>
      <c r="I754" s="43">
        <v>1.0</v>
      </c>
      <c r="J754" s="22"/>
      <c r="K754" s="42"/>
    </row>
    <row r="755" ht="39.75" customHeight="1">
      <c r="A755" s="1">
        <v>754.0</v>
      </c>
      <c r="B755" s="2" t="s">
        <v>47</v>
      </c>
      <c r="C755" s="13"/>
      <c r="D755" s="53">
        <v>0.3125</v>
      </c>
      <c r="E755" s="13"/>
      <c r="F755" s="44" t="s">
        <v>2547</v>
      </c>
      <c r="G755" s="43">
        <v>3.0</v>
      </c>
      <c r="H755" s="42"/>
      <c r="I755" s="43">
        <v>2.0</v>
      </c>
      <c r="J755" s="22"/>
      <c r="K755" s="42"/>
    </row>
    <row r="756" ht="39.75" hidden="1" customHeight="1">
      <c r="A756" s="1">
        <v>755.0</v>
      </c>
      <c r="B756" s="2" t="s">
        <v>48</v>
      </c>
      <c r="C756" s="2" t="s">
        <v>13</v>
      </c>
      <c r="D756" s="13"/>
      <c r="E756" s="13"/>
      <c r="F756" s="45"/>
      <c r="G756" s="42"/>
      <c r="H756" s="42"/>
      <c r="I756" s="42"/>
      <c r="J756" s="22"/>
      <c r="K756" s="42"/>
    </row>
    <row r="757" ht="39.75" customHeight="1">
      <c r="A757" s="1">
        <v>756.0</v>
      </c>
      <c r="B757" s="21"/>
      <c r="C757" s="21"/>
      <c r="D757" s="21"/>
      <c r="E757" s="21"/>
      <c r="F757" s="46"/>
      <c r="G757" s="47"/>
      <c r="H757" s="47"/>
      <c r="I757" s="47"/>
      <c r="J757" s="48"/>
      <c r="K757" s="47"/>
      <c r="L757" s="49"/>
      <c r="M757" s="49"/>
      <c r="N757" s="49"/>
    </row>
    <row r="758" ht="39.75" hidden="1" customHeight="1">
      <c r="A758" s="1">
        <v>757.0</v>
      </c>
      <c r="B758" s="2" t="s">
        <v>12</v>
      </c>
      <c r="C758" s="2" t="s">
        <v>13</v>
      </c>
      <c r="D758" s="13"/>
      <c r="E758" s="13"/>
      <c r="F758" s="45"/>
      <c r="G758" s="42"/>
      <c r="H758" s="42"/>
      <c r="I758" s="42"/>
      <c r="J758" s="27" t="s">
        <v>2231</v>
      </c>
      <c r="K758" s="42"/>
      <c r="L758" s="15" t="s">
        <v>460</v>
      </c>
    </row>
    <row r="759" ht="39.75" hidden="1" customHeight="1">
      <c r="A759" s="1">
        <v>758.0</v>
      </c>
      <c r="B759" s="2" t="s">
        <v>16</v>
      </c>
      <c r="C759" s="2" t="s">
        <v>13</v>
      </c>
      <c r="D759" s="13"/>
      <c r="E759" s="13"/>
      <c r="F759" s="45"/>
      <c r="G759" s="42"/>
      <c r="H759" s="42"/>
      <c r="I759" s="42"/>
      <c r="J759" s="27" t="s">
        <v>460</v>
      </c>
      <c r="K759" s="43"/>
    </row>
    <row r="760" ht="39.75" customHeight="1">
      <c r="A760" s="1">
        <v>759.0</v>
      </c>
      <c r="B760" s="2" t="s">
        <v>17</v>
      </c>
      <c r="C760" s="2" t="s">
        <v>49</v>
      </c>
      <c r="D760" s="13"/>
      <c r="E760" s="40">
        <v>0.8125</v>
      </c>
      <c r="F760" s="44" t="s">
        <v>2548</v>
      </c>
      <c r="G760" s="43">
        <v>1.0</v>
      </c>
      <c r="H760" s="42"/>
      <c r="I760" s="43">
        <v>1.0</v>
      </c>
      <c r="J760" s="27" t="s">
        <v>19</v>
      </c>
      <c r="K760" s="42"/>
    </row>
    <row r="761" ht="39.75" hidden="1" customHeight="1">
      <c r="A761" s="1">
        <v>760.0</v>
      </c>
      <c r="B761" s="2" t="s">
        <v>331</v>
      </c>
      <c r="C761" s="2" t="s">
        <v>13</v>
      </c>
      <c r="D761" s="13"/>
      <c r="E761" s="13"/>
      <c r="F761" s="44"/>
      <c r="G761" s="42"/>
      <c r="H761" s="42"/>
      <c r="I761" s="42"/>
      <c r="J761" s="27" t="s">
        <v>410</v>
      </c>
      <c r="K761" s="42"/>
    </row>
    <row r="762" ht="39.75" hidden="1" customHeight="1">
      <c r="A762" s="1">
        <v>761.0</v>
      </c>
      <c r="B762" s="2" t="s">
        <v>21</v>
      </c>
      <c r="C762" s="2" t="s">
        <v>13</v>
      </c>
      <c r="D762" s="13"/>
      <c r="E762" s="13"/>
      <c r="F762" s="45"/>
      <c r="G762" s="42"/>
      <c r="H762" s="42"/>
      <c r="I762" s="42"/>
      <c r="J762" s="27" t="s">
        <v>412</v>
      </c>
      <c r="K762" s="42"/>
    </row>
    <row r="763" ht="39.75" hidden="1" customHeight="1">
      <c r="A763" s="1">
        <v>762.0</v>
      </c>
      <c r="B763" s="2" t="s">
        <v>22</v>
      </c>
      <c r="C763" s="2" t="s">
        <v>13</v>
      </c>
      <c r="D763" s="13"/>
      <c r="E763" s="13"/>
      <c r="F763" s="45"/>
      <c r="G763" s="42"/>
      <c r="H763" s="42"/>
      <c r="I763" s="42"/>
      <c r="J763" s="27" t="s">
        <v>413</v>
      </c>
      <c r="K763" s="42"/>
    </row>
    <row r="764" ht="39.75" hidden="1" customHeight="1">
      <c r="A764" s="1">
        <v>763.0</v>
      </c>
      <c r="B764" s="2" t="s">
        <v>23</v>
      </c>
      <c r="C764" s="2" t="s">
        <v>13</v>
      </c>
      <c r="D764" s="13"/>
      <c r="E764" s="13"/>
      <c r="F764" s="45"/>
      <c r="G764" s="42"/>
      <c r="H764" s="42"/>
      <c r="I764" s="42"/>
      <c r="J764" s="22"/>
      <c r="K764" s="42"/>
    </row>
    <row r="765" ht="39.75" customHeight="1">
      <c r="A765" s="1">
        <v>764.0</v>
      </c>
      <c r="B765" s="2" t="s">
        <v>24</v>
      </c>
      <c r="C765" s="2" t="s">
        <v>63</v>
      </c>
      <c r="D765" s="13"/>
      <c r="E765" s="13"/>
      <c r="F765" s="44" t="s">
        <v>2549</v>
      </c>
      <c r="G765" s="43">
        <v>1.0</v>
      </c>
      <c r="H765" s="42"/>
      <c r="I765" s="42"/>
      <c r="J765" s="22"/>
      <c r="K765" s="42"/>
    </row>
    <row r="766" ht="39.75" hidden="1" customHeight="1">
      <c r="A766" s="1">
        <v>765.0</v>
      </c>
      <c r="B766" s="2" t="s">
        <v>25</v>
      </c>
      <c r="C766" s="2" t="s">
        <v>13</v>
      </c>
      <c r="D766" s="13"/>
      <c r="E766" s="13"/>
      <c r="F766" s="45"/>
      <c r="G766" s="42"/>
      <c r="H766" s="42"/>
      <c r="I766" s="42"/>
      <c r="J766" s="22"/>
      <c r="K766" s="42"/>
    </row>
    <row r="767" ht="39.75" hidden="1" customHeight="1">
      <c r="A767" s="1">
        <v>766.0</v>
      </c>
      <c r="B767" s="2" t="s">
        <v>26</v>
      </c>
      <c r="C767" s="2" t="s">
        <v>13</v>
      </c>
      <c r="D767" s="13"/>
      <c r="E767" s="13"/>
      <c r="F767" s="45"/>
      <c r="G767" s="42"/>
      <c r="H767" s="42"/>
      <c r="I767" s="42"/>
      <c r="J767" s="22"/>
      <c r="K767" s="42"/>
    </row>
    <row r="768" ht="39.75" customHeight="1">
      <c r="A768" s="1">
        <v>767.0</v>
      </c>
      <c r="B768" s="2" t="s">
        <v>29</v>
      </c>
      <c r="C768" s="2" t="s">
        <v>27</v>
      </c>
      <c r="D768" s="13"/>
      <c r="E768" s="13"/>
      <c r="F768" s="44" t="s">
        <v>2550</v>
      </c>
      <c r="G768" s="43">
        <v>1.0</v>
      </c>
      <c r="H768" s="42"/>
      <c r="I768" s="42"/>
      <c r="J768" s="22"/>
      <c r="K768" s="42"/>
    </row>
    <row r="769" ht="39.75" customHeight="1">
      <c r="A769" s="1">
        <v>768.0</v>
      </c>
      <c r="B769" s="2" t="s">
        <v>30</v>
      </c>
      <c r="C769" s="2" t="s">
        <v>39</v>
      </c>
      <c r="D769" s="53">
        <v>0.3541666666666667</v>
      </c>
      <c r="E769" s="51">
        <v>0.7708333333333334</v>
      </c>
      <c r="F769" s="44" t="s">
        <v>2551</v>
      </c>
      <c r="G769" s="43">
        <v>2.0</v>
      </c>
      <c r="H769" s="43"/>
      <c r="I769" s="43">
        <v>2.0</v>
      </c>
      <c r="J769" s="22"/>
      <c r="K769" s="42"/>
    </row>
    <row r="770" ht="39.75" customHeight="1">
      <c r="A770" s="1">
        <v>769.0</v>
      </c>
      <c r="B770" s="2" t="s">
        <v>33</v>
      </c>
      <c r="C770" s="2" t="s">
        <v>272</v>
      </c>
      <c r="D770" s="13"/>
      <c r="E770" s="13"/>
      <c r="F770" s="44" t="s">
        <v>1186</v>
      </c>
      <c r="G770" s="43">
        <v>1.0</v>
      </c>
      <c r="H770" s="42"/>
      <c r="I770" s="43">
        <v>1.0</v>
      </c>
      <c r="J770" s="22"/>
      <c r="K770" s="42"/>
    </row>
    <row r="771" ht="39.75" hidden="1" customHeight="1">
      <c r="A771" s="1">
        <v>770.0</v>
      </c>
      <c r="B771" s="2" t="s">
        <v>32</v>
      </c>
      <c r="C771" s="2" t="s">
        <v>13</v>
      </c>
      <c r="D771" s="13"/>
      <c r="E771" s="13"/>
      <c r="F771" s="45"/>
      <c r="G771" s="42"/>
      <c r="H771" s="42"/>
      <c r="I771" s="42"/>
      <c r="J771" s="22"/>
      <c r="K771" s="42"/>
    </row>
    <row r="772" ht="39.75" hidden="1" customHeight="1">
      <c r="A772" s="1">
        <v>771.0</v>
      </c>
      <c r="B772" s="2" t="s">
        <v>67</v>
      </c>
      <c r="C772" s="2" t="s">
        <v>13</v>
      </c>
      <c r="D772" s="13"/>
      <c r="E772" s="13"/>
      <c r="F772" s="45"/>
      <c r="G772" s="42"/>
      <c r="H772" s="42"/>
      <c r="I772" s="42"/>
      <c r="J772" s="22"/>
      <c r="K772" s="42"/>
    </row>
    <row r="773" ht="39.75" hidden="1" customHeight="1">
      <c r="A773" s="1">
        <v>772.0</v>
      </c>
      <c r="B773" s="2" t="s">
        <v>34</v>
      </c>
      <c r="C773" s="2" t="s">
        <v>13</v>
      </c>
      <c r="D773" s="13"/>
      <c r="E773" s="13"/>
      <c r="F773" s="45"/>
      <c r="G773" s="42"/>
      <c r="H773" s="42"/>
      <c r="I773" s="42"/>
      <c r="J773" s="22"/>
      <c r="K773" s="42"/>
    </row>
    <row r="774" ht="39.75" hidden="1" customHeight="1">
      <c r="A774" s="1">
        <v>773.0</v>
      </c>
      <c r="B774" s="2" t="s">
        <v>35</v>
      </c>
      <c r="C774" s="2" t="s">
        <v>13</v>
      </c>
      <c r="D774" s="13"/>
      <c r="E774" s="13"/>
      <c r="F774" s="45"/>
      <c r="G774" s="42"/>
      <c r="H774" s="42"/>
      <c r="I774" s="42"/>
      <c r="J774" s="22"/>
      <c r="K774" s="42"/>
    </row>
    <row r="775" ht="39.75" hidden="1" customHeight="1">
      <c r="A775" s="1">
        <v>774.0</v>
      </c>
      <c r="B775" s="2" t="s">
        <v>36</v>
      </c>
      <c r="C775" s="2" t="s">
        <v>13</v>
      </c>
      <c r="D775" s="13"/>
      <c r="E775" s="13"/>
      <c r="F775" s="45"/>
      <c r="G775" s="42"/>
      <c r="H775" s="42"/>
      <c r="I775" s="42"/>
      <c r="J775" s="22"/>
      <c r="K775" s="42"/>
    </row>
    <row r="776" ht="39.75" hidden="1" customHeight="1">
      <c r="A776" s="1">
        <v>775.0</v>
      </c>
      <c r="B776" s="2" t="s">
        <v>38</v>
      </c>
      <c r="C776" s="2" t="s">
        <v>13</v>
      </c>
      <c r="D776" s="40"/>
      <c r="E776" s="13"/>
      <c r="F776" s="45"/>
      <c r="G776" s="42"/>
      <c r="H776" s="42"/>
      <c r="I776" s="42"/>
      <c r="J776" s="22"/>
      <c r="K776" s="42"/>
    </row>
    <row r="777" ht="39.75" hidden="1" customHeight="1">
      <c r="A777" s="1">
        <v>776.0</v>
      </c>
      <c r="B777" s="2" t="s">
        <v>41</v>
      </c>
      <c r="C777" s="2" t="s">
        <v>13</v>
      </c>
      <c r="D777" s="13"/>
      <c r="E777" s="13"/>
      <c r="F777" s="45"/>
      <c r="G777" s="42"/>
      <c r="H777" s="42"/>
      <c r="I777" s="42"/>
      <c r="J777" s="22"/>
      <c r="K777" s="42"/>
    </row>
    <row r="778" ht="39.75" hidden="1" customHeight="1">
      <c r="A778" s="1">
        <v>777.0</v>
      </c>
      <c r="B778" s="2" t="s">
        <v>42</v>
      </c>
      <c r="C778" s="2" t="s">
        <v>13</v>
      </c>
      <c r="D778" s="13"/>
      <c r="E778" s="13"/>
      <c r="F778" s="45"/>
      <c r="G778" s="42"/>
      <c r="H778" s="42"/>
      <c r="I778" s="42"/>
      <c r="J778" s="22"/>
      <c r="K778" s="42"/>
    </row>
    <row r="779" ht="39.75" hidden="1" customHeight="1">
      <c r="A779" s="1">
        <v>778.0</v>
      </c>
      <c r="B779" s="2" t="s">
        <v>43</v>
      </c>
      <c r="C779" s="2" t="s">
        <v>13</v>
      </c>
      <c r="D779" s="13"/>
      <c r="E779" s="13"/>
      <c r="F779" s="45"/>
      <c r="G779" s="42"/>
      <c r="H779" s="42"/>
      <c r="I779" s="42"/>
      <c r="J779" s="22"/>
      <c r="K779" s="42"/>
    </row>
    <row r="780" ht="39.75" hidden="1" customHeight="1">
      <c r="A780" s="1">
        <v>779.0</v>
      </c>
      <c r="B780" s="2" t="s">
        <v>45</v>
      </c>
      <c r="C780" s="2" t="s">
        <v>13</v>
      </c>
      <c r="D780" s="13"/>
      <c r="E780" s="13"/>
      <c r="F780" s="45"/>
      <c r="G780" s="42"/>
      <c r="H780" s="42"/>
      <c r="I780" s="42"/>
      <c r="J780" s="22"/>
      <c r="K780" s="42"/>
    </row>
    <row r="781" ht="39.75" customHeight="1">
      <c r="A781" s="1">
        <v>780.0</v>
      </c>
      <c r="B781" s="2" t="s">
        <v>46</v>
      </c>
      <c r="C781" s="2" t="s">
        <v>44</v>
      </c>
      <c r="D781" s="13"/>
      <c r="E781" s="13"/>
      <c r="F781" s="45"/>
      <c r="G781" s="42"/>
      <c r="H781" s="42"/>
      <c r="I781" s="42"/>
      <c r="J781" s="22"/>
      <c r="K781" s="42"/>
    </row>
    <row r="782" ht="39.75" hidden="1" customHeight="1">
      <c r="A782" s="1">
        <v>781.0</v>
      </c>
      <c r="B782" s="2" t="s">
        <v>47</v>
      </c>
      <c r="C782" s="2" t="s">
        <v>13</v>
      </c>
      <c r="D782" s="13"/>
      <c r="E782" s="13"/>
      <c r="F782" s="45"/>
      <c r="G782" s="42"/>
      <c r="H782" s="42"/>
      <c r="I782" s="42"/>
      <c r="J782" s="22"/>
      <c r="K782" s="42"/>
    </row>
    <row r="783" ht="39.75" customHeight="1">
      <c r="A783" s="1">
        <v>782.0</v>
      </c>
      <c r="B783" s="2" t="s">
        <v>48</v>
      </c>
      <c r="C783" s="2"/>
      <c r="D783" s="40">
        <v>0.375</v>
      </c>
      <c r="E783" s="13"/>
      <c r="F783" s="44" t="s">
        <v>2552</v>
      </c>
      <c r="G783" s="43">
        <v>1.0</v>
      </c>
      <c r="H783" s="42"/>
      <c r="I783" s="43">
        <v>1.0</v>
      </c>
      <c r="J783" s="22"/>
      <c r="K783" s="42"/>
    </row>
    <row r="784" ht="39.75" customHeight="1">
      <c r="A784" s="1">
        <v>783.0</v>
      </c>
      <c r="B784" s="21"/>
      <c r="C784" s="21"/>
      <c r="D784" s="21"/>
      <c r="E784" s="21"/>
      <c r="F784" s="46"/>
      <c r="G784" s="47"/>
      <c r="H784" s="47"/>
      <c r="I784" s="47"/>
      <c r="J784" s="48"/>
      <c r="K784" s="47"/>
      <c r="L784" s="49"/>
      <c r="M784" s="49"/>
      <c r="N784" s="49"/>
    </row>
    <row r="785" ht="39.75" customHeight="1">
      <c r="A785" s="1">
        <v>784.0</v>
      </c>
      <c r="B785" s="2" t="s">
        <v>12</v>
      </c>
      <c r="C785" s="2" t="s">
        <v>62</v>
      </c>
      <c r="D785" s="13"/>
      <c r="E785" s="13"/>
      <c r="F785" s="44" t="s">
        <v>2553</v>
      </c>
      <c r="G785" s="43">
        <v>1.0</v>
      </c>
      <c r="H785" s="42"/>
      <c r="I785" s="43">
        <v>1.0</v>
      </c>
      <c r="J785" s="27" t="s">
        <v>2231</v>
      </c>
      <c r="K785" s="42"/>
      <c r="L785" s="15" t="s">
        <v>467</v>
      </c>
    </row>
    <row r="786" ht="39.75" hidden="1" customHeight="1">
      <c r="A786" s="1">
        <v>785.0</v>
      </c>
      <c r="B786" s="2" t="s">
        <v>16</v>
      </c>
      <c r="C786" s="2" t="s">
        <v>58</v>
      </c>
      <c r="D786" s="13"/>
      <c r="E786" s="13"/>
      <c r="F786" s="45"/>
      <c r="G786" s="42"/>
      <c r="H786" s="42"/>
      <c r="I786" s="42"/>
      <c r="J786" s="27" t="s">
        <v>467</v>
      </c>
      <c r="K786" s="43"/>
    </row>
    <row r="787" ht="39.75" customHeight="1">
      <c r="A787" s="1">
        <v>786.0</v>
      </c>
      <c r="B787" s="2" t="s">
        <v>17</v>
      </c>
      <c r="C787" s="2" t="s">
        <v>69</v>
      </c>
      <c r="D787" s="13"/>
      <c r="E787" s="13"/>
      <c r="F787" s="45"/>
      <c r="G787" s="42"/>
      <c r="H787" s="42"/>
      <c r="I787" s="42"/>
      <c r="J787" s="27" t="s">
        <v>56</v>
      </c>
      <c r="K787" s="42"/>
    </row>
    <row r="788" ht="39.75" customHeight="1">
      <c r="A788" s="1">
        <v>787.0</v>
      </c>
      <c r="B788" s="2" t="s">
        <v>331</v>
      </c>
      <c r="C788" s="2" t="s">
        <v>542</v>
      </c>
      <c r="D788" s="13"/>
      <c r="E788" s="13"/>
      <c r="F788" s="44" t="s">
        <v>2554</v>
      </c>
      <c r="G788" s="43">
        <v>1.0</v>
      </c>
      <c r="H788" s="42"/>
      <c r="I788" s="43">
        <v>1.0</v>
      </c>
      <c r="J788" s="22"/>
      <c r="K788" s="42"/>
    </row>
    <row r="789" ht="39.75" customHeight="1">
      <c r="A789" s="1">
        <v>788.0</v>
      </c>
      <c r="B789" s="2" t="s">
        <v>21</v>
      </c>
      <c r="C789" s="2"/>
      <c r="D789" s="53">
        <v>0.2916666666666667</v>
      </c>
      <c r="E789" s="13"/>
      <c r="F789" s="44" t="s">
        <v>2555</v>
      </c>
      <c r="G789" s="43">
        <v>1.0</v>
      </c>
      <c r="H789" s="42"/>
      <c r="I789" s="43">
        <v>1.0</v>
      </c>
      <c r="J789" s="22"/>
      <c r="K789" s="42"/>
    </row>
    <row r="790" ht="39.75" customHeight="1">
      <c r="A790" s="1">
        <v>789.0</v>
      </c>
      <c r="B790" s="2" t="s">
        <v>22</v>
      </c>
      <c r="C790" s="2"/>
      <c r="D790" s="13"/>
      <c r="E790" s="13"/>
      <c r="F790" s="44" t="s">
        <v>2556</v>
      </c>
      <c r="G790" s="43">
        <v>1.0</v>
      </c>
      <c r="H790" s="42"/>
      <c r="I790" s="42"/>
      <c r="J790" s="22"/>
      <c r="K790" s="42"/>
    </row>
    <row r="791" ht="39.75" customHeight="1">
      <c r="A791" s="1">
        <v>790.0</v>
      </c>
      <c r="B791" s="2" t="s">
        <v>23</v>
      </c>
      <c r="C791" s="2"/>
      <c r="D791" s="13"/>
      <c r="E791" s="13"/>
      <c r="F791" s="44" t="s">
        <v>2557</v>
      </c>
      <c r="G791" s="43">
        <v>1.0</v>
      </c>
      <c r="H791" s="42"/>
      <c r="I791" s="42"/>
      <c r="J791" s="22"/>
      <c r="K791" s="42"/>
    </row>
    <row r="792" ht="39.75" customHeight="1">
      <c r="A792" s="1">
        <v>791.0</v>
      </c>
      <c r="B792" s="2" t="s">
        <v>24</v>
      </c>
      <c r="C792" s="2" t="s">
        <v>63</v>
      </c>
      <c r="D792" s="13"/>
      <c r="E792" s="13"/>
      <c r="F792" s="45"/>
      <c r="G792" s="42"/>
      <c r="H792" s="42"/>
      <c r="I792" s="42"/>
      <c r="J792" s="22"/>
      <c r="K792" s="42"/>
    </row>
    <row r="793" ht="39.75" customHeight="1">
      <c r="A793" s="1">
        <v>792.0</v>
      </c>
      <c r="B793" s="2" t="s">
        <v>25</v>
      </c>
      <c r="C793" s="2" t="s">
        <v>39</v>
      </c>
      <c r="D793" s="13"/>
      <c r="E793" s="13"/>
      <c r="F793" s="44" t="s">
        <v>2558</v>
      </c>
      <c r="G793" s="43">
        <v>2.0</v>
      </c>
      <c r="H793" s="42"/>
      <c r="I793" s="43">
        <v>2.0</v>
      </c>
      <c r="J793" s="22"/>
      <c r="K793" s="42"/>
    </row>
    <row r="794" ht="39.75" hidden="1" customHeight="1">
      <c r="A794" s="1">
        <v>793.0</v>
      </c>
      <c r="B794" s="2" t="s">
        <v>26</v>
      </c>
      <c r="C794" s="2" t="s">
        <v>66</v>
      </c>
      <c r="D794" s="13"/>
      <c r="E794" s="13"/>
      <c r="F794" s="45"/>
      <c r="G794" s="42"/>
      <c r="H794" s="42"/>
      <c r="I794" s="42"/>
      <c r="J794" s="22"/>
      <c r="K794" s="42"/>
    </row>
    <row r="795" ht="39.75" customHeight="1">
      <c r="A795" s="1">
        <v>794.0</v>
      </c>
      <c r="B795" s="2" t="s">
        <v>29</v>
      </c>
      <c r="C795" s="2" t="s">
        <v>44</v>
      </c>
      <c r="D795" s="13"/>
      <c r="E795" s="13"/>
      <c r="F795" s="45"/>
      <c r="G795" s="42"/>
      <c r="H795" s="42"/>
      <c r="I795" s="42"/>
      <c r="J795" s="22"/>
      <c r="K795" s="42"/>
    </row>
    <row r="796" ht="39.75" customHeight="1">
      <c r="A796" s="1">
        <v>795.0</v>
      </c>
      <c r="B796" s="2" t="s">
        <v>30</v>
      </c>
      <c r="C796" s="2" t="s">
        <v>64</v>
      </c>
      <c r="D796" s="13"/>
      <c r="E796" s="13"/>
      <c r="F796" s="80" t="s">
        <v>2559</v>
      </c>
      <c r="G796" s="43">
        <v>1.0</v>
      </c>
      <c r="H796" s="42"/>
      <c r="I796" s="43">
        <v>1.0</v>
      </c>
      <c r="J796" s="22"/>
      <c r="K796" s="42"/>
    </row>
    <row r="797" ht="39.75" customHeight="1">
      <c r="A797" s="1">
        <v>796.0</v>
      </c>
      <c r="B797" s="2" t="s">
        <v>31</v>
      </c>
      <c r="C797" s="2" t="s">
        <v>69</v>
      </c>
      <c r="D797" s="13"/>
      <c r="E797" s="13"/>
      <c r="F797" s="44" t="s">
        <v>2560</v>
      </c>
      <c r="G797" s="43">
        <v>1.0</v>
      </c>
      <c r="H797" s="42"/>
      <c r="I797" s="42"/>
      <c r="J797" s="22"/>
      <c r="K797" s="42"/>
    </row>
    <row r="798" ht="39.75" customHeight="1">
      <c r="A798" s="1">
        <v>797.0</v>
      </c>
      <c r="B798" s="2" t="s">
        <v>32</v>
      </c>
      <c r="C798" s="2" t="s">
        <v>69</v>
      </c>
      <c r="D798" s="13"/>
      <c r="E798" s="13"/>
      <c r="F798" s="44" t="s">
        <v>2561</v>
      </c>
      <c r="G798" s="43">
        <v>1.0</v>
      </c>
      <c r="H798" s="42"/>
      <c r="I798" s="42"/>
      <c r="J798" s="22"/>
      <c r="K798" s="42"/>
    </row>
    <row r="799" ht="39.75" customHeight="1">
      <c r="A799" s="1">
        <v>798.0</v>
      </c>
      <c r="B799" s="2" t="s">
        <v>67</v>
      </c>
      <c r="C799" s="2" t="s">
        <v>54</v>
      </c>
      <c r="D799" s="13"/>
      <c r="E799" s="13"/>
      <c r="F799" s="44" t="s">
        <v>2562</v>
      </c>
      <c r="G799" s="43">
        <v>2.0</v>
      </c>
      <c r="H799" s="42"/>
      <c r="I799" s="43">
        <v>2.0</v>
      </c>
      <c r="J799" s="22"/>
      <c r="K799" s="42"/>
    </row>
    <row r="800" ht="39.75" customHeight="1">
      <c r="A800" s="1">
        <v>799.0</v>
      </c>
      <c r="B800" s="2" t="s">
        <v>34</v>
      </c>
      <c r="C800" s="2"/>
      <c r="D800" s="53">
        <v>0.3541666666666667</v>
      </c>
      <c r="E800" s="13"/>
      <c r="F800" s="44" t="s">
        <v>2563</v>
      </c>
      <c r="G800" s="43">
        <v>1.0</v>
      </c>
      <c r="H800" s="42"/>
      <c r="I800" s="42"/>
      <c r="J800" s="22"/>
      <c r="K800" s="42"/>
    </row>
    <row r="801" ht="39.75" customHeight="1">
      <c r="A801" s="1">
        <v>800.0</v>
      </c>
      <c r="B801" s="2" t="s">
        <v>35</v>
      </c>
      <c r="C801" s="2" t="s">
        <v>39</v>
      </c>
      <c r="D801" s="13"/>
      <c r="E801" s="13"/>
      <c r="F801" s="44" t="s">
        <v>2564</v>
      </c>
      <c r="G801" s="43">
        <v>1.0</v>
      </c>
      <c r="H801" s="42"/>
      <c r="I801" s="42"/>
      <c r="J801" s="22"/>
      <c r="K801" s="42"/>
    </row>
    <row r="802" ht="39.75" customHeight="1">
      <c r="A802" s="1">
        <v>801.0</v>
      </c>
      <c r="B802" s="2" t="s">
        <v>36</v>
      </c>
      <c r="C802" s="13"/>
      <c r="D802" s="13"/>
      <c r="E802" s="13"/>
      <c r="F802" s="44" t="s">
        <v>2565</v>
      </c>
      <c r="G802" s="43">
        <v>1.0</v>
      </c>
      <c r="H802" s="42"/>
      <c r="I802" s="42"/>
      <c r="J802" s="22"/>
      <c r="K802" s="42"/>
    </row>
    <row r="803" ht="39.75" customHeight="1">
      <c r="A803" s="1">
        <v>802.0</v>
      </c>
      <c r="B803" s="2" t="s">
        <v>38</v>
      </c>
      <c r="C803" s="2" t="s">
        <v>54</v>
      </c>
      <c r="D803" s="13"/>
      <c r="E803" s="13"/>
      <c r="F803" s="44" t="s">
        <v>2566</v>
      </c>
      <c r="G803" s="43">
        <v>1.0</v>
      </c>
      <c r="H803" s="42"/>
      <c r="I803" s="43">
        <v>1.0</v>
      </c>
      <c r="J803" s="22"/>
      <c r="K803" s="42"/>
    </row>
    <row r="804" ht="39.75" hidden="1" customHeight="1">
      <c r="A804" s="1">
        <v>803.0</v>
      </c>
      <c r="B804" s="2" t="s">
        <v>41</v>
      </c>
      <c r="C804" s="2" t="s">
        <v>58</v>
      </c>
      <c r="D804" s="13"/>
      <c r="E804" s="13"/>
      <c r="F804" s="45"/>
      <c r="G804" s="42"/>
      <c r="H804" s="42"/>
      <c r="I804" s="42"/>
      <c r="J804" s="22"/>
      <c r="K804" s="42"/>
    </row>
    <row r="805" ht="39.75" hidden="1" customHeight="1">
      <c r="A805" s="1">
        <v>804.0</v>
      </c>
      <c r="B805" s="2" t="s">
        <v>42</v>
      </c>
      <c r="C805" s="2" t="s">
        <v>58</v>
      </c>
      <c r="D805" s="13"/>
      <c r="E805" s="13"/>
      <c r="F805" s="45"/>
      <c r="G805" s="42"/>
      <c r="H805" s="42"/>
      <c r="I805" s="42"/>
      <c r="J805" s="22"/>
      <c r="K805" s="42"/>
    </row>
    <row r="806" ht="39.75" hidden="1" customHeight="1">
      <c r="A806" s="1">
        <v>805.0</v>
      </c>
      <c r="B806" s="2" t="s">
        <v>43</v>
      </c>
      <c r="C806" s="2" t="s">
        <v>58</v>
      </c>
      <c r="D806" s="13"/>
      <c r="E806" s="13"/>
      <c r="F806" s="65" t="s">
        <v>2567</v>
      </c>
      <c r="G806" s="42"/>
      <c r="H806" s="42"/>
      <c r="I806" s="42"/>
      <c r="J806" s="22"/>
      <c r="K806" s="42"/>
    </row>
    <row r="807" ht="39.75" customHeight="1">
      <c r="A807" s="1">
        <v>806.0</v>
      </c>
      <c r="B807" s="2" t="s">
        <v>45</v>
      </c>
      <c r="C807" s="2" t="s">
        <v>27</v>
      </c>
      <c r="D807" s="13"/>
      <c r="E807" s="13"/>
      <c r="F807" s="44" t="s">
        <v>2568</v>
      </c>
      <c r="G807" s="43">
        <v>2.0</v>
      </c>
      <c r="H807" s="42"/>
      <c r="I807" s="43">
        <v>1.0</v>
      </c>
      <c r="J807" s="22"/>
      <c r="K807" s="42"/>
    </row>
    <row r="808" ht="39.75" hidden="1" customHeight="1">
      <c r="A808" s="1">
        <v>807.0</v>
      </c>
      <c r="B808" s="2" t="s">
        <v>46</v>
      </c>
      <c r="C808" s="2" t="s">
        <v>58</v>
      </c>
      <c r="D808" s="13"/>
      <c r="E808" s="13"/>
      <c r="F808" s="45"/>
      <c r="G808" s="42"/>
      <c r="H808" s="42"/>
      <c r="I808" s="42"/>
      <c r="J808" s="22"/>
      <c r="K808" s="42"/>
    </row>
    <row r="809" ht="39.75" customHeight="1">
      <c r="A809" s="1">
        <v>808.0</v>
      </c>
      <c r="B809" s="2" t="s">
        <v>47</v>
      </c>
      <c r="C809" s="2" t="s">
        <v>54</v>
      </c>
      <c r="D809" s="13"/>
      <c r="E809" s="13"/>
      <c r="F809" s="44" t="s">
        <v>2569</v>
      </c>
      <c r="G809" s="43">
        <v>1.0</v>
      </c>
      <c r="H809" s="42"/>
      <c r="I809" s="43">
        <v>1.0</v>
      </c>
      <c r="J809" s="22"/>
      <c r="K809" s="42"/>
    </row>
    <row r="810" ht="39.75" hidden="1" customHeight="1">
      <c r="A810" s="1">
        <v>809.0</v>
      </c>
      <c r="B810" s="2" t="s">
        <v>48</v>
      </c>
      <c r="C810" s="2" t="s">
        <v>58</v>
      </c>
      <c r="D810" s="13"/>
      <c r="E810" s="13"/>
      <c r="F810" s="45"/>
      <c r="G810" s="42"/>
      <c r="H810" s="42"/>
      <c r="I810" s="42"/>
      <c r="J810" s="22"/>
      <c r="K810" s="42"/>
    </row>
    <row r="811" ht="39.75" customHeight="1">
      <c r="A811" s="1">
        <v>810.0</v>
      </c>
      <c r="B811" s="21"/>
      <c r="C811" s="21"/>
      <c r="D811" s="21"/>
      <c r="E811" s="21"/>
      <c r="F811" s="46"/>
      <c r="G811" s="47"/>
      <c r="H811" s="47"/>
      <c r="I811" s="47"/>
      <c r="J811" s="48"/>
      <c r="K811" s="47"/>
      <c r="L811" s="49"/>
      <c r="M811" s="49"/>
      <c r="N811" s="49"/>
    </row>
    <row r="812" ht="39.75" customHeight="1">
      <c r="A812" s="1">
        <v>811.0</v>
      </c>
      <c r="B812" s="2"/>
      <c r="C812" s="2"/>
      <c r="D812" s="13"/>
      <c r="E812" s="13"/>
      <c r="F812" s="45"/>
      <c r="G812" s="42"/>
      <c r="H812" s="42"/>
      <c r="I812" s="42"/>
      <c r="J812" s="22"/>
      <c r="K812" s="42"/>
      <c r="L812" s="15"/>
    </row>
    <row r="813" ht="39.75" customHeight="1">
      <c r="A813" s="1">
        <v>812.0</v>
      </c>
      <c r="B813" s="2"/>
      <c r="C813" s="2"/>
      <c r="D813" s="13"/>
      <c r="E813" s="13"/>
      <c r="F813" s="45"/>
      <c r="G813" s="42"/>
      <c r="H813" s="42"/>
      <c r="I813" s="42"/>
      <c r="J813" s="27"/>
      <c r="K813" s="43"/>
    </row>
    <row r="814" ht="39.75" customHeight="1">
      <c r="A814" s="1">
        <v>813.0</v>
      </c>
      <c r="B814" s="2"/>
      <c r="C814" s="2"/>
      <c r="D814" s="13"/>
      <c r="E814" s="13"/>
      <c r="F814" s="45"/>
      <c r="G814" s="42"/>
      <c r="H814" s="42"/>
      <c r="I814" s="42"/>
      <c r="J814" s="22"/>
      <c r="K814" s="42"/>
    </row>
    <row r="815" ht="39.75" customHeight="1">
      <c r="A815" s="1">
        <v>814.0</v>
      </c>
      <c r="B815" s="2"/>
      <c r="C815" s="13"/>
      <c r="D815" s="13"/>
      <c r="E815" s="13"/>
      <c r="F815" s="44"/>
      <c r="G815" s="42"/>
      <c r="H815" s="42"/>
      <c r="I815" s="42"/>
      <c r="J815" s="22"/>
      <c r="K815" s="42"/>
    </row>
    <row r="816" ht="39.75" customHeight="1">
      <c r="A816" s="1">
        <v>815.0</v>
      </c>
      <c r="B816" s="2"/>
      <c r="C816" s="2"/>
      <c r="D816" s="13"/>
      <c r="E816" s="13"/>
      <c r="F816" s="45"/>
      <c r="G816" s="42"/>
      <c r="H816" s="42"/>
      <c r="I816" s="42"/>
      <c r="J816" s="22"/>
      <c r="K816" s="42"/>
    </row>
    <row r="817" ht="39.75" customHeight="1">
      <c r="A817" s="1">
        <v>816.0</v>
      </c>
      <c r="B817" s="2"/>
      <c r="C817" s="2"/>
      <c r="D817" s="13"/>
      <c r="E817" s="13"/>
      <c r="F817" s="45"/>
      <c r="G817" s="42"/>
      <c r="H817" s="42"/>
      <c r="I817" s="42"/>
      <c r="J817" s="22"/>
      <c r="K817" s="42"/>
    </row>
    <row r="818" ht="39.75" customHeight="1">
      <c r="A818" s="1">
        <v>817.0</v>
      </c>
      <c r="B818" s="2"/>
      <c r="C818" s="2"/>
      <c r="D818" s="13"/>
      <c r="E818" s="13"/>
      <c r="F818" s="45"/>
      <c r="G818" s="42"/>
      <c r="H818" s="42"/>
      <c r="I818" s="42"/>
      <c r="J818" s="22"/>
      <c r="K818" s="42"/>
    </row>
    <row r="819" ht="39.75" customHeight="1">
      <c r="A819" s="1">
        <v>818.0</v>
      </c>
      <c r="B819" s="2"/>
      <c r="C819" s="2"/>
      <c r="D819" s="13"/>
      <c r="E819" s="13"/>
      <c r="F819" s="45"/>
      <c r="G819" s="42"/>
      <c r="H819" s="42"/>
      <c r="I819" s="42"/>
      <c r="J819" s="22"/>
      <c r="K819" s="42"/>
    </row>
    <row r="820" ht="39.75" customHeight="1">
      <c r="A820" s="1">
        <v>819.0</v>
      </c>
      <c r="B820" s="2"/>
      <c r="C820" s="2"/>
      <c r="D820" s="13"/>
      <c r="E820" s="13"/>
      <c r="F820" s="45"/>
      <c r="G820" s="42"/>
      <c r="H820" s="42"/>
      <c r="I820" s="42"/>
      <c r="J820" s="22"/>
      <c r="K820" s="42"/>
    </row>
    <row r="821" ht="39.75" customHeight="1">
      <c r="A821" s="1">
        <v>820.0</v>
      </c>
      <c r="B821" s="2"/>
      <c r="C821" s="2"/>
      <c r="D821" s="13"/>
      <c r="E821" s="13"/>
      <c r="F821" s="45"/>
      <c r="G821" s="42"/>
      <c r="H821" s="42"/>
      <c r="I821" s="42"/>
      <c r="J821" s="22"/>
      <c r="K821" s="42"/>
    </row>
    <row r="822" ht="39.75" customHeight="1">
      <c r="A822" s="1">
        <v>821.0</v>
      </c>
      <c r="B822" s="2"/>
      <c r="C822" s="2"/>
      <c r="D822" s="13"/>
      <c r="E822" s="13"/>
      <c r="F822" s="45"/>
      <c r="G822" s="42"/>
      <c r="H822" s="42"/>
      <c r="I822" s="42"/>
      <c r="J822" s="22"/>
      <c r="K822" s="42"/>
    </row>
    <row r="823" ht="39.75" customHeight="1">
      <c r="A823" s="1">
        <v>822.0</v>
      </c>
      <c r="B823" s="2"/>
      <c r="C823" s="2"/>
      <c r="D823" s="13"/>
      <c r="E823" s="13"/>
      <c r="F823" s="45"/>
      <c r="G823" s="42"/>
      <c r="H823" s="42"/>
      <c r="I823" s="42"/>
      <c r="J823" s="22"/>
      <c r="K823" s="42"/>
    </row>
    <row r="824" ht="39.75" customHeight="1">
      <c r="A824" s="1">
        <v>823.0</v>
      </c>
      <c r="B824" s="2"/>
      <c r="C824" s="2"/>
      <c r="D824" s="13"/>
      <c r="E824" s="13"/>
      <c r="F824" s="45"/>
      <c r="G824" s="42"/>
      <c r="H824" s="42"/>
      <c r="I824" s="42"/>
      <c r="J824" s="22"/>
      <c r="K824" s="42"/>
    </row>
    <row r="825" ht="39.75" customHeight="1">
      <c r="A825" s="1">
        <v>824.0</v>
      </c>
      <c r="B825" s="2"/>
      <c r="C825" s="2"/>
      <c r="D825" s="13"/>
      <c r="E825" s="13"/>
      <c r="F825" s="45"/>
      <c r="G825" s="42"/>
      <c r="H825" s="42"/>
      <c r="I825" s="42"/>
      <c r="J825" s="22"/>
      <c r="K825" s="42"/>
    </row>
    <row r="826" ht="39.75" customHeight="1">
      <c r="A826" s="1">
        <v>825.0</v>
      </c>
      <c r="B826" s="2"/>
      <c r="C826" s="2"/>
      <c r="D826" s="13"/>
      <c r="E826" s="13"/>
      <c r="F826" s="45"/>
      <c r="G826" s="42"/>
      <c r="H826" s="42"/>
      <c r="I826" s="42"/>
      <c r="J826" s="22"/>
      <c r="K826" s="42"/>
    </row>
    <row r="827" ht="39.75" customHeight="1">
      <c r="A827" s="1">
        <v>826.0</v>
      </c>
      <c r="B827" s="2"/>
      <c r="C827" s="2"/>
      <c r="D827" s="13"/>
      <c r="E827" s="13"/>
      <c r="F827" s="45"/>
      <c r="G827" s="42"/>
      <c r="H827" s="42"/>
      <c r="I827" s="42"/>
      <c r="J827" s="22"/>
      <c r="K827" s="42"/>
    </row>
    <row r="828" ht="39.75" customHeight="1">
      <c r="A828" s="1">
        <v>827.0</v>
      </c>
      <c r="B828" s="2"/>
      <c r="C828" s="2"/>
      <c r="D828" s="13"/>
      <c r="E828" s="13"/>
      <c r="F828" s="45"/>
      <c r="G828" s="42"/>
      <c r="H828" s="42"/>
      <c r="I828" s="42"/>
      <c r="J828" s="22"/>
      <c r="K828" s="42"/>
    </row>
    <row r="829" ht="39.75" customHeight="1">
      <c r="A829" s="1">
        <v>828.0</v>
      </c>
      <c r="B829" s="2"/>
      <c r="C829" s="13"/>
      <c r="D829" s="13"/>
      <c r="E829" s="13"/>
      <c r="F829" s="45"/>
      <c r="G829" s="42"/>
      <c r="H829" s="42"/>
      <c r="I829" s="42"/>
      <c r="J829" s="22"/>
      <c r="K829" s="42"/>
    </row>
    <row r="830" ht="39.75" customHeight="1">
      <c r="A830" s="1">
        <v>829.0</v>
      </c>
      <c r="B830" s="2"/>
      <c r="C830" s="2"/>
      <c r="D830" s="13"/>
      <c r="E830" s="13"/>
      <c r="F830" s="45"/>
      <c r="G830" s="42"/>
      <c r="H830" s="42"/>
      <c r="I830" s="42"/>
      <c r="J830" s="22"/>
      <c r="K830" s="42"/>
    </row>
    <row r="831" ht="39.75" customHeight="1">
      <c r="A831" s="1">
        <v>830.0</v>
      </c>
      <c r="B831" s="2"/>
      <c r="C831" s="2"/>
      <c r="D831" s="13"/>
      <c r="E831" s="13"/>
      <c r="F831" s="45"/>
      <c r="G831" s="42"/>
      <c r="H831" s="42"/>
      <c r="I831" s="42"/>
      <c r="J831" s="22"/>
      <c r="K831" s="42"/>
    </row>
    <row r="832" ht="39.75" customHeight="1">
      <c r="A832" s="1">
        <v>831.0</v>
      </c>
      <c r="B832" s="2"/>
      <c r="C832" s="2"/>
      <c r="D832" s="13"/>
      <c r="E832" s="13"/>
      <c r="F832" s="45"/>
      <c r="G832" s="42"/>
      <c r="H832" s="42"/>
      <c r="I832" s="42"/>
      <c r="J832" s="22"/>
      <c r="K832" s="42"/>
    </row>
    <row r="833" ht="39.75" customHeight="1">
      <c r="A833" s="1">
        <v>832.0</v>
      </c>
      <c r="B833" s="2"/>
      <c r="C833" s="2"/>
      <c r="D833" s="13"/>
      <c r="E833" s="13"/>
      <c r="F833" s="45"/>
      <c r="G833" s="42"/>
      <c r="H833" s="42"/>
      <c r="I833" s="42"/>
      <c r="J833" s="22"/>
      <c r="K833" s="42"/>
    </row>
    <row r="834" ht="39.75" customHeight="1">
      <c r="A834" s="1">
        <v>833.0</v>
      </c>
      <c r="B834" s="2"/>
      <c r="C834" s="2"/>
      <c r="D834" s="13"/>
      <c r="E834" s="13"/>
      <c r="F834" s="45"/>
      <c r="G834" s="42"/>
      <c r="H834" s="42"/>
      <c r="I834" s="42"/>
      <c r="J834" s="22"/>
      <c r="K834" s="42"/>
    </row>
    <row r="835" ht="39.75" customHeight="1">
      <c r="A835" s="1">
        <v>834.0</v>
      </c>
      <c r="B835" s="2"/>
      <c r="C835" s="13"/>
      <c r="D835" s="13"/>
      <c r="E835" s="13"/>
      <c r="F835" s="45"/>
      <c r="G835" s="42"/>
      <c r="H835" s="42"/>
      <c r="I835" s="42"/>
      <c r="J835" s="22"/>
      <c r="K835" s="42"/>
    </row>
    <row r="836" ht="39.75" customHeight="1">
      <c r="A836" s="1">
        <v>835.0</v>
      </c>
      <c r="B836" s="2"/>
      <c r="C836" s="13"/>
      <c r="D836" s="13"/>
      <c r="E836" s="13"/>
      <c r="F836" s="45"/>
      <c r="G836" s="42"/>
      <c r="H836" s="42"/>
      <c r="I836" s="42"/>
      <c r="J836" s="22"/>
      <c r="K836" s="42"/>
    </row>
    <row r="837" ht="39.75" customHeight="1">
      <c r="A837" s="1">
        <v>836.0</v>
      </c>
      <c r="B837" s="2"/>
      <c r="C837" s="13"/>
      <c r="D837" s="13"/>
      <c r="E837" s="13"/>
      <c r="F837" s="45"/>
      <c r="G837" s="42"/>
      <c r="H837" s="42"/>
      <c r="I837" s="42"/>
      <c r="J837" s="22"/>
      <c r="K837" s="42"/>
    </row>
    <row r="838" ht="39.75" customHeight="1">
      <c r="A838" s="1">
        <v>837.0</v>
      </c>
      <c r="B838" s="21"/>
      <c r="C838" s="21"/>
      <c r="D838" s="21"/>
      <c r="E838" s="21"/>
      <c r="F838" s="46"/>
      <c r="G838" s="47"/>
      <c r="H838" s="47"/>
      <c r="I838" s="47"/>
      <c r="J838" s="48"/>
      <c r="K838" s="47"/>
      <c r="L838" s="49"/>
      <c r="M838" s="49"/>
      <c r="N838" s="49"/>
    </row>
    <row r="839" ht="39.75" hidden="1" customHeight="1">
      <c r="A839" s="1"/>
      <c r="B839" s="2" t="s">
        <v>12</v>
      </c>
      <c r="C839" s="21"/>
      <c r="D839" s="21"/>
      <c r="E839" s="21"/>
      <c r="F839" s="46"/>
      <c r="G839" s="62">
        <f>SUMIF(B3:B837,"*이동현*",G3:G837)</f>
        <v>14</v>
      </c>
      <c r="H839" s="47"/>
      <c r="I839" s="47"/>
      <c r="J839" s="48"/>
      <c r="K839" s="47"/>
      <c r="L839" s="49"/>
      <c r="M839" s="49"/>
      <c r="N839" s="49"/>
    </row>
    <row r="840" ht="39.75" hidden="1" customHeight="1">
      <c r="A840" s="1"/>
      <c r="B840" s="2" t="s">
        <v>16</v>
      </c>
      <c r="C840" s="21"/>
      <c r="D840" s="21"/>
      <c r="E840" s="21"/>
      <c r="F840" s="46"/>
      <c r="G840" s="62">
        <f>SUMIF(B4:B837,"*반일훈*",G4:G837)</f>
        <v>12</v>
      </c>
      <c r="H840" s="47"/>
      <c r="I840" s="47"/>
      <c r="J840" s="48"/>
      <c r="K840" s="47"/>
      <c r="L840" s="49"/>
      <c r="M840" s="49"/>
      <c r="N840" s="49"/>
    </row>
    <row r="841" ht="39.75" hidden="1" customHeight="1">
      <c r="A841" s="1"/>
      <c r="B841" s="2" t="s">
        <v>116</v>
      </c>
      <c r="C841" s="21"/>
      <c r="D841" s="21"/>
      <c r="E841" s="21"/>
      <c r="F841" s="46"/>
      <c r="G841" s="62">
        <f>SUMIF(B5:B837,"*김재식*",G5:G837)</f>
        <v>4</v>
      </c>
      <c r="H841" s="47"/>
      <c r="I841" s="47"/>
      <c r="J841" s="48"/>
      <c r="K841" s="47"/>
      <c r="L841" s="49"/>
      <c r="M841" s="49"/>
      <c r="N841" s="49"/>
    </row>
    <row r="842" ht="39.75" hidden="1" customHeight="1">
      <c r="A842" s="1"/>
      <c r="B842" s="2" t="s">
        <v>17</v>
      </c>
      <c r="C842" s="21"/>
      <c r="D842" s="21"/>
      <c r="E842" s="21"/>
      <c r="F842" s="46"/>
      <c r="G842" s="62">
        <f>SUMIF(B5:B837,"*신동환*",G5:G837)</f>
        <v>14</v>
      </c>
      <c r="H842" s="47"/>
      <c r="I842" s="47"/>
      <c r="J842" s="48"/>
      <c r="K842" s="47"/>
      <c r="L842" s="49"/>
      <c r="M842" s="49"/>
      <c r="N842" s="49"/>
    </row>
    <row r="843" ht="39.75" hidden="1" customHeight="1">
      <c r="A843" s="1"/>
      <c r="B843" s="2" t="s">
        <v>331</v>
      </c>
      <c r="C843" s="21"/>
      <c r="D843" s="21"/>
      <c r="E843" s="21"/>
      <c r="F843" s="46"/>
      <c r="G843" s="62">
        <f>SUMIF(B5:B837,"*장후원*",G5:G837)</f>
        <v>10</v>
      </c>
      <c r="H843" s="47"/>
      <c r="I843" s="47"/>
      <c r="J843" s="48"/>
      <c r="K843" s="47"/>
      <c r="L843" s="49"/>
      <c r="M843" s="49"/>
      <c r="N843" s="49"/>
    </row>
    <row r="844" ht="39.75" hidden="1" customHeight="1">
      <c r="A844" s="1"/>
      <c r="B844" s="2" t="s">
        <v>21</v>
      </c>
      <c r="C844" s="21"/>
      <c r="D844" s="21"/>
      <c r="E844" s="21"/>
      <c r="F844" s="46"/>
      <c r="G844" s="62">
        <f>SUMIF(B5:B837,"*구본준*",G5:G837)</f>
        <v>4</v>
      </c>
      <c r="H844" s="47"/>
      <c r="I844" s="47"/>
      <c r="J844" s="48"/>
      <c r="K844" s="47"/>
      <c r="L844" s="49"/>
      <c r="M844" s="49"/>
      <c r="N844" s="49"/>
    </row>
    <row r="845" ht="39.75" hidden="1" customHeight="1">
      <c r="A845" s="1"/>
      <c r="B845" s="2" t="s">
        <v>22</v>
      </c>
      <c r="C845" s="21"/>
      <c r="D845" s="21"/>
      <c r="E845" s="21"/>
      <c r="F845" s="46"/>
      <c r="G845" s="62">
        <f>SUMIF(B5:B837,"*이학진*",G5:G837)</f>
        <v>11</v>
      </c>
      <c r="H845" s="47"/>
      <c r="I845" s="47"/>
      <c r="J845" s="48"/>
      <c r="K845" s="47"/>
      <c r="L845" s="49"/>
      <c r="M845" s="49"/>
      <c r="N845" s="49"/>
    </row>
    <row r="846" ht="39.75" hidden="1" customHeight="1">
      <c r="A846" s="1"/>
      <c r="B846" s="2" t="s">
        <v>23</v>
      </c>
      <c r="C846" s="21"/>
      <c r="D846" s="21"/>
      <c r="E846" s="21"/>
      <c r="F846" s="46"/>
      <c r="G846" s="62">
        <f>SUMIF(B5:B837,"*황현우*",G5:G837)</f>
        <v>13</v>
      </c>
      <c r="H846" s="47"/>
      <c r="I846" s="47"/>
      <c r="J846" s="48"/>
      <c r="K846" s="47"/>
      <c r="L846" s="49"/>
      <c r="M846" s="49"/>
      <c r="N846" s="49"/>
    </row>
    <row r="847" ht="39.75" hidden="1" customHeight="1">
      <c r="A847" s="1"/>
      <c r="B847" s="2" t="s">
        <v>24</v>
      </c>
      <c r="C847" s="21"/>
      <c r="D847" s="21"/>
      <c r="E847" s="21"/>
      <c r="F847" s="46"/>
      <c r="G847" s="62">
        <f>SUMIF(B5:B837,"*김미란*",G5:G837)</f>
        <v>12</v>
      </c>
      <c r="H847" s="47"/>
      <c r="I847" s="47"/>
      <c r="J847" s="48"/>
      <c r="K847" s="47"/>
      <c r="L847" s="49"/>
      <c r="M847" s="49"/>
      <c r="N847" s="49"/>
    </row>
    <row r="848" ht="39.75" hidden="1" customHeight="1">
      <c r="A848" s="1"/>
      <c r="B848" s="2" t="s">
        <v>25</v>
      </c>
      <c r="C848" s="21"/>
      <c r="D848" s="21"/>
      <c r="E848" s="21"/>
      <c r="F848" s="46"/>
      <c r="G848" s="62">
        <f>SUMIF(B5:B837,"*유규열*",G5:G837)</f>
        <v>19</v>
      </c>
      <c r="H848" s="47"/>
      <c r="I848" s="47"/>
      <c r="J848" s="48"/>
      <c r="K848" s="47"/>
      <c r="L848" s="49"/>
      <c r="M848" s="49"/>
      <c r="N848" s="49"/>
    </row>
    <row r="849" ht="39.75" hidden="1" customHeight="1">
      <c r="A849" s="1"/>
      <c r="B849" s="2" t="s">
        <v>26</v>
      </c>
      <c r="C849" s="21"/>
      <c r="D849" s="21"/>
      <c r="E849" s="21"/>
      <c r="F849" s="46"/>
      <c r="G849" s="62">
        <f>SUMIF(B5:B837,"*김준택*",G5:G837)</f>
        <v>20</v>
      </c>
      <c r="H849" s="47"/>
      <c r="I849" s="47"/>
      <c r="J849" s="48"/>
      <c r="K849" s="47"/>
      <c r="L849" s="49"/>
      <c r="M849" s="49"/>
      <c r="N849" s="49"/>
    </row>
    <row r="850" ht="39.75" hidden="1" customHeight="1">
      <c r="A850" s="1"/>
      <c r="B850" s="2" t="s">
        <v>29</v>
      </c>
      <c r="C850" s="21"/>
      <c r="D850" s="21"/>
      <c r="E850" s="21"/>
      <c r="F850" s="46"/>
      <c r="G850" s="62">
        <f>SUMIF(B5:B837,"*방극철*",G5:G837)</f>
        <v>19</v>
      </c>
      <c r="H850" s="47"/>
      <c r="I850" s="47"/>
      <c r="J850" s="48"/>
      <c r="K850" s="47"/>
      <c r="L850" s="49"/>
      <c r="M850" s="49"/>
      <c r="N850" s="49"/>
    </row>
    <row r="851" ht="39.75" hidden="1" customHeight="1">
      <c r="A851" s="1"/>
      <c r="B851" s="2" t="s">
        <v>30</v>
      </c>
      <c r="C851" s="21"/>
      <c r="D851" s="21"/>
      <c r="E851" s="21"/>
      <c r="F851" s="46"/>
      <c r="G851" s="62">
        <f>SUMIF(B5:B837,"*홍승재*",G5:G837)</f>
        <v>21</v>
      </c>
      <c r="H851" s="47"/>
      <c r="I851" s="47"/>
      <c r="J851" s="48"/>
      <c r="K851" s="47"/>
      <c r="L851" s="49"/>
      <c r="M851" s="49"/>
      <c r="N851" s="49"/>
    </row>
    <row r="852" ht="39.75" hidden="1" customHeight="1">
      <c r="A852" s="1"/>
      <c r="B852" s="2" t="s">
        <v>31</v>
      </c>
      <c r="C852" s="21"/>
      <c r="D852" s="21"/>
      <c r="E852" s="21"/>
      <c r="F852" s="46"/>
      <c r="G852" s="62">
        <f>SUMIF(B5:B837,"*이   경*",G5:G837)</f>
        <v>24</v>
      </c>
      <c r="H852" s="47"/>
      <c r="I852" s="47"/>
      <c r="J852" s="48"/>
      <c r="K852" s="47"/>
      <c r="L852" s="49"/>
      <c r="M852" s="49"/>
      <c r="N852" s="49"/>
    </row>
    <row r="853" ht="39.75" hidden="1" customHeight="1">
      <c r="A853" s="1"/>
      <c r="B853" s="2" t="s">
        <v>32</v>
      </c>
      <c r="C853" s="21"/>
      <c r="D853" s="21"/>
      <c r="E853" s="21"/>
      <c r="F853" s="46"/>
      <c r="G853" s="62">
        <f>SUMIF(B5:B837,"*정상원*",G5:G837)</f>
        <v>16</v>
      </c>
      <c r="H853" s="47"/>
      <c r="I853" s="47"/>
      <c r="J853" s="48"/>
      <c r="K853" s="47"/>
      <c r="L853" s="49"/>
      <c r="M853" s="49"/>
      <c r="N853" s="49"/>
    </row>
    <row r="854" ht="39.75" hidden="1" customHeight="1">
      <c r="A854" s="1"/>
      <c r="B854" s="2" t="s">
        <v>67</v>
      </c>
      <c r="C854" s="21"/>
      <c r="D854" s="21"/>
      <c r="E854" s="21"/>
      <c r="F854" s="46"/>
      <c r="G854" s="62">
        <f>SUMIF(B5:B837,"*이주원*",G5:G837)</f>
        <v>18</v>
      </c>
      <c r="H854" s="47"/>
      <c r="I854" s="47"/>
      <c r="J854" s="48"/>
      <c r="K854" s="47"/>
      <c r="L854" s="49"/>
      <c r="M854" s="49"/>
      <c r="N854" s="49"/>
    </row>
    <row r="855" ht="39.75" hidden="1" customHeight="1">
      <c r="A855" s="1"/>
      <c r="B855" s="2" t="s">
        <v>35</v>
      </c>
      <c r="C855" s="21"/>
      <c r="D855" s="21"/>
      <c r="E855" s="21"/>
      <c r="F855" s="46"/>
      <c r="G855" s="62">
        <f>SUMIF(B5:B837,"*최무룡*",G5:G837)</f>
        <v>16</v>
      </c>
      <c r="H855" s="47"/>
      <c r="I855" s="47"/>
      <c r="J855" s="48"/>
      <c r="K855" s="47"/>
      <c r="L855" s="49"/>
      <c r="M855" s="49"/>
      <c r="N855" s="49"/>
    </row>
    <row r="856" ht="39.75" hidden="1" customHeight="1">
      <c r="A856" s="1"/>
      <c r="B856" s="2" t="s">
        <v>36</v>
      </c>
      <c r="C856" s="21"/>
      <c r="D856" s="21"/>
      <c r="E856" s="21"/>
      <c r="F856" s="46"/>
      <c r="G856" s="62">
        <f>SUMIF(B5:B837,"*정철원*",G5:G837)</f>
        <v>16</v>
      </c>
      <c r="H856" s="47"/>
      <c r="I856" s="47"/>
      <c r="J856" s="48"/>
      <c r="K856" s="47"/>
      <c r="L856" s="49"/>
      <c r="M856" s="49"/>
      <c r="N856" s="49"/>
    </row>
    <row r="857" ht="39.75" hidden="1" customHeight="1">
      <c r="A857" s="1"/>
      <c r="B857" s="2" t="s">
        <v>38</v>
      </c>
      <c r="C857" s="21"/>
      <c r="D857" s="21"/>
      <c r="E857" s="21"/>
      <c r="F857" s="46"/>
      <c r="G857" s="62">
        <f>SUMIF(B5:B837,"*김진광*",G5:G837)</f>
        <v>16</v>
      </c>
      <c r="H857" s="47"/>
      <c r="I857" s="47"/>
      <c r="J857" s="48"/>
      <c r="K857" s="47"/>
      <c r="L857" s="49"/>
      <c r="M857" s="49"/>
      <c r="N857" s="49"/>
    </row>
    <row r="858" ht="39.75" hidden="1" customHeight="1">
      <c r="A858" s="1"/>
      <c r="B858" s="2" t="s">
        <v>41</v>
      </c>
      <c r="C858" s="21"/>
      <c r="D858" s="21"/>
      <c r="E858" s="21"/>
      <c r="F858" s="46"/>
      <c r="G858" s="62">
        <f>SUMIF(B5:B837,"*조용희*",G5:G837)</f>
        <v>0</v>
      </c>
      <c r="H858" s="47"/>
      <c r="I858" s="47"/>
      <c r="J858" s="48"/>
      <c r="K858" s="47"/>
      <c r="L858" s="49"/>
      <c r="M858" s="49"/>
      <c r="N858" s="49"/>
    </row>
    <row r="859" ht="39.75" hidden="1" customHeight="1">
      <c r="A859" s="1"/>
      <c r="B859" s="2" t="s">
        <v>42</v>
      </c>
      <c r="C859" s="21"/>
      <c r="D859" s="21"/>
      <c r="E859" s="21"/>
      <c r="F859" s="46"/>
      <c r="G859" s="62">
        <f>SUMIF(B5:B837,"*이완근*",G5:G837)</f>
        <v>19</v>
      </c>
      <c r="H859" s="47"/>
      <c r="I859" s="47"/>
      <c r="J859" s="48"/>
      <c r="K859" s="47"/>
      <c r="L859" s="49"/>
      <c r="M859" s="49"/>
      <c r="N859" s="49"/>
    </row>
    <row r="860" ht="39.75" hidden="1" customHeight="1">
      <c r="A860" s="1"/>
      <c r="B860" s="2" t="s">
        <v>43</v>
      </c>
      <c r="C860" s="21"/>
      <c r="D860" s="21"/>
      <c r="E860" s="21"/>
      <c r="F860" s="46"/>
      <c r="G860" s="62">
        <f>SUMIF(B5:B837,"*박대권*",G5:G837)</f>
        <v>17</v>
      </c>
      <c r="H860" s="47"/>
      <c r="I860" s="47"/>
      <c r="J860" s="48"/>
      <c r="K860" s="47"/>
      <c r="L860" s="49"/>
      <c r="M860" s="49"/>
      <c r="N860" s="49"/>
    </row>
    <row r="861" ht="39.75" hidden="1" customHeight="1">
      <c r="A861" s="1"/>
      <c r="B861" s="2" t="s">
        <v>45</v>
      </c>
      <c r="C861" s="21"/>
      <c r="D861" s="21"/>
      <c r="E861" s="21"/>
      <c r="F861" s="46"/>
      <c r="G861" s="62">
        <f>SUMIF(B5:B837,"*김대호*",G5:G837)</f>
        <v>18</v>
      </c>
      <c r="H861" s="47"/>
      <c r="I861" s="47"/>
      <c r="J861" s="48"/>
      <c r="K861" s="47"/>
      <c r="L861" s="49"/>
      <c r="M861" s="49"/>
      <c r="N861" s="49"/>
    </row>
    <row r="862" ht="39.75" hidden="1" customHeight="1">
      <c r="A862" s="1"/>
      <c r="B862" s="2" t="s">
        <v>46</v>
      </c>
      <c r="C862" s="21"/>
      <c r="D862" s="21"/>
      <c r="E862" s="21"/>
      <c r="F862" s="46"/>
      <c r="G862" s="62">
        <f>SUMIF(B5:B837,"*이현일*",G5:G837)</f>
        <v>17</v>
      </c>
      <c r="H862" s="47"/>
      <c r="I862" s="47"/>
      <c r="J862" s="48"/>
      <c r="K862" s="47"/>
      <c r="L862" s="49"/>
      <c r="M862" s="49"/>
      <c r="N862" s="49"/>
    </row>
    <row r="863" ht="39.75" hidden="1" customHeight="1">
      <c r="A863" s="1"/>
      <c r="B863" s="2" t="s">
        <v>47</v>
      </c>
      <c r="C863" s="21"/>
      <c r="D863" s="21"/>
      <c r="E863" s="21"/>
      <c r="F863" s="46"/>
      <c r="G863" s="62">
        <f>SUMIF(B5:B837,"*유연경*",G5:G837)</f>
        <v>17</v>
      </c>
      <c r="H863" s="47"/>
      <c r="I863" s="47"/>
      <c r="J863" s="48"/>
      <c r="K863" s="47"/>
      <c r="L863" s="49"/>
      <c r="M863" s="49"/>
      <c r="N863" s="49"/>
    </row>
    <row r="864" ht="39.75" hidden="1" customHeight="1">
      <c r="A864" s="1"/>
      <c r="B864" s="2" t="s">
        <v>48</v>
      </c>
      <c r="C864" s="21"/>
      <c r="D864" s="21"/>
      <c r="E864" s="21"/>
      <c r="F864" s="46"/>
      <c r="G864" s="62">
        <f>SUMIF(B5:B837,"*정재우*",G5:G837)</f>
        <v>18</v>
      </c>
      <c r="H864" s="47"/>
      <c r="I864" s="47"/>
      <c r="J864" s="48"/>
      <c r="K864" s="47"/>
      <c r="L864" s="49"/>
      <c r="M864" s="49"/>
      <c r="N864" s="49"/>
    </row>
  </sheetData>
  <mergeCells count="31">
    <mergeCell ref="L2:N27"/>
    <mergeCell ref="L29:N54"/>
    <mergeCell ref="L56:N81"/>
    <mergeCell ref="L83:N108"/>
    <mergeCell ref="L110:N135"/>
    <mergeCell ref="L137:N162"/>
    <mergeCell ref="L164:N189"/>
    <mergeCell ref="L191:N216"/>
    <mergeCell ref="L218:N243"/>
    <mergeCell ref="L245:N270"/>
    <mergeCell ref="L272:N297"/>
    <mergeCell ref="L299:N324"/>
    <mergeCell ref="L326:N351"/>
    <mergeCell ref="L353:N378"/>
    <mergeCell ref="L380:N405"/>
    <mergeCell ref="L407:N432"/>
    <mergeCell ref="L434:N459"/>
    <mergeCell ref="L461:N486"/>
    <mergeCell ref="L488:N513"/>
    <mergeCell ref="L515:N540"/>
    <mergeCell ref="L542:N567"/>
    <mergeCell ref="L758:N783"/>
    <mergeCell ref="L785:N810"/>
    <mergeCell ref="L812:N837"/>
    <mergeCell ref="L569:N594"/>
    <mergeCell ref="L596:N621"/>
    <mergeCell ref="L623:N648"/>
    <mergeCell ref="L650:N675"/>
    <mergeCell ref="L677:N702"/>
    <mergeCell ref="L704:N729"/>
    <mergeCell ref="L731:N756"/>
  </mergeCells>
  <conditionalFormatting sqref="B2:I864">
    <cfRule type="expression" dxfId="6" priority="1">
      <formula>$C2="휴가"</formula>
    </cfRule>
  </conditionalFormatting>
  <conditionalFormatting sqref="B2:I864">
    <cfRule type="expression" dxfId="6" priority="2">
      <formula>$C2="휴무"</formula>
    </cfRule>
  </conditionalFormatting>
  <conditionalFormatting sqref="B2:I864">
    <cfRule type="expression" dxfId="6" priority="3">
      <formula>$C2="제크"</formula>
    </cfRule>
  </conditionalFormatting>
  <conditionalFormatting sqref="B2:I864">
    <cfRule type="expression" dxfId="7" priority="4">
      <formula>$C2="야퇴"</formula>
    </cfRule>
  </conditionalFormatting>
  <conditionalFormatting sqref="B2:I864">
    <cfRule type="expression" dxfId="8" priority="5">
      <formula>$C2="대통령실"</formula>
    </cfRule>
  </conditionalFormatting>
  <conditionalFormatting sqref="B2:I864">
    <cfRule type="expression" dxfId="8" priority="6">
      <formula>$C2="헌법재판소"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8.25"/>
    <col customWidth="1" min="3" max="3" width="10.75"/>
    <col customWidth="1" min="4" max="5" width="8.88"/>
    <col customWidth="1" min="6" max="6" width="50.13"/>
    <col customWidth="1" min="7" max="7" width="8.88"/>
    <col customWidth="1" min="8" max="8" width="10.63"/>
    <col customWidth="1" min="9" max="9" width="11.38"/>
    <col customWidth="1" min="10" max="10" width="8.5"/>
    <col customWidth="1" min="11" max="11" width="11.38"/>
    <col customWidth="1" min="12" max="14" width="12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36"/>
      <c r="K1" s="2" t="s">
        <v>1160</v>
      </c>
      <c r="L1" s="37" t="s">
        <v>490</v>
      </c>
      <c r="M1" s="38" t="s">
        <v>10</v>
      </c>
      <c r="N1" s="39" t="s">
        <v>11</v>
      </c>
    </row>
    <row r="2" ht="39.75" customHeight="1">
      <c r="A2" s="1">
        <v>1.0</v>
      </c>
      <c r="B2" s="2" t="s">
        <v>12</v>
      </c>
      <c r="C2" s="2" t="s">
        <v>62</v>
      </c>
      <c r="D2" s="40"/>
      <c r="E2" s="40"/>
      <c r="F2" s="44" t="s">
        <v>1543</v>
      </c>
      <c r="G2" s="43">
        <v>1.0</v>
      </c>
      <c r="H2" s="42"/>
      <c r="I2" s="43">
        <v>1.0</v>
      </c>
      <c r="J2" s="14" t="s">
        <v>2570</v>
      </c>
      <c r="K2" s="43"/>
      <c r="L2" s="15" t="s">
        <v>15</v>
      </c>
    </row>
    <row r="3" ht="39.75" customHeight="1">
      <c r="A3" s="1">
        <v>2.0</v>
      </c>
      <c r="B3" s="2" t="s">
        <v>16</v>
      </c>
      <c r="C3" s="2" t="s">
        <v>39</v>
      </c>
      <c r="D3" s="53">
        <v>0.2777777777777778</v>
      </c>
      <c r="E3" s="13"/>
      <c r="F3" s="44" t="s">
        <v>2571</v>
      </c>
      <c r="G3" s="43">
        <v>1.0</v>
      </c>
      <c r="H3" s="42"/>
      <c r="I3" s="43">
        <v>1.0</v>
      </c>
      <c r="J3" s="14" t="s">
        <v>15</v>
      </c>
      <c r="K3" s="43"/>
    </row>
    <row r="4" ht="39.75" customHeight="1">
      <c r="A4" s="1">
        <v>3.0</v>
      </c>
      <c r="B4" s="2" t="s">
        <v>17</v>
      </c>
      <c r="C4" s="2" t="s">
        <v>39</v>
      </c>
      <c r="D4" s="53">
        <v>0.2673611111111111</v>
      </c>
      <c r="E4" s="13"/>
      <c r="F4" s="44" t="s">
        <v>2572</v>
      </c>
      <c r="G4" s="43">
        <v>1.0</v>
      </c>
      <c r="H4" s="42"/>
      <c r="I4" s="43">
        <v>1.0</v>
      </c>
      <c r="J4" s="14" t="s">
        <v>77</v>
      </c>
      <c r="K4" s="43"/>
    </row>
    <row r="5" ht="39.75" customHeight="1">
      <c r="A5" s="1">
        <v>4.0</v>
      </c>
      <c r="B5" s="2" t="s">
        <v>331</v>
      </c>
      <c r="C5" s="2" t="s">
        <v>542</v>
      </c>
      <c r="D5" s="13"/>
      <c r="E5" s="13"/>
      <c r="F5" s="44" t="s">
        <v>2573</v>
      </c>
      <c r="G5" s="43">
        <v>1.0</v>
      </c>
      <c r="H5" s="42"/>
      <c r="I5" s="42"/>
      <c r="J5" s="14"/>
      <c r="K5" s="43"/>
    </row>
    <row r="6" ht="39.75" customHeight="1">
      <c r="A6" s="1">
        <v>5.0</v>
      </c>
      <c r="B6" s="2" t="s">
        <v>116</v>
      </c>
      <c r="C6" s="2" t="s">
        <v>1466</v>
      </c>
      <c r="D6" s="13"/>
      <c r="E6" s="13"/>
      <c r="F6" s="44" t="s">
        <v>2574</v>
      </c>
      <c r="G6" s="43">
        <v>1.0</v>
      </c>
      <c r="H6" s="42"/>
      <c r="I6" s="42"/>
      <c r="J6" s="14"/>
      <c r="K6" s="43"/>
    </row>
    <row r="7" ht="39.75" customHeight="1">
      <c r="A7" s="1">
        <v>6.0</v>
      </c>
      <c r="B7" s="2" t="s">
        <v>22</v>
      </c>
      <c r="C7" s="2" t="s">
        <v>69</v>
      </c>
      <c r="D7" s="13"/>
      <c r="E7" s="13"/>
      <c r="F7" s="44" t="s">
        <v>2575</v>
      </c>
      <c r="G7" s="43">
        <v>2.0</v>
      </c>
      <c r="H7" s="42"/>
      <c r="I7" s="42"/>
      <c r="J7" s="14"/>
      <c r="K7" s="43"/>
    </row>
    <row r="8" ht="39.75" customHeight="1">
      <c r="A8" s="1">
        <v>7.0</v>
      </c>
      <c r="B8" s="2" t="s">
        <v>23</v>
      </c>
      <c r="C8" s="2" t="s">
        <v>54</v>
      </c>
      <c r="D8" s="53">
        <v>0.2881944444444444</v>
      </c>
      <c r="E8" s="13"/>
      <c r="F8" s="44" t="s">
        <v>2576</v>
      </c>
      <c r="G8" s="43">
        <v>2.0</v>
      </c>
      <c r="H8" s="42"/>
      <c r="I8" s="43">
        <v>1.0</v>
      </c>
      <c r="J8" s="14"/>
      <c r="K8" s="43"/>
    </row>
    <row r="9" ht="39.75" customHeight="1">
      <c r="A9" s="1">
        <v>8.0</v>
      </c>
      <c r="B9" s="2" t="s">
        <v>24</v>
      </c>
      <c r="C9" s="2" t="s">
        <v>63</v>
      </c>
      <c r="D9" s="13"/>
      <c r="E9" s="13"/>
      <c r="F9" s="45"/>
      <c r="G9" s="42"/>
      <c r="H9" s="42"/>
      <c r="I9" s="42"/>
      <c r="J9" s="14"/>
      <c r="K9" s="43"/>
    </row>
    <row r="10" ht="39.75" customHeight="1">
      <c r="A10" s="1">
        <v>9.0</v>
      </c>
      <c r="B10" s="2" t="s">
        <v>25</v>
      </c>
      <c r="C10" s="2" t="s">
        <v>27</v>
      </c>
      <c r="D10" s="13"/>
      <c r="E10" s="13"/>
      <c r="F10" s="44" t="s">
        <v>2577</v>
      </c>
      <c r="G10" s="43">
        <v>1.0</v>
      </c>
      <c r="H10" s="43"/>
      <c r="I10" s="43"/>
      <c r="J10" s="14"/>
      <c r="K10" s="43"/>
    </row>
    <row r="11" ht="39.75" hidden="1" customHeight="1">
      <c r="A11" s="1">
        <v>10.0</v>
      </c>
      <c r="B11" s="2" t="s">
        <v>26</v>
      </c>
      <c r="C11" s="2" t="s">
        <v>58</v>
      </c>
      <c r="D11" s="13"/>
      <c r="E11" s="13"/>
      <c r="F11" s="45"/>
      <c r="G11" s="42"/>
      <c r="H11" s="42"/>
      <c r="I11" s="42"/>
      <c r="J11" s="14"/>
      <c r="K11" s="43"/>
    </row>
    <row r="12" ht="39.75" hidden="1" customHeight="1">
      <c r="A12" s="1">
        <v>11.0</v>
      </c>
      <c r="B12" s="2" t="s">
        <v>29</v>
      </c>
      <c r="C12" s="2" t="s">
        <v>58</v>
      </c>
      <c r="D12" s="13"/>
      <c r="E12" s="13"/>
      <c r="F12" s="44"/>
      <c r="G12" s="42"/>
      <c r="H12" s="42"/>
      <c r="I12" s="42"/>
      <c r="J12" s="14"/>
      <c r="K12" s="43"/>
    </row>
    <row r="13" ht="39.75" customHeight="1">
      <c r="A13" s="1">
        <v>12.0</v>
      </c>
      <c r="B13" s="2" t="s">
        <v>30</v>
      </c>
      <c r="C13" s="2" t="s">
        <v>64</v>
      </c>
      <c r="D13" s="13"/>
      <c r="E13" s="13"/>
      <c r="F13" s="44" t="s">
        <v>2578</v>
      </c>
      <c r="G13" s="43">
        <v>1.0</v>
      </c>
      <c r="H13" s="42"/>
      <c r="I13" s="43">
        <v>1.0</v>
      </c>
      <c r="J13" s="14"/>
      <c r="K13" s="43"/>
    </row>
    <row r="14" ht="39.75" customHeight="1">
      <c r="A14" s="1">
        <v>13.0</v>
      </c>
      <c r="B14" s="2" t="s">
        <v>31</v>
      </c>
      <c r="C14" s="13"/>
      <c r="D14" s="13"/>
      <c r="E14" s="13"/>
      <c r="F14" s="44" t="s">
        <v>2579</v>
      </c>
      <c r="G14" s="43">
        <v>2.0</v>
      </c>
      <c r="H14" s="42"/>
      <c r="I14" s="43">
        <v>2.0</v>
      </c>
      <c r="J14" s="14"/>
      <c r="K14" s="43"/>
    </row>
    <row r="15" ht="39.75" customHeight="1">
      <c r="A15" s="1">
        <v>14.0</v>
      </c>
      <c r="B15" s="2" t="s">
        <v>32</v>
      </c>
      <c r="C15" s="2"/>
      <c r="D15" s="53">
        <v>0.3333333333333333</v>
      </c>
      <c r="E15" s="13"/>
      <c r="F15" s="44" t="s">
        <v>2580</v>
      </c>
      <c r="G15" s="43">
        <v>1.0</v>
      </c>
      <c r="H15" s="42"/>
      <c r="I15" s="42"/>
      <c r="J15" s="14"/>
      <c r="K15" s="43"/>
    </row>
    <row r="16" ht="39.75" customHeight="1">
      <c r="A16" s="1">
        <v>15.0</v>
      </c>
      <c r="B16" s="2" t="s">
        <v>67</v>
      </c>
      <c r="C16" s="2" t="s">
        <v>69</v>
      </c>
      <c r="D16" s="13"/>
      <c r="E16" s="40">
        <v>0.8333333333333334</v>
      </c>
      <c r="F16" s="44" t="s">
        <v>2581</v>
      </c>
      <c r="G16" s="43">
        <v>1.0</v>
      </c>
      <c r="H16" s="42"/>
      <c r="I16" s="43">
        <v>1.0</v>
      </c>
      <c r="J16" s="14"/>
      <c r="K16" s="43"/>
    </row>
    <row r="17" ht="39.75" customHeight="1">
      <c r="A17" s="1">
        <v>16.0</v>
      </c>
      <c r="B17" s="2" t="s">
        <v>34</v>
      </c>
      <c r="C17" s="2"/>
      <c r="D17" s="13"/>
      <c r="E17" s="13"/>
      <c r="F17" s="44" t="s">
        <v>1389</v>
      </c>
      <c r="G17" s="43">
        <v>1.0</v>
      </c>
      <c r="H17" s="43"/>
      <c r="I17" s="43">
        <v>1.0</v>
      </c>
      <c r="J17" s="14"/>
      <c r="K17" s="43"/>
    </row>
    <row r="18" ht="39.75" customHeight="1">
      <c r="A18" s="1">
        <v>17.0</v>
      </c>
      <c r="B18" s="2" t="s">
        <v>35</v>
      </c>
      <c r="C18" s="2" t="s">
        <v>54</v>
      </c>
      <c r="D18" s="53">
        <v>0.2569444444444444</v>
      </c>
      <c r="E18" s="13"/>
      <c r="F18" s="44" t="s">
        <v>2582</v>
      </c>
      <c r="G18" s="43">
        <v>1.0</v>
      </c>
      <c r="H18" s="43">
        <v>1.0</v>
      </c>
      <c r="I18" s="43">
        <v>1.0</v>
      </c>
      <c r="J18" s="14"/>
      <c r="K18" s="43"/>
    </row>
    <row r="19" ht="39.75" customHeight="1">
      <c r="A19" s="1">
        <v>18.0</v>
      </c>
      <c r="B19" s="2" t="s">
        <v>36</v>
      </c>
      <c r="C19" s="2" t="s">
        <v>69</v>
      </c>
      <c r="D19" s="13"/>
      <c r="E19" s="13"/>
      <c r="F19" s="44" t="s">
        <v>2583</v>
      </c>
      <c r="G19" s="43">
        <v>1.0</v>
      </c>
      <c r="H19" s="42"/>
      <c r="I19" s="42"/>
      <c r="J19" s="14"/>
      <c r="K19" s="43"/>
    </row>
    <row r="20" ht="39.75" customHeight="1">
      <c r="A20" s="1">
        <v>19.0</v>
      </c>
      <c r="B20" s="2" t="s">
        <v>38</v>
      </c>
      <c r="C20" s="2"/>
      <c r="D20" s="13"/>
      <c r="E20" s="13"/>
      <c r="F20" s="44" t="s">
        <v>2584</v>
      </c>
      <c r="G20" s="43">
        <v>1.0</v>
      </c>
      <c r="H20" s="42"/>
      <c r="I20" s="42"/>
      <c r="J20" s="14"/>
      <c r="K20" s="43"/>
    </row>
    <row r="21" ht="39.75" hidden="1" customHeight="1">
      <c r="A21" s="1">
        <v>20.0</v>
      </c>
      <c r="B21" s="2" t="s">
        <v>41</v>
      </c>
      <c r="C21" s="2" t="s">
        <v>58</v>
      </c>
      <c r="D21" s="13"/>
      <c r="E21" s="13"/>
      <c r="F21" s="44"/>
      <c r="G21" s="42"/>
      <c r="H21" s="42"/>
      <c r="I21" s="42"/>
      <c r="J21" s="14"/>
      <c r="K21" s="43"/>
    </row>
    <row r="22" ht="39.75" hidden="1" customHeight="1">
      <c r="A22" s="1">
        <v>21.0</v>
      </c>
      <c r="B22" s="2" t="s">
        <v>42</v>
      </c>
      <c r="C22" s="2" t="s">
        <v>58</v>
      </c>
      <c r="D22" s="13"/>
      <c r="E22" s="13"/>
      <c r="F22" s="45"/>
      <c r="G22" s="42"/>
      <c r="H22" s="42"/>
      <c r="I22" s="42"/>
      <c r="J22" s="14"/>
      <c r="K22" s="43"/>
    </row>
    <row r="23" ht="39.75" hidden="1" customHeight="1">
      <c r="A23" s="1">
        <v>22.0</v>
      </c>
      <c r="B23" s="2" t="s">
        <v>43</v>
      </c>
      <c r="C23" s="2" t="s">
        <v>58</v>
      </c>
      <c r="D23" s="13"/>
      <c r="E23" s="13"/>
      <c r="F23" s="65" t="s">
        <v>2567</v>
      </c>
      <c r="G23" s="42"/>
      <c r="H23" s="42"/>
      <c r="I23" s="42"/>
      <c r="J23" s="14"/>
      <c r="K23" s="43"/>
    </row>
    <row r="24" ht="39.75" customHeight="1">
      <c r="A24" s="1">
        <v>23.0</v>
      </c>
      <c r="B24" s="2" t="s">
        <v>45</v>
      </c>
      <c r="C24" s="2" t="s">
        <v>44</v>
      </c>
      <c r="D24" s="13"/>
      <c r="E24" s="13"/>
      <c r="F24" s="45"/>
      <c r="G24" s="42"/>
      <c r="H24" s="42"/>
      <c r="I24" s="42"/>
      <c r="J24" s="14"/>
      <c r="K24" s="43"/>
    </row>
    <row r="25" ht="39.75" hidden="1" customHeight="1">
      <c r="A25" s="1">
        <v>24.0</v>
      </c>
      <c r="B25" s="2" t="s">
        <v>46</v>
      </c>
      <c r="C25" s="2" t="s">
        <v>58</v>
      </c>
      <c r="D25" s="40"/>
      <c r="E25" s="13"/>
      <c r="F25" s="44"/>
      <c r="G25" s="42"/>
      <c r="H25" s="42"/>
      <c r="I25" s="42"/>
      <c r="J25" s="14"/>
      <c r="K25" s="43"/>
    </row>
    <row r="26" ht="39.75" customHeight="1">
      <c r="A26" s="1">
        <v>25.0</v>
      </c>
      <c r="B26" s="2" t="s">
        <v>47</v>
      </c>
      <c r="C26" s="2" t="s">
        <v>54</v>
      </c>
      <c r="D26" s="53">
        <v>0.2916666666666667</v>
      </c>
      <c r="E26" s="13"/>
      <c r="F26" s="44" t="s">
        <v>2585</v>
      </c>
      <c r="G26" s="43">
        <v>2.0</v>
      </c>
      <c r="H26" s="42"/>
      <c r="I26" s="43">
        <v>1.0</v>
      </c>
      <c r="J26" s="14"/>
      <c r="K26" s="43"/>
    </row>
    <row r="27" ht="39.75" customHeight="1">
      <c r="A27" s="1">
        <v>26.0</v>
      </c>
      <c r="B27" s="2" t="s">
        <v>48</v>
      </c>
      <c r="C27" s="2"/>
      <c r="D27" s="13"/>
      <c r="E27" s="13"/>
      <c r="F27" s="44" t="s">
        <v>2586</v>
      </c>
      <c r="G27" s="43">
        <v>2.0</v>
      </c>
      <c r="H27" s="42"/>
      <c r="I27" s="43">
        <v>1.0</v>
      </c>
      <c r="J27" s="14"/>
      <c r="K27" s="43"/>
    </row>
    <row r="28" ht="39.75" customHeight="1">
      <c r="A28" s="1">
        <v>27.0</v>
      </c>
      <c r="B28" s="21"/>
      <c r="C28" s="21"/>
      <c r="D28" s="21"/>
      <c r="E28" s="21"/>
      <c r="F28" s="46"/>
      <c r="G28" s="47"/>
      <c r="H28" s="47"/>
      <c r="I28" s="47"/>
      <c r="J28" s="48"/>
      <c r="K28" s="47"/>
      <c r="L28" s="49"/>
      <c r="M28" s="49"/>
      <c r="N28" s="49"/>
    </row>
    <row r="29" ht="39.75" hidden="1" customHeight="1">
      <c r="A29" s="1">
        <v>28.0</v>
      </c>
      <c r="B29" s="2" t="s">
        <v>12</v>
      </c>
      <c r="C29" s="2" t="s">
        <v>66</v>
      </c>
      <c r="D29" s="13"/>
      <c r="E29" s="13"/>
      <c r="F29" s="45"/>
      <c r="G29" s="42"/>
      <c r="H29" s="42"/>
      <c r="I29" s="42"/>
      <c r="J29" s="14" t="s">
        <v>2570</v>
      </c>
      <c r="K29" s="43"/>
      <c r="L29" s="15" t="s">
        <v>52</v>
      </c>
    </row>
    <row r="30" ht="39.75" customHeight="1">
      <c r="A30" s="1">
        <v>29.0</v>
      </c>
      <c r="B30" s="2" t="s">
        <v>16</v>
      </c>
      <c r="C30" s="2"/>
      <c r="D30" s="13"/>
      <c r="E30" s="13"/>
      <c r="F30" s="44" t="s">
        <v>1389</v>
      </c>
      <c r="G30" s="43">
        <v>1.0</v>
      </c>
      <c r="H30" s="42"/>
      <c r="I30" s="43">
        <v>1.0</v>
      </c>
      <c r="J30" s="14" t="s">
        <v>52</v>
      </c>
      <c r="K30" s="43"/>
    </row>
    <row r="31" ht="39.75" customHeight="1">
      <c r="A31" s="1">
        <v>30.0</v>
      </c>
      <c r="B31" s="2" t="s">
        <v>17</v>
      </c>
      <c r="C31" s="2" t="s">
        <v>27</v>
      </c>
      <c r="D31" s="13"/>
      <c r="E31" s="13"/>
      <c r="F31" s="44" t="s">
        <v>2587</v>
      </c>
      <c r="G31" s="43">
        <v>1.0</v>
      </c>
      <c r="H31" s="42"/>
      <c r="I31" s="43">
        <v>1.0</v>
      </c>
      <c r="J31" s="14" t="s">
        <v>95</v>
      </c>
      <c r="K31" s="43"/>
    </row>
    <row r="32" ht="39.75" customHeight="1">
      <c r="A32" s="1">
        <v>31.0</v>
      </c>
      <c r="B32" s="2" t="s">
        <v>331</v>
      </c>
      <c r="C32" s="2" t="s">
        <v>542</v>
      </c>
      <c r="D32" s="13"/>
      <c r="E32" s="13"/>
      <c r="F32" s="44" t="s">
        <v>2588</v>
      </c>
      <c r="G32" s="43">
        <v>1.0</v>
      </c>
      <c r="H32" s="42"/>
      <c r="I32" s="43">
        <v>1.0</v>
      </c>
      <c r="J32" s="14"/>
      <c r="K32" s="43"/>
    </row>
    <row r="33" ht="39.75" customHeight="1">
      <c r="A33" s="1">
        <v>32.0</v>
      </c>
      <c r="B33" s="2" t="s">
        <v>21</v>
      </c>
      <c r="C33" s="2"/>
      <c r="D33" s="13"/>
      <c r="E33" s="13"/>
      <c r="F33" s="44" t="s">
        <v>2589</v>
      </c>
      <c r="G33" s="43">
        <v>1.0</v>
      </c>
      <c r="H33" s="42"/>
      <c r="I33" s="42"/>
      <c r="J33" s="14"/>
      <c r="K33" s="43"/>
    </row>
    <row r="34" ht="39.75" hidden="1" customHeight="1">
      <c r="A34" s="1">
        <v>33.0</v>
      </c>
      <c r="B34" s="2" t="s">
        <v>22</v>
      </c>
      <c r="C34" s="2" t="s">
        <v>58</v>
      </c>
      <c r="D34" s="13"/>
      <c r="E34" s="13"/>
      <c r="F34" s="45"/>
      <c r="G34" s="42"/>
      <c r="H34" s="42"/>
      <c r="I34" s="42"/>
      <c r="J34" s="14"/>
      <c r="K34" s="43"/>
    </row>
    <row r="35" ht="39.75" customHeight="1">
      <c r="A35" s="1">
        <v>34.0</v>
      </c>
      <c r="B35" s="2" t="s">
        <v>23</v>
      </c>
      <c r="C35" s="2" t="s">
        <v>54</v>
      </c>
      <c r="D35" s="13"/>
      <c r="E35" s="13"/>
      <c r="F35" s="44" t="s">
        <v>2590</v>
      </c>
      <c r="G35" s="43">
        <v>1.0</v>
      </c>
      <c r="H35" s="42"/>
      <c r="I35" s="42"/>
      <c r="J35" s="14"/>
      <c r="K35" s="43"/>
    </row>
    <row r="36" ht="39.75" customHeight="1">
      <c r="A36" s="1">
        <v>35.0</v>
      </c>
      <c r="B36" s="2" t="s">
        <v>24</v>
      </c>
      <c r="C36" s="2" t="s">
        <v>63</v>
      </c>
      <c r="D36" s="13"/>
      <c r="E36" s="13"/>
      <c r="F36" s="45"/>
      <c r="G36" s="42"/>
      <c r="H36" s="42"/>
      <c r="I36" s="42"/>
      <c r="J36" s="14"/>
      <c r="K36" s="43"/>
    </row>
    <row r="37" ht="39.75" customHeight="1">
      <c r="A37" s="1">
        <v>36.0</v>
      </c>
      <c r="B37" s="2" t="s">
        <v>25</v>
      </c>
      <c r="C37" s="2" t="s">
        <v>44</v>
      </c>
      <c r="D37" s="13"/>
      <c r="E37" s="13"/>
      <c r="F37" s="45"/>
      <c r="G37" s="42"/>
      <c r="H37" s="42"/>
      <c r="I37" s="42"/>
      <c r="J37" s="14"/>
      <c r="K37" s="43"/>
    </row>
    <row r="38" ht="75.0" customHeight="1">
      <c r="A38" s="1">
        <v>37.0</v>
      </c>
      <c r="B38" s="2" t="s">
        <v>26</v>
      </c>
      <c r="C38" s="2"/>
      <c r="D38" s="13"/>
      <c r="E38" s="13"/>
      <c r="F38" s="44" t="s">
        <v>2591</v>
      </c>
      <c r="G38" s="43">
        <v>2.0</v>
      </c>
      <c r="H38" s="42"/>
      <c r="I38" s="43">
        <v>1.0</v>
      </c>
      <c r="J38" s="14"/>
      <c r="K38" s="43"/>
    </row>
    <row r="39" ht="39.75" hidden="1" customHeight="1">
      <c r="A39" s="1">
        <v>38.0</v>
      </c>
      <c r="B39" s="2" t="s">
        <v>29</v>
      </c>
      <c r="C39" s="2" t="s">
        <v>58</v>
      </c>
      <c r="D39" s="13"/>
      <c r="E39" s="13"/>
      <c r="F39" s="45"/>
      <c r="G39" s="42"/>
      <c r="H39" s="42"/>
      <c r="I39" s="42"/>
      <c r="J39" s="14"/>
      <c r="K39" s="43"/>
    </row>
    <row r="40" ht="39.75" customHeight="1">
      <c r="A40" s="1">
        <v>39.0</v>
      </c>
      <c r="B40" s="2" t="s">
        <v>30</v>
      </c>
      <c r="C40" s="2" t="s">
        <v>64</v>
      </c>
      <c r="D40" s="13"/>
      <c r="E40" s="13"/>
      <c r="F40" s="44" t="s">
        <v>2592</v>
      </c>
      <c r="G40" s="43">
        <v>1.0</v>
      </c>
      <c r="H40" s="42"/>
      <c r="I40" s="43">
        <v>1.0</v>
      </c>
      <c r="J40" s="14"/>
      <c r="K40" s="43"/>
    </row>
    <row r="41" ht="39.75" customHeight="1">
      <c r="A41" s="1">
        <v>40.0</v>
      </c>
      <c r="B41" s="2" t="s">
        <v>31</v>
      </c>
      <c r="C41" s="2" t="s">
        <v>39</v>
      </c>
      <c r="D41" s="13"/>
      <c r="E41" s="13"/>
      <c r="F41" s="44" t="s">
        <v>2593</v>
      </c>
      <c r="G41" s="43">
        <v>1.0</v>
      </c>
      <c r="H41" s="42"/>
      <c r="I41" s="43">
        <v>1.0</v>
      </c>
      <c r="J41" s="14"/>
      <c r="K41" s="43"/>
    </row>
    <row r="42" ht="39.75" customHeight="1">
      <c r="A42" s="1">
        <v>41.0</v>
      </c>
      <c r="B42" s="2" t="s">
        <v>32</v>
      </c>
      <c r="C42" s="2" t="s">
        <v>54</v>
      </c>
      <c r="D42" s="13"/>
      <c r="E42" s="13"/>
      <c r="F42" s="44" t="s">
        <v>2594</v>
      </c>
      <c r="G42" s="43">
        <v>1.0</v>
      </c>
      <c r="H42" s="42"/>
      <c r="I42" s="42"/>
      <c r="J42" s="14"/>
      <c r="K42" s="43"/>
    </row>
    <row r="43" ht="39.75" hidden="1" customHeight="1">
      <c r="A43" s="1">
        <v>42.0</v>
      </c>
      <c r="B43" s="2" t="s">
        <v>67</v>
      </c>
      <c r="C43" s="2" t="s">
        <v>58</v>
      </c>
      <c r="D43" s="13"/>
      <c r="E43" s="13"/>
      <c r="F43" s="45"/>
      <c r="G43" s="42"/>
      <c r="H43" s="42"/>
      <c r="I43" s="42"/>
      <c r="J43" s="14"/>
      <c r="K43" s="43"/>
    </row>
    <row r="44" ht="39.75" customHeight="1">
      <c r="A44" s="1">
        <v>43.0</v>
      </c>
      <c r="B44" s="2" t="s">
        <v>34</v>
      </c>
      <c r="C44" s="2" t="s">
        <v>54</v>
      </c>
      <c r="D44" s="13"/>
      <c r="E44" s="13"/>
      <c r="F44" s="44" t="s">
        <v>2595</v>
      </c>
      <c r="G44" s="43">
        <v>1.0</v>
      </c>
      <c r="H44" s="42"/>
      <c r="I44" s="42"/>
      <c r="J44" s="14"/>
      <c r="K44" s="43"/>
    </row>
    <row r="45" ht="39.75" customHeight="1">
      <c r="A45" s="1">
        <v>44.0</v>
      </c>
      <c r="B45" s="2" t="s">
        <v>35</v>
      </c>
      <c r="C45" s="2" t="s">
        <v>54</v>
      </c>
      <c r="D45" s="13"/>
      <c r="E45" s="13"/>
      <c r="F45" s="44" t="s">
        <v>2596</v>
      </c>
      <c r="G45" s="43">
        <v>1.0</v>
      </c>
      <c r="H45" s="42"/>
      <c r="I45" s="43">
        <v>1.0</v>
      </c>
      <c r="J45" s="14"/>
      <c r="K45" s="43"/>
    </row>
    <row r="46" ht="39.75" customHeight="1">
      <c r="A46" s="1">
        <v>45.0</v>
      </c>
      <c r="B46" s="2" t="s">
        <v>36</v>
      </c>
      <c r="C46" s="2"/>
      <c r="D46" s="13"/>
      <c r="E46" s="13"/>
      <c r="F46" s="44" t="s">
        <v>2597</v>
      </c>
      <c r="G46" s="43">
        <v>1.0</v>
      </c>
      <c r="H46" s="42"/>
      <c r="I46" s="42"/>
      <c r="J46" s="14"/>
      <c r="K46" s="43"/>
    </row>
    <row r="47" ht="39.75" customHeight="1">
      <c r="A47" s="1">
        <v>46.0</v>
      </c>
      <c r="B47" s="2" t="s">
        <v>38</v>
      </c>
      <c r="C47" s="2" t="s">
        <v>39</v>
      </c>
      <c r="D47" s="13"/>
      <c r="E47" s="13"/>
      <c r="F47" s="44" t="s">
        <v>2598</v>
      </c>
      <c r="G47" s="43">
        <v>1.0</v>
      </c>
      <c r="H47" s="42"/>
      <c r="I47" s="43">
        <v>1.0</v>
      </c>
      <c r="J47" s="14"/>
      <c r="K47" s="43"/>
    </row>
    <row r="48" ht="39.75" hidden="1" customHeight="1">
      <c r="A48" s="1">
        <v>47.0</v>
      </c>
      <c r="B48" s="2" t="s">
        <v>41</v>
      </c>
      <c r="C48" s="2" t="s">
        <v>58</v>
      </c>
      <c r="D48" s="13"/>
      <c r="E48" s="13"/>
      <c r="F48" s="45"/>
      <c r="G48" s="42"/>
      <c r="H48" s="42"/>
      <c r="I48" s="42"/>
      <c r="J48" s="14"/>
      <c r="K48" s="43"/>
    </row>
    <row r="49" ht="39.75" customHeight="1">
      <c r="A49" s="1">
        <v>48.0</v>
      </c>
      <c r="B49" s="2" t="s">
        <v>42</v>
      </c>
      <c r="C49" s="2" t="s">
        <v>69</v>
      </c>
      <c r="D49" s="13"/>
      <c r="E49" s="13"/>
      <c r="F49" s="44" t="s">
        <v>2599</v>
      </c>
      <c r="G49" s="43">
        <v>1.0</v>
      </c>
      <c r="H49" s="42"/>
      <c r="I49" s="42"/>
      <c r="J49" s="14"/>
      <c r="K49" s="43"/>
    </row>
    <row r="50" ht="39.75" hidden="1" customHeight="1">
      <c r="A50" s="1">
        <v>49.0</v>
      </c>
      <c r="B50" s="2" t="s">
        <v>43</v>
      </c>
      <c r="C50" s="2" t="s">
        <v>58</v>
      </c>
      <c r="D50" s="13"/>
      <c r="E50" s="13"/>
      <c r="F50" s="65" t="s">
        <v>2567</v>
      </c>
      <c r="G50" s="42"/>
      <c r="H50" s="42"/>
      <c r="I50" s="42"/>
      <c r="J50" s="14"/>
      <c r="K50" s="43"/>
    </row>
    <row r="51" ht="39.75" customHeight="1">
      <c r="A51" s="1">
        <v>50.0</v>
      </c>
      <c r="B51" s="2" t="s">
        <v>45</v>
      </c>
      <c r="C51" s="2" t="s">
        <v>69</v>
      </c>
      <c r="D51" s="13"/>
      <c r="E51" s="13"/>
      <c r="F51" s="44" t="s">
        <v>2600</v>
      </c>
      <c r="G51" s="43">
        <v>3.0</v>
      </c>
      <c r="H51" s="42"/>
      <c r="I51" s="43">
        <v>2.0</v>
      </c>
      <c r="J51" s="14"/>
      <c r="K51" s="43"/>
    </row>
    <row r="52" ht="39.75" hidden="1" customHeight="1">
      <c r="A52" s="1">
        <v>51.0</v>
      </c>
      <c r="B52" s="2" t="s">
        <v>46</v>
      </c>
      <c r="C52" s="2" t="s">
        <v>58</v>
      </c>
      <c r="D52" s="13"/>
      <c r="E52" s="13"/>
      <c r="F52" s="45"/>
      <c r="G52" s="42"/>
      <c r="H52" s="42"/>
      <c r="I52" s="42"/>
      <c r="J52" s="14"/>
      <c r="K52" s="43"/>
    </row>
    <row r="53" ht="39.75" customHeight="1">
      <c r="A53" s="1">
        <v>52.0</v>
      </c>
      <c r="B53" s="2" t="s">
        <v>47</v>
      </c>
      <c r="C53" s="13"/>
      <c r="D53" s="13"/>
      <c r="E53" s="13"/>
      <c r="F53" s="44" t="s">
        <v>2601</v>
      </c>
      <c r="G53" s="42"/>
      <c r="H53" s="42"/>
      <c r="I53" s="42"/>
      <c r="J53" s="14"/>
      <c r="K53" s="43"/>
    </row>
    <row r="54" ht="39.75" customHeight="1">
      <c r="A54" s="1">
        <v>53.0</v>
      </c>
      <c r="B54" s="2" t="s">
        <v>48</v>
      </c>
      <c r="C54" s="2" t="s">
        <v>69</v>
      </c>
      <c r="D54" s="13"/>
      <c r="E54" s="13"/>
      <c r="F54" s="44" t="s">
        <v>2602</v>
      </c>
      <c r="G54" s="43">
        <v>2.0</v>
      </c>
      <c r="H54" s="42"/>
      <c r="I54" s="43">
        <v>2.0</v>
      </c>
      <c r="J54" s="14"/>
      <c r="K54" s="43"/>
    </row>
    <row r="55" ht="39.75" customHeight="1">
      <c r="A55" s="1">
        <v>54.0</v>
      </c>
      <c r="B55" s="21"/>
      <c r="C55" s="21"/>
      <c r="D55" s="21"/>
      <c r="E55" s="21"/>
      <c r="F55" s="46"/>
      <c r="G55" s="47"/>
      <c r="H55" s="47"/>
      <c r="I55" s="47"/>
      <c r="J55" s="48"/>
      <c r="K55" s="47"/>
      <c r="L55" s="49"/>
      <c r="M55" s="49"/>
      <c r="N55" s="49"/>
    </row>
    <row r="56" ht="39.75" hidden="1" customHeight="1">
      <c r="A56" s="1">
        <v>55.0</v>
      </c>
      <c r="B56" s="2" t="s">
        <v>12</v>
      </c>
      <c r="C56" s="2" t="s">
        <v>58</v>
      </c>
      <c r="D56" s="13"/>
      <c r="E56" s="13"/>
      <c r="F56" s="45"/>
      <c r="G56" s="42"/>
      <c r="H56" s="42"/>
      <c r="I56" s="42"/>
      <c r="J56" s="14" t="s">
        <v>2570</v>
      </c>
      <c r="K56" s="43"/>
      <c r="L56" s="15" t="s">
        <v>74</v>
      </c>
    </row>
    <row r="57" ht="39.75" customHeight="1">
      <c r="A57" s="1">
        <v>56.0</v>
      </c>
      <c r="B57" s="2" t="s">
        <v>16</v>
      </c>
      <c r="C57" s="2"/>
      <c r="D57" s="13"/>
      <c r="E57" s="13"/>
      <c r="F57" s="44" t="s">
        <v>2603</v>
      </c>
      <c r="G57" s="43">
        <v>1.0</v>
      </c>
      <c r="H57" s="42"/>
      <c r="I57" s="42"/>
      <c r="J57" s="14" t="s">
        <v>74</v>
      </c>
      <c r="K57" s="43"/>
    </row>
    <row r="58" ht="39.75" customHeight="1">
      <c r="A58" s="1">
        <v>57.0</v>
      </c>
      <c r="B58" s="2" t="s">
        <v>17</v>
      </c>
      <c r="C58" s="2" t="s">
        <v>44</v>
      </c>
      <c r="D58" s="13"/>
      <c r="E58" s="13"/>
      <c r="F58" s="52" t="s">
        <v>2604</v>
      </c>
      <c r="G58" s="56">
        <v>1.0</v>
      </c>
      <c r="H58" s="42"/>
      <c r="I58" s="42"/>
      <c r="J58" s="14" t="s">
        <v>111</v>
      </c>
      <c r="K58" s="43"/>
    </row>
    <row r="59" ht="39.75" customHeight="1">
      <c r="A59" s="1">
        <v>58.0</v>
      </c>
      <c r="B59" s="2" t="s">
        <v>331</v>
      </c>
      <c r="C59" s="2" t="s">
        <v>542</v>
      </c>
      <c r="D59" s="13"/>
      <c r="E59" s="13"/>
      <c r="F59" s="44" t="s">
        <v>2605</v>
      </c>
      <c r="G59" s="43">
        <v>1.0</v>
      </c>
      <c r="H59" s="42"/>
      <c r="I59" s="42"/>
      <c r="J59" s="14"/>
      <c r="K59" s="43"/>
    </row>
    <row r="60" ht="39.75" hidden="1" customHeight="1">
      <c r="A60" s="1">
        <v>59.0</v>
      </c>
      <c r="B60" s="2" t="s">
        <v>21</v>
      </c>
      <c r="C60" s="2" t="s">
        <v>58</v>
      </c>
      <c r="D60" s="13"/>
      <c r="E60" s="13"/>
      <c r="F60" s="45"/>
      <c r="G60" s="42"/>
      <c r="H60" s="42"/>
      <c r="I60" s="42"/>
      <c r="J60" s="14"/>
      <c r="K60" s="43"/>
    </row>
    <row r="61" ht="74.25" customHeight="1">
      <c r="A61" s="1">
        <v>60.0</v>
      </c>
      <c r="B61" s="2" t="s">
        <v>22</v>
      </c>
      <c r="C61" s="13"/>
      <c r="D61" s="13"/>
      <c r="E61" s="13"/>
      <c r="F61" s="44" t="s">
        <v>1389</v>
      </c>
      <c r="G61" s="43">
        <v>1.0</v>
      </c>
      <c r="H61" s="42"/>
      <c r="I61" s="43">
        <v>1.0</v>
      </c>
      <c r="J61" s="14"/>
      <c r="K61" s="43"/>
    </row>
    <row r="62" ht="39.75" customHeight="1">
      <c r="A62" s="1">
        <v>61.0</v>
      </c>
      <c r="B62" s="2" t="s">
        <v>23</v>
      </c>
      <c r="C62" s="2" t="s">
        <v>54</v>
      </c>
      <c r="D62" s="13"/>
      <c r="E62" s="13"/>
      <c r="F62" s="44" t="s">
        <v>2606</v>
      </c>
      <c r="G62" s="43">
        <v>1.0</v>
      </c>
      <c r="H62" s="42"/>
      <c r="I62" s="42"/>
      <c r="J62" s="14"/>
      <c r="K62" s="43"/>
    </row>
    <row r="63" ht="39.75" customHeight="1">
      <c r="A63" s="1">
        <v>62.0</v>
      </c>
      <c r="B63" s="2" t="s">
        <v>24</v>
      </c>
      <c r="C63" s="2" t="s">
        <v>63</v>
      </c>
      <c r="D63" s="13"/>
      <c r="E63" s="13"/>
      <c r="F63" s="45"/>
      <c r="G63" s="42"/>
      <c r="H63" s="42"/>
      <c r="I63" s="42"/>
      <c r="J63" s="14"/>
      <c r="K63" s="43"/>
    </row>
    <row r="64" ht="39.75" customHeight="1">
      <c r="A64" s="1">
        <v>63.0</v>
      </c>
      <c r="B64" s="2" t="s">
        <v>25</v>
      </c>
      <c r="C64" s="2"/>
      <c r="D64" s="13"/>
      <c r="E64" s="13"/>
      <c r="F64" s="44" t="s">
        <v>2607</v>
      </c>
      <c r="G64" s="43">
        <v>1.0</v>
      </c>
      <c r="H64" s="42"/>
      <c r="I64" s="43">
        <v>1.0</v>
      </c>
      <c r="J64" s="14"/>
      <c r="K64" s="43"/>
    </row>
    <row r="65" ht="39.75" hidden="1" customHeight="1">
      <c r="A65" s="1">
        <v>64.0</v>
      </c>
      <c r="B65" s="2" t="s">
        <v>26</v>
      </c>
      <c r="C65" s="2" t="s">
        <v>58</v>
      </c>
      <c r="D65" s="13"/>
      <c r="E65" s="13"/>
      <c r="F65" s="45"/>
      <c r="G65" s="42"/>
      <c r="H65" s="42"/>
      <c r="I65" s="42"/>
      <c r="J65" s="14"/>
      <c r="K65" s="43"/>
    </row>
    <row r="66" ht="39.75" hidden="1" customHeight="1">
      <c r="A66" s="1">
        <v>65.0</v>
      </c>
      <c r="B66" s="2" t="s">
        <v>29</v>
      </c>
      <c r="C66" s="2" t="s">
        <v>58</v>
      </c>
      <c r="D66" s="13"/>
      <c r="E66" s="13"/>
      <c r="F66" s="45"/>
      <c r="G66" s="42"/>
      <c r="H66" s="42"/>
      <c r="I66" s="42"/>
      <c r="J66" s="14"/>
      <c r="K66" s="43"/>
    </row>
    <row r="67" ht="39.75" customHeight="1">
      <c r="A67" s="1">
        <v>66.0</v>
      </c>
      <c r="B67" s="2" t="s">
        <v>30</v>
      </c>
      <c r="C67" s="2" t="s">
        <v>64</v>
      </c>
      <c r="D67" s="13"/>
      <c r="E67" s="13"/>
      <c r="F67" s="44" t="s">
        <v>2592</v>
      </c>
      <c r="G67" s="43">
        <v>1.0</v>
      </c>
      <c r="H67" s="42"/>
      <c r="I67" s="43">
        <v>1.0</v>
      </c>
      <c r="J67" s="14"/>
      <c r="K67" s="43"/>
    </row>
    <row r="68" ht="39.75" customHeight="1">
      <c r="A68" s="1">
        <v>67.0</v>
      </c>
      <c r="B68" s="2" t="s">
        <v>31</v>
      </c>
      <c r="C68" s="2"/>
      <c r="D68" s="13"/>
      <c r="E68" s="13"/>
      <c r="F68" s="44" t="s">
        <v>2608</v>
      </c>
      <c r="G68" s="43">
        <v>1.0</v>
      </c>
      <c r="H68" s="42"/>
      <c r="I68" s="42"/>
      <c r="J68" s="14"/>
      <c r="K68" s="43"/>
    </row>
    <row r="69" ht="39.75" customHeight="1">
      <c r="A69" s="1">
        <v>68.0</v>
      </c>
      <c r="B69" s="2" t="s">
        <v>32</v>
      </c>
      <c r="C69" s="2" t="s">
        <v>69</v>
      </c>
      <c r="D69" s="13"/>
      <c r="E69" s="58" t="s">
        <v>2609</v>
      </c>
      <c r="F69" s="44" t="s">
        <v>2610</v>
      </c>
      <c r="G69" s="43">
        <v>1.0</v>
      </c>
      <c r="H69" s="42"/>
      <c r="I69" s="42"/>
      <c r="J69" s="14"/>
      <c r="K69" s="43"/>
    </row>
    <row r="70" ht="39.75" customHeight="1">
      <c r="A70" s="1">
        <v>69.0</v>
      </c>
      <c r="B70" s="2" t="s">
        <v>67</v>
      </c>
      <c r="C70" s="2" t="s">
        <v>27</v>
      </c>
      <c r="D70" s="13"/>
      <c r="E70" s="13"/>
      <c r="F70" s="44" t="s">
        <v>2611</v>
      </c>
      <c r="G70" s="43">
        <v>2.0</v>
      </c>
      <c r="H70" s="42"/>
      <c r="I70" s="43">
        <v>2.0</v>
      </c>
      <c r="J70" s="14"/>
      <c r="K70" s="43"/>
    </row>
    <row r="71" ht="39.75" customHeight="1">
      <c r="A71" s="1">
        <v>70.0</v>
      </c>
      <c r="B71" s="2" t="s">
        <v>34</v>
      </c>
      <c r="C71" s="2" t="s">
        <v>54</v>
      </c>
      <c r="D71" s="13"/>
      <c r="E71" s="13"/>
      <c r="F71" s="44" t="s">
        <v>2612</v>
      </c>
      <c r="G71" s="43">
        <v>1.0</v>
      </c>
      <c r="H71" s="42"/>
      <c r="I71" s="42"/>
      <c r="J71" s="14"/>
      <c r="K71" s="43"/>
    </row>
    <row r="72" ht="39.75" customHeight="1">
      <c r="A72" s="1">
        <v>71.0</v>
      </c>
      <c r="B72" s="2" t="s">
        <v>35</v>
      </c>
      <c r="C72" s="2" t="s">
        <v>69</v>
      </c>
      <c r="D72" s="13"/>
      <c r="E72" s="40">
        <v>0.8472222222222222</v>
      </c>
      <c r="F72" s="44" t="s">
        <v>2613</v>
      </c>
      <c r="G72" s="43">
        <v>1.0</v>
      </c>
      <c r="H72" s="42"/>
      <c r="I72" s="42"/>
      <c r="J72" s="14"/>
      <c r="K72" s="43"/>
    </row>
    <row r="73" ht="39.75" customHeight="1">
      <c r="A73" s="1">
        <v>72.0</v>
      </c>
      <c r="B73" s="2" t="s">
        <v>36</v>
      </c>
      <c r="C73" s="2" t="s">
        <v>39</v>
      </c>
      <c r="D73" s="13"/>
      <c r="E73" s="13"/>
      <c r="F73" s="44" t="s">
        <v>2614</v>
      </c>
      <c r="G73" s="43">
        <v>1.0</v>
      </c>
      <c r="H73" s="42"/>
      <c r="I73" s="43">
        <v>1.0</v>
      </c>
      <c r="J73" s="14"/>
      <c r="K73" s="43"/>
    </row>
    <row r="74" ht="39.75" customHeight="1">
      <c r="A74" s="1">
        <v>73.0</v>
      </c>
      <c r="B74" s="2" t="s">
        <v>38</v>
      </c>
      <c r="C74" s="2" t="s">
        <v>54</v>
      </c>
      <c r="D74" s="13"/>
      <c r="E74" s="51">
        <v>0.8958333333333334</v>
      </c>
      <c r="F74" s="44" t="s">
        <v>2615</v>
      </c>
      <c r="G74" s="43">
        <v>3.0</v>
      </c>
      <c r="H74" s="42"/>
      <c r="I74" s="43">
        <v>1.0</v>
      </c>
      <c r="J74" s="14"/>
      <c r="K74" s="43"/>
    </row>
    <row r="75" ht="39.75" hidden="1" customHeight="1">
      <c r="A75" s="1">
        <v>74.0</v>
      </c>
      <c r="B75" s="2" t="s">
        <v>41</v>
      </c>
      <c r="C75" s="2" t="s">
        <v>58</v>
      </c>
      <c r="D75" s="13"/>
      <c r="E75" s="13"/>
      <c r="F75" s="45"/>
      <c r="G75" s="42"/>
      <c r="H75" s="42"/>
      <c r="I75" s="42"/>
      <c r="J75" s="14"/>
      <c r="K75" s="43"/>
    </row>
    <row r="76" ht="39.75" customHeight="1">
      <c r="A76" s="1">
        <v>75.0</v>
      </c>
      <c r="B76" s="2" t="s">
        <v>42</v>
      </c>
      <c r="C76" s="2" t="s">
        <v>39</v>
      </c>
      <c r="D76" s="13"/>
      <c r="E76" s="13"/>
      <c r="F76" s="44" t="s">
        <v>2616</v>
      </c>
      <c r="G76" s="43">
        <v>2.0</v>
      </c>
      <c r="H76" s="42"/>
      <c r="I76" s="43">
        <v>1.0</v>
      </c>
      <c r="J76" s="14"/>
      <c r="K76" s="43"/>
    </row>
    <row r="77" ht="39.75" hidden="1" customHeight="1">
      <c r="A77" s="1">
        <v>76.0</v>
      </c>
      <c r="B77" s="2" t="s">
        <v>43</v>
      </c>
      <c r="C77" s="2" t="s">
        <v>58</v>
      </c>
      <c r="D77" s="13"/>
      <c r="E77" s="13"/>
      <c r="F77" s="65" t="s">
        <v>2567</v>
      </c>
      <c r="G77" s="42"/>
      <c r="H77" s="42"/>
      <c r="I77" s="42"/>
      <c r="J77" s="14"/>
      <c r="K77" s="43"/>
    </row>
    <row r="78" ht="39.75" customHeight="1">
      <c r="A78" s="1">
        <v>77.0</v>
      </c>
      <c r="B78" s="2" t="s">
        <v>45</v>
      </c>
      <c r="C78" s="2" t="s">
        <v>69</v>
      </c>
      <c r="D78" s="13"/>
      <c r="E78" s="13"/>
      <c r="F78" s="44" t="s">
        <v>2617</v>
      </c>
      <c r="G78" s="43">
        <v>2.0</v>
      </c>
      <c r="H78" s="42"/>
      <c r="I78" s="43">
        <v>1.0</v>
      </c>
      <c r="J78" s="14"/>
      <c r="K78" s="43"/>
    </row>
    <row r="79" ht="39.75" hidden="1" customHeight="1">
      <c r="A79" s="1">
        <v>78.0</v>
      </c>
      <c r="B79" s="2" t="s">
        <v>46</v>
      </c>
      <c r="C79" s="2" t="s">
        <v>58</v>
      </c>
      <c r="D79" s="13"/>
      <c r="E79" s="13"/>
      <c r="F79" s="45"/>
      <c r="G79" s="42"/>
      <c r="H79" s="42"/>
      <c r="I79" s="42"/>
      <c r="J79" s="14"/>
      <c r="K79" s="43"/>
    </row>
    <row r="80" ht="39.75" customHeight="1">
      <c r="A80" s="1">
        <v>79.0</v>
      </c>
      <c r="B80" s="2" t="s">
        <v>47</v>
      </c>
      <c r="C80" s="13"/>
      <c r="D80" s="13"/>
      <c r="E80" s="13"/>
      <c r="F80" s="44" t="s">
        <v>2601</v>
      </c>
      <c r="G80" s="42"/>
      <c r="H80" s="42"/>
      <c r="I80" s="42"/>
      <c r="J80" s="14"/>
      <c r="K80" s="43"/>
    </row>
    <row r="81" ht="39.75" hidden="1" customHeight="1">
      <c r="A81" s="1">
        <v>80.0</v>
      </c>
      <c r="B81" s="2" t="s">
        <v>48</v>
      </c>
      <c r="C81" s="2" t="s">
        <v>58</v>
      </c>
      <c r="D81" s="13"/>
      <c r="E81" s="13"/>
      <c r="F81" s="45"/>
      <c r="G81" s="42"/>
      <c r="H81" s="42"/>
      <c r="I81" s="42"/>
      <c r="J81" s="14"/>
      <c r="K81" s="43"/>
    </row>
    <row r="82" ht="39.75" customHeight="1">
      <c r="A82" s="1">
        <v>81.0</v>
      </c>
      <c r="B82" s="21"/>
      <c r="C82" s="21"/>
      <c r="D82" s="21"/>
      <c r="E82" s="21"/>
      <c r="F82" s="46"/>
      <c r="G82" s="47"/>
      <c r="H82" s="47"/>
      <c r="I82" s="47"/>
      <c r="J82" s="48"/>
      <c r="K82" s="47"/>
      <c r="L82" s="49"/>
      <c r="M82" s="49"/>
      <c r="N82" s="49"/>
    </row>
    <row r="83" ht="39.75" hidden="1" customHeight="1">
      <c r="A83" s="1">
        <v>82.0</v>
      </c>
      <c r="B83" s="2" t="s">
        <v>12</v>
      </c>
      <c r="C83" s="2" t="s">
        <v>58</v>
      </c>
      <c r="D83" s="13"/>
      <c r="E83" s="13"/>
      <c r="F83" s="45"/>
      <c r="G83" s="42"/>
      <c r="H83" s="42"/>
      <c r="I83" s="42"/>
      <c r="J83" s="14" t="s">
        <v>2570</v>
      </c>
      <c r="K83" s="43"/>
      <c r="L83" s="15" t="s">
        <v>94</v>
      </c>
    </row>
    <row r="84" ht="39.75" customHeight="1">
      <c r="A84" s="1">
        <v>83.0</v>
      </c>
      <c r="B84" s="2" t="s">
        <v>16</v>
      </c>
      <c r="C84" s="2" t="s">
        <v>69</v>
      </c>
      <c r="D84" s="13"/>
      <c r="E84" s="13"/>
      <c r="F84" s="44" t="s">
        <v>2618</v>
      </c>
      <c r="G84" s="43">
        <v>1.0</v>
      </c>
      <c r="H84" s="42"/>
      <c r="I84" s="43">
        <v>1.0</v>
      </c>
      <c r="J84" s="14" t="s">
        <v>94</v>
      </c>
      <c r="K84" s="43"/>
    </row>
    <row r="85" ht="39.75" customHeight="1">
      <c r="A85" s="1">
        <v>84.0</v>
      </c>
      <c r="B85" s="2" t="s">
        <v>17</v>
      </c>
      <c r="C85" s="2" t="s">
        <v>27</v>
      </c>
      <c r="D85" s="13"/>
      <c r="E85" s="13"/>
      <c r="F85" s="44" t="s">
        <v>2619</v>
      </c>
      <c r="G85" s="43">
        <v>1.0</v>
      </c>
      <c r="H85" s="42"/>
      <c r="I85" s="43">
        <v>1.0</v>
      </c>
      <c r="J85" s="14" t="s">
        <v>131</v>
      </c>
      <c r="K85" s="43"/>
    </row>
    <row r="86" ht="39.75" customHeight="1">
      <c r="A86" s="1">
        <v>85.0</v>
      </c>
      <c r="B86" s="2" t="s">
        <v>331</v>
      </c>
      <c r="C86" s="2" t="s">
        <v>542</v>
      </c>
      <c r="D86" s="13"/>
      <c r="E86" s="13"/>
      <c r="F86" s="44" t="s">
        <v>2620</v>
      </c>
      <c r="G86" s="43">
        <v>1.0</v>
      </c>
      <c r="H86" s="42"/>
      <c r="I86" s="42"/>
      <c r="J86" s="14"/>
      <c r="K86" s="43"/>
    </row>
    <row r="87" ht="39.75" hidden="1" customHeight="1">
      <c r="A87" s="1">
        <v>86.0</v>
      </c>
      <c r="B87" s="2" t="s">
        <v>21</v>
      </c>
      <c r="C87" s="2" t="s">
        <v>58</v>
      </c>
      <c r="D87" s="13"/>
      <c r="E87" s="13"/>
      <c r="F87" s="45"/>
      <c r="G87" s="42"/>
      <c r="H87" s="42"/>
      <c r="I87" s="42"/>
      <c r="J87" s="14"/>
      <c r="K87" s="43"/>
    </row>
    <row r="88" ht="39.75" customHeight="1">
      <c r="A88" s="1">
        <v>87.0</v>
      </c>
      <c r="B88" s="2" t="s">
        <v>22</v>
      </c>
      <c r="C88" s="2" t="s">
        <v>39</v>
      </c>
      <c r="D88" s="13"/>
      <c r="E88" s="13"/>
      <c r="F88" s="44" t="s">
        <v>2621</v>
      </c>
      <c r="G88" s="42"/>
      <c r="H88" s="42"/>
      <c r="I88" s="42"/>
      <c r="J88" s="14"/>
      <c r="K88" s="43"/>
    </row>
    <row r="89" ht="39.75" customHeight="1">
      <c r="A89" s="1">
        <v>88.0</v>
      </c>
      <c r="B89" s="2" t="s">
        <v>23</v>
      </c>
      <c r="C89" s="2" t="s">
        <v>54</v>
      </c>
      <c r="D89" s="13"/>
      <c r="E89" s="13"/>
      <c r="F89" s="44" t="s">
        <v>2622</v>
      </c>
      <c r="G89" s="43">
        <v>2.0</v>
      </c>
      <c r="H89" s="42"/>
      <c r="I89" s="42"/>
      <c r="J89" s="14"/>
      <c r="K89" s="43"/>
    </row>
    <row r="90" ht="39.75" customHeight="1">
      <c r="A90" s="1">
        <v>89.0</v>
      </c>
      <c r="B90" s="2" t="s">
        <v>24</v>
      </c>
      <c r="C90" s="2" t="s">
        <v>63</v>
      </c>
      <c r="D90" s="13"/>
      <c r="E90" s="13"/>
      <c r="F90" s="45"/>
      <c r="G90" s="42"/>
      <c r="H90" s="42"/>
      <c r="I90" s="42"/>
      <c r="J90" s="14"/>
      <c r="K90" s="43"/>
    </row>
    <row r="91" ht="39.75" hidden="1" customHeight="1">
      <c r="A91" s="1">
        <v>90.0</v>
      </c>
      <c r="B91" s="2" t="s">
        <v>25</v>
      </c>
      <c r="C91" s="2" t="s">
        <v>58</v>
      </c>
      <c r="D91" s="13"/>
      <c r="E91" s="13"/>
      <c r="F91" s="45"/>
      <c r="G91" s="42"/>
      <c r="H91" s="42"/>
      <c r="I91" s="42"/>
      <c r="J91" s="14"/>
      <c r="K91" s="43"/>
    </row>
    <row r="92" ht="39.75" customHeight="1">
      <c r="A92" s="1">
        <v>91.0</v>
      </c>
      <c r="B92" s="2" t="s">
        <v>26</v>
      </c>
      <c r="C92" s="2" t="s">
        <v>69</v>
      </c>
      <c r="D92" s="13"/>
      <c r="E92" s="13"/>
      <c r="F92" s="44" t="s">
        <v>2623</v>
      </c>
      <c r="G92" s="43">
        <v>1.0</v>
      </c>
      <c r="H92" s="42"/>
      <c r="I92" s="42"/>
      <c r="J92" s="14"/>
      <c r="K92" s="43"/>
    </row>
    <row r="93" ht="39.75" customHeight="1">
      <c r="A93" s="1">
        <v>92.0</v>
      </c>
      <c r="B93" s="2" t="s">
        <v>29</v>
      </c>
      <c r="C93" s="2"/>
      <c r="D93" s="13"/>
      <c r="E93" s="13"/>
      <c r="F93" s="44" t="s">
        <v>2624</v>
      </c>
      <c r="G93" s="43">
        <v>1.0</v>
      </c>
      <c r="H93" s="42"/>
      <c r="I93" s="42"/>
      <c r="J93" s="14"/>
      <c r="K93" s="43"/>
    </row>
    <row r="94" ht="39.75" customHeight="1">
      <c r="A94" s="1">
        <v>93.0</v>
      </c>
      <c r="B94" s="2" t="s">
        <v>30</v>
      </c>
      <c r="C94" s="2" t="s">
        <v>64</v>
      </c>
      <c r="D94" s="13"/>
      <c r="E94" s="13"/>
      <c r="F94" s="44" t="s">
        <v>2592</v>
      </c>
      <c r="G94" s="43">
        <v>1.0</v>
      </c>
      <c r="H94" s="42"/>
      <c r="I94" s="43">
        <v>1.0</v>
      </c>
      <c r="J94" s="14"/>
      <c r="K94" s="43"/>
    </row>
    <row r="95" ht="39.75" hidden="1" customHeight="1">
      <c r="A95" s="1">
        <v>94.0</v>
      </c>
      <c r="B95" s="2" t="s">
        <v>31</v>
      </c>
      <c r="C95" s="2" t="s">
        <v>66</v>
      </c>
      <c r="D95" s="13"/>
      <c r="E95" s="13"/>
      <c r="F95" s="45"/>
      <c r="G95" s="42"/>
      <c r="H95" s="42"/>
      <c r="I95" s="42"/>
      <c r="J95" s="14"/>
      <c r="K95" s="43"/>
    </row>
    <row r="96" ht="39.75" customHeight="1">
      <c r="A96" s="1">
        <v>95.0</v>
      </c>
      <c r="B96" s="2" t="s">
        <v>32</v>
      </c>
      <c r="C96" s="13"/>
      <c r="D96" s="13"/>
      <c r="E96" s="13"/>
      <c r="F96" s="44" t="s">
        <v>2625</v>
      </c>
      <c r="G96" s="43">
        <v>1.0</v>
      </c>
      <c r="H96" s="42"/>
      <c r="I96" s="42"/>
      <c r="J96" s="14"/>
      <c r="K96" s="43"/>
    </row>
    <row r="97" ht="39.75" customHeight="1">
      <c r="A97" s="1">
        <v>96.0</v>
      </c>
      <c r="B97" s="2" t="s">
        <v>67</v>
      </c>
      <c r="C97" s="2" t="s">
        <v>44</v>
      </c>
      <c r="D97" s="13"/>
      <c r="E97" s="13"/>
      <c r="F97" s="52" t="s">
        <v>2626</v>
      </c>
      <c r="G97" s="42"/>
      <c r="H97" s="42"/>
      <c r="I97" s="42"/>
      <c r="J97" s="14"/>
      <c r="K97" s="43"/>
    </row>
    <row r="98" ht="39.75" customHeight="1">
      <c r="A98" s="1">
        <v>97.0</v>
      </c>
      <c r="B98" s="2" t="s">
        <v>34</v>
      </c>
      <c r="C98" s="2" t="s">
        <v>54</v>
      </c>
      <c r="D98" s="13"/>
      <c r="E98" s="13"/>
      <c r="F98" s="44" t="s">
        <v>2627</v>
      </c>
      <c r="G98" s="43">
        <v>1.0</v>
      </c>
      <c r="H98" s="42"/>
      <c r="I98" s="42"/>
      <c r="J98" s="14"/>
      <c r="K98" s="43"/>
    </row>
    <row r="99" ht="39.75" customHeight="1">
      <c r="A99" s="1">
        <v>98.0</v>
      </c>
      <c r="B99" s="2" t="s">
        <v>35</v>
      </c>
      <c r="C99" s="2"/>
      <c r="D99" s="13"/>
      <c r="E99" s="13"/>
      <c r="F99" s="44" t="s">
        <v>1389</v>
      </c>
      <c r="G99" s="43">
        <v>1.0</v>
      </c>
      <c r="H99" s="42"/>
      <c r="I99" s="43">
        <v>1.0</v>
      </c>
      <c r="J99" s="14"/>
      <c r="K99" s="43"/>
    </row>
    <row r="100" ht="39.75" customHeight="1">
      <c r="A100" s="1">
        <v>99.0</v>
      </c>
      <c r="B100" s="2" t="s">
        <v>36</v>
      </c>
      <c r="C100" s="2"/>
      <c r="D100" s="13"/>
      <c r="E100" s="13"/>
      <c r="F100" s="44" t="s">
        <v>2628</v>
      </c>
      <c r="G100" s="43">
        <v>1.0</v>
      </c>
      <c r="H100" s="42"/>
      <c r="I100" s="43">
        <v>1.0</v>
      </c>
      <c r="J100" s="14"/>
      <c r="K100" s="43"/>
    </row>
    <row r="101" ht="39.75" customHeight="1">
      <c r="A101" s="1">
        <v>100.0</v>
      </c>
      <c r="B101" s="2" t="s">
        <v>38</v>
      </c>
      <c r="C101" s="2" t="s">
        <v>54</v>
      </c>
      <c r="D101" s="13"/>
      <c r="E101" s="13"/>
      <c r="F101" s="44" t="s">
        <v>2629</v>
      </c>
      <c r="G101" s="43">
        <v>1.0</v>
      </c>
      <c r="H101" s="42"/>
      <c r="I101" s="42"/>
      <c r="J101" s="14"/>
      <c r="K101" s="43"/>
    </row>
    <row r="102" ht="39.75" hidden="1" customHeight="1">
      <c r="A102" s="1">
        <v>101.0</v>
      </c>
      <c r="B102" s="2" t="s">
        <v>41</v>
      </c>
      <c r="C102" s="2" t="s">
        <v>58</v>
      </c>
      <c r="D102" s="13"/>
      <c r="E102" s="13"/>
      <c r="F102" s="45"/>
      <c r="G102" s="42"/>
      <c r="H102" s="42"/>
      <c r="I102" s="42"/>
      <c r="J102" s="14"/>
      <c r="K102" s="43"/>
    </row>
    <row r="103" ht="39.75" customHeight="1">
      <c r="A103" s="1">
        <v>102.0</v>
      </c>
      <c r="B103" s="2" t="s">
        <v>42</v>
      </c>
      <c r="C103" s="2" t="s">
        <v>39</v>
      </c>
      <c r="D103" s="13"/>
      <c r="E103" s="13"/>
      <c r="F103" s="44" t="s">
        <v>2630</v>
      </c>
      <c r="G103" s="43">
        <v>1.0</v>
      </c>
      <c r="H103" s="42"/>
      <c r="I103" s="43">
        <v>1.0</v>
      </c>
      <c r="J103" s="14"/>
      <c r="K103" s="43"/>
    </row>
    <row r="104" ht="39.75" hidden="1" customHeight="1">
      <c r="A104" s="1">
        <v>103.0</v>
      </c>
      <c r="B104" s="2" t="s">
        <v>43</v>
      </c>
      <c r="C104" s="2" t="s">
        <v>58</v>
      </c>
      <c r="D104" s="13"/>
      <c r="E104" s="13"/>
      <c r="F104" s="45"/>
      <c r="G104" s="42"/>
      <c r="H104" s="42"/>
      <c r="I104" s="42"/>
      <c r="J104" s="14"/>
      <c r="K104" s="43"/>
    </row>
    <row r="105" ht="39.75" hidden="1" customHeight="1">
      <c r="A105" s="1">
        <v>104.0</v>
      </c>
      <c r="B105" s="2" t="s">
        <v>45</v>
      </c>
      <c r="C105" s="2" t="s">
        <v>58</v>
      </c>
      <c r="D105" s="13"/>
      <c r="E105" s="13"/>
      <c r="F105" s="45"/>
      <c r="G105" s="42"/>
      <c r="H105" s="42"/>
      <c r="I105" s="42"/>
      <c r="J105" s="14"/>
      <c r="K105" s="43"/>
    </row>
    <row r="106" ht="39.75" customHeight="1">
      <c r="A106" s="1">
        <v>105.0</v>
      </c>
      <c r="B106" s="2" t="s">
        <v>46</v>
      </c>
      <c r="C106" s="13"/>
      <c r="D106" s="13"/>
      <c r="E106" s="13"/>
      <c r="F106" s="44" t="s">
        <v>2631</v>
      </c>
      <c r="G106" s="43">
        <v>1.0</v>
      </c>
      <c r="H106" s="42"/>
      <c r="I106" s="42"/>
      <c r="J106" s="14"/>
      <c r="K106" s="43"/>
    </row>
    <row r="107" ht="39.75" customHeight="1">
      <c r="A107" s="1">
        <v>106.0</v>
      </c>
      <c r="B107" s="2" t="s">
        <v>47</v>
      </c>
      <c r="C107" s="2" t="s">
        <v>54</v>
      </c>
      <c r="D107" s="13"/>
      <c r="E107" s="13"/>
      <c r="F107" s="44" t="s">
        <v>2632</v>
      </c>
      <c r="G107" s="43">
        <v>2.0</v>
      </c>
      <c r="H107" s="42"/>
      <c r="I107" s="43">
        <v>2.0</v>
      </c>
      <c r="J107" s="14"/>
      <c r="K107" s="43"/>
    </row>
    <row r="108" ht="39.75" customHeight="1">
      <c r="A108" s="1">
        <v>107.0</v>
      </c>
      <c r="B108" s="2" t="s">
        <v>48</v>
      </c>
      <c r="C108" s="2" t="s">
        <v>69</v>
      </c>
      <c r="D108" s="13"/>
      <c r="E108" s="13"/>
      <c r="F108" s="44" t="s">
        <v>2633</v>
      </c>
      <c r="G108" s="43">
        <v>1.0</v>
      </c>
      <c r="H108" s="42"/>
      <c r="I108" s="42"/>
      <c r="J108" s="14"/>
      <c r="K108" s="43"/>
    </row>
    <row r="109" ht="39.75" customHeight="1">
      <c r="A109" s="1">
        <v>108.0</v>
      </c>
      <c r="B109" s="21"/>
      <c r="C109" s="21"/>
      <c r="D109" s="21"/>
      <c r="E109" s="21"/>
      <c r="F109" s="46"/>
      <c r="G109" s="47"/>
      <c r="H109" s="47"/>
      <c r="I109" s="47"/>
      <c r="J109" s="54"/>
      <c r="K109" s="72"/>
      <c r="L109" s="49"/>
      <c r="M109" s="49"/>
      <c r="N109" s="49"/>
    </row>
    <row r="110" ht="39.75" hidden="1" customHeight="1">
      <c r="A110" s="1">
        <v>109.0</v>
      </c>
      <c r="B110" s="2" t="s">
        <v>12</v>
      </c>
      <c r="C110" s="2" t="s">
        <v>13</v>
      </c>
      <c r="D110" s="13"/>
      <c r="E110" s="13"/>
      <c r="F110" s="45"/>
      <c r="G110" s="42"/>
      <c r="H110" s="42"/>
      <c r="I110" s="42"/>
      <c r="J110" s="27" t="s">
        <v>2570</v>
      </c>
      <c r="K110" s="43"/>
      <c r="L110" s="15" t="s">
        <v>109</v>
      </c>
    </row>
    <row r="111" ht="39.75" hidden="1" customHeight="1">
      <c r="A111" s="1">
        <v>110.0</v>
      </c>
      <c r="B111" s="2" t="s">
        <v>16</v>
      </c>
      <c r="C111" s="2" t="s">
        <v>13</v>
      </c>
      <c r="D111" s="13"/>
      <c r="E111" s="13"/>
      <c r="F111" s="45"/>
      <c r="G111" s="42"/>
      <c r="H111" s="42"/>
      <c r="I111" s="42"/>
      <c r="J111" s="27" t="s">
        <v>109</v>
      </c>
      <c r="K111" s="43"/>
    </row>
    <row r="112" ht="39.75" customHeight="1">
      <c r="A112" s="1">
        <v>111.0</v>
      </c>
      <c r="B112" s="2" t="s">
        <v>17</v>
      </c>
      <c r="C112" s="2" t="s">
        <v>44</v>
      </c>
      <c r="D112" s="13"/>
      <c r="E112" s="13"/>
      <c r="F112" s="52" t="s">
        <v>2634</v>
      </c>
      <c r="G112" s="42"/>
      <c r="H112" s="42"/>
      <c r="I112" s="42"/>
      <c r="J112" s="27" t="s">
        <v>149</v>
      </c>
      <c r="K112" s="43"/>
    </row>
    <row r="113" ht="39.75" customHeight="1">
      <c r="A113" s="1">
        <v>112.0</v>
      </c>
      <c r="B113" s="2" t="s">
        <v>331</v>
      </c>
      <c r="C113" s="13"/>
      <c r="D113" s="53">
        <v>0.2708333333333333</v>
      </c>
      <c r="E113" s="13"/>
      <c r="F113" s="44" t="s">
        <v>2635</v>
      </c>
      <c r="G113" s="43">
        <v>1.0</v>
      </c>
      <c r="H113" s="42"/>
      <c r="I113" s="43">
        <v>1.0</v>
      </c>
      <c r="J113" s="27" t="s">
        <v>165</v>
      </c>
      <c r="K113" s="42"/>
    </row>
    <row r="114" ht="39.75" customHeight="1">
      <c r="A114" s="1">
        <v>113.0</v>
      </c>
      <c r="B114" s="2" t="s">
        <v>21</v>
      </c>
      <c r="C114" s="2" t="s">
        <v>63</v>
      </c>
      <c r="D114" s="13"/>
      <c r="E114" s="13"/>
      <c r="F114" s="44" t="s">
        <v>2636</v>
      </c>
      <c r="G114" s="43">
        <v>1.0</v>
      </c>
      <c r="H114" s="42"/>
      <c r="I114" s="43">
        <v>1.0</v>
      </c>
      <c r="J114" s="27" t="s">
        <v>2637</v>
      </c>
      <c r="K114" s="42"/>
    </row>
    <row r="115" ht="39.75" hidden="1" customHeight="1">
      <c r="A115" s="1">
        <v>114.0</v>
      </c>
      <c r="B115" s="2" t="s">
        <v>22</v>
      </c>
      <c r="C115" s="2" t="s">
        <v>13</v>
      </c>
      <c r="D115" s="13"/>
      <c r="E115" s="13"/>
      <c r="F115" s="45"/>
      <c r="G115" s="42"/>
      <c r="H115" s="42"/>
      <c r="I115" s="42"/>
      <c r="J115" s="27" t="s">
        <v>2638</v>
      </c>
      <c r="K115" s="42"/>
    </row>
    <row r="116" ht="39.75" hidden="1" customHeight="1">
      <c r="A116" s="1">
        <v>115.0</v>
      </c>
      <c r="B116" s="2" t="s">
        <v>23</v>
      </c>
      <c r="C116" s="2" t="s">
        <v>13</v>
      </c>
      <c r="D116" s="13"/>
      <c r="E116" s="13"/>
      <c r="F116" s="45"/>
      <c r="G116" s="42"/>
      <c r="H116" s="42"/>
      <c r="I116" s="42"/>
      <c r="J116" s="22"/>
      <c r="K116" s="42"/>
    </row>
    <row r="117" ht="39.75" hidden="1" customHeight="1">
      <c r="A117" s="1">
        <v>116.0</v>
      </c>
      <c r="B117" s="2" t="s">
        <v>24</v>
      </c>
      <c r="C117" s="2" t="s">
        <v>13</v>
      </c>
      <c r="D117" s="13"/>
      <c r="E117" s="13"/>
      <c r="F117" s="45"/>
      <c r="G117" s="42"/>
      <c r="H117" s="42"/>
      <c r="I117" s="42"/>
      <c r="J117" s="22"/>
      <c r="K117" s="42"/>
    </row>
    <row r="118" ht="39.75" hidden="1" customHeight="1">
      <c r="A118" s="1">
        <v>117.0</v>
      </c>
      <c r="B118" s="2" t="s">
        <v>25</v>
      </c>
      <c r="C118" s="2" t="s">
        <v>13</v>
      </c>
      <c r="D118" s="13"/>
      <c r="E118" s="13"/>
      <c r="F118" s="45"/>
      <c r="G118" s="42"/>
      <c r="H118" s="42"/>
      <c r="I118" s="42"/>
      <c r="J118" s="22"/>
      <c r="K118" s="42"/>
    </row>
    <row r="119" ht="39.75" hidden="1" customHeight="1">
      <c r="A119" s="1">
        <v>118.0</v>
      </c>
      <c r="B119" s="2" t="s">
        <v>26</v>
      </c>
      <c r="C119" s="2" t="s">
        <v>13</v>
      </c>
      <c r="D119" s="13"/>
      <c r="E119" s="13"/>
      <c r="F119" s="45"/>
      <c r="G119" s="42"/>
      <c r="H119" s="42"/>
      <c r="I119" s="42"/>
      <c r="J119" s="22"/>
      <c r="K119" s="42"/>
    </row>
    <row r="120" ht="39.75" hidden="1" customHeight="1">
      <c r="A120" s="1">
        <v>119.0</v>
      </c>
      <c r="B120" s="2" t="s">
        <v>29</v>
      </c>
      <c r="C120" s="2" t="s">
        <v>13</v>
      </c>
      <c r="D120" s="13"/>
      <c r="E120" s="13"/>
      <c r="F120" s="45"/>
      <c r="G120" s="42"/>
      <c r="H120" s="42"/>
      <c r="I120" s="42"/>
      <c r="J120" s="22"/>
      <c r="K120" s="42"/>
    </row>
    <row r="121" ht="39.75" customHeight="1">
      <c r="A121" s="1">
        <v>120.0</v>
      </c>
      <c r="B121" s="2" t="s">
        <v>30</v>
      </c>
      <c r="C121" s="2" t="s">
        <v>27</v>
      </c>
      <c r="D121" s="53">
        <v>0.6458333333333334</v>
      </c>
      <c r="E121" s="13"/>
      <c r="F121" s="44" t="s">
        <v>2639</v>
      </c>
      <c r="G121" s="43">
        <v>1.0</v>
      </c>
      <c r="H121" s="42"/>
      <c r="I121" s="43">
        <v>1.0</v>
      </c>
      <c r="J121" s="22"/>
      <c r="K121" s="42"/>
    </row>
    <row r="122" ht="39.75" hidden="1" customHeight="1">
      <c r="A122" s="1">
        <v>121.0</v>
      </c>
      <c r="B122" s="2" t="s">
        <v>31</v>
      </c>
      <c r="C122" s="2" t="s">
        <v>13</v>
      </c>
      <c r="D122" s="13"/>
      <c r="E122" s="13"/>
      <c r="F122" s="45"/>
      <c r="G122" s="42"/>
      <c r="H122" s="42"/>
      <c r="I122" s="42"/>
      <c r="J122" s="22"/>
      <c r="K122" s="42"/>
    </row>
    <row r="123" ht="39.75" hidden="1" customHeight="1">
      <c r="A123" s="1">
        <v>122.0</v>
      </c>
      <c r="B123" s="2" t="s">
        <v>32</v>
      </c>
      <c r="C123" s="2" t="s">
        <v>13</v>
      </c>
      <c r="D123" s="13"/>
      <c r="E123" s="13"/>
      <c r="F123" s="45"/>
      <c r="G123" s="42"/>
      <c r="H123" s="42"/>
      <c r="I123" s="42"/>
      <c r="J123" s="22"/>
      <c r="K123" s="42"/>
    </row>
    <row r="124" ht="39.75" hidden="1" customHeight="1">
      <c r="A124" s="1">
        <v>123.0</v>
      </c>
      <c r="B124" s="2" t="s">
        <v>67</v>
      </c>
      <c r="C124" s="2" t="s">
        <v>13</v>
      </c>
      <c r="D124" s="13"/>
      <c r="E124" s="13"/>
      <c r="F124" s="45"/>
      <c r="G124" s="42"/>
      <c r="H124" s="42"/>
      <c r="I124" s="42"/>
      <c r="J124" s="22"/>
      <c r="K124" s="42"/>
    </row>
    <row r="125" ht="39.75" hidden="1" customHeight="1">
      <c r="A125" s="1">
        <v>124.0</v>
      </c>
      <c r="B125" s="2" t="s">
        <v>34</v>
      </c>
      <c r="C125" s="2" t="s">
        <v>13</v>
      </c>
      <c r="D125" s="13"/>
      <c r="E125" s="13"/>
      <c r="F125" s="45"/>
      <c r="G125" s="42"/>
      <c r="H125" s="42"/>
      <c r="I125" s="42"/>
      <c r="J125" s="22"/>
      <c r="K125" s="42"/>
    </row>
    <row r="126" ht="39.75" hidden="1" customHeight="1">
      <c r="A126" s="1">
        <v>125.0</v>
      </c>
      <c r="B126" s="2" t="s">
        <v>35</v>
      </c>
      <c r="C126" s="2" t="s">
        <v>13</v>
      </c>
      <c r="D126" s="13"/>
      <c r="E126" s="13"/>
      <c r="F126" s="45"/>
      <c r="G126" s="42"/>
      <c r="H126" s="42"/>
      <c r="I126" s="42"/>
      <c r="J126" s="22"/>
      <c r="K126" s="42"/>
    </row>
    <row r="127" ht="39.75" hidden="1" customHeight="1">
      <c r="A127" s="1">
        <v>126.0</v>
      </c>
      <c r="B127" s="2" t="s">
        <v>36</v>
      </c>
      <c r="C127" s="2" t="s">
        <v>13</v>
      </c>
      <c r="D127" s="13"/>
      <c r="E127" s="13"/>
      <c r="F127" s="45"/>
      <c r="G127" s="42"/>
      <c r="H127" s="42"/>
      <c r="I127" s="42"/>
      <c r="J127" s="22"/>
      <c r="K127" s="42"/>
    </row>
    <row r="128" ht="39.75" hidden="1" customHeight="1">
      <c r="A128" s="1">
        <v>127.0</v>
      </c>
      <c r="B128" s="2" t="s">
        <v>38</v>
      </c>
      <c r="C128" s="2" t="s">
        <v>13</v>
      </c>
      <c r="D128" s="13"/>
      <c r="E128" s="13"/>
      <c r="F128" s="45"/>
      <c r="G128" s="42"/>
      <c r="H128" s="42"/>
      <c r="I128" s="42"/>
      <c r="J128" s="22"/>
      <c r="K128" s="42"/>
    </row>
    <row r="129" ht="39.75" hidden="1" customHeight="1">
      <c r="A129" s="1">
        <v>128.0</v>
      </c>
      <c r="B129" s="2" t="s">
        <v>41</v>
      </c>
      <c r="C129" s="2" t="s">
        <v>13</v>
      </c>
      <c r="D129" s="13"/>
      <c r="E129" s="13"/>
      <c r="F129" s="45"/>
      <c r="G129" s="42"/>
      <c r="H129" s="42"/>
      <c r="I129" s="42"/>
      <c r="J129" s="22"/>
      <c r="K129" s="42"/>
    </row>
    <row r="130" ht="39.75" customHeight="1">
      <c r="A130" s="1">
        <v>129.0</v>
      </c>
      <c r="B130" s="2" t="s">
        <v>42</v>
      </c>
      <c r="C130" s="2" t="s">
        <v>49</v>
      </c>
      <c r="D130" s="13"/>
      <c r="E130" s="13"/>
      <c r="F130" s="44" t="s">
        <v>2640</v>
      </c>
      <c r="G130" s="43">
        <v>2.0</v>
      </c>
      <c r="H130" s="42"/>
      <c r="I130" s="42"/>
      <c r="J130" s="22"/>
      <c r="K130" s="42"/>
    </row>
    <row r="131" ht="39.75" customHeight="1">
      <c r="A131" s="1">
        <v>130.0</v>
      </c>
      <c r="B131" s="2" t="s">
        <v>267</v>
      </c>
      <c r="C131" s="2" t="s">
        <v>272</v>
      </c>
      <c r="D131" s="13"/>
      <c r="E131" s="13"/>
      <c r="F131" s="44" t="s">
        <v>2641</v>
      </c>
      <c r="G131" s="43">
        <v>1.0</v>
      </c>
      <c r="H131" s="42"/>
      <c r="I131" s="43">
        <v>1.0</v>
      </c>
      <c r="J131" s="22"/>
      <c r="K131" s="42"/>
    </row>
    <row r="132" ht="39.75" customHeight="1">
      <c r="A132" s="1">
        <v>131.0</v>
      </c>
      <c r="B132" s="2" t="s">
        <v>45</v>
      </c>
      <c r="C132" s="2"/>
      <c r="D132" s="53">
        <v>0.2847222222222222</v>
      </c>
      <c r="E132" s="13"/>
      <c r="F132" s="44" t="s">
        <v>2642</v>
      </c>
      <c r="G132" s="43">
        <v>2.0</v>
      </c>
      <c r="H132" s="42"/>
      <c r="I132" s="43">
        <v>2.0</v>
      </c>
      <c r="J132" s="22"/>
      <c r="K132" s="42"/>
    </row>
    <row r="133" ht="39.75" customHeight="1">
      <c r="A133" s="1">
        <v>132.0</v>
      </c>
      <c r="B133" s="2" t="s">
        <v>46</v>
      </c>
      <c r="C133" s="2" t="s">
        <v>39</v>
      </c>
      <c r="D133" s="40">
        <v>0.2916666666666667</v>
      </c>
      <c r="E133" s="51">
        <v>0.6875</v>
      </c>
      <c r="F133" s="44" t="s">
        <v>2643</v>
      </c>
      <c r="G133" s="43">
        <v>2.0</v>
      </c>
      <c r="H133" s="42"/>
      <c r="I133" s="43">
        <v>2.0</v>
      </c>
      <c r="J133" s="22"/>
      <c r="K133" s="42"/>
    </row>
    <row r="134" ht="39.75" hidden="1" customHeight="1">
      <c r="A134" s="1">
        <v>133.0</v>
      </c>
      <c r="B134" s="2" t="s">
        <v>47</v>
      </c>
      <c r="C134" s="2" t="s">
        <v>13</v>
      </c>
      <c r="D134" s="13"/>
      <c r="E134" s="13"/>
      <c r="F134" s="45"/>
      <c r="G134" s="42"/>
      <c r="H134" s="42"/>
      <c r="I134" s="42"/>
      <c r="J134" s="22"/>
      <c r="K134" s="42"/>
    </row>
    <row r="135" ht="39.75" hidden="1" customHeight="1">
      <c r="A135" s="1">
        <v>134.0</v>
      </c>
      <c r="B135" s="2" t="s">
        <v>48</v>
      </c>
      <c r="C135" s="2" t="s">
        <v>13</v>
      </c>
      <c r="D135" s="13"/>
      <c r="E135" s="13"/>
      <c r="F135" s="45"/>
      <c r="G135" s="42"/>
      <c r="H135" s="42"/>
      <c r="I135" s="42"/>
      <c r="J135" s="22"/>
      <c r="K135" s="42"/>
    </row>
    <row r="136" ht="39.75" customHeight="1">
      <c r="A136" s="1">
        <v>135.0</v>
      </c>
      <c r="B136" s="21"/>
      <c r="C136" s="21"/>
      <c r="D136" s="21"/>
      <c r="E136" s="21"/>
      <c r="F136" s="46"/>
      <c r="G136" s="47"/>
      <c r="H136" s="47"/>
      <c r="I136" s="47"/>
      <c r="J136" s="48"/>
      <c r="K136" s="47"/>
      <c r="L136" s="49"/>
      <c r="M136" s="49"/>
      <c r="N136" s="49"/>
    </row>
    <row r="137" ht="39.75" hidden="1" customHeight="1">
      <c r="A137" s="1">
        <v>136.0</v>
      </c>
      <c r="B137" s="2" t="s">
        <v>12</v>
      </c>
      <c r="C137" s="2" t="s">
        <v>13</v>
      </c>
      <c r="D137" s="13"/>
      <c r="E137" s="13"/>
      <c r="F137" s="45"/>
      <c r="G137" s="42"/>
      <c r="H137" s="42"/>
      <c r="I137" s="42"/>
      <c r="J137" s="27" t="s">
        <v>2570</v>
      </c>
      <c r="K137" s="43"/>
      <c r="L137" s="15" t="s">
        <v>128</v>
      </c>
    </row>
    <row r="138" ht="39.75" customHeight="1">
      <c r="A138" s="1">
        <v>137.0</v>
      </c>
      <c r="B138" s="2" t="s">
        <v>16</v>
      </c>
      <c r="C138" s="2" t="s">
        <v>27</v>
      </c>
      <c r="D138" s="13"/>
      <c r="E138" s="13"/>
      <c r="F138" s="44" t="s">
        <v>2644</v>
      </c>
      <c r="G138" s="43">
        <v>2.0</v>
      </c>
      <c r="H138" s="42"/>
      <c r="I138" s="43">
        <v>1.0</v>
      </c>
      <c r="J138" s="27" t="s">
        <v>128</v>
      </c>
      <c r="K138" s="43"/>
    </row>
    <row r="139" ht="39.75" customHeight="1">
      <c r="A139" s="1">
        <v>138.0</v>
      </c>
      <c r="B139" s="2" t="s">
        <v>17</v>
      </c>
      <c r="C139" s="2" t="s">
        <v>39</v>
      </c>
      <c r="D139" s="13"/>
      <c r="E139" s="13"/>
      <c r="F139" s="44" t="s">
        <v>2645</v>
      </c>
      <c r="G139" s="43">
        <v>1.0</v>
      </c>
      <c r="H139" s="42"/>
      <c r="I139" s="43">
        <v>1.0</v>
      </c>
      <c r="J139" s="27" t="s">
        <v>19</v>
      </c>
      <c r="K139" s="43"/>
    </row>
    <row r="140" ht="39.75" hidden="1" customHeight="1">
      <c r="A140" s="1">
        <v>139.0</v>
      </c>
      <c r="B140" s="2" t="s">
        <v>331</v>
      </c>
      <c r="C140" s="2" t="s">
        <v>13</v>
      </c>
      <c r="D140" s="13"/>
      <c r="E140" s="13"/>
      <c r="F140" s="44"/>
      <c r="G140" s="42"/>
      <c r="H140" s="42"/>
      <c r="I140" s="42"/>
      <c r="J140" s="27" t="s">
        <v>165</v>
      </c>
      <c r="K140" s="43"/>
    </row>
    <row r="141" ht="39.75" hidden="1" customHeight="1">
      <c r="A141" s="1">
        <v>140.0</v>
      </c>
      <c r="B141" s="2" t="s">
        <v>21</v>
      </c>
      <c r="C141" s="2" t="s">
        <v>13</v>
      </c>
      <c r="D141" s="13"/>
      <c r="E141" s="13"/>
      <c r="F141" s="45"/>
      <c r="G141" s="42"/>
      <c r="H141" s="42"/>
      <c r="I141" s="42"/>
      <c r="J141" s="27" t="s">
        <v>166</v>
      </c>
      <c r="K141" s="43"/>
    </row>
    <row r="142" ht="39.75" hidden="1" customHeight="1">
      <c r="A142" s="1">
        <v>141.0</v>
      </c>
      <c r="B142" s="2" t="s">
        <v>22</v>
      </c>
      <c r="C142" s="2" t="s">
        <v>13</v>
      </c>
      <c r="D142" s="13"/>
      <c r="E142" s="13"/>
      <c r="F142" s="45"/>
      <c r="G142" s="42"/>
      <c r="H142" s="42"/>
      <c r="I142" s="42"/>
      <c r="J142" s="27" t="s">
        <v>167</v>
      </c>
      <c r="K142" s="43"/>
    </row>
    <row r="143" ht="39.75" customHeight="1">
      <c r="A143" s="1">
        <v>142.0</v>
      </c>
      <c r="B143" s="2" t="s">
        <v>23</v>
      </c>
      <c r="C143" s="2"/>
      <c r="D143" s="40">
        <v>0.375</v>
      </c>
      <c r="E143" s="13"/>
      <c r="F143" s="44" t="s">
        <v>2646</v>
      </c>
      <c r="G143" s="43">
        <v>2.0</v>
      </c>
      <c r="H143" s="42"/>
      <c r="I143" s="43">
        <v>1.0</v>
      </c>
      <c r="J143" s="22"/>
      <c r="K143" s="42"/>
    </row>
    <row r="144" ht="39.75" customHeight="1">
      <c r="A144" s="1">
        <v>143.0</v>
      </c>
      <c r="B144" s="2" t="s">
        <v>24</v>
      </c>
      <c r="C144" s="2" t="s">
        <v>63</v>
      </c>
      <c r="D144" s="13"/>
      <c r="E144" s="13"/>
      <c r="F144" s="45"/>
      <c r="G144" s="42"/>
      <c r="H144" s="42"/>
      <c r="I144" s="42"/>
      <c r="J144" s="22"/>
      <c r="K144" s="42"/>
    </row>
    <row r="145" ht="39.75" hidden="1" customHeight="1">
      <c r="A145" s="1">
        <v>144.0</v>
      </c>
      <c r="B145" s="2" t="s">
        <v>25</v>
      </c>
      <c r="C145" s="2" t="s">
        <v>13</v>
      </c>
      <c r="D145" s="13"/>
      <c r="E145" s="13"/>
      <c r="F145" s="45"/>
      <c r="G145" s="42"/>
      <c r="H145" s="42"/>
      <c r="I145" s="42"/>
      <c r="J145" s="22"/>
      <c r="K145" s="42"/>
    </row>
    <row r="146" ht="39.75" hidden="1" customHeight="1">
      <c r="A146" s="1">
        <v>145.0</v>
      </c>
      <c r="B146" s="2" t="s">
        <v>26</v>
      </c>
      <c r="C146" s="2" t="s">
        <v>13</v>
      </c>
      <c r="D146" s="13"/>
      <c r="E146" s="13"/>
      <c r="F146" s="45"/>
      <c r="G146" s="42"/>
      <c r="H146" s="42"/>
      <c r="I146" s="42"/>
      <c r="J146" s="22"/>
      <c r="K146" s="42"/>
    </row>
    <row r="147" ht="39.75" hidden="1" customHeight="1">
      <c r="A147" s="1">
        <v>146.0</v>
      </c>
      <c r="B147" s="2" t="s">
        <v>29</v>
      </c>
      <c r="C147" s="2" t="s">
        <v>13</v>
      </c>
      <c r="D147" s="13"/>
      <c r="E147" s="13"/>
      <c r="F147" s="45"/>
      <c r="G147" s="42"/>
      <c r="H147" s="42"/>
      <c r="I147" s="42"/>
      <c r="J147" s="22"/>
      <c r="K147" s="42"/>
    </row>
    <row r="148" ht="39.75" customHeight="1">
      <c r="A148" s="1">
        <v>147.0</v>
      </c>
      <c r="B148" s="2" t="s">
        <v>30</v>
      </c>
      <c r="C148" s="2" t="s">
        <v>44</v>
      </c>
      <c r="D148" s="13"/>
      <c r="E148" s="13"/>
      <c r="F148" s="45"/>
      <c r="G148" s="42"/>
      <c r="H148" s="42"/>
      <c r="I148" s="42"/>
      <c r="J148" s="22"/>
      <c r="K148" s="42"/>
    </row>
    <row r="149" ht="39.75" customHeight="1">
      <c r="A149" s="1">
        <v>148.0</v>
      </c>
      <c r="B149" s="2" t="s">
        <v>33</v>
      </c>
      <c r="C149" s="2" t="s">
        <v>272</v>
      </c>
      <c r="D149" s="13"/>
      <c r="E149" s="13"/>
      <c r="F149" s="44" t="s">
        <v>1186</v>
      </c>
      <c r="G149" s="43">
        <v>1.0</v>
      </c>
      <c r="H149" s="42"/>
      <c r="I149" s="43">
        <v>1.0</v>
      </c>
      <c r="J149" s="22"/>
      <c r="K149" s="42"/>
    </row>
    <row r="150" ht="39.75" hidden="1" customHeight="1">
      <c r="A150" s="1">
        <v>149.0</v>
      </c>
      <c r="B150" s="2" t="s">
        <v>32</v>
      </c>
      <c r="C150" s="2" t="s">
        <v>13</v>
      </c>
      <c r="D150" s="13"/>
      <c r="E150" s="13"/>
      <c r="F150" s="45"/>
      <c r="G150" s="42"/>
      <c r="H150" s="42"/>
      <c r="I150" s="42"/>
      <c r="J150" s="22"/>
      <c r="K150" s="42"/>
    </row>
    <row r="151" ht="39.75" customHeight="1">
      <c r="A151" s="1">
        <v>150.0</v>
      </c>
      <c r="B151" s="2" t="s">
        <v>67</v>
      </c>
      <c r="C151" s="2" t="s">
        <v>49</v>
      </c>
      <c r="D151" s="13"/>
      <c r="E151" s="13"/>
      <c r="F151" s="44" t="s">
        <v>2647</v>
      </c>
      <c r="G151" s="43">
        <v>1.0</v>
      </c>
      <c r="H151" s="42"/>
      <c r="I151" s="43">
        <v>1.0</v>
      </c>
      <c r="J151" s="22"/>
      <c r="K151" s="42"/>
    </row>
    <row r="152" ht="39.75" hidden="1" customHeight="1">
      <c r="A152" s="1">
        <v>151.0</v>
      </c>
      <c r="B152" s="2" t="s">
        <v>34</v>
      </c>
      <c r="C152" s="2" t="s">
        <v>13</v>
      </c>
      <c r="D152" s="13"/>
      <c r="E152" s="13"/>
      <c r="F152" s="45"/>
      <c r="G152" s="42"/>
      <c r="H152" s="42"/>
      <c r="I152" s="42"/>
      <c r="J152" s="22"/>
      <c r="K152" s="42"/>
    </row>
    <row r="153" ht="39.75" customHeight="1">
      <c r="A153" s="1">
        <v>152.0</v>
      </c>
      <c r="B153" s="2" t="s">
        <v>35</v>
      </c>
      <c r="C153" s="2"/>
      <c r="D153" s="40">
        <v>0.375</v>
      </c>
      <c r="E153" s="13"/>
      <c r="F153" s="44" t="s">
        <v>2648</v>
      </c>
      <c r="G153" s="43">
        <v>1.0</v>
      </c>
      <c r="H153" s="42"/>
      <c r="I153" s="43">
        <v>1.0</v>
      </c>
      <c r="J153" s="22"/>
      <c r="K153" s="42"/>
    </row>
    <row r="154" ht="39.75" hidden="1" customHeight="1">
      <c r="A154" s="1">
        <v>153.0</v>
      </c>
      <c r="B154" s="2" t="s">
        <v>36</v>
      </c>
      <c r="C154" s="2" t="s">
        <v>13</v>
      </c>
      <c r="D154" s="13"/>
      <c r="E154" s="13"/>
      <c r="F154" s="45"/>
      <c r="G154" s="42"/>
      <c r="H154" s="42"/>
      <c r="I154" s="42"/>
      <c r="J154" s="22"/>
      <c r="K154" s="42"/>
    </row>
    <row r="155" ht="39.75" hidden="1" customHeight="1">
      <c r="A155" s="1">
        <v>154.0</v>
      </c>
      <c r="B155" s="2" t="s">
        <v>38</v>
      </c>
      <c r="C155" s="2" t="s">
        <v>13</v>
      </c>
      <c r="D155" s="13"/>
      <c r="E155" s="13"/>
      <c r="F155" s="45"/>
      <c r="G155" s="42"/>
      <c r="H155" s="42"/>
      <c r="I155" s="42"/>
      <c r="J155" s="22"/>
      <c r="K155" s="42"/>
    </row>
    <row r="156" ht="39.75" hidden="1" customHeight="1">
      <c r="A156" s="1">
        <v>155.0</v>
      </c>
      <c r="B156" s="2" t="s">
        <v>41</v>
      </c>
      <c r="C156" s="2" t="s">
        <v>13</v>
      </c>
      <c r="D156" s="13"/>
      <c r="E156" s="13"/>
      <c r="F156" s="45"/>
      <c r="G156" s="42"/>
      <c r="H156" s="42"/>
      <c r="I156" s="42"/>
      <c r="J156" s="22"/>
      <c r="K156" s="42"/>
    </row>
    <row r="157" ht="39.75" hidden="1" customHeight="1">
      <c r="A157" s="1">
        <v>156.0</v>
      </c>
      <c r="B157" s="2" t="s">
        <v>42</v>
      </c>
      <c r="C157" s="2" t="s">
        <v>13</v>
      </c>
      <c r="D157" s="13"/>
      <c r="E157" s="13"/>
      <c r="F157" s="45"/>
      <c r="G157" s="42"/>
      <c r="H157" s="42"/>
      <c r="I157" s="42"/>
      <c r="J157" s="22"/>
      <c r="K157" s="42"/>
    </row>
    <row r="158" ht="39.75" hidden="1" customHeight="1">
      <c r="A158" s="1">
        <v>157.0</v>
      </c>
      <c r="B158" s="2" t="s">
        <v>43</v>
      </c>
      <c r="C158" s="2" t="s">
        <v>13</v>
      </c>
      <c r="D158" s="13"/>
      <c r="E158" s="13"/>
      <c r="F158" s="45"/>
      <c r="G158" s="42"/>
      <c r="H158" s="42"/>
      <c r="I158" s="42"/>
      <c r="J158" s="22"/>
      <c r="K158" s="42"/>
    </row>
    <row r="159" ht="39.75" hidden="1" customHeight="1">
      <c r="A159" s="1">
        <v>158.0</v>
      </c>
      <c r="B159" s="2" t="s">
        <v>45</v>
      </c>
      <c r="C159" s="2" t="s">
        <v>13</v>
      </c>
      <c r="D159" s="13"/>
      <c r="E159" s="13"/>
      <c r="F159" s="45"/>
      <c r="G159" s="42"/>
      <c r="H159" s="42"/>
      <c r="I159" s="42"/>
      <c r="J159" s="22"/>
      <c r="K159" s="42"/>
    </row>
    <row r="160" ht="39.75" hidden="1" customHeight="1">
      <c r="A160" s="1">
        <v>159.0</v>
      </c>
      <c r="B160" s="2" t="s">
        <v>46</v>
      </c>
      <c r="C160" s="2" t="s">
        <v>13</v>
      </c>
      <c r="D160" s="13"/>
      <c r="E160" s="13"/>
      <c r="F160" s="45"/>
      <c r="G160" s="42"/>
      <c r="H160" s="42"/>
      <c r="I160" s="42"/>
      <c r="J160" s="22"/>
      <c r="K160" s="42"/>
    </row>
    <row r="161" ht="39.75" hidden="1" customHeight="1">
      <c r="A161" s="1">
        <v>160.0</v>
      </c>
      <c r="B161" s="2" t="s">
        <v>47</v>
      </c>
      <c r="C161" s="2" t="s">
        <v>13</v>
      </c>
      <c r="D161" s="13"/>
      <c r="E161" s="13"/>
      <c r="F161" s="45"/>
      <c r="G161" s="42"/>
      <c r="H161" s="42"/>
      <c r="I161" s="42"/>
      <c r="J161" s="22"/>
      <c r="K161" s="42"/>
    </row>
    <row r="162" ht="39.75" hidden="1" customHeight="1">
      <c r="A162" s="1">
        <v>161.0</v>
      </c>
      <c r="B162" s="2" t="s">
        <v>48</v>
      </c>
      <c r="C162" s="2" t="s">
        <v>13</v>
      </c>
      <c r="D162" s="13"/>
      <c r="E162" s="13"/>
      <c r="F162" s="45"/>
      <c r="G162" s="42"/>
      <c r="H162" s="42"/>
      <c r="I162" s="42"/>
      <c r="J162" s="22"/>
      <c r="K162" s="42"/>
    </row>
    <row r="163" ht="39.75" customHeight="1">
      <c r="A163" s="1">
        <v>162.0</v>
      </c>
      <c r="B163" s="21"/>
      <c r="C163" s="21"/>
      <c r="D163" s="21"/>
      <c r="E163" s="21"/>
      <c r="F163" s="46"/>
      <c r="G163" s="47"/>
      <c r="H163" s="47"/>
      <c r="I163" s="47"/>
      <c r="J163" s="48"/>
      <c r="K163" s="47"/>
      <c r="L163" s="49"/>
      <c r="M163" s="49"/>
      <c r="N163" s="49"/>
    </row>
    <row r="164" ht="39.75" customHeight="1">
      <c r="A164" s="1">
        <v>163.0</v>
      </c>
      <c r="B164" s="2" t="s">
        <v>12</v>
      </c>
      <c r="C164" s="2" t="s">
        <v>62</v>
      </c>
      <c r="D164" s="13"/>
      <c r="E164" s="13"/>
      <c r="F164" s="44" t="s">
        <v>1529</v>
      </c>
      <c r="G164" s="43">
        <v>1.0</v>
      </c>
      <c r="H164" s="42"/>
      <c r="I164" s="43">
        <v>1.0</v>
      </c>
      <c r="J164" s="27" t="s">
        <v>2570</v>
      </c>
      <c r="K164" s="43"/>
      <c r="L164" s="15" t="s">
        <v>147</v>
      </c>
    </row>
    <row r="165" ht="39.75" customHeight="1">
      <c r="A165" s="1">
        <v>164.0</v>
      </c>
      <c r="B165" s="2" t="s">
        <v>16</v>
      </c>
      <c r="C165" s="2" t="s">
        <v>44</v>
      </c>
      <c r="D165" s="13"/>
      <c r="E165" s="13"/>
      <c r="F165" s="45"/>
      <c r="G165" s="42"/>
      <c r="H165" s="42"/>
      <c r="I165" s="42"/>
      <c r="J165" s="27" t="s">
        <v>147</v>
      </c>
      <c r="K165" s="43"/>
    </row>
    <row r="166" ht="39.75" customHeight="1">
      <c r="A166" s="1">
        <v>165.0</v>
      </c>
      <c r="B166" s="2" t="s">
        <v>116</v>
      </c>
      <c r="C166" s="2" t="s">
        <v>1466</v>
      </c>
      <c r="D166" s="13"/>
      <c r="E166" s="13"/>
      <c r="F166" s="45"/>
      <c r="G166" s="42"/>
      <c r="H166" s="42"/>
      <c r="I166" s="42"/>
      <c r="J166" s="27" t="s">
        <v>56</v>
      </c>
      <c r="K166" s="43"/>
    </row>
    <row r="167" ht="39.75" customHeight="1">
      <c r="A167" s="1">
        <v>166.0</v>
      </c>
      <c r="B167" s="2" t="s">
        <v>17</v>
      </c>
      <c r="C167" s="2" t="s">
        <v>69</v>
      </c>
      <c r="D167" s="13"/>
      <c r="E167" s="13"/>
      <c r="F167" s="45"/>
      <c r="G167" s="42"/>
      <c r="H167" s="42"/>
      <c r="I167" s="42"/>
      <c r="J167" s="27"/>
      <c r="K167" s="43"/>
    </row>
    <row r="168" ht="39.75" customHeight="1">
      <c r="A168" s="1">
        <v>167.0</v>
      </c>
      <c r="B168" s="2" t="s">
        <v>331</v>
      </c>
      <c r="C168" s="2" t="s">
        <v>542</v>
      </c>
      <c r="D168" s="13"/>
      <c r="E168" s="51">
        <v>0.9166666666666666</v>
      </c>
      <c r="F168" s="44" t="s">
        <v>2649</v>
      </c>
      <c r="G168" s="43">
        <v>1.0</v>
      </c>
      <c r="H168" s="42"/>
      <c r="I168" s="42"/>
      <c r="J168" s="27"/>
      <c r="K168" s="43"/>
    </row>
    <row r="169" ht="39.75" customHeight="1">
      <c r="A169" s="1">
        <v>168.0</v>
      </c>
      <c r="B169" s="2" t="s">
        <v>21</v>
      </c>
      <c r="C169" s="2" t="s">
        <v>63</v>
      </c>
      <c r="D169" s="13"/>
      <c r="E169" s="13"/>
      <c r="F169" s="45"/>
      <c r="G169" s="42"/>
      <c r="H169" s="42"/>
      <c r="I169" s="42"/>
      <c r="J169" s="27"/>
      <c r="K169" s="43"/>
    </row>
    <row r="170" ht="39.75" hidden="1" customHeight="1">
      <c r="A170" s="1">
        <v>169.0</v>
      </c>
      <c r="B170" s="2" t="s">
        <v>22</v>
      </c>
      <c r="C170" s="2" t="s">
        <v>58</v>
      </c>
      <c r="D170" s="13"/>
      <c r="E170" s="13"/>
      <c r="F170" s="45"/>
      <c r="G170" s="42"/>
      <c r="H170" s="42"/>
      <c r="I170" s="42"/>
      <c r="J170" s="22"/>
      <c r="K170" s="42"/>
    </row>
    <row r="171" ht="39.75" customHeight="1">
      <c r="A171" s="1">
        <v>170.0</v>
      </c>
      <c r="B171" s="2" t="s">
        <v>23</v>
      </c>
      <c r="C171" s="2" t="s">
        <v>27</v>
      </c>
      <c r="D171" s="13"/>
      <c r="E171" s="13"/>
      <c r="F171" s="85" t="s">
        <v>2650</v>
      </c>
      <c r="G171" s="43">
        <v>1.0</v>
      </c>
      <c r="H171" s="42"/>
      <c r="I171" s="43">
        <v>1.0</v>
      </c>
      <c r="J171" s="22"/>
      <c r="K171" s="42"/>
    </row>
    <row r="172" ht="39.75" hidden="1" customHeight="1">
      <c r="A172" s="1">
        <v>171.0</v>
      </c>
      <c r="B172" s="2" t="s">
        <v>24</v>
      </c>
      <c r="C172" s="2" t="s">
        <v>66</v>
      </c>
      <c r="D172" s="13"/>
      <c r="E172" s="13"/>
      <c r="F172" s="45"/>
      <c r="G172" s="42"/>
      <c r="H172" s="42"/>
      <c r="I172" s="42"/>
      <c r="J172" s="22"/>
      <c r="K172" s="42"/>
    </row>
    <row r="173" ht="39.75" hidden="1" customHeight="1">
      <c r="A173" s="1">
        <v>172.0</v>
      </c>
      <c r="B173" s="2" t="s">
        <v>25</v>
      </c>
      <c r="C173" s="2" t="s">
        <v>58</v>
      </c>
      <c r="D173" s="13"/>
      <c r="E173" s="13"/>
      <c r="F173" s="45"/>
      <c r="G173" s="42"/>
      <c r="H173" s="42"/>
      <c r="I173" s="42"/>
      <c r="J173" s="22"/>
      <c r="K173" s="42"/>
    </row>
    <row r="174" ht="39.75" customHeight="1">
      <c r="A174" s="1">
        <v>173.0</v>
      </c>
      <c r="B174" s="2" t="s">
        <v>26</v>
      </c>
      <c r="C174" s="2" t="s">
        <v>54</v>
      </c>
      <c r="D174" s="13"/>
      <c r="E174" s="13"/>
      <c r="F174" s="44" t="s">
        <v>2651</v>
      </c>
      <c r="G174" s="43">
        <v>1.0</v>
      </c>
      <c r="H174" s="42"/>
      <c r="I174" s="42"/>
      <c r="J174" s="22"/>
      <c r="K174" s="42"/>
    </row>
    <row r="175" ht="39.75" customHeight="1">
      <c r="A175" s="1">
        <v>174.0</v>
      </c>
      <c r="B175" s="2" t="s">
        <v>29</v>
      </c>
      <c r="C175" s="2" t="s">
        <v>54</v>
      </c>
      <c r="D175" s="13"/>
      <c r="E175" s="13"/>
      <c r="F175" s="44" t="s">
        <v>2652</v>
      </c>
      <c r="G175" s="43">
        <v>1.0</v>
      </c>
      <c r="H175" s="42"/>
      <c r="I175" s="42"/>
      <c r="J175" s="22"/>
      <c r="K175" s="42"/>
    </row>
    <row r="176" ht="39.75" customHeight="1">
      <c r="A176" s="1">
        <v>175.0</v>
      </c>
      <c r="B176" s="2" t="s">
        <v>30</v>
      </c>
      <c r="C176" s="2" t="s">
        <v>64</v>
      </c>
      <c r="D176" s="13"/>
      <c r="E176" s="13"/>
      <c r="F176" s="44" t="s">
        <v>2592</v>
      </c>
      <c r="G176" s="43">
        <v>1.0</v>
      </c>
      <c r="H176" s="42"/>
      <c r="I176" s="43">
        <v>1.0</v>
      </c>
      <c r="J176" s="22"/>
      <c r="K176" s="42"/>
    </row>
    <row r="177" ht="39.75" customHeight="1">
      <c r="A177" s="1">
        <v>176.0</v>
      </c>
      <c r="B177" s="2" t="s">
        <v>31</v>
      </c>
      <c r="C177" s="2"/>
      <c r="D177" s="13"/>
      <c r="E177" s="13"/>
      <c r="F177" s="44" t="s">
        <v>2653</v>
      </c>
      <c r="G177" s="42"/>
      <c r="H177" s="42"/>
      <c r="I177" s="42"/>
      <c r="J177" s="22"/>
      <c r="K177" s="42"/>
    </row>
    <row r="178" ht="39.75" customHeight="1">
      <c r="A178" s="1">
        <v>177.0</v>
      </c>
      <c r="B178" s="2" t="s">
        <v>32</v>
      </c>
      <c r="C178" s="2"/>
      <c r="D178" s="13"/>
      <c r="E178" s="13"/>
      <c r="F178" s="44" t="s">
        <v>2654</v>
      </c>
      <c r="G178" s="43">
        <v>1.0</v>
      </c>
      <c r="H178" s="42"/>
      <c r="I178" s="43">
        <v>1.0</v>
      </c>
      <c r="J178" s="22"/>
      <c r="K178" s="42"/>
    </row>
    <row r="179" ht="39.75" customHeight="1">
      <c r="A179" s="1">
        <v>178.0</v>
      </c>
      <c r="B179" s="2" t="s">
        <v>67</v>
      </c>
      <c r="C179" s="2" t="s">
        <v>7</v>
      </c>
      <c r="D179" s="53">
        <v>0.25</v>
      </c>
      <c r="E179" s="13"/>
      <c r="F179" s="44" t="s">
        <v>2655</v>
      </c>
      <c r="G179" s="43">
        <v>1.0</v>
      </c>
      <c r="H179" s="43">
        <v>1.0</v>
      </c>
      <c r="I179" s="42"/>
      <c r="J179" s="22"/>
      <c r="K179" s="42"/>
    </row>
    <row r="180" ht="39.75" customHeight="1">
      <c r="A180" s="1">
        <v>179.0</v>
      </c>
      <c r="B180" s="2" t="s">
        <v>35</v>
      </c>
      <c r="C180" s="2" t="s">
        <v>39</v>
      </c>
      <c r="D180" s="13"/>
      <c r="E180" s="13"/>
      <c r="F180" s="44" t="s">
        <v>2656</v>
      </c>
      <c r="G180" s="42"/>
      <c r="H180" s="42"/>
      <c r="I180" s="42"/>
      <c r="J180" s="22"/>
      <c r="K180" s="42"/>
    </row>
    <row r="181" ht="39.75" customHeight="1">
      <c r="A181" s="1">
        <v>180.0</v>
      </c>
      <c r="B181" s="2" t="s">
        <v>36</v>
      </c>
      <c r="C181" s="2" t="s">
        <v>54</v>
      </c>
      <c r="D181" s="13"/>
      <c r="E181" s="13"/>
      <c r="F181" s="44" t="s">
        <v>2657</v>
      </c>
      <c r="G181" s="43">
        <v>2.0</v>
      </c>
      <c r="H181" s="42"/>
      <c r="I181" s="43">
        <v>2.0</v>
      </c>
      <c r="J181" s="22"/>
      <c r="K181" s="42"/>
    </row>
    <row r="182" ht="39.75" customHeight="1">
      <c r="A182" s="1">
        <v>181.0</v>
      </c>
      <c r="B182" s="2" t="s">
        <v>38</v>
      </c>
      <c r="C182" s="2" t="s">
        <v>54</v>
      </c>
      <c r="D182" s="13"/>
      <c r="E182" s="13"/>
      <c r="F182" s="44"/>
      <c r="G182" s="43"/>
      <c r="H182" s="42"/>
      <c r="I182" s="42"/>
      <c r="J182" s="22"/>
      <c r="K182" s="42"/>
    </row>
    <row r="183" ht="39.75" hidden="1" customHeight="1">
      <c r="A183" s="1">
        <v>182.0</v>
      </c>
      <c r="B183" s="2" t="s">
        <v>41</v>
      </c>
      <c r="C183" s="2" t="s">
        <v>58</v>
      </c>
      <c r="D183" s="13"/>
      <c r="E183" s="13"/>
      <c r="F183" s="45"/>
      <c r="G183" s="42"/>
      <c r="H183" s="42"/>
      <c r="I183" s="42"/>
      <c r="J183" s="22"/>
      <c r="K183" s="42"/>
    </row>
    <row r="184" ht="39.75" hidden="1" customHeight="1">
      <c r="A184" s="1">
        <v>183.0</v>
      </c>
      <c r="B184" s="2" t="s">
        <v>42</v>
      </c>
      <c r="C184" s="2" t="s">
        <v>58</v>
      </c>
      <c r="D184" s="13"/>
      <c r="E184" s="13"/>
      <c r="F184" s="45"/>
      <c r="G184" s="42"/>
      <c r="H184" s="42"/>
      <c r="I184" s="42"/>
      <c r="J184" s="22"/>
      <c r="K184" s="42"/>
    </row>
    <row r="185" ht="39.75" customHeight="1">
      <c r="A185" s="1">
        <v>184.0</v>
      </c>
      <c r="B185" s="2" t="s">
        <v>43</v>
      </c>
      <c r="C185" s="2"/>
      <c r="D185" s="13"/>
      <c r="E185" s="13"/>
      <c r="F185" s="44" t="s">
        <v>2658</v>
      </c>
      <c r="G185" s="43">
        <v>1.0</v>
      </c>
      <c r="H185" s="42"/>
      <c r="I185" s="42"/>
      <c r="J185" s="22"/>
      <c r="K185" s="42"/>
    </row>
    <row r="186" ht="39.75" customHeight="1">
      <c r="A186" s="1">
        <v>185.0</v>
      </c>
      <c r="B186" s="2" t="s">
        <v>45</v>
      </c>
      <c r="C186" s="2" t="s">
        <v>69</v>
      </c>
      <c r="D186" s="13"/>
      <c r="E186" s="13"/>
      <c r="F186" s="44" t="s">
        <v>2659</v>
      </c>
      <c r="G186" s="43">
        <v>1.0</v>
      </c>
      <c r="H186" s="42"/>
      <c r="I186" s="42"/>
      <c r="J186" s="22"/>
      <c r="K186" s="42"/>
    </row>
    <row r="187" ht="39.75" customHeight="1">
      <c r="A187" s="1">
        <v>186.0</v>
      </c>
      <c r="B187" s="2" t="s">
        <v>46</v>
      </c>
      <c r="C187" s="2" t="s">
        <v>39</v>
      </c>
      <c r="D187" s="13"/>
      <c r="E187" s="13"/>
      <c r="F187" s="44" t="s">
        <v>2660</v>
      </c>
      <c r="G187" s="43">
        <v>2.0</v>
      </c>
      <c r="H187" s="42"/>
      <c r="I187" s="43">
        <v>2.0</v>
      </c>
      <c r="J187" s="22"/>
      <c r="K187" s="42"/>
    </row>
    <row r="188" ht="39.75" customHeight="1">
      <c r="A188" s="1">
        <v>187.0</v>
      </c>
      <c r="B188" s="2" t="s">
        <v>47</v>
      </c>
      <c r="C188" s="13"/>
      <c r="D188" s="13"/>
      <c r="E188" s="13"/>
      <c r="F188" s="44" t="s">
        <v>2661</v>
      </c>
      <c r="G188" s="43">
        <v>1.0</v>
      </c>
      <c r="H188" s="42"/>
      <c r="I188" s="43"/>
      <c r="J188" s="22"/>
      <c r="K188" s="42"/>
    </row>
    <row r="189" ht="39.75" customHeight="1">
      <c r="A189" s="1">
        <v>188.0</v>
      </c>
      <c r="B189" s="2" t="s">
        <v>48</v>
      </c>
      <c r="C189" s="2" t="s">
        <v>69</v>
      </c>
      <c r="D189" s="13"/>
      <c r="E189" s="58" t="s">
        <v>2609</v>
      </c>
      <c r="F189" s="44" t="s">
        <v>2662</v>
      </c>
      <c r="G189" s="43">
        <v>2.0</v>
      </c>
      <c r="H189" s="42"/>
      <c r="I189" s="43">
        <v>1.0</v>
      </c>
      <c r="J189" s="22"/>
      <c r="K189" s="42"/>
    </row>
    <row r="190" ht="39.75" customHeight="1">
      <c r="A190" s="1">
        <v>189.0</v>
      </c>
      <c r="B190" s="86"/>
      <c r="C190" s="86"/>
      <c r="D190" s="21"/>
      <c r="E190" s="21"/>
      <c r="F190" s="46"/>
      <c r="G190" s="47"/>
      <c r="H190" s="47"/>
      <c r="I190" s="47"/>
      <c r="J190" s="48"/>
      <c r="K190" s="47"/>
      <c r="L190" s="49"/>
      <c r="M190" s="49"/>
      <c r="N190" s="49"/>
    </row>
    <row r="191" ht="39.75" customHeight="1">
      <c r="A191" s="1">
        <v>190.0</v>
      </c>
      <c r="B191" s="2" t="s">
        <v>12</v>
      </c>
      <c r="C191" s="2" t="s">
        <v>62</v>
      </c>
      <c r="D191" s="13"/>
      <c r="E191" s="13"/>
      <c r="F191" s="44" t="s">
        <v>2663</v>
      </c>
      <c r="G191" s="43">
        <v>1.0</v>
      </c>
      <c r="H191" s="42"/>
      <c r="I191" s="43">
        <v>1.0</v>
      </c>
      <c r="J191" s="27" t="s">
        <v>2570</v>
      </c>
      <c r="K191" s="42"/>
      <c r="L191" s="15" t="s">
        <v>163</v>
      </c>
    </row>
    <row r="192" ht="39.75" customHeight="1">
      <c r="A192" s="1">
        <v>191.0</v>
      </c>
      <c r="B192" s="2" t="s">
        <v>16</v>
      </c>
      <c r="C192" s="2" t="s">
        <v>39</v>
      </c>
      <c r="D192" s="13"/>
      <c r="E192" s="13"/>
      <c r="F192" s="44" t="s">
        <v>2664</v>
      </c>
      <c r="G192" s="43">
        <v>1.0</v>
      </c>
      <c r="H192" s="42"/>
      <c r="I192" s="43">
        <v>1.0</v>
      </c>
      <c r="J192" s="27" t="s">
        <v>163</v>
      </c>
      <c r="K192" s="43"/>
    </row>
    <row r="193" ht="39.75" customHeight="1">
      <c r="A193" s="1">
        <v>192.0</v>
      </c>
      <c r="B193" s="2" t="s">
        <v>116</v>
      </c>
      <c r="C193" s="2" t="s">
        <v>1466</v>
      </c>
      <c r="D193" s="13"/>
      <c r="E193" s="13"/>
      <c r="F193" s="45"/>
      <c r="G193" s="42"/>
      <c r="H193" s="42"/>
      <c r="I193" s="42"/>
      <c r="J193" s="27" t="s">
        <v>77</v>
      </c>
      <c r="K193" s="42"/>
    </row>
    <row r="194" ht="39.75" customHeight="1">
      <c r="A194" s="1">
        <v>193.0</v>
      </c>
      <c r="B194" s="2" t="s">
        <v>17</v>
      </c>
      <c r="C194" s="2"/>
      <c r="D194" s="13"/>
      <c r="E194" s="13"/>
      <c r="F194" s="44" t="s">
        <v>2665</v>
      </c>
      <c r="G194" s="43">
        <v>1.0</v>
      </c>
      <c r="H194" s="42"/>
      <c r="I194" s="42"/>
      <c r="J194" s="22"/>
      <c r="K194" s="42"/>
    </row>
    <row r="195" ht="39.75" customHeight="1">
      <c r="A195" s="1">
        <v>194.0</v>
      </c>
      <c r="B195" s="2" t="s">
        <v>331</v>
      </c>
      <c r="C195" s="2" t="s">
        <v>542</v>
      </c>
      <c r="D195" s="13"/>
      <c r="E195" s="13"/>
      <c r="F195" s="44" t="s">
        <v>2666</v>
      </c>
      <c r="G195" s="43">
        <v>1.0</v>
      </c>
      <c r="H195" s="42"/>
      <c r="I195" s="43"/>
      <c r="J195" s="22"/>
      <c r="K195" s="42"/>
    </row>
    <row r="196" ht="39.75" customHeight="1">
      <c r="A196" s="1">
        <v>195.0</v>
      </c>
      <c r="B196" s="2" t="s">
        <v>21</v>
      </c>
      <c r="C196" s="2" t="s">
        <v>63</v>
      </c>
      <c r="D196" s="13"/>
      <c r="E196" s="13"/>
      <c r="F196" s="45"/>
      <c r="G196" s="42"/>
      <c r="H196" s="42"/>
      <c r="I196" s="42"/>
      <c r="J196" s="22"/>
      <c r="K196" s="42"/>
    </row>
    <row r="197" ht="39.75" hidden="1" customHeight="1">
      <c r="A197" s="1">
        <v>196.0</v>
      </c>
      <c r="B197" s="2" t="s">
        <v>22</v>
      </c>
      <c r="C197" s="2" t="s">
        <v>58</v>
      </c>
      <c r="D197" s="13"/>
      <c r="E197" s="13"/>
      <c r="F197" s="45"/>
      <c r="G197" s="42"/>
      <c r="H197" s="42"/>
      <c r="I197" s="42"/>
      <c r="J197" s="22"/>
      <c r="K197" s="42"/>
    </row>
    <row r="198" ht="39.75" customHeight="1">
      <c r="A198" s="1">
        <v>197.0</v>
      </c>
      <c r="B198" s="2" t="s">
        <v>23</v>
      </c>
      <c r="C198" s="2" t="s">
        <v>44</v>
      </c>
      <c r="D198" s="13"/>
      <c r="E198" s="13"/>
      <c r="F198" s="44"/>
      <c r="G198" s="42"/>
      <c r="H198" s="42"/>
      <c r="I198" s="42"/>
      <c r="J198" s="22"/>
      <c r="K198" s="42"/>
    </row>
    <row r="199" ht="39.75" customHeight="1">
      <c r="A199" s="1">
        <v>198.0</v>
      </c>
      <c r="B199" s="2" t="s">
        <v>24</v>
      </c>
      <c r="C199" s="2"/>
      <c r="D199" s="13"/>
      <c r="E199" s="13"/>
      <c r="F199" s="44" t="s">
        <v>2667</v>
      </c>
      <c r="G199" s="43">
        <v>1.0</v>
      </c>
      <c r="H199" s="42"/>
      <c r="I199" s="42"/>
      <c r="J199" s="22"/>
      <c r="K199" s="42"/>
    </row>
    <row r="200" ht="70.5" customHeight="1">
      <c r="A200" s="1">
        <v>199.0</v>
      </c>
      <c r="B200" s="2" t="s">
        <v>25</v>
      </c>
      <c r="C200" s="2" t="s">
        <v>54</v>
      </c>
      <c r="D200" s="13"/>
      <c r="E200" s="51">
        <v>0.8020833333333334</v>
      </c>
      <c r="F200" s="44" t="s">
        <v>2668</v>
      </c>
      <c r="G200" s="43">
        <v>1.0</v>
      </c>
      <c r="H200" s="42"/>
      <c r="I200" s="42"/>
      <c r="J200" s="22"/>
      <c r="K200" s="42"/>
    </row>
    <row r="201" ht="39.75" customHeight="1">
      <c r="A201" s="1">
        <v>200.0</v>
      </c>
      <c r="B201" s="2" t="s">
        <v>26</v>
      </c>
      <c r="C201" s="2" t="s">
        <v>69</v>
      </c>
      <c r="D201" s="13"/>
      <c r="E201" s="13"/>
      <c r="F201" s="44" t="s">
        <v>2669</v>
      </c>
      <c r="G201" s="43">
        <v>2.0</v>
      </c>
      <c r="H201" s="42"/>
      <c r="I201" s="43">
        <v>1.0</v>
      </c>
      <c r="J201" s="22"/>
      <c r="K201" s="42"/>
    </row>
    <row r="202" ht="39.75" customHeight="1">
      <c r="A202" s="1">
        <v>201.0</v>
      </c>
      <c r="B202" s="2" t="s">
        <v>29</v>
      </c>
      <c r="C202" s="2" t="s">
        <v>54</v>
      </c>
      <c r="D202" s="13"/>
      <c r="E202" s="13"/>
      <c r="F202" s="44" t="s">
        <v>2670</v>
      </c>
      <c r="G202" s="43">
        <v>2.0</v>
      </c>
      <c r="H202" s="42"/>
      <c r="I202" s="42"/>
      <c r="J202" s="22"/>
      <c r="K202" s="42"/>
    </row>
    <row r="203" ht="39.75" customHeight="1">
      <c r="A203" s="1">
        <v>202.0</v>
      </c>
      <c r="B203" s="2" t="s">
        <v>30</v>
      </c>
      <c r="C203" s="2" t="s">
        <v>64</v>
      </c>
      <c r="D203" s="13"/>
      <c r="E203" s="13"/>
      <c r="F203" s="44" t="s">
        <v>2592</v>
      </c>
      <c r="G203" s="43">
        <v>1.0</v>
      </c>
      <c r="H203" s="42"/>
      <c r="I203" s="43">
        <v>1.0</v>
      </c>
      <c r="J203" s="22"/>
      <c r="K203" s="42"/>
    </row>
    <row r="204" ht="39.75" customHeight="1">
      <c r="A204" s="1">
        <v>203.0</v>
      </c>
      <c r="B204" s="2" t="s">
        <v>31</v>
      </c>
      <c r="C204" s="2"/>
      <c r="D204" s="13"/>
      <c r="E204" s="13"/>
      <c r="F204" s="44" t="s">
        <v>2671</v>
      </c>
      <c r="G204" s="43">
        <v>2.0</v>
      </c>
      <c r="H204" s="42"/>
      <c r="I204" s="43">
        <v>2.0</v>
      </c>
      <c r="J204" s="22"/>
      <c r="K204" s="42"/>
    </row>
    <row r="205" ht="39.75" hidden="1" customHeight="1">
      <c r="A205" s="1">
        <v>204.0</v>
      </c>
      <c r="B205" s="2" t="s">
        <v>32</v>
      </c>
      <c r="C205" s="2" t="s">
        <v>58</v>
      </c>
      <c r="D205" s="13"/>
      <c r="E205" s="13"/>
      <c r="F205" s="45"/>
      <c r="G205" s="42"/>
      <c r="H205" s="42"/>
      <c r="I205" s="42"/>
      <c r="J205" s="22"/>
      <c r="K205" s="42"/>
    </row>
    <row r="206" ht="39.75" customHeight="1">
      <c r="A206" s="1">
        <v>205.0</v>
      </c>
      <c r="B206" s="2" t="s">
        <v>67</v>
      </c>
      <c r="C206" s="2" t="s">
        <v>7</v>
      </c>
      <c r="D206" s="13"/>
      <c r="E206" s="13"/>
      <c r="F206" s="44" t="s">
        <v>2655</v>
      </c>
      <c r="G206" s="43">
        <v>1.0</v>
      </c>
      <c r="H206" s="43">
        <v>1.0</v>
      </c>
      <c r="I206" s="42"/>
      <c r="J206" s="22"/>
      <c r="K206" s="42"/>
    </row>
    <row r="207" ht="39.75" customHeight="1">
      <c r="A207" s="1">
        <v>206.0</v>
      </c>
      <c r="B207" s="2" t="s">
        <v>35</v>
      </c>
      <c r="C207" s="2" t="s">
        <v>69</v>
      </c>
      <c r="D207" s="13"/>
      <c r="E207" s="13"/>
      <c r="F207" s="44" t="s">
        <v>2672</v>
      </c>
      <c r="G207" s="43">
        <v>1.0</v>
      </c>
      <c r="H207" s="42"/>
      <c r="I207" s="43">
        <v>1.0</v>
      </c>
      <c r="J207" s="22"/>
      <c r="K207" s="42"/>
    </row>
    <row r="208" ht="39.75" customHeight="1">
      <c r="A208" s="1">
        <v>207.0</v>
      </c>
      <c r="B208" s="2" t="s">
        <v>36</v>
      </c>
      <c r="C208" s="2" t="s">
        <v>54</v>
      </c>
      <c r="D208" s="13"/>
      <c r="E208" s="13"/>
      <c r="F208" s="44" t="s">
        <v>2673</v>
      </c>
      <c r="G208" s="43">
        <v>1.0</v>
      </c>
      <c r="H208" s="43"/>
      <c r="I208" s="42"/>
      <c r="J208" s="22"/>
      <c r="K208" s="42"/>
    </row>
    <row r="209" ht="39.75" customHeight="1">
      <c r="A209" s="1">
        <v>208.0</v>
      </c>
      <c r="B209" s="2" t="s">
        <v>38</v>
      </c>
      <c r="C209" s="2" t="s">
        <v>54</v>
      </c>
      <c r="D209" s="13"/>
      <c r="E209" s="13"/>
      <c r="F209" s="44" t="s">
        <v>2674</v>
      </c>
      <c r="G209" s="43">
        <v>1.0</v>
      </c>
      <c r="H209" s="42"/>
      <c r="I209" s="42"/>
      <c r="J209" s="22"/>
      <c r="K209" s="42"/>
    </row>
    <row r="210" ht="39.75" hidden="1" customHeight="1">
      <c r="A210" s="1">
        <v>209.0</v>
      </c>
      <c r="B210" s="2" t="s">
        <v>41</v>
      </c>
      <c r="C210" s="2" t="s">
        <v>58</v>
      </c>
      <c r="D210" s="13"/>
      <c r="E210" s="13"/>
      <c r="F210" s="45"/>
      <c r="G210" s="42"/>
      <c r="H210" s="42"/>
      <c r="I210" s="42"/>
      <c r="J210" s="22"/>
      <c r="K210" s="42"/>
    </row>
    <row r="211" ht="39.75" customHeight="1">
      <c r="A211" s="1">
        <v>210.0</v>
      </c>
      <c r="B211" s="2" t="s">
        <v>42</v>
      </c>
      <c r="C211" s="2" t="s">
        <v>27</v>
      </c>
      <c r="D211" s="13"/>
      <c r="E211" s="13"/>
      <c r="F211" s="44" t="s">
        <v>2675</v>
      </c>
      <c r="G211" s="43">
        <v>1.0</v>
      </c>
      <c r="H211" s="42"/>
      <c r="I211" s="42"/>
      <c r="J211" s="22"/>
      <c r="K211" s="42"/>
    </row>
    <row r="212" ht="39.75" customHeight="1">
      <c r="A212" s="1">
        <v>211.0</v>
      </c>
      <c r="B212" s="2" t="s">
        <v>43</v>
      </c>
      <c r="C212" s="2" t="s">
        <v>69</v>
      </c>
      <c r="D212" s="13"/>
      <c r="E212" s="13"/>
      <c r="F212" s="44" t="s">
        <v>2676</v>
      </c>
      <c r="G212" s="43">
        <v>2.0</v>
      </c>
      <c r="H212" s="42"/>
      <c r="I212" s="43">
        <v>2.0</v>
      </c>
      <c r="J212" s="22"/>
      <c r="K212" s="42"/>
    </row>
    <row r="213" ht="39.75" customHeight="1">
      <c r="A213" s="1">
        <v>212.0</v>
      </c>
      <c r="B213" s="2" t="s">
        <v>45</v>
      </c>
      <c r="C213" s="2" t="s">
        <v>39</v>
      </c>
      <c r="D213" s="13"/>
      <c r="E213" s="13"/>
      <c r="F213" s="44" t="s">
        <v>2677</v>
      </c>
      <c r="G213" s="43">
        <v>1.0</v>
      </c>
      <c r="H213" s="43">
        <v>1.0</v>
      </c>
      <c r="I213" s="42"/>
      <c r="J213" s="22"/>
      <c r="K213" s="42"/>
    </row>
    <row r="214" ht="39.75" hidden="1" customHeight="1">
      <c r="A214" s="1">
        <v>213.0</v>
      </c>
      <c r="B214" s="2" t="s">
        <v>46</v>
      </c>
      <c r="C214" s="2" t="s">
        <v>58</v>
      </c>
      <c r="D214" s="13"/>
      <c r="E214" s="13"/>
      <c r="F214" s="45"/>
      <c r="G214" s="42"/>
      <c r="H214" s="42"/>
      <c r="I214" s="42"/>
      <c r="J214" s="22"/>
      <c r="K214" s="42"/>
    </row>
    <row r="215" ht="39.75" customHeight="1">
      <c r="A215" s="1">
        <v>214.0</v>
      </c>
      <c r="B215" s="2" t="s">
        <v>47</v>
      </c>
      <c r="C215" s="13"/>
      <c r="D215" s="13"/>
      <c r="E215" s="13"/>
      <c r="F215" s="44" t="s">
        <v>1204</v>
      </c>
      <c r="G215" s="43">
        <v>1.0</v>
      </c>
      <c r="H215" s="42"/>
      <c r="I215" s="43">
        <v>1.0</v>
      </c>
      <c r="J215" s="22"/>
      <c r="K215" s="42"/>
    </row>
    <row r="216" ht="39.75" hidden="1" customHeight="1">
      <c r="A216" s="1">
        <v>215.0</v>
      </c>
      <c r="B216" s="2" t="s">
        <v>48</v>
      </c>
      <c r="C216" s="2" t="s">
        <v>66</v>
      </c>
      <c r="D216" s="13"/>
      <c r="E216" s="13"/>
      <c r="F216" s="45"/>
      <c r="G216" s="42"/>
      <c r="H216" s="42"/>
      <c r="I216" s="42"/>
      <c r="J216" s="22"/>
      <c r="K216" s="42"/>
    </row>
    <row r="217" ht="39.75" customHeight="1">
      <c r="A217" s="1">
        <v>216.0</v>
      </c>
      <c r="B217" s="21"/>
      <c r="C217" s="21"/>
      <c r="D217" s="21"/>
      <c r="E217" s="21"/>
      <c r="F217" s="46"/>
      <c r="G217" s="47"/>
      <c r="H217" s="47"/>
      <c r="I217" s="47"/>
      <c r="J217" s="48"/>
      <c r="K217" s="47"/>
      <c r="L217" s="49"/>
      <c r="M217" s="49"/>
      <c r="N217" s="49"/>
    </row>
    <row r="218" ht="39.75" customHeight="1">
      <c r="A218" s="1">
        <v>217.0</v>
      </c>
      <c r="B218" s="2" t="s">
        <v>12</v>
      </c>
      <c r="C218" s="2" t="s">
        <v>62</v>
      </c>
      <c r="D218" s="13"/>
      <c r="E218" s="13"/>
      <c r="F218" s="45"/>
      <c r="G218" s="42"/>
      <c r="H218" s="42"/>
      <c r="I218" s="42"/>
      <c r="J218" s="27" t="s">
        <v>2570</v>
      </c>
      <c r="K218" s="42"/>
      <c r="L218" s="15" t="s">
        <v>175</v>
      </c>
    </row>
    <row r="219" ht="39.75" customHeight="1">
      <c r="A219" s="1">
        <v>218.0</v>
      </c>
      <c r="B219" s="2" t="s">
        <v>16</v>
      </c>
      <c r="C219" s="2"/>
      <c r="D219" s="13"/>
      <c r="E219" s="51">
        <v>0.7916666666666666</v>
      </c>
      <c r="F219" s="44" t="s">
        <v>2678</v>
      </c>
      <c r="G219" s="43">
        <v>2.0</v>
      </c>
      <c r="H219" s="42"/>
      <c r="I219" s="42"/>
      <c r="J219" s="27" t="s">
        <v>175</v>
      </c>
      <c r="K219" s="43"/>
    </row>
    <row r="220" ht="39.75" customHeight="1">
      <c r="A220" s="1">
        <v>219.0</v>
      </c>
      <c r="B220" s="2" t="s">
        <v>116</v>
      </c>
      <c r="C220" s="2" t="s">
        <v>69</v>
      </c>
      <c r="D220" s="13"/>
      <c r="E220" s="13"/>
      <c r="F220" s="87" t="s">
        <v>2679</v>
      </c>
      <c r="G220" s="43">
        <v>1.0</v>
      </c>
      <c r="H220" s="42"/>
      <c r="I220" s="42"/>
      <c r="J220" s="27" t="s">
        <v>95</v>
      </c>
      <c r="K220" s="42"/>
    </row>
    <row r="221" ht="39.75" customHeight="1">
      <c r="A221" s="1">
        <v>220.0</v>
      </c>
      <c r="B221" s="2" t="s">
        <v>17</v>
      </c>
      <c r="C221" s="2"/>
      <c r="D221" s="13"/>
      <c r="E221" s="13"/>
      <c r="F221" s="44" t="s">
        <v>2680</v>
      </c>
      <c r="G221" s="43">
        <v>1.0</v>
      </c>
      <c r="H221" s="42"/>
      <c r="I221" s="42"/>
      <c r="J221" s="22"/>
      <c r="K221" s="42"/>
    </row>
    <row r="222" ht="39.75" hidden="1" customHeight="1">
      <c r="A222" s="1">
        <v>221.0</v>
      </c>
      <c r="B222" s="2" t="s">
        <v>331</v>
      </c>
      <c r="C222" s="2" t="s">
        <v>58</v>
      </c>
      <c r="D222" s="13"/>
      <c r="E222" s="13"/>
      <c r="F222" s="44"/>
      <c r="G222" s="42"/>
      <c r="H222" s="42"/>
      <c r="I222" s="42"/>
      <c r="J222" s="22"/>
      <c r="K222" s="42"/>
    </row>
    <row r="223" ht="39.75" customHeight="1">
      <c r="A223" s="1">
        <v>222.0</v>
      </c>
      <c r="B223" s="2" t="s">
        <v>21</v>
      </c>
      <c r="C223" s="2" t="s">
        <v>63</v>
      </c>
      <c r="D223" s="13"/>
      <c r="E223" s="13"/>
      <c r="F223" s="45"/>
      <c r="G223" s="42"/>
      <c r="H223" s="42"/>
      <c r="I223" s="42"/>
      <c r="J223" s="22"/>
      <c r="K223" s="42"/>
    </row>
    <row r="224" ht="39.75" hidden="1" customHeight="1">
      <c r="A224" s="1">
        <v>223.0</v>
      </c>
      <c r="B224" s="2" t="s">
        <v>22</v>
      </c>
      <c r="C224" s="2" t="s">
        <v>66</v>
      </c>
      <c r="D224" s="13"/>
      <c r="E224" s="13"/>
      <c r="F224" s="45"/>
      <c r="G224" s="42"/>
      <c r="H224" s="42"/>
      <c r="I224" s="42"/>
      <c r="J224" s="22"/>
      <c r="K224" s="42"/>
    </row>
    <row r="225" ht="39.75" customHeight="1">
      <c r="A225" s="1">
        <v>224.0</v>
      </c>
      <c r="B225" s="2" t="s">
        <v>23</v>
      </c>
      <c r="C225" s="2" t="s">
        <v>27</v>
      </c>
      <c r="D225" s="13"/>
      <c r="E225" s="13"/>
      <c r="F225" s="44" t="s">
        <v>2681</v>
      </c>
      <c r="G225" s="43">
        <v>2.0</v>
      </c>
      <c r="H225" s="42"/>
      <c r="I225" s="43">
        <v>2.0</v>
      </c>
      <c r="J225" s="22"/>
      <c r="K225" s="42"/>
    </row>
    <row r="226" ht="39.75" customHeight="1">
      <c r="A226" s="1">
        <v>225.0</v>
      </c>
      <c r="B226" s="2" t="s">
        <v>24</v>
      </c>
      <c r="C226" s="2"/>
      <c r="D226" s="13"/>
      <c r="E226" s="13"/>
      <c r="F226" s="44"/>
      <c r="G226" s="42"/>
      <c r="H226" s="42"/>
      <c r="I226" s="42"/>
      <c r="J226" s="22"/>
      <c r="K226" s="42"/>
    </row>
    <row r="227" ht="39.75" customHeight="1">
      <c r="A227" s="1">
        <v>226.0</v>
      </c>
      <c r="B227" s="2" t="s">
        <v>25</v>
      </c>
      <c r="C227" s="2" t="s">
        <v>54</v>
      </c>
      <c r="D227" s="13"/>
      <c r="E227" s="13"/>
      <c r="F227" s="44" t="s">
        <v>2682</v>
      </c>
      <c r="G227" s="43">
        <v>3.0</v>
      </c>
      <c r="H227" s="42"/>
      <c r="I227" s="42"/>
      <c r="J227" s="22"/>
      <c r="K227" s="42"/>
    </row>
    <row r="228" ht="39.75" customHeight="1">
      <c r="A228" s="1">
        <v>227.0</v>
      </c>
      <c r="B228" s="2" t="s">
        <v>26</v>
      </c>
      <c r="C228" s="2" t="s">
        <v>54</v>
      </c>
      <c r="D228" s="13"/>
      <c r="E228" s="13"/>
      <c r="F228" s="44" t="s">
        <v>2683</v>
      </c>
      <c r="G228" s="43">
        <v>2.0</v>
      </c>
      <c r="H228" s="42"/>
      <c r="I228" s="43">
        <v>2.0</v>
      </c>
      <c r="J228" s="22"/>
      <c r="K228" s="42"/>
    </row>
    <row r="229" ht="39.75" customHeight="1">
      <c r="A229" s="1">
        <v>228.0</v>
      </c>
      <c r="B229" s="2" t="s">
        <v>29</v>
      </c>
      <c r="C229" s="2" t="s">
        <v>54</v>
      </c>
      <c r="D229" s="13"/>
      <c r="E229" s="51">
        <v>0.8229166666666666</v>
      </c>
      <c r="F229" s="44" t="s">
        <v>2684</v>
      </c>
      <c r="G229" s="43">
        <v>2.0</v>
      </c>
      <c r="H229" s="42"/>
      <c r="I229" s="43">
        <v>2.0</v>
      </c>
      <c r="J229" s="22"/>
      <c r="K229" s="42"/>
    </row>
    <row r="230" ht="39.75" customHeight="1">
      <c r="A230" s="1">
        <v>229.0</v>
      </c>
      <c r="B230" s="2" t="s">
        <v>30</v>
      </c>
      <c r="C230" s="2" t="s">
        <v>64</v>
      </c>
      <c r="D230" s="13"/>
      <c r="E230" s="13"/>
      <c r="F230" s="44" t="s">
        <v>2592</v>
      </c>
      <c r="G230" s="43">
        <v>1.0</v>
      </c>
      <c r="H230" s="42"/>
      <c r="I230" s="43">
        <v>1.0</v>
      </c>
      <c r="J230" s="22"/>
      <c r="K230" s="42"/>
    </row>
    <row r="231" ht="39.75" customHeight="1">
      <c r="A231" s="1">
        <v>230.0</v>
      </c>
      <c r="B231" s="2" t="s">
        <v>31</v>
      </c>
      <c r="C231" s="2"/>
      <c r="D231" s="13"/>
      <c r="E231" s="13"/>
      <c r="F231" s="44" t="s">
        <v>2685</v>
      </c>
      <c r="G231" s="43">
        <v>1.0</v>
      </c>
      <c r="H231" s="42"/>
      <c r="I231" s="42"/>
      <c r="J231" s="22"/>
      <c r="K231" s="42"/>
    </row>
    <row r="232" ht="39.75" customHeight="1">
      <c r="A232" s="1">
        <v>231.0</v>
      </c>
      <c r="B232" s="2" t="s">
        <v>32</v>
      </c>
      <c r="C232" s="2" t="s">
        <v>69</v>
      </c>
      <c r="D232" s="40">
        <v>0.6666666666666666</v>
      </c>
      <c r="E232" s="40">
        <v>0.9027777777777778</v>
      </c>
      <c r="F232" s="44" t="s">
        <v>2686</v>
      </c>
      <c r="G232" s="43">
        <v>2.0</v>
      </c>
      <c r="H232" s="42"/>
      <c r="I232" s="43">
        <v>1.0</v>
      </c>
      <c r="J232" s="22"/>
      <c r="K232" s="42"/>
    </row>
    <row r="233" ht="39.75" customHeight="1">
      <c r="A233" s="1">
        <v>232.0</v>
      </c>
      <c r="B233" s="2" t="s">
        <v>67</v>
      </c>
      <c r="C233" s="2" t="s">
        <v>7</v>
      </c>
      <c r="D233" s="13"/>
      <c r="E233" s="13"/>
      <c r="F233" s="44" t="s">
        <v>2655</v>
      </c>
      <c r="G233" s="43">
        <v>1.0</v>
      </c>
      <c r="H233" s="43">
        <v>1.0</v>
      </c>
      <c r="I233" s="42"/>
      <c r="J233" s="22"/>
      <c r="K233" s="42"/>
    </row>
    <row r="234" ht="39.75" customHeight="1">
      <c r="A234" s="1">
        <v>233.0</v>
      </c>
      <c r="B234" s="2" t="s">
        <v>35</v>
      </c>
      <c r="C234" s="2" t="s">
        <v>69</v>
      </c>
      <c r="D234" s="13"/>
      <c r="E234" s="13"/>
      <c r="F234" s="44" t="s">
        <v>2687</v>
      </c>
      <c r="G234" s="43">
        <v>1.0</v>
      </c>
      <c r="H234" s="42"/>
      <c r="I234" s="43">
        <v>1.0</v>
      </c>
      <c r="J234" s="22"/>
      <c r="K234" s="42"/>
    </row>
    <row r="235" ht="39.75" customHeight="1">
      <c r="A235" s="1">
        <v>234.0</v>
      </c>
      <c r="B235" s="2" t="s">
        <v>36</v>
      </c>
      <c r="C235" s="2" t="s">
        <v>54</v>
      </c>
      <c r="D235" s="13"/>
      <c r="E235" s="51">
        <v>0.8055555555555556</v>
      </c>
      <c r="F235" s="44" t="s">
        <v>2688</v>
      </c>
      <c r="G235" s="43">
        <v>1.0</v>
      </c>
      <c r="H235" s="42"/>
      <c r="I235" s="43">
        <v>1.0</v>
      </c>
      <c r="J235" s="22"/>
      <c r="K235" s="42"/>
    </row>
    <row r="236" ht="39.75" hidden="1" customHeight="1">
      <c r="A236" s="1">
        <v>235.0</v>
      </c>
      <c r="B236" s="2" t="s">
        <v>38</v>
      </c>
      <c r="C236" s="2" t="s">
        <v>58</v>
      </c>
      <c r="D236" s="13"/>
      <c r="E236" s="13"/>
      <c r="F236" s="45"/>
      <c r="G236" s="42"/>
      <c r="H236" s="42"/>
      <c r="I236" s="42"/>
      <c r="J236" s="22"/>
      <c r="K236" s="42"/>
    </row>
    <row r="237" ht="39.75" hidden="1" customHeight="1">
      <c r="A237" s="1">
        <v>236.0</v>
      </c>
      <c r="B237" s="2" t="s">
        <v>41</v>
      </c>
      <c r="C237" s="2" t="s">
        <v>58</v>
      </c>
      <c r="D237" s="13"/>
      <c r="E237" s="13"/>
      <c r="F237" s="45"/>
      <c r="G237" s="42"/>
      <c r="H237" s="42"/>
      <c r="I237" s="42"/>
      <c r="J237" s="22"/>
      <c r="K237" s="42"/>
    </row>
    <row r="238" ht="39.75" customHeight="1">
      <c r="A238" s="1">
        <v>237.0</v>
      </c>
      <c r="B238" s="2" t="s">
        <v>42</v>
      </c>
      <c r="C238" s="2" t="s">
        <v>44</v>
      </c>
      <c r="D238" s="13"/>
      <c r="E238" s="13"/>
      <c r="F238" s="45"/>
      <c r="G238" s="42"/>
      <c r="H238" s="42"/>
      <c r="I238" s="42"/>
      <c r="J238" s="22"/>
      <c r="K238" s="42"/>
    </row>
    <row r="239" ht="39.75" customHeight="1">
      <c r="A239" s="1">
        <v>238.0</v>
      </c>
      <c r="B239" s="2" t="s">
        <v>43</v>
      </c>
      <c r="C239" s="2"/>
      <c r="D239" s="13"/>
      <c r="E239" s="13"/>
      <c r="F239" s="44" t="s">
        <v>2689</v>
      </c>
      <c r="G239" s="43">
        <v>1.0</v>
      </c>
      <c r="H239" s="42"/>
      <c r="I239" s="43">
        <v>1.0</v>
      </c>
      <c r="J239" s="22"/>
      <c r="K239" s="42"/>
    </row>
    <row r="240" ht="39.75" customHeight="1">
      <c r="A240" s="1">
        <v>239.0</v>
      </c>
      <c r="B240" s="2" t="s">
        <v>45</v>
      </c>
      <c r="C240" s="2" t="s">
        <v>39</v>
      </c>
      <c r="D240" s="13"/>
      <c r="E240" s="13"/>
      <c r="F240" s="44" t="s">
        <v>2690</v>
      </c>
      <c r="G240" s="43">
        <v>2.0</v>
      </c>
      <c r="H240" s="42"/>
      <c r="I240" s="43">
        <v>1.0</v>
      </c>
      <c r="J240" s="22"/>
      <c r="K240" s="42"/>
    </row>
    <row r="241" ht="39.75" customHeight="1">
      <c r="A241" s="1">
        <v>240.0</v>
      </c>
      <c r="B241" s="2" t="s">
        <v>46</v>
      </c>
      <c r="C241" s="2" t="s">
        <v>39</v>
      </c>
      <c r="D241" s="13"/>
      <c r="E241" s="13"/>
      <c r="F241" s="44" t="s">
        <v>2691</v>
      </c>
      <c r="G241" s="43">
        <v>1.0</v>
      </c>
      <c r="H241" s="42"/>
      <c r="I241" s="43">
        <v>1.0</v>
      </c>
      <c r="J241" s="22"/>
      <c r="K241" s="42"/>
    </row>
    <row r="242" ht="39.75" customHeight="1">
      <c r="A242" s="1">
        <v>241.0</v>
      </c>
      <c r="B242" s="2" t="s">
        <v>47</v>
      </c>
      <c r="C242" s="13"/>
      <c r="D242" s="13"/>
      <c r="E242" s="13"/>
      <c r="F242" s="44" t="s">
        <v>2692</v>
      </c>
      <c r="G242" s="43">
        <v>1.0</v>
      </c>
      <c r="H242" s="42"/>
      <c r="I242" s="42"/>
      <c r="J242" s="22"/>
      <c r="K242" s="42"/>
    </row>
    <row r="243" ht="39.75" customHeight="1">
      <c r="A243" s="1">
        <v>242.0</v>
      </c>
      <c r="B243" s="2" t="s">
        <v>48</v>
      </c>
      <c r="C243" s="13"/>
      <c r="D243" s="13"/>
      <c r="E243" s="13"/>
      <c r="F243" s="44" t="s">
        <v>2693</v>
      </c>
      <c r="G243" s="43">
        <v>1.0</v>
      </c>
      <c r="H243" s="42"/>
      <c r="I243" s="42"/>
      <c r="J243" s="22"/>
      <c r="K243" s="42"/>
    </row>
    <row r="244" ht="39.75" customHeight="1">
      <c r="A244" s="1">
        <v>243.0</v>
      </c>
      <c r="B244" s="21"/>
      <c r="C244" s="21"/>
      <c r="D244" s="21"/>
      <c r="E244" s="21"/>
      <c r="F244" s="46"/>
      <c r="G244" s="47"/>
      <c r="H244" s="47"/>
      <c r="I244" s="47"/>
      <c r="J244" s="48"/>
      <c r="K244" s="47"/>
      <c r="L244" s="49"/>
      <c r="M244" s="49"/>
      <c r="N244" s="49"/>
    </row>
    <row r="245" ht="39.75" customHeight="1">
      <c r="A245" s="1">
        <v>244.0</v>
      </c>
      <c r="B245" s="2" t="s">
        <v>12</v>
      </c>
      <c r="C245" s="2" t="s">
        <v>62</v>
      </c>
      <c r="D245" s="13"/>
      <c r="E245" s="13"/>
      <c r="F245" s="44" t="s">
        <v>2011</v>
      </c>
      <c r="G245" s="43">
        <v>1.0</v>
      </c>
      <c r="H245" s="42"/>
      <c r="I245" s="43">
        <v>1.0</v>
      </c>
      <c r="J245" s="27" t="s">
        <v>2570</v>
      </c>
      <c r="K245" s="42"/>
      <c r="L245" s="15" t="s">
        <v>192</v>
      </c>
    </row>
    <row r="246" ht="39.75" customHeight="1">
      <c r="A246" s="1">
        <v>245.0</v>
      </c>
      <c r="B246" s="2" t="s">
        <v>16</v>
      </c>
      <c r="C246" s="2" t="s">
        <v>39</v>
      </c>
      <c r="D246" s="13"/>
      <c r="E246" s="13"/>
      <c r="F246" s="44" t="s">
        <v>2694</v>
      </c>
      <c r="G246" s="43">
        <v>1.0</v>
      </c>
      <c r="H246" s="42"/>
      <c r="I246" s="43">
        <v>1.0</v>
      </c>
      <c r="J246" s="27" t="s">
        <v>192</v>
      </c>
      <c r="K246" s="43"/>
    </row>
    <row r="247" ht="39.75" customHeight="1">
      <c r="A247" s="1">
        <v>246.0</v>
      </c>
      <c r="B247" s="2" t="s">
        <v>116</v>
      </c>
      <c r="C247" s="2"/>
      <c r="D247" s="13"/>
      <c r="E247" s="13"/>
      <c r="F247" s="44" t="s">
        <v>2695</v>
      </c>
      <c r="G247" s="43">
        <v>1.0</v>
      </c>
      <c r="H247" s="42"/>
      <c r="I247" s="43">
        <v>1.0</v>
      </c>
      <c r="J247" s="27" t="s">
        <v>111</v>
      </c>
      <c r="K247" s="42"/>
    </row>
    <row r="248" ht="39.75" customHeight="1">
      <c r="A248" s="1">
        <v>247.0</v>
      </c>
      <c r="B248" s="2" t="s">
        <v>17</v>
      </c>
      <c r="C248" s="2" t="s">
        <v>39</v>
      </c>
      <c r="D248" s="53">
        <v>0.22916666666666666</v>
      </c>
      <c r="E248" s="13"/>
      <c r="F248" s="44" t="s">
        <v>2696</v>
      </c>
      <c r="G248" s="43">
        <v>2.0</v>
      </c>
      <c r="H248" s="42"/>
      <c r="I248" s="43">
        <v>1.0</v>
      </c>
      <c r="J248" s="22"/>
      <c r="K248" s="42"/>
    </row>
    <row r="249" ht="39.75" customHeight="1">
      <c r="A249" s="1">
        <v>248.0</v>
      </c>
      <c r="B249" s="2" t="s">
        <v>331</v>
      </c>
      <c r="C249" s="2" t="s">
        <v>542</v>
      </c>
      <c r="D249" s="13"/>
      <c r="E249" s="13"/>
      <c r="F249" s="44" t="s">
        <v>2697</v>
      </c>
      <c r="G249" s="43">
        <v>1.0</v>
      </c>
      <c r="H249" s="42"/>
      <c r="I249" s="42"/>
      <c r="J249" s="22"/>
      <c r="K249" s="42"/>
    </row>
    <row r="250" ht="39.75" customHeight="1">
      <c r="A250" s="1">
        <v>249.0</v>
      </c>
      <c r="B250" s="2" t="s">
        <v>21</v>
      </c>
      <c r="C250" s="2" t="s">
        <v>63</v>
      </c>
      <c r="D250" s="13"/>
      <c r="E250" s="13"/>
      <c r="F250" s="45"/>
      <c r="G250" s="42"/>
      <c r="H250" s="42"/>
      <c r="I250" s="42"/>
      <c r="J250" s="22"/>
      <c r="K250" s="42"/>
    </row>
    <row r="251" ht="39.75" customHeight="1">
      <c r="A251" s="1">
        <v>250.0</v>
      </c>
      <c r="B251" s="2" t="s">
        <v>22</v>
      </c>
      <c r="C251" s="2" t="s">
        <v>69</v>
      </c>
      <c r="D251" s="13"/>
      <c r="E251" s="13"/>
      <c r="F251" s="45"/>
      <c r="G251" s="42"/>
      <c r="H251" s="42"/>
      <c r="I251" s="42"/>
      <c r="J251" s="22"/>
      <c r="K251" s="42"/>
    </row>
    <row r="252" ht="39.75" customHeight="1">
      <c r="A252" s="1">
        <v>251.0</v>
      </c>
      <c r="B252" s="2" t="s">
        <v>23</v>
      </c>
      <c r="C252" s="2" t="s">
        <v>44</v>
      </c>
      <c r="D252" s="13"/>
      <c r="E252" s="13"/>
      <c r="F252" s="45"/>
      <c r="G252" s="42"/>
      <c r="H252" s="42"/>
      <c r="I252" s="42"/>
      <c r="J252" s="22"/>
      <c r="K252" s="42"/>
    </row>
    <row r="253" ht="39.75" hidden="1" customHeight="1">
      <c r="A253" s="1">
        <v>252.0</v>
      </c>
      <c r="B253" s="2" t="s">
        <v>24</v>
      </c>
      <c r="C253" s="2" t="s">
        <v>58</v>
      </c>
      <c r="D253" s="13"/>
      <c r="E253" s="13"/>
      <c r="F253" s="45"/>
      <c r="G253" s="42"/>
      <c r="H253" s="42"/>
      <c r="I253" s="42"/>
      <c r="J253" s="22"/>
      <c r="K253" s="42"/>
    </row>
    <row r="254" ht="39.75" customHeight="1">
      <c r="A254" s="1">
        <v>253.0</v>
      </c>
      <c r="B254" s="2" t="s">
        <v>25</v>
      </c>
      <c r="C254" s="2" t="s">
        <v>54</v>
      </c>
      <c r="D254" s="13"/>
      <c r="E254" s="13"/>
      <c r="F254" s="44" t="s">
        <v>2698</v>
      </c>
      <c r="G254" s="43">
        <v>1.0</v>
      </c>
      <c r="H254" s="42"/>
      <c r="I254" s="42"/>
      <c r="J254" s="22"/>
      <c r="K254" s="42"/>
    </row>
    <row r="255" ht="39.75" hidden="1" customHeight="1">
      <c r="A255" s="1">
        <v>254.0</v>
      </c>
      <c r="B255" s="2" t="s">
        <v>26</v>
      </c>
      <c r="C255" s="2" t="s">
        <v>58</v>
      </c>
      <c r="D255" s="13"/>
      <c r="E255" s="13"/>
      <c r="F255" s="45"/>
      <c r="G255" s="42"/>
      <c r="H255" s="42"/>
      <c r="I255" s="42"/>
      <c r="J255" s="22"/>
      <c r="K255" s="42"/>
    </row>
    <row r="256" ht="39.75" customHeight="1">
      <c r="A256" s="1">
        <v>255.0</v>
      </c>
      <c r="B256" s="2" t="s">
        <v>29</v>
      </c>
      <c r="C256" s="2" t="s">
        <v>54</v>
      </c>
      <c r="D256" s="53">
        <v>0.1875</v>
      </c>
      <c r="E256" s="13"/>
      <c r="F256" s="44" t="s">
        <v>2699</v>
      </c>
      <c r="G256" s="43">
        <v>2.0</v>
      </c>
      <c r="H256" s="42"/>
      <c r="I256" s="43">
        <v>1.0</v>
      </c>
      <c r="J256" s="22"/>
      <c r="K256" s="42"/>
    </row>
    <row r="257" ht="39.75" customHeight="1">
      <c r="A257" s="1">
        <v>256.0</v>
      </c>
      <c r="B257" s="2" t="s">
        <v>30</v>
      </c>
      <c r="C257" s="2" t="s">
        <v>64</v>
      </c>
      <c r="D257" s="13"/>
      <c r="E257" s="13"/>
      <c r="F257" s="44" t="s">
        <v>2592</v>
      </c>
      <c r="G257" s="43">
        <v>1.0</v>
      </c>
      <c r="H257" s="42"/>
      <c r="I257" s="43">
        <v>1.0</v>
      </c>
      <c r="J257" s="22"/>
      <c r="K257" s="42"/>
    </row>
    <row r="258" ht="39.75" hidden="1" customHeight="1">
      <c r="A258" s="1">
        <v>257.0</v>
      </c>
      <c r="B258" s="2" t="s">
        <v>31</v>
      </c>
      <c r="C258" s="2" t="s">
        <v>58</v>
      </c>
      <c r="D258" s="13"/>
      <c r="E258" s="13"/>
      <c r="F258" s="45"/>
      <c r="G258" s="42"/>
      <c r="H258" s="42"/>
      <c r="I258" s="42"/>
      <c r="J258" s="22"/>
      <c r="K258" s="42"/>
    </row>
    <row r="259" ht="39.75" customHeight="1">
      <c r="A259" s="1">
        <v>258.0</v>
      </c>
      <c r="B259" s="2" t="s">
        <v>32</v>
      </c>
      <c r="C259" s="2"/>
      <c r="D259" s="13"/>
      <c r="E259" s="13"/>
      <c r="F259" s="44" t="s">
        <v>2700</v>
      </c>
      <c r="G259" s="43">
        <v>1.0</v>
      </c>
      <c r="H259" s="42"/>
      <c r="I259" s="42"/>
      <c r="J259" s="22"/>
      <c r="K259" s="42"/>
    </row>
    <row r="260" ht="39.75" customHeight="1">
      <c r="A260" s="1">
        <v>259.0</v>
      </c>
      <c r="B260" s="2" t="s">
        <v>67</v>
      </c>
      <c r="C260" s="2" t="s">
        <v>7</v>
      </c>
      <c r="D260" s="13"/>
      <c r="E260" s="13"/>
      <c r="F260" s="44" t="s">
        <v>2655</v>
      </c>
      <c r="G260" s="43">
        <v>1.0</v>
      </c>
      <c r="H260" s="43">
        <v>1.0</v>
      </c>
      <c r="I260" s="42"/>
      <c r="J260" s="22"/>
      <c r="K260" s="42"/>
    </row>
    <row r="261" ht="39.75" customHeight="1">
      <c r="A261" s="1">
        <v>260.0</v>
      </c>
      <c r="B261" s="2" t="s">
        <v>35</v>
      </c>
      <c r="C261" s="2" t="s">
        <v>27</v>
      </c>
      <c r="D261" s="13"/>
      <c r="E261" s="13"/>
      <c r="F261" s="44" t="s">
        <v>2701</v>
      </c>
      <c r="G261" s="43">
        <v>1.0</v>
      </c>
      <c r="H261" s="42"/>
      <c r="I261" s="43">
        <v>1.0</v>
      </c>
      <c r="J261" s="22"/>
      <c r="K261" s="42"/>
    </row>
    <row r="262" ht="39.75" customHeight="1">
      <c r="A262" s="1">
        <v>261.0</v>
      </c>
      <c r="B262" s="2" t="s">
        <v>36</v>
      </c>
      <c r="C262" s="2" t="s">
        <v>54</v>
      </c>
      <c r="D262" s="13"/>
      <c r="E262" s="13"/>
      <c r="F262" s="44" t="s">
        <v>2702</v>
      </c>
      <c r="G262" s="43">
        <v>1.0</v>
      </c>
      <c r="H262" s="42"/>
      <c r="I262" s="42"/>
      <c r="J262" s="22"/>
      <c r="K262" s="42"/>
    </row>
    <row r="263" ht="39.75" customHeight="1">
      <c r="A263" s="1">
        <v>262.0</v>
      </c>
      <c r="B263" s="2" t="s">
        <v>38</v>
      </c>
      <c r="C263" s="2" t="s">
        <v>54</v>
      </c>
      <c r="D263" s="13"/>
      <c r="E263" s="51">
        <v>0.8125</v>
      </c>
      <c r="F263" s="44" t="s">
        <v>2703</v>
      </c>
      <c r="G263" s="43">
        <v>3.0</v>
      </c>
      <c r="H263" s="42"/>
      <c r="I263" s="43">
        <v>2.0</v>
      </c>
      <c r="J263" s="22"/>
      <c r="K263" s="42"/>
    </row>
    <row r="264" ht="39.75" hidden="1" customHeight="1">
      <c r="A264" s="1">
        <v>263.0</v>
      </c>
      <c r="B264" s="2" t="s">
        <v>41</v>
      </c>
      <c r="C264" s="2" t="s">
        <v>58</v>
      </c>
      <c r="D264" s="13"/>
      <c r="E264" s="13"/>
      <c r="F264" s="45"/>
      <c r="G264" s="42"/>
      <c r="H264" s="42"/>
      <c r="I264" s="42"/>
      <c r="J264" s="22"/>
      <c r="K264" s="42"/>
    </row>
    <row r="265" ht="39.75" customHeight="1">
      <c r="A265" s="1">
        <v>264.0</v>
      </c>
      <c r="B265" s="2" t="s">
        <v>42</v>
      </c>
      <c r="C265" s="2" t="s">
        <v>69</v>
      </c>
      <c r="D265" s="13"/>
      <c r="E265" s="13"/>
      <c r="F265" s="44" t="s">
        <v>2704</v>
      </c>
      <c r="G265" s="43">
        <v>1.0</v>
      </c>
      <c r="H265" s="42"/>
      <c r="I265" s="43">
        <v>1.0</v>
      </c>
      <c r="J265" s="22"/>
      <c r="K265" s="42"/>
    </row>
    <row r="266" ht="39.75" customHeight="1">
      <c r="A266" s="1">
        <v>265.0</v>
      </c>
      <c r="B266" s="2" t="s">
        <v>43</v>
      </c>
      <c r="C266" s="2" t="s">
        <v>69</v>
      </c>
      <c r="D266" s="13"/>
      <c r="E266" s="40">
        <v>0.8541666666666666</v>
      </c>
      <c r="F266" s="44" t="s">
        <v>2705</v>
      </c>
      <c r="G266" s="43">
        <v>1.0</v>
      </c>
      <c r="H266" s="42"/>
      <c r="I266" s="43">
        <v>1.0</v>
      </c>
      <c r="J266" s="22"/>
      <c r="K266" s="42"/>
    </row>
    <row r="267" ht="39.75" customHeight="1">
      <c r="A267" s="1">
        <v>266.0</v>
      </c>
      <c r="B267" s="2" t="s">
        <v>45</v>
      </c>
      <c r="C267" s="2"/>
      <c r="D267" s="13"/>
      <c r="E267" s="13"/>
      <c r="F267" s="44" t="s">
        <v>2706</v>
      </c>
      <c r="G267" s="43">
        <v>1.0</v>
      </c>
      <c r="H267" s="42"/>
      <c r="I267" s="42"/>
      <c r="J267" s="22"/>
      <c r="K267" s="42"/>
    </row>
    <row r="268" ht="39.75" hidden="1" customHeight="1">
      <c r="A268" s="1">
        <v>267.0</v>
      </c>
      <c r="B268" s="2" t="s">
        <v>46</v>
      </c>
      <c r="C268" s="2" t="s">
        <v>58</v>
      </c>
      <c r="D268" s="13"/>
      <c r="E268" s="13"/>
      <c r="F268" s="45"/>
      <c r="G268" s="42"/>
      <c r="H268" s="42"/>
      <c r="I268" s="42"/>
      <c r="J268" s="22"/>
      <c r="K268" s="42"/>
    </row>
    <row r="269" ht="39.75" customHeight="1">
      <c r="A269" s="1">
        <v>268.0</v>
      </c>
      <c r="B269" s="2" t="s">
        <v>47</v>
      </c>
      <c r="C269" s="13"/>
      <c r="D269" s="13"/>
      <c r="E269" s="13"/>
      <c r="F269" s="44" t="s">
        <v>2707</v>
      </c>
      <c r="G269" s="43">
        <v>2.0</v>
      </c>
      <c r="H269" s="42"/>
      <c r="I269" s="43">
        <v>2.0</v>
      </c>
      <c r="J269" s="22"/>
      <c r="K269" s="42"/>
    </row>
    <row r="270" ht="39.75" customHeight="1">
      <c r="A270" s="1">
        <v>269.0</v>
      </c>
      <c r="B270" s="2" t="s">
        <v>48</v>
      </c>
      <c r="C270" s="13"/>
      <c r="D270" s="13"/>
      <c r="E270" s="13"/>
      <c r="F270" s="44" t="s">
        <v>2708</v>
      </c>
      <c r="G270" s="43">
        <v>1.0</v>
      </c>
      <c r="H270" s="42"/>
      <c r="I270" s="42"/>
      <c r="J270" s="22"/>
      <c r="K270" s="42"/>
    </row>
    <row r="271" ht="39.75" customHeight="1">
      <c r="A271" s="1">
        <v>270.0</v>
      </c>
      <c r="B271" s="21"/>
      <c r="C271" s="21"/>
      <c r="D271" s="21"/>
      <c r="E271" s="21"/>
      <c r="F271" s="46"/>
      <c r="G271" s="47"/>
      <c r="H271" s="47"/>
      <c r="I271" s="47"/>
      <c r="J271" s="48"/>
      <c r="K271" s="47"/>
      <c r="L271" s="49"/>
      <c r="M271" s="49"/>
      <c r="N271" s="49"/>
    </row>
    <row r="272" ht="39.75" customHeight="1">
      <c r="A272" s="1">
        <v>271.0</v>
      </c>
      <c r="B272" s="2" t="s">
        <v>12</v>
      </c>
      <c r="C272" s="2" t="s">
        <v>62</v>
      </c>
      <c r="D272" s="13"/>
      <c r="E272" s="13"/>
      <c r="F272" s="44" t="s">
        <v>2709</v>
      </c>
      <c r="G272" s="43">
        <v>1.0</v>
      </c>
      <c r="H272" s="42"/>
      <c r="I272" s="43">
        <v>1.0</v>
      </c>
      <c r="J272" s="27" t="s">
        <v>2570</v>
      </c>
      <c r="K272" s="42"/>
      <c r="L272" s="15" t="s">
        <v>209</v>
      </c>
    </row>
    <row r="273" ht="39.75" customHeight="1">
      <c r="A273" s="1">
        <v>272.0</v>
      </c>
      <c r="B273" s="2" t="s">
        <v>16</v>
      </c>
      <c r="C273" s="2" t="s">
        <v>69</v>
      </c>
      <c r="D273" s="13"/>
      <c r="E273" s="13"/>
      <c r="F273" s="44" t="s">
        <v>2710</v>
      </c>
      <c r="G273" s="43">
        <v>2.0</v>
      </c>
      <c r="H273" s="42"/>
      <c r="I273" s="43">
        <v>1.0</v>
      </c>
      <c r="J273" s="27" t="s">
        <v>209</v>
      </c>
      <c r="K273" s="43"/>
    </row>
    <row r="274" ht="39.75" customHeight="1">
      <c r="A274" s="1">
        <v>273.0</v>
      </c>
      <c r="B274" s="2" t="s">
        <v>116</v>
      </c>
      <c r="C274" s="2"/>
      <c r="D274" s="13"/>
      <c r="E274" s="13"/>
      <c r="F274" s="44" t="s">
        <v>2711</v>
      </c>
      <c r="G274" s="43">
        <v>1.0</v>
      </c>
      <c r="H274" s="42"/>
      <c r="I274" s="43">
        <v>1.0</v>
      </c>
      <c r="J274" s="27" t="s">
        <v>131</v>
      </c>
      <c r="K274" s="42"/>
    </row>
    <row r="275" ht="39.75" customHeight="1">
      <c r="A275" s="1">
        <v>274.0</v>
      </c>
      <c r="B275" s="2" t="s">
        <v>17</v>
      </c>
      <c r="C275" s="2"/>
      <c r="D275" s="13"/>
      <c r="E275" s="13"/>
      <c r="F275" s="44" t="s">
        <v>2712</v>
      </c>
      <c r="G275" s="43">
        <v>2.0</v>
      </c>
      <c r="H275" s="42"/>
      <c r="I275" s="43">
        <v>2.0</v>
      </c>
      <c r="J275" s="22"/>
      <c r="K275" s="42"/>
    </row>
    <row r="276" ht="39.75" customHeight="1">
      <c r="A276" s="1">
        <v>275.0</v>
      </c>
      <c r="B276" s="2" t="s">
        <v>331</v>
      </c>
      <c r="C276" s="2" t="s">
        <v>542</v>
      </c>
      <c r="D276" s="13"/>
      <c r="E276" s="13"/>
      <c r="F276" s="44"/>
      <c r="G276" s="42"/>
      <c r="H276" s="42"/>
      <c r="I276" s="42"/>
      <c r="J276" s="22"/>
      <c r="K276" s="42"/>
    </row>
    <row r="277" ht="39.75" customHeight="1">
      <c r="A277" s="1">
        <v>276.0</v>
      </c>
      <c r="B277" s="2" t="s">
        <v>21</v>
      </c>
      <c r="C277" s="2" t="s">
        <v>63</v>
      </c>
      <c r="D277" s="13"/>
      <c r="E277" s="13"/>
      <c r="F277" s="45"/>
      <c r="G277" s="42"/>
      <c r="H277" s="42"/>
      <c r="I277" s="42"/>
      <c r="J277" s="22"/>
      <c r="K277" s="42"/>
    </row>
    <row r="278" ht="39.75" customHeight="1">
      <c r="A278" s="1">
        <v>277.0</v>
      </c>
      <c r="B278" s="2" t="s">
        <v>22</v>
      </c>
      <c r="C278" s="2" t="s">
        <v>39</v>
      </c>
      <c r="D278" s="13"/>
      <c r="E278" s="13"/>
      <c r="F278" s="85" t="s">
        <v>2713</v>
      </c>
      <c r="G278" s="43">
        <v>1.0</v>
      </c>
      <c r="H278" s="42"/>
      <c r="I278" s="43">
        <v>1.0</v>
      </c>
      <c r="J278" s="22"/>
      <c r="K278" s="42"/>
    </row>
    <row r="279" ht="39.75" customHeight="1">
      <c r="A279" s="1">
        <v>278.0</v>
      </c>
      <c r="B279" s="2" t="s">
        <v>23</v>
      </c>
      <c r="C279" s="2"/>
      <c r="D279" s="13"/>
      <c r="E279" s="13"/>
      <c r="F279" s="44" t="s">
        <v>1204</v>
      </c>
      <c r="G279" s="43">
        <v>1.0</v>
      </c>
      <c r="H279" s="42"/>
      <c r="I279" s="43">
        <v>1.0</v>
      </c>
      <c r="J279" s="22"/>
      <c r="K279" s="42"/>
    </row>
    <row r="280" ht="39.75" hidden="1" customHeight="1">
      <c r="A280" s="1">
        <v>279.0</v>
      </c>
      <c r="B280" s="2" t="s">
        <v>24</v>
      </c>
      <c r="C280" s="2" t="s">
        <v>58</v>
      </c>
      <c r="D280" s="13"/>
      <c r="E280" s="13"/>
      <c r="F280" s="45"/>
      <c r="G280" s="42"/>
      <c r="H280" s="42"/>
      <c r="I280" s="42"/>
      <c r="J280" s="22"/>
      <c r="K280" s="42"/>
    </row>
    <row r="281" ht="39.75" customHeight="1">
      <c r="A281" s="1">
        <v>280.0</v>
      </c>
      <c r="B281" s="2" t="s">
        <v>25</v>
      </c>
      <c r="C281" s="2" t="s">
        <v>54</v>
      </c>
      <c r="D281" s="13"/>
      <c r="E281" s="13"/>
      <c r="F281" s="44" t="s">
        <v>2714</v>
      </c>
      <c r="G281" s="43">
        <v>1.0</v>
      </c>
      <c r="H281" s="42"/>
      <c r="I281" s="42"/>
      <c r="J281" s="22"/>
      <c r="K281" s="42"/>
    </row>
    <row r="282" ht="39.75" customHeight="1">
      <c r="A282" s="1">
        <v>281.0</v>
      </c>
      <c r="B282" s="2" t="s">
        <v>26</v>
      </c>
      <c r="C282" s="2" t="s">
        <v>27</v>
      </c>
      <c r="D282" s="13"/>
      <c r="E282" s="13"/>
      <c r="F282" s="44" t="s">
        <v>2715</v>
      </c>
      <c r="G282" s="43">
        <v>1.0</v>
      </c>
      <c r="H282" s="42"/>
      <c r="I282" s="43">
        <v>1.0</v>
      </c>
      <c r="J282" s="22"/>
      <c r="K282" s="42"/>
    </row>
    <row r="283" ht="39.75" customHeight="1">
      <c r="A283" s="1">
        <v>282.0</v>
      </c>
      <c r="B283" s="2" t="s">
        <v>29</v>
      </c>
      <c r="C283" s="2" t="s">
        <v>54</v>
      </c>
      <c r="D283" s="13"/>
      <c r="E283" s="13"/>
      <c r="F283" s="44" t="s">
        <v>2716</v>
      </c>
      <c r="G283" s="43">
        <v>1.0</v>
      </c>
      <c r="H283" s="42"/>
      <c r="I283" s="43">
        <v>1.0</v>
      </c>
      <c r="J283" s="22"/>
      <c r="K283" s="42"/>
    </row>
    <row r="284" ht="39.75" customHeight="1">
      <c r="A284" s="1">
        <v>283.0</v>
      </c>
      <c r="B284" s="2" t="s">
        <v>30</v>
      </c>
      <c r="C284" s="2" t="s">
        <v>64</v>
      </c>
      <c r="D284" s="13"/>
      <c r="E284" s="13"/>
      <c r="F284" s="44" t="s">
        <v>2592</v>
      </c>
      <c r="G284" s="43">
        <v>1.0</v>
      </c>
      <c r="H284" s="42"/>
      <c r="I284" s="43">
        <v>1.0</v>
      </c>
      <c r="J284" s="22"/>
      <c r="K284" s="42"/>
    </row>
    <row r="285" ht="39.75" customHeight="1">
      <c r="A285" s="1">
        <v>284.0</v>
      </c>
      <c r="B285" s="2" t="s">
        <v>31</v>
      </c>
      <c r="C285" s="2" t="s">
        <v>39</v>
      </c>
      <c r="D285" s="13"/>
      <c r="E285" s="13"/>
      <c r="F285" s="44" t="s">
        <v>2717</v>
      </c>
      <c r="G285" s="43">
        <v>2.0</v>
      </c>
      <c r="H285" s="42"/>
      <c r="I285" s="43">
        <v>2.0</v>
      </c>
      <c r="J285" s="22"/>
      <c r="K285" s="42"/>
    </row>
    <row r="286" ht="39.75" hidden="1" customHeight="1">
      <c r="A286" s="1">
        <v>285.0</v>
      </c>
      <c r="B286" s="2" t="s">
        <v>32</v>
      </c>
      <c r="C286" s="2" t="s">
        <v>58</v>
      </c>
      <c r="D286" s="13"/>
      <c r="E286" s="13"/>
      <c r="F286" s="45"/>
      <c r="G286" s="42"/>
      <c r="H286" s="42"/>
      <c r="I286" s="42"/>
      <c r="J286" s="22"/>
      <c r="K286" s="42"/>
    </row>
    <row r="287" ht="39.75" customHeight="1">
      <c r="A287" s="1">
        <v>286.0</v>
      </c>
      <c r="B287" s="2" t="s">
        <v>67</v>
      </c>
      <c r="C287" s="2" t="s">
        <v>7</v>
      </c>
      <c r="D287" s="13"/>
      <c r="E287" s="13"/>
      <c r="F287" s="44" t="s">
        <v>2655</v>
      </c>
      <c r="G287" s="43">
        <v>1.0</v>
      </c>
      <c r="H287" s="43">
        <v>1.0</v>
      </c>
      <c r="I287" s="42"/>
      <c r="J287" s="22"/>
      <c r="K287" s="42"/>
    </row>
    <row r="288" ht="39.75" customHeight="1">
      <c r="A288" s="1">
        <v>287.0</v>
      </c>
      <c r="B288" s="2" t="s">
        <v>35</v>
      </c>
      <c r="C288" s="2" t="s">
        <v>44</v>
      </c>
      <c r="D288" s="13"/>
      <c r="E288" s="13"/>
      <c r="F288" s="45"/>
      <c r="G288" s="42"/>
      <c r="H288" s="42"/>
      <c r="I288" s="42"/>
      <c r="J288" s="22"/>
      <c r="K288" s="42"/>
    </row>
    <row r="289" ht="39.75" customHeight="1">
      <c r="A289" s="1">
        <v>288.0</v>
      </c>
      <c r="B289" s="2" t="s">
        <v>36</v>
      </c>
      <c r="C289" s="2" t="s">
        <v>54</v>
      </c>
      <c r="D289" s="13"/>
      <c r="E289" s="13"/>
      <c r="F289" s="44" t="s">
        <v>2718</v>
      </c>
      <c r="G289" s="43">
        <v>4.0</v>
      </c>
      <c r="H289" s="42"/>
      <c r="I289" s="43">
        <v>2.0</v>
      </c>
      <c r="J289" s="22"/>
      <c r="K289" s="42"/>
    </row>
    <row r="290" ht="39.75" customHeight="1">
      <c r="A290" s="1">
        <v>289.0</v>
      </c>
      <c r="B290" s="2" t="s">
        <v>38</v>
      </c>
      <c r="C290" s="2" t="s">
        <v>54</v>
      </c>
      <c r="D290" s="13"/>
      <c r="E290" s="13"/>
      <c r="F290" s="44" t="s">
        <v>2719</v>
      </c>
      <c r="G290" s="43">
        <v>1.0</v>
      </c>
      <c r="H290" s="42"/>
      <c r="I290" s="43">
        <v>1.0</v>
      </c>
      <c r="J290" s="22"/>
      <c r="K290" s="42"/>
    </row>
    <row r="291" ht="39.75" hidden="1" customHeight="1">
      <c r="A291" s="1">
        <v>290.0</v>
      </c>
      <c r="B291" s="2" t="s">
        <v>41</v>
      </c>
      <c r="C291" s="2" t="s">
        <v>58</v>
      </c>
      <c r="D291" s="13"/>
      <c r="E291" s="13"/>
      <c r="F291" s="45"/>
      <c r="G291" s="42"/>
      <c r="H291" s="42"/>
      <c r="I291" s="42"/>
      <c r="J291" s="22"/>
      <c r="K291" s="42"/>
    </row>
    <row r="292" ht="39.75" customHeight="1">
      <c r="A292" s="1">
        <v>291.0</v>
      </c>
      <c r="B292" s="2" t="s">
        <v>42</v>
      </c>
      <c r="C292" s="2"/>
      <c r="D292" s="13"/>
      <c r="E292" s="13"/>
      <c r="F292" s="44" t="s">
        <v>2720</v>
      </c>
      <c r="G292" s="43">
        <v>3.0</v>
      </c>
      <c r="H292" s="42"/>
      <c r="I292" s="43">
        <v>1.0</v>
      </c>
      <c r="J292" s="22"/>
      <c r="K292" s="42"/>
    </row>
    <row r="293" ht="39.75" hidden="1" customHeight="1">
      <c r="A293" s="1">
        <v>292.0</v>
      </c>
      <c r="B293" s="2" t="s">
        <v>43</v>
      </c>
      <c r="C293" s="2" t="s">
        <v>58</v>
      </c>
      <c r="D293" s="13"/>
      <c r="E293" s="13"/>
      <c r="F293" s="45"/>
      <c r="G293" s="42"/>
      <c r="H293" s="42"/>
      <c r="I293" s="42"/>
      <c r="J293" s="22"/>
      <c r="K293" s="42"/>
    </row>
    <row r="294" ht="39.75" hidden="1" customHeight="1">
      <c r="A294" s="1">
        <v>293.0</v>
      </c>
      <c r="B294" s="2" t="s">
        <v>45</v>
      </c>
      <c r="C294" s="2" t="s">
        <v>58</v>
      </c>
      <c r="D294" s="13"/>
      <c r="E294" s="13"/>
      <c r="F294" s="45"/>
      <c r="G294" s="42"/>
      <c r="H294" s="42"/>
      <c r="I294" s="42"/>
      <c r="J294" s="22"/>
      <c r="K294" s="42"/>
    </row>
    <row r="295" ht="39.75" customHeight="1">
      <c r="A295" s="1">
        <v>294.0</v>
      </c>
      <c r="B295" s="2" t="s">
        <v>46</v>
      </c>
      <c r="C295" s="2" t="s">
        <v>69</v>
      </c>
      <c r="D295" s="13"/>
      <c r="E295" s="13"/>
      <c r="F295" s="44" t="s">
        <v>2721</v>
      </c>
      <c r="G295" s="43">
        <v>1.0</v>
      </c>
      <c r="H295" s="42"/>
      <c r="I295" s="42"/>
      <c r="J295" s="22"/>
      <c r="K295" s="42"/>
    </row>
    <row r="296" ht="39.75" customHeight="1">
      <c r="A296" s="1">
        <v>295.0</v>
      </c>
      <c r="B296" s="2" t="s">
        <v>47</v>
      </c>
      <c r="C296" s="2" t="s">
        <v>69</v>
      </c>
      <c r="D296" s="13"/>
      <c r="E296" s="13"/>
      <c r="F296" s="44" t="s">
        <v>2722</v>
      </c>
      <c r="G296" s="43">
        <v>1.0</v>
      </c>
      <c r="H296" s="42"/>
      <c r="I296" s="42"/>
      <c r="J296" s="22"/>
      <c r="K296" s="42"/>
    </row>
    <row r="297" ht="39.75" customHeight="1">
      <c r="A297" s="1">
        <v>296.0</v>
      </c>
      <c r="B297" s="2" t="s">
        <v>48</v>
      </c>
      <c r="C297" s="13"/>
      <c r="D297" s="13"/>
      <c r="E297" s="13"/>
      <c r="F297" s="44" t="s">
        <v>2723</v>
      </c>
      <c r="G297" s="43">
        <v>3.0</v>
      </c>
      <c r="H297" s="42"/>
      <c r="I297" s="43">
        <v>1.0</v>
      </c>
      <c r="J297" s="22"/>
      <c r="K297" s="42"/>
    </row>
    <row r="298" ht="39.75" customHeight="1">
      <c r="A298" s="1">
        <v>297.0</v>
      </c>
      <c r="B298" s="21"/>
      <c r="C298" s="21"/>
      <c r="D298" s="21"/>
      <c r="E298" s="21"/>
      <c r="F298" s="46"/>
      <c r="G298" s="47"/>
      <c r="H298" s="47"/>
      <c r="I298" s="47"/>
      <c r="J298" s="48"/>
      <c r="K298" s="47"/>
      <c r="L298" s="49"/>
      <c r="M298" s="49"/>
      <c r="N298" s="49"/>
    </row>
    <row r="299" ht="39.75" customHeight="1">
      <c r="A299" s="1">
        <v>298.0</v>
      </c>
      <c r="B299" s="2" t="s">
        <v>268</v>
      </c>
      <c r="C299" s="2" t="s">
        <v>63</v>
      </c>
      <c r="D299" s="13"/>
      <c r="E299" s="13"/>
      <c r="F299" s="45"/>
      <c r="G299" s="42"/>
      <c r="H299" s="42"/>
      <c r="I299" s="42"/>
      <c r="J299" s="27" t="s">
        <v>2570</v>
      </c>
      <c r="K299" s="42"/>
      <c r="L299" s="15" t="s">
        <v>228</v>
      </c>
    </row>
    <row r="300" ht="39.75" hidden="1" customHeight="1">
      <c r="A300" s="1">
        <v>299.0</v>
      </c>
      <c r="B300" s="2" t="s">
        <v>16</v>
      </c>
      <c r="C300" s="2" t="s">
        <v>13</v>
      </c>
      <c r="D300" s="13"/>
      <c r="E300" s="13"/>
      <c r="F300" s="45"/>
      <c r="G300" s="42"/>
      <c r="H300" s="42"/>
      <c r="I300" s="42"/>
      <c r="J300" s="27" t="s">
        <v>228</v>
      </c>
      <c r="K300" s="43"/>
    </row>
    <row r="301" ht="39.75" hidden="1" customHeight="1">
      <c r="A301" s="1">
        <v>300.0</v>
      </c>
      <c r="B301" s="2" t="s">
        <v>116</v>
      </c>
      <c r="C301" s="2" t="s">
        <v>13</v>
      </c>
      <c r="D301" s="13"/>
      <c r="E301" s="13"/>
      <c r="F301" s="45"/>
      <c r="G301" s="42"/>
      <c r="H301" s="42"/>
      <c r="I301" s="42"/>
      <c r="J301" s="27" t="s">
        <v>149</v>
      </c>
      <c r="K301" s="42"/>
    </row>
    <row r="302" ht="39.75" hidden="1" customHeight="1">
      <c r="A302" s="1">
        <v>301.0</v>
      </c>
      <c r="B302" s="2" t="s">
        <v>17</v>
      </c>
      <c r="C302" s="2" t="s">
        <v>13</v>
      </c>
      <c r="D302" s="13"/>
      <c r="E302" s="13"/>
      <c r="F302" s="45"/>
      <c r="G302" s="42"/>
      <c r="H302" s="42"/>
      <c r="I302" s="42"/>
      <c r="J302" s="27" t="s">
        <v>165</v>
      </c>
      <c r="K302" s="42"/>
    </row>
    <row r="303" ht="39.75" hidden="1" customHeight="1">
      <c r="A303" s="1">
        <v>302.0</v>
      </c>
      <c r="B303" s="2" t="s">
        <v>331</v>
      </c>
      <c r="C303" s="2" t="s">
        <v>13</v>
      </c>
      <c r="D303" s="13"/>
      <c r="E303" s="13"/>
      <c r="F303" s="44"/>
      <c r="G303" s="42"/>
      <c r="H303" s="42"/>
      <c r="I303" s="42"/>
      <c r="J303" s="27" t="s">
        <v>2637</v>
      </c>
      <c r="K303" s="42"/>
    </row>
    <row r="304" ht="39.75" hidden="1" customHeight="1">
      <c r="A304" s="1">
        <v>303.0</v>
      </c>
      <c r="B304" s="2" t="s">
        <v>21</v>
      </c>
      <c r="C304" s="2" t="s">
        <v>13</v>
      </c>
      <c r="D304" s="13"/>
      <c r="E304" s="13"/>
      <c r="F304" s="45"/>
      <c r="G304" s="42"/>
      <c r="H304" s="42"/>
      <c r="I304" s="42"/>
      <c r="J304" s="27" t="s">
        <v>2638</v>
      </c>
      <c r="K304" s="42"/>
    </row>
    <row r="305" ht="39.75" hidden="1" customHeight="1">
      <c r="A305" s="1">
        <v>304.0</v>
      </c>
      <c r="B305" s="2" t="s">
        <v>22</v>
      </c>
      <c r="C305" s="2" t="s">
        <v>13</v>
      </c>
      <c r="D305" s="13"/>
      <c r="E305" s="13"/>
      <c r="F305" s="45"/>
      <c r="G305" s="42"/>
      <c r="H305" s="42"/>
      <c r="I305" s="42"/>
      <c r="J305" s="22"/>
      <c r="K305" s="42"/>
    </row>
    <row r="306" ht="39.75" hidden="1" customHeight="1">
      <c r="A306" s="1">
        <v>305.0</v>
      </c>
      <c r="B306" s="2" t="s">
        <v>23</v>
      </c>
      <c r="C306" s="2" t="s">
        <v>13</v>
      </c>
      <c r="D306" s="13"/>
      <c r="E306" s="13"/>
      <c r="F306" s="45"/>
      <c r="G306" s="42"/>
      <c r="H306" s="42"/>
      <c r="I306" s="42"/>
      <c r="J306" s="22"/>
      <c r="K306" s="42"/>
    </row>
    <row r="307" ht="39.75" hidden="1" customHeight="1">
      <c r="A307" s="1">
        <v>306.0</v>
      </c>
      <c r="B307" s="2" t="s">
        <v>24</v>
      </c>
      <c r="C307" s="2" t="s">
        <v>13</v>
      </c>
      <c r="D307" s="13"/>
      <c r="E307" s="13"/>
      <c r="F307" s="45"/>
      <c r="G307" s="42"/>
      <c r="H307" s="42"/>
      <c r="I307" s="42"/>
      <c r="J307" s="22"/>
      <c r="K307" s="42"/>
    </row>
    <row r="308" ht="39.75" hidden="1" customHeight="1">
      <c r="A308" s="1">
        <v>307.0</v>
      </c>
      <c r="B308" s="2" t="s">
        <v>25</v>
      </c>
      <c r="C308" s="2" t="s">
        <v>13</v>
      </c>
      <c r="D308" s="13"/>
      <c r="E308" s="13"/>
      <c r="F308" s="45"/>
      <c r="G308" s="42"/>
      <c r="H308" s="42"/>
      <c r="I308" s="42"/>
      <c r="J308" s="22"/>
      <c r="K308" s="42"/>
    </row>
    <row r="309" ht="62.25" customHeight="1">
      <c r="A309" s="1">
        <v>308.0</v>
      </c>
      <c r="B309" s="2" t="s">
        <v>26</v>
      </c>
      <c r="C309" s="2" t="s">
        <v>44</v>
      </c>
      <c r="D309" s="13"/>
      <c r="E309" s="13"/>
      <c r="F309" s="45"/>
      <c r="G309" s="42"/>
      <c r="H309" s="42"/>
      <c r="I309" s="42"/>
      <c r="J309" s="22"/>
      <c r="K309" s="42"/>
    </row>
    <row r="310" ht="39.75" hidden="1" customHeight="1">
      <c r="A310" s="1">
        <v>309.0</v>
      </c>
      <c r="B310" s="2" t="s">
        <v>29</v>
      </c>
      <c r="C310" s="2" t="s">
        <v>13</v>
      </c>
      <c r="D310" s="13"/>
      <c r="E310" s="13"/>
      <c r="F310" s="45"/>
      <c r="G310" s="42"/>
      <c r="H310" s="42"/>
      <c r="I310" s="42"/>
      <c r="J310" s="22"/>
      <c r="K310" s="42"/>
    </row>
    <row r="311" ht="39.75" customHeight="1">
      <c r="A311" s="1">
        <v>310.0</v>
      </c>
      <c r="B311" s="2" t="s">
        <v>30</v>
      </c>
      <c r="C311" s="2" t="s">
        <v>39</v>
      </c>
      <c r="D311" s="13"/>
      <c r="E311" s="13"/>
      <c r="F311" s="44" t="s">
        <v>2724</v>
      </c>
      <c r="G311" s="43">
        <v>1.0</v>
      </c>
      <c r="H311" s="42"/>
      <c r="I311" s="43">
        <v>1.0</v>
      </c>
      <c r="J311" s="22"/>
      <c r="K311" s="42"/>
    </row>
    <row r="312" ht="39.75" customHeight="1">
      <c r="A312" s="1">
        <v>311.0</v>
      </c>
      <c r="B312" s="2" t="s">
        <v>31</v>
      </c>
      <c r="C312" s="2" t="s">
        <v>27</v>
      </c>
      <c r="D312" s="13"/>
      <c r="E312" s="13"/>
      <c r="F312" s="45"/>
      <c r="G312" s="42"/>
      <c r="H312" s="42"/>
      <c r="I312" s="42"/>
      <c r="J312" s="22"/>
      <c r="K312" s="42"/>
    </row>
    <row r="313" ht="39.75" customHeight="1">
      <c r="A313" s="1">
        <v>312.0</v>
      </c>
      <c r="B313" s="2" t="s">
        <v>33</v>
      </c>
      <c r="C313" s="2" t="s">
        <v>272</v>
      </c>
      <c r="D313" s="13"/>
      <c r="E313" s="13"/>
      <c r="F313" s="44" t="s">
        <v>2725</v>
      </c>
      <c r="G313" s="43">
        <v>1.0</v>
      </c>
      <c r="H313" s="43">
        <v>1.0</v>
      </c>
      <c r="I313" s="43">
        <v>1.0</v>
      </c>
      <c r="J313" s="22"/>
      <c r="K313" s="42"/>
    </row>
    <row r="314" ht="39.75" customHeight="1">
      <c r="A314" s="1">
        <v>313.0</v>
      </c>
      <c r="B314" s="2" t="s">
        <v>67</v>
      </c>
      <c r="C314" s="2" t="s">
        <v>7</v>
      </c>
      <c r="D314" s="13"/>
      <c r="E314" s="51">
        <v>0.8125</v>
      </c>
      <c r="F314" s="44" t="s">
        <v>2655</v>
      </c>
      <c r="G314" s="43">
        <v>1.0</v>
      </c>
      <c r="H314" s="43">
        <v>1.0</v>
      </c>
      <c r="I314" s="42"/>
      <c r="J314" s="22"/>
      <c r="K314" s="42"/>
    </row>
    <row r="315" ht="39.75" hidden="1" customHeight="1">
      <c r="A315" s="1">
        <v>314.0</v>
      </c>
      <c r="B315" s="2" t="s">
        <v>35</v>
      </c>
      <c r="C315" s="2" t="s">
        <v>13</v>
      </c>
      <c r="D315" s="13"/>
      <c r="E315" s="13"/>
      <c r="F315" s="45"/>
      <c r="G315" s="42"/>
      <c r="H315" s="42"/>
      <c r="I315" s="42"/>
      <c r="J315" s="22"/>
      <c r="K315" s="42"/>
    </row>
    <row r="316" ht="39.75" hidden="1" customHeight="1">
      <c r="A316" s="1">
        <v>315.0</v>
      </c>
      <c r="B316" s="2" t="s">
        <v>36</v>
      </c>
      <c r="C316" s="2" t="s">
        <v>13</v>
      </c>
      <c r="D316" s="13"/>
      <c r="E316" s="13"/>
      <c r="F316" s="45"/>
      <c r="G316" s="42"/>
      <c r="H316" s="42"/>
      <c r="I316" s="42"/>
      <c r="J316" s="22"/>
      <c r="K316" s="42"/>
    </row>
    <row r="317" ht="39.75" hidden="1" customHeight="1">
      <c r="A317" s="1">
        <v>316.0</v>
      </c>
      <c r="B317" s="2" t="s">
        <v>38</v>
      </c>
      <c r="C317" s="2" t="s">
        <v>13</v>
      </c>
      <c r="D317" s="13"/>
      <c r="E317" s="13"/>
      <c r="F317" s="45"/>
      <c r="G317" s="42"/>
      <c r="H317" s="42"/>
      <c r="I317" s="42"/>
      <c r="J317" s="22"/>
      <c r="K317" s="42"/>
    </row>
    <row r="318" ht="39.75" hidden="1" customHeight="1">
      <c r="A318" s="1">
        <v>317.0</v>
      </c>
      <c r="B318" s="2" t="s">
        <v>41</v>
      </c>
      <c r="C318" s="2" t="s">
        <v>13</v>
      </c>
      <c r="D318" s="13"/>
      <c r="E318" s="13"/>
      <c r="F318" s="45"/>
      <c r="G318" s="42"/>
      <c r="H318" s="42"/>
      <c r="I318" s="42"/>
      <c r="J318" s="22"/>
      <c r="K318" s="42"/>
    </row>
    <row r="319" ht="39.75" hidden="1" customHeight="1">
      <c r="A319" s="1">
        <v>318.0</v>
      </c>
      <c r="B319" s="2" t="s">
        <v>42</v>
      </c>
      <c r="C319" s="2" t="s">
        <v>13</v>
      </c>
      <c r="D319" s="13"/>
      <c r="E319" s="13"/>
      <c r="F319" s="45"/>
      <c r="G319" s="42"/>
      <c r="H319" s="42"/>
      <c r="I319" s="42"/>
      <c r="J319" s="22"/>
      <c r="K319" s="42"/>
    </row>
    <row r="320" ht="39.75" hidden="1" customHeight="1">
      <c r="A320" s="1">
        <v>319.0</v>
      </c>
      <c r="B320" s="2" t="s">
        <v>43</v>
      </c>
      <c r="C320" s="2" t="s">
        <v>13</v>
      </c>
      <c r="D320" s="13"/>
      <c r="E320" s="13"/>
      <c r="F320" s="45"/>
      <c r="G320" s="42"/>
      <c r="H320" s="42"/>
      <c r="I320" s="42"/>
      <c r="J320" s="22"/>
      <c r="K320" s="42"/>
    </row>
    <row r="321" ht="39.75" customHeight="1">
      <c r="A321" s="1">
        <v>320.0</v>
      </c>
      <c r="B321" s="2" t="s">
        <v>45</v>
      </c>
      <c r="C321" s="2"/>
      <c r="D321" s="40">
        <v>0.375</v>
      </c>
      <c r="E321" s="13"/>
      <c r="F321" s="44" t="s">
        <v>2726</v>
      </c>
      <c r="G321" s="43">
        <v>1.0</v>
      </c>
      <c r="H321" s="42"/>
      <c r="I321" s="43">
        <v>1.0</v>
      </c>
      <c r="J321" s="22"/>
      <c r="K321" s="42"/>
    </row>
    <row r="322" ht="39.75" customHeight="1">
      <c r="A322" s="1">
        <v>321.0</v>
      </c>
      <c r="B322" s="2" t="s">
        <v>46</v>
      </c>
      <c r="C322" s="2" t="s">
        <v>49</v>
      </c>
      <c r="D322" s="13"/>
      <c r="E322" s="13"/>
      <c r="F322" s="44" t="s">
        <v>2727</v>
      </c>
      <c r="G322" s="43">
        <v>1.0</v>
      </c>
      <c r="H322" s="42"/>
      <c r="I322" s="43">
        <v>1.0</v>
      </c>
      <c r="J322" s="22"/>
      <c r="K322" s="42"/>
    </row>
    <row r="323" ht="39.75" hidden="1" customHeight="1">
      <c r="A323" s="1">
        <v>322.0</v>
      </c>
      <c r="B323" s="2" t="s">
        <v>47</v>
      </c>
      <c r="C323" s="2" t="s">
        <v>13</v>
      </c>
      <c r="D323" s="13"/>
      <c r="E323" s="13"/>
      <c r="F323" s="45"/>
      <c r="G323" s="42"/>
      <c r="H323" s="42"/>
      <c r="I323" s="42"/>
      <c r="J323" s="22"/>
      <c r="K323" s="42"/>
    </row>
    <row r="324" ht="39.75" customHeight="1">
      <c r="A324" s="1">
        <v>323.0</v>
      </c>
      <c r="B324" s="2" t="s">
        <v>48</v>
      </c>
      <c r="C324" s="13"/>
      <c r="D324" s="40">
        <v>0.375</v>
      </c>
      <c r="E324" s="13"/>
      <c r="F324" s="44" t="s">
        <v>2728</v>
      </c>
      <c r="G324" s="43">
        <v>1.0</v>
      </c>
      <c r="H324" s="42"/>
      <c r="I324" s="43">
        <v>1.0</v>
      </c>
      <c r="J324" s="22"/>
      <c r="K324" s="42"/>
    </row>
    <row r="325" ht="39.75" customHeight="1">
      <c r="A325" s="1">
        <v>324.0</v>
      </c>
      <c r="B325" s="21"/>
      <c r="C325" s="21"/>
      <c r="D325" s="21"/>
      <c r="E325" s="21"/>
      <c r="F325" s="46"/>
      <c r="G325" s="47"/>
      <c r="H325" s="47"/>
      <c r="I325" s="47"/>
      <c r="J325" s="48"/>
      <c r="K325" s="47"/>
      <c r="L325" s="49"/>
      <c r="M325" s="49"/>
      <c r="N325" s="49"/>
    </row>
    <row r="326" ht="39.75" customHeight="1">
      <c r="A326" s="1">
        <v>325.0</v>
      </c>
      <c r="B326" s="2" t="s">
        <v>268</v>
      </c>
      <c r="C326" s="2" t="s">
        <v>63</v>
      </c>
      <c r="D326" s="13"/>
      <c r="E326" s="13"/>
      <c r="F326" s="45"/>
      <c r="G326" s="42"/>
      <c r="H326" s="42"/>
      <c r="I326" s="42"/>
      <c r="J326" s="27" t="s">
        <v>2570</v>
      </c>
      <c r="K326" s="42"/>
      <c r="L326" s="15" t="s">
        <v>244</v>
      </c>
    </row>
    <row r="327" ht="39.75" customHeight="1">
      <c r="A327" s="1">
        <v>326.0</v>
      </c>
      <c r="B327" s="2" t="s">
        <v>16</v>
      </c>
      <c r="C327" s="2" t="s">
        <v>49</v>
      </c>
      <c r="D327" s="13"/>
      <c r="E327" s="13"/>
      <c r="F327" s="44" t="s">
        <v>2729</v>
      </c>
      <c r="G327" s="43">
        <v>1.0</v>
      </c>
      <c r="H327" s="42"/>
      <c r="I327" s="42"/>
      <c r="J327" s="27" t="s">
        <v>244</v>
      </c>
      <c r="K327" s="43"/>
    </row>
    <row r="328" ht="39.75" hidden="1" customHeight="1">
      <c r="A328" s="1">
        <v>327.0</v>
      </c>
      <c r="B328" s="2" t="s">
        <v>116</v>
      </c>
      <c r="C328" s="2" t="s">
        <v>13</v>
      </c>
      <c r="D328" s="13"/>
      <c r="E328" s="13"/>
      <c r="F328" s="45"/>
      <c r="G328" s="42"/>
      <c r="H328" s="42"/>
      <c r="I328" s="42"/>
      <c r="J328" s="27" t="s">
        <v>19</v>
      </c>
      <c r="K328" s="42"/>
    </row>
    <row r="329" ht="39.75" customHeight="1">
      <c r="A329" s="1">
        <v>328.0</v>
      </c>
      <c r="B329" s="2" t="s">
        <v>20</v>
      </c>
      <c r="C329" s="2" t="s">
        <v>271</v>
      </c>
      <c r="D329" s="13"/>
      <c r="E329" s="13"/>
      <c r="F329" s="45"/>
      <c r="G329" s="42"/>
      <c r="H329" s="42"/>
      <c r="I329" s="42"/>
      <c r="J329" s="27" t="s">
        <v>410</v>
      </c>
      <c r="K329" s="42"/>
    </row>
    <row r="330" ht="39.75" hidden="1" customHeight="1">
      <c r="A330" s="1">
        <v>329.0</v>
      </c>
      <c r="B330" s="2" t="s">
        <v>331</v>
      </c>
      <c r="C330" s="2" t="s">
        <v>13</v>
      </c>
      <c r="D330" s="13"/>
      <c r="E330" s="13"/>
      <c r="F330" s="44"/>
      <c r="G330" s="42"/>
      <c r="H330" s="42"/>
      <c r="I330" s="42"/>
      <c r="J330" s="27" t="s">
        <v>412</v>
      </c>
      <c r="K330" s="42"/>
    </row>
    <row r="331" ht="39.75" hidden="1" customHeight="1">
      <c r="A331" s="1">
        <v>330.0</v>
      </c>
      <c r="B331" s="2" t="s">
        <v>21</v>
      </c>
      <c r="C331" s="2" t="s">
        <v>13</v>
      </c>
      <c r="D331" s="13"/>
      <c r="E331" s="13"/>
      <c r="F331" s="45"/>
      <c r="G331" s="42"/>
      <c r="H331" s="42"/>
      <c r="I331" s="42"/>
      <c r="J331" s="27" t="s">
        <v>413</v>
      </c>
      <c r="K331" s="42"/>
    </row>
    <row r="332" ht="63.75" customHeight="1">
      <c r="A332" s="1">
        <v>331.0</v>
      </c>
      <c r="B332" s="2" t="s">
        <v>22</v>
      </c>
      <c r="C332" s="2"/>
      <c r="D332" s="40">
        <v>0.375</v>
      </c>
      <c r="E332" s="13"/>
      <c r="F332" s="44" t="s">
        <v>2730</v>
      </c>
      <c r="G332" s="43">
        <v>1.0</v>
      </c>
      <c r="H332" s="42"/>
      <c r="I332" s="42"/>
      <c r="J332" s="22"/>
      <c r="K332" s="42"/>
    </row>
    <row r="333" ht="39.75" hidden="1" customHeight="1">
      <c r="A333" s="1">
        <v>332.0</v>
      </c>
      <c r="B333" s="2" t="s">
        <v>23</v>
      </c>
      <c r="C333" s="2" t="s">
        <v>13</v>
      </c>
      <c r="D333" s="13"/>
      <c r="E333" s="13"/>
      <c r="F333" s="45"/>
      <c r="G333" s="42"/>
      <c r="H333" s="42"/>
      <c r="I333" s="42"/>
      <c r="J333" s="22"/>
      <c r="K333" s="42"/>
    </row>
    <row r="334" ht="39.75" hidden="1" customHeight="1">
      <c r="A334" s="1">
        <v>333.0</v>
      </c>
      <c r="B334" s="2" t="s">
        <v>24</v>
      </c>
      <c r="C334" s="2" t="s">
        <v>13</v>
      </c>
      <c r="D334" s="13"/>
      <c r="E334" s="13"/>
      <c r="F334" s="45"/>
      <c r="G334" s="42"/>
      <c r="H334" s="42"/>
      <c r="I334" s="42"/>
      <c r="J334" s="22"/>
      <c r="K334" s="42"/>
    </row>
    <row r="335" ht="39.75" hidden="1" customHeight="1">
      <c r="A335" s="1">
        <v>334.0</v>
      </c>
      <c r="B335" s="2" t="s">
        <v>25</v>
      </c>
      <c r="C335" s="2" t="s">
        <v>13</v>
      </c>
      <c r="D335" s="13"/>
      <c r="E335" s="13"/>
      <c r="F335" s="45"/>
      <c r="G335" s="42"/>
      <c r="H335" s="42"/>
      <c r="I335" s="42"/>
      <c r="J335" s="22"/>
      <c r="K335" s="42"/>
    </row>
    <row r="336" ht="39.75" hidden="1" customHeight="1">
      <c r="A336" s="1">
        <v>335.0</v>
      </c>
      <c r="B336" s="2" t="s">
        <v>26</v>
      </c>
      <c r="C336" s="2" t="s">
        <v>13</v>
      </c>
      <c r="D336" s="13"/>
      <c r="E336" s="13"/>
      <c r="F336" s="45"/>
      <c r="G336" s="42"/>
      <c r="H336" s="42"/>
      <c r="I336" s="42"/>
      <c r="J336" s="22"/>
      <c r="K336" s="42"/>
    </row>
    <row r="337" ht="74.25" customHeight="1">
      <c r="A337" s="1">
        <v>336.0</v>
      </c>
      <c r="B337" s="2" t="s">
        <v>29</v>
      </c>
      <c r="C337" s="2" t="s">
        <v>39</v>
      </c>
      <c r="D337" s="53">
        <v>0.3541666666666667</v>
      </c>
      <c r="E337" s="13"/>
      <c r="F337" s="44" t="s">
        <v>2731</v>
      </c>
      <c r="G337" s="43">
        <v>1.0</v>
      </c>
      <c r="H337" s="42"/>
      <c r="I337" s="43">
        <v>1.0</v>
      </c>
      <c r="J337" s="22"/>
      <c r="K337" s="42"/>
    </row>
    <row r="338" ht="39.75" hidden="1" customHeight="1">
      <c r="A338" s="1">
        <v>337.0</v>
      </c>
      <c r="B338" s="2" t="s">
        <v>30</v>
      </c>
      <c r="C338" s="2" t="s">
        <v>13</v>
      </c>
      <c r="D338" s="13"/>
      <c r="E338" s="13"/>
      <c r="F338" s="45"/>
      <c r="G338" s="42"/>
      <c r="H338" s="42"/>
      <c r="I338" s="42"/>
      <c r="J338" s="22"/>
      <c r="K338" s="42"/>
    </row>
    <row r="339" ht="39.75" customHeight="1">
      <c r="A339" s="1">
        <v>338.0</v>
      </c>
      <c r="B339" s="2" t="s">
        <v>31</v>
      </c>
      <c r="C339" s="2" t="s">
        <v>44</v>
      </c>
      <c r="D339" s="40"/>
      <c r="E339" s="13"/>
      <c r="F339" s="45"/>
      <c r="G339" s="42"/>
      <c r="H339" s="42"/>
      <c r="I339" s="42"/>
      <c r="J339" s="22"/>
      <c r="K339" s="42"/>
    </row>
    <row r="340" ht="39.75" customHeight="1">
      <c r="A340" s="1">
        <v>339.0</v>
      </c>
      <c r="B340" s="2" t="s">
        <v>34</v>
      </c>
      <c r="C340" s="2" t="s">
        <v>272</v>
      </c>
      <c r="D340" s="13"/>
      <c r="E340" s="13"/>
      <c r="F340" s="44" t="s">
        <v>1186</v>
      </c>
      <c r="G340" s="43">
        <v>1.0</v>
      </c>
      <c r="H340" s="42"/>
      <c r="I340" s="43">
        <v>1.0</v>
      </c>
      <c r="J340" s="22"/>
      <c r="K340" s="42"/>
    </row>
    <row r="341" ht="39.75" hidden="1" customHeight="1">
      <c r="A341" s="1">
        <v>340.0</v>
      </c>
      <c r="B341" s="2" t="s">
        <v>67</v>
      </c>
      <c r="C341" s="2" t="s">
        <v>13</v>
      </c>
      <c r="D341" s="13"/>
      <c r="E341" s="13"/>
      <c r="F341" s="45"/>
      <c r="G341" s="42"/>
      <c r="H341" s="42"/>
      <c r="I341" s="42"/>
      <c r="J341" s="22"/>
      <c r="K341" s="42"/>
    </row>
    <row r="342" ht="39.75" hidden="1" customHeight="1">
      <c r="A342" s="1">
        <v>341.0</v>
      </c>
      <c r="B342" s="2" t="s">
        <v>35</v>
      </c>
      <c r="C342" s="2" t="s">
        <v>13</v>
      </c>
      <c r="D342" s="13"/>
      <c r="E342" s="13"/>
      <c r="F342" s="45"/>
      <c r="G342" s="42"/>
      <c r="H342" s="42"/>
      <c r="I342" s="42"/>
      <c r="J342" s="22"/>
      <c r="K342" s="42"/>
    </row>
    <row r="343" ht="39.75" customHeight="1">
      <c r="A343" s="1">
        <v>342.0</v>
      </c>
      <c r="B343" s="2" t="s">
        <v>36</v>
      </c>
      <c r="C343" s="13"/>
      <c r="D343" s="40">
        <v>0.375</v>
      </c>
      <c r="E343" s="13"/>
      <c r="F343" s="44" t="s">
        <v>2732</v>
      </c>
      <c r="G343" s="43">
        <v>2.0</v>
      </c>
      <c r="H343" s="42"/>
      <c r="I343" s="43">
        <v>2.0</v>
      </c>
      <c r="J343" s="22"/>
      <c r="K343" s="42"/>
    </row>
    <row r="344" ht="39.75" hidden="1" customHeight="1">
      <c r="A344" s="1">
        <v>343.0</v>
      </c>
      <c r="B344" s="2" t="s">
        <v>38</v>
      </c>
      <c r="C344" s="2" t="s">
        <v>13</v>
      </c>
      <c r="D344" s="13"/>
      <c r="E344" s="13"/>
      <c r="F344" s="45"/>
      <c r="G344" s="42"/>
      <c r="H344" s="42"/>
      <c r="I344" s="42"/>
      <c r="J344" s="22"/>
      <c r="K344" s="42"/>
    </row>
    <row r="345" ht="39.75" hidden="1" customHeight="1">
      <c r="A345" s="1">
        <v>344.0</v>
      </c>
      <c r="B345" s="2" t="s">
        <v>41</v>
      </c>
      <c r="C345" s="2" t="s">
        <v>13</v>
      </c>
      <c r="D345" s="13"/>
      <c r="E345" s="13"/>
      <c r="F345" s="45"/>
      <c r="G345" s="42"/>
      <c r="H345" s="42"/>
      <c r="I345" s="42"/>
      <c r="J345" s="22"/>
      <c r="K345" s="42"/>
    </row>
    <row r="346" ht="39.75" hidden="1" customHeight="1">
      <c r="A346" s="1">
        <v>345.0</v>
      </c>
      <c r="B346" s="2" t="s">
        <v>42</v>
      </c>
      <c r="C346" s="2" t="s">
        <v>13</v>
      </c>
      <c r="D346" s="13"/>
      <c r="E346" s="13"/>
      <c r="F346" s="45"/>
      <c r="G346" s="42"/>
      <c r="H346" s="42"/>
      <c r="I346" s="42"/>
      <c r="J346" s="22"/>
      <c r="K346" s="42"/>
    </row>
    <row r="347" ht="39.75" customHeight="1">
      <c r="A347" s="1">
        <v>346.0</v>
      </c>
      <c r="B347" s="2" t="s">
        <v>43</v>
      </c>
      <c r="C347" s="2" t="s">
        <v>27</v>
      </c>
      <c r="D347" s="13"/>
      <c r="E347" s="13"/>
      <c r="F347" s="44" t="s">
        <v>2733</v>
      </c>
      <c r="G347" s="43">
        <v>1.0</v>
      </c>
      <c r="H347" s="42"/>
      <c r="I347" s="42"/>
      <c r="J347" s="22"/>
      <c r="K347" s="42"/>
    </row>
    <row r="348" ht="39.75" hidden="1" customHeight="1">
      <c r="A348" s="1">
        <v>347.0</v>
      </c>
      <c r="B348" s="2" t="s">
        <v>45</v>
      </c>
      <c r="C348" s="2" t="s">
        <v>13</v>
      </c>
      <c r="D348" s="13"/>
      <c r="E348" s="13"/>
      <c r="F348" s="45"/>
      <c r="G348" s="42"/>
      <c r="H348" s="42"/>
      <c r="I348" s="42"/>
      <c r="J348" s="22"/>
      <c r="K348" s="42"/>
    </row>
    <row r="349" ht="39.75" hidden="1" customHeight="1">
      <c r="A349" s="1">
        <v>348.0</v>
      </c>
      <c r="B349" s="2" t="s">
        <v>46</v>
      </c>
      <c r="C349" s="2" t="s">
        <v>13</v>
      </c>
      <c r="D349" s="13"/>
      <c r="E349" s="13"/>
      <c r="F349" s="45"/>
      <c r="G349" s="42"/>
      <c r="H349" s="42"/>
      <c r="I349" s="42"/>
      <c r="J349" s="22"/>
      <c r="K349" s="42"/>
    </row>
    <row r="350" ht="39.75" hidden="1" customHeight="1">
      <c r="A350" s="1">
        <v>349.0</v>
      </c>
      <c r="B350" s="2" t="s">
        <v>47</v>
      </c>
      <c r="C350" s="2" t="s">
        <v>13</v>
      </c>
      <c r="D350" s="13"/>
      <c r="E350" s="13"/>
      <c r="F350" s="45"/>
      <c r="G350" s="42"/>
      <c r="H350" s="42"/>
      <c r="I350" s="42"/>
      <c r="J350" s="22"/>
      <c r="K350" s="42"/>
    </row>
    <row r="351" ht="39.75" hidden="1" customHeight="1">
      <c r="A351" s="1">
        <v>350.0</v>
      </c>
      <c r="B351" s="2" t="s">
        <v>48</v>
      </c>
      <c r="C351" s="2" t="s">
        <v>13</v>
      </c>
      <c r="D351" s="13"/>
      <c r="E351" s="13"/>
      <c r="F351" s="45"/>
      <c r="G351" s="42"/>
      <c r="H351" s="42"/>
      <c r="I351" s="42"/>
      <c r="J351" s="22"/>
      <c r="K351" s="42"/>
    </row>
    <row r="352" ht="39.75" customHeight="1">
      <c r="A352" s="1">
        <v>351.0</v>
      </c>
      <c r="B352" s="21"/>
      <c r="C352" s="21"/>
      <c r="D352" s="21"/>
      <c r="E352" s="21"/>
      <c r="F352" s="46"/>
      <c r="G352" s="47"/>
      <c r="H352" s="47"/>
      <c r="I352" s="47"/>
      <c r="J352" s="48"/>
      <c r="K352" s="47"/>
      <c r="L352" s="49"/>
      <c r="M352" s="49"/>
      <c r="N352" s="49"/>
    </row>
    <row r="353" ht="39.75" customHeight="1">
      <c r="A353" s="1">
        <v>352.0</v>
      </c>
      <c r="B353" s="2" t="s">
        <v>12</v>
      </c>
      <c r="C353" s="2" t="s">
        <v>62</v>
      </c>
      <c r="D353" s="13"/>
      <c r="E353" s="13"/>
      <c r="F353" s="44" t="s">
        <v>1543</v>
      </c>
      <c r="G353" s="43">
        <v>1.0</v>
      </c>
      <c r="H353" s="42"/>
      <c r="I353" s="43">
        <v>1.0</v>
      </c>
      <c r="J353" s="27" t="s">
        <v>2570</v>
      </c>
      <c r="K353" s="42"/>
      <c r="L353" s="15" t="s">
        <v>260</v>
      </c>
    </row>
    <row r="354" ht="39.75" customHeight="1">
      <c r="A354" s="1">
        <v>353.0</v>
      </c>
      <c r="B354" s="2" t="s">
        <v>16</v>
      </c>
      <c r="C354" s="2"/>
      <c r="D354" s="53">
        <v>0.3125</v>
      </c>
      <c r="E354" s="13"/>
      <c r="F354" s="44" t="s">
        <v>2734</v>
      </c>
      <c r="G354" s="43">
        <v>1.0</v>
      </c>
      <c r="H354" s="42"/>
      <c r="I354" s="42"/>
      <c r="J354" s="27" t="s">
        <v>260</v>
      </c>
      <c r="K354" s="43"/>
    </row>
    <row r="355" ht="39.75" customHeight="1">
      <c r="A355" s="1">
        <v>354.0</v>
      </c>
      <c r="B355" s="2" t="s">
        <v>116</v>
      </c>
      <c r="C355" s="2"/>
      <c r="D355" s="13"/>
      <c r="E355" s="13"/>
      <c r="F355" s="44" t="s">
        <v>2735</v>
      </c>
      <c r="G355" s="43">
        <v>2.0</v>
      </c>
      <c r="H355" s="42"/>
      <c r="I355" s="43">
        <v>1.0</v>
      </c>
      <c r="J355" s="27" t="s">
        <v>56</v>
      </c>
      <c r="K355" s="42"/>
    </row>
    <row r="356" ht="39.75" hidden="1" customHeight="1">
      <c r="A356" s="1">
        <v>355.0</v>
      </c>
      <c r="B356" s="2" t="s">
        <v>17</v>
      </c>
      <c r="C356" s="2" t="s">
        <v>58</v>
      </c>
      <c r="D356" s="13"/>
      <c r="E356" s="13"/>
      <c r="F356" s="44"/>
      <c r="G356" s="42"/>
      <c r="H356" s="42"/>
      <c r="I356" s="42"/>
      <c r="J356" s="22"/>
      <c r="K356" s="42"/>
    </row>
    <row r="357" ht="39.75" customHeight="1">
      <c r="A357" s="1">
        <v>356.0</v>
      </c>
      <c r="B357" s="2" t="s">
        <v>331</v>
      </c>
      <c r="C357" s="2" t="s">
        <v>542</v>
      </c>
      <c r="D357" s="13"/>
      <c r="E357" s="13"/>
      <c r="F357" s="44" t="s">
        <v>2736</v>
      </c>
      <c r="G357" s="43">
        <v>2.0</v>
      </c>
      <c r="H357" s="42"/>
      <c r="I357" s="42"/>
      <c r="J357" s="22"/>
      <c r="K357" s="42"/>
    </row>
    <row r="358" ht="39.75" hidden="1" customHeight="1">
      <c r="A358" s="1">
        <v>357.0</v>
      </c>
      <c r="B358" s="2" t="s">
        <v>21</v>
      </c>
      <c r="C358" s="2" t="s">
        <v>58</v>
      </c>
      <c r="D358" s="13"/>
      <c r="E358" s="13"/>
      <c r="F358" s="45"/>
      <c r="G358" s="42"/>
      <c r="H358" s="42"/>
      <c r="I358" s="42"/>
      <c r="J358" s="22"/>
      <c r="K358" s="42"/>
    </row>
    <row r="359" ht="39.75" customHeight="1">
      <c r="A359" s="1">
        <v>358.0</v>
      </c>
      <c r="B359" s="2" t="s">
        <v>22</v>
      </c>
      <c r="C359" s="2" t="s">
        <v>69</v>
      </c>
      <c r="D359" s="13"/>
      <c r="E359" s="13"/>
      <c r="F359" s="44" t="s">
        <v>2737</v>
      </c>
      <c r="G359" s="43">
        <v>1.0</v>
      </c>
      <c r="H359" s="42"/>
      <c r="I359" s="43">
        <v>1.0</v>
      </c>
      <c r="J359" s="22"/>
      <c r="K359" s="42"/>
    </row>
    <row r="360" ht="39.75" hidden="1" customHeight="1">
      <c r="A360" s="1">
        <v>359.0</v>
      </c>
      <c r="B360" s="2" t="s">
        <v>23</v>
      </c>
      <c r="C360" s="2" t="s">
        <v>58</v>
      </c>
      <c r="D360" s="13"/>
      <c r="E360" s="13"/>
      <c r="F360" s="45"/>
      <c r="G360" s="42"/>
      <c r="H360" s="42"/>
      <c r="I360" s="42"/>
      <c r="J360" s="22"/>
      <c r="K360" s="42"/>
    </row>
    <row r="361" ht="39.75" customHeight="1">
      <c r="A361" s="1">
        <v>360.0</v>
      </c>
      <c r="B361" s="2" t="s">
        <v>24</v>
      </c>
      <c r="C361" s="2" t="s">
        <v>63</v>
      </c>
      <c r="D361" s="13"/>
      <c r="E361" s="13"/>
      <c r="F361" s="44"/>
      <c r="G361" s="42"/>
      <c r="H361" s="42"/>
      <c r="I361" s="42"/>
      <c r="J361" s="22"/>
      <c r="K361" s="42"/>
    </row>
    <row r="362" ht="39.75" customHeight="1">
      <c r="A362" s="1">
        <v>361.0</v>
      </c>
      <c r="B362" s="2" t="s">
        <v>25</v>
      </c>
      <c r="C362" s="2" t="s">
        <v>39</v>
      </c>
      <c r="D362" s="40">
        <v>0.2916666666666667</v>
      </c>
      <c r="E362" s="13"/>
      <c r="F362" s="44" t="s">
        <v>2738</v>
      </c>
      <c r="G362" s="43">
        <v>1.0</v>
      </c>
      <c r="H362" s="42"/>
      <c r="I362" s="43">
        <v>1.0</v>
      </c>
      <c r="J362" s="22"/>
      <c r="K362" s="42"/>
    </row>
    <row r="363" ht="39.75" customHeight="1">
      <c r="A363" s="1">
        <v>362.0</v>
      </c>
      <c r="B363" s="2" t="s">
        <v>26</v>
      </c>
      <c r="C363" s="2" t="s">
        <v>54</v>
      </c>
      <c r="D363" s="40"/>
      <c r="E363" s="13"/>
      <c r="F363" s="44"/>
      <c r="G363" s="42"/>
      <c r="H363" s="42"/>
      <c r="I363" s="42"/>
      <c r="J363" s="22"/>
      <c r="K363" s="42"/>
    </row>
    <row r="364" ht="39.75" hidden="1" customHeight="1">
      <c r="A364" s="1">
        <v>363.0</v>
      </c>
      <c r="B364" s="2" t="s">
        <v>29</v>
      </c>
      <c r="C364" s="2" t="s">
        <v>58</v>
      </c>
      <c r="D364" s="13"/>
      <c r="E364" s="13"/>
      <c r="F364" s="45"/>
      <c r="G364" s="42"/>
      <c r="H364" s="42"/>
      <c r="I364" s="42"/>
      <c r="J364" s="22"/>
      <c r="K364" s="42"/>
    </row>
    <row r="365" ht="39.75" customHeight="1">
      <c r="A365" s="1">
        <v>364.0</v>
      </c>
      <c r="B365" s="2" t="s">
        <v>30</v>
      </c>
      <c r="C365" s="2" t="s">
        <v>64</v>
      </c>
      <c r="D365" s="13"/>
      <c r="E365" s="13"/>
      <c r="F365" s="44" t="s">
        <v>2592</v>
      </c>
      <c r="G365" s="43">
        <v>1.0</v>
      </c>
      <c r="H365" s="42"/>
      <c r="I365" s="43">
        <v>1.0</v>
      </c>
      <c r="J365" s="22"/>
      <c r="K365" s="42"/>
    </row>
    <row r="366" ht="39.75" customHeight="1">
      <c r="A366" s="1">
        <v>365.0</v>
      </c>
      <c r="B366" s="2" t="s">
        <v>31</v>
      </c>
      <c r="C366" s="2" t="s">
        <v>69</v>
      </c>
      <c r="D366" s="13"/>
      <c r="E366" s="13"/>
      <c r="F366" s="44" t="s">
        <v>2739</v>
      </c>
      <c r="G366" s="43">
        <v>1.0</v>
      </c>
      <c r="H366" s="42"/>
      <c r="I366" s="43">
        <v>1.0</v>
      </c>
      <c r="J366" s="22"/>
      <c r="K366" s="42"/>
    </row>
    <row r="367" ht="39.75" customHeight="1">
      <c r="A367" s="1">
        <v>366.0</v>
      </c>
      <c r="B367" s="2" t="s">
        <v>32</v>
      </c>
      <c r="C367" s="2" t="s">
        <v>54</v>
      </c>
      <c r="D367" s="13"/>
      <c r="E367" s="13"/>
      <c r="F367" s="44" t="s">
        <v>2740</v>
      </c>
      <c r="G367" s="43">
        <v>1.0</v>
      </c>
      <c r="H367" s="42"/>
      <c r="I367" s="43">
        <v>1.0</v>
      </c>
      <c r="J367" s="22"/>
      <c r="K367" s="42"/>
    </row>
    <row r="368" ht="39.75" customHeight="1">
      <c r="A368" s="1">
        <v>367.0</v>
      </c>
      <c r="B368" s="2" t="s">
        <v>67</v>
      </c>
      <c r="C368" s="2" t="s">
        <v>54</v>
      </c>
      <c r="D368" s="13"/>
      <c r="E368" s="13"/>
      <c r="F368" s="44" t="s">
        <v>2741</v>
      </c>
      <c r="G368" s="43">
        <v>1.0</v>
      </c>
      <c r="H368" s="42"/>
      <c r="I368" s="43">
        <v>1.0</v>
      </c>
      <c r="J368" s="22"/>
      <c r="K368" s="42"/>
    </row>
    <row r="369" ht="39.75" customHeight="1">
      <c r="A369" s="1">
        <v>368.0</v>
      </c>
      <c r="B369" s="2" t="s">
        <v>35</v>
      </c>
      <c r="C369" s="2"/>
      <c r="D369" s="13"/>
      <c r="E369" s="13"/>
      <c r="F369" s="44" t="s">
        <v>2742</v>
      </c>
      <c r="G369" s="43">
        <v>1.0</v>
      </c>
      <c r="H369" s="42"/>
      <c r="I369" s="42"/>
      <c r="J369" s="22"/>
      <c r="K369" s="42"/>
    </row>
    <row r="370" ht="39.75" customHeight="1">
      <c r="A370" s="1">
        <v>369.0</v>
      </c>
      <c r="B370" s="2" t="s">
        <v>36</v>
      </c>
      <c r="C370" s="2" t="s">
        <v>27</v>
      </c>
      <c r="D370" s="13"/>
      <c r="E370" s="13"/>
      <c r="F370" s="44" t="s">
        <v>2743</v>
      </c>
      <c r="G370" s="43">
        <v>1.0</v>
      </c>
      <c r="H370" s="42"/>
      <c r="I370" s="42"/>
      <c r="J370" s="22"/>
      <c r="K370" s="42"/>
    </row>
    <row r="371" ht="39.75" customHeight="1">
      <c r="A371" s="1">
        <v>370.0</v>
      </c>
      <c r="B371" s="2" t="s">
        <v>38</v>
      </c>
      <c r="C371" s="2"/>
      <c r="D371" s="40"/>
      <c r="E371" s="13"/>
      <c r="F371" s="44" t="s">
        <v>2744</v>
      </c>
      <c r="G371" s="43">
        <v>1.0</v>
      </c>
      <c r="H371" s="42"/>
      <c r="I371" s="42"/>
      <c r="J371" s="22"/>
      <c r="K371" s="42"/>
    </row>
    <row r="372" ht="39.75" hidden="1" customHeight="1">
      <c r="A372" s="1">
        <v>371.0</v>
      </c>
      <c r="B372" s="2" t="s">
        <v>41</v>
      </c>
      <c r="C372" s="2" t="s">
        <v>58</v>
      </c>
      <c r="D372" s="13"/>
      <c r="E372" s="13"/>
      <c r="F372" s="45"/>
      <c r="G372" s="42"/>
      <c r="H372" s="42"/>
      <c r="I372" s="42"/>
      <c r="J372" s="22"/>
      <c r="K372" s="42"/>
    </row>
    <row r="373" ht="39.75" hidden="1" customHeight="1">
      <c r="A373" s="1">
        <v>372.0</v>
      </c>
      <c r="B373" s="2" t="s">
        <v>42</v>
      </c>
      <c r="C373" s="2" t="s">
        <v>66</v>
      </c>
      <c r="D373" s="13"/>
      <c r="E373" s="13"/>
      <c r="F373" s="45"/>
      <c r="G373" s="42"/>
      <c r="H373" s="42"/>
      <c r="I373" s="42"/>
      <c r="J373" s="22"/>
      <c r="K373" s="42"/>
    </row>
    <row r="374" ht="39.75" customHeight="1">
      <c r="A374" s="1">
        <v>373.0</v>
      </c>
      <c r="B374" s="2" t="s">
        <v>43</v>
      </c>
      <c r="C374" s="2" t="s">
        <v>44</v>
      </c>
      <c r="D374" s="13"/>
      <c r="E374" s="13"/>
      <c r="F374" s="45"/>
      <c r="G374" s="42"/>
      <c r="H374" s="42"/>
      <c r="I374" s="42"/>
      <c r="J374" s="22"/>
      <c r="K374" s="42"/>
    </row>
    <row r="375" ht="39.75" customHeight="1">
      <c r="A375" s="1">
        <v>374.0</v>
      </c>
      <c r="B375" s="2" t="s">
        <v>45</v>
      </c>
      <c r="C375" s="2" t="s">
        <v>69</v>
      </c>
      <c r="D375" s="13"/>
      <c r="E375" s="13"/>
      <c r="F375" s="44" t="s">
        <v>2745</v>
      </c>
      <c r="G375" s="43">
        <v>1.0</v>
      </c>
      <c r="H375" s="42"/>
      <c r="I375" s="42"/>
      <c r="J375" s="22"/>
      <c r="K375" s="42"/>
    </row>
    <row r="376" ht="39.75" customHeight="1">
      <c r="A376" s="1">
        <v>375.0</v>
      </c>
      <c r="B376" s="2" t="s">
        <v>46</v>
      </c>
      <c r="C376" s="2" t="s">
        <v>54</v>
      </c>
      <c r="D376" s="13"/>
      <c r="E376" s="13"/>
      <c r="F376" s="44" t="s">
        <v>2746</v>
      </c>
      <c r="G376" s="43">
        <v>3.0</v>
      </c>
      <c r="H376" s="42"/>
      <c r="I376" s="43">
        <v>3.0</v>
      </c>
      <c r="J376" s="22"/>
      <c r="K376" s="42"/>
    </row>
    <row r="377" ht="39.75" customHeight="1">
      <c r="A377" s="1">
        <v>376.0</v>
      </c>
      <c r="B377" s="2" t="s">
        <v>47</v>
      </c>
      <c r="C377" s="2"/>
      <c r="D377" s="53">
        <v>0.3194444444444444</v>
      </c>
      <c r="E377" s="51">
        <v>0.875</v>
      </c>
      <c r="F377" s="44" t="s">
        <v>2747</v>
      </c>
      <c r="G377" s="42"/>
      <c r="H377" s="42"/>
      <c r="I377" s="42"/>
      <c r="J377" s="22"/>
      <c r="K377" s="42"/>
    </row>
    <row r="378" ht="39.75" customHeight="1">
      <c r="A378" s="1">
        <v>377.0</v>
      </c>
      <c r="B378" s="2" t="s">
        <v>48</v>
      </c>
      <c r="C378" s="2" t="s">
        <v>39</v>
      </c>
      <c r="D378" s="40">
        <v>0.2916666666666667</v>
      </c>
      <c r="E378" s="13"/>
      <c r="F378" s="44" t="s">
        <v>2691</v>
      </c>
      <c r="G378" s="43">
        <v>1.0</v>
      </c>
      <c r="H378" s="42"/>
      <c r="I378" s="43">
        <v>1.0</v>
      </c>
      <c r="J378" s="22"/>
      <c r="K378" s="42"/>
    </row>
    <row r="379" ht="39.75" customHeight="1">
      <c r="A379" s="1">
        <v>378.0</v>
      </c>
      <c r="B379" s="21"/>
      <c r="C379" s="21"/>
      <c r="D379" s="21"/>
      <c r="E379" s="21"/>
      <c r="F379" s="46"/>
      <c r="G379" s="47"/>
      <c r="H379" s="47"/>
      <c r="I379" s="47"/>
      <c r="J379" s="48"/>
      <c r="K379" s="47"/>
      <c r="L379" s="49"/>
      <c r="M379" s="49"/>
      <c r="N379" s="49"/>
    </row>
    <row r="380" ht="39.75" customHeight="1">
      <c r="A380" s="1">
        <v>379.0</v>
      </c>
      <c r="B380" s="2" t="s">
        <v>12</v>
      </c>
      <c r="C380" s="2" t="s">
        <v>62</v>
      </c>
      <c r="D380" s="13"/>
      <c r="E380" s="13"/>
      <c r="F380" s="61" t="s">
        <v>2482</v>
      </c>
      <c r="G380" s="43">
        <v>1.0</v>
      </c>
      <c r="H380" s="42"/>
      <c r="I380" s="43">
        <v>1.0</v>
      </c>
      <c r="J380" s="27" t="s">
        <v>2570</v>
      </c>
      <c r="K380" s="42"/>
      <c r="L380" s="15" t="s">
        <v>269</v>
      </c>
    </row>
    <row r="381" ht="39.75" customHeight="1">
      <c r="A381" s="1">
        <v>380.0</v>
      </c>
      <c r="B381" s="2" t="s">
        <v>16</v>
      </c>
      <c r="C381" s="2" t="s">
        <v>69</v>
      </c>
      <c r="D381" s="13"/>
      <c r="E381" s="40">
        <v>0.875</v>
      </c>
      <c r="F381" s="44" t="s">
        <v>2748</v>
      </c>
      <c r="G381" s="43">
        <v>2.0</v>
      </c>
      <c r="H381" s="42"/>
      <c r="I381" s="43">
        <v>1.0</v>
      </c>
      <c r="J381" s="27" t="s">
        <v>269</v>
      </c>
      <c r="K381" s="43"/>
    </row>
    <row r="382" ht="39.75" customHeight="1">
      <c r="A382" s="1">
        <v>381.0</v>
      </c>
      <c r="B382" s="2" t="s">
        <v>116</v>
      </c>
      <c r="C382" s="2"/>
      <c r="D382" s="13"/>
      <c r="E382" s="13"/>
      <c r="F382" s="44" t="s">
        <v>2749</v>
      </c>
      <c r="G382" s="43">
        <v>1.0</v>
      </c>
      <c r="H382" s="42"/>
      <c r="I382" s="42"/>
      <c r="J382" s="27" t="s">
        <v>77</v>
      </c>
      <c r="K382" s="42"/>
    </row>
    <row r="383" ht="39.75" hidden="1" customHeight="1">
      <c r="A383" s="1">
        <v>382.0</v>
      </c>
      <c r="B383" s="2" t="s">
        <v>17</v>
      </c>
      <c r="C383" s="2" t="s">
        <v>58</v>
      </c>
      <c r="D383" s="13"/>
      <c r="E383" s="13"/>
      <c r="F383" s="44"/>
      <c r="G383" s="42"/>
      <c r="H383" s="42"/>
      <c r="I383" s="42"/>
      <c r="J383" s="22"/>
      <c r="K383" s="42"/>
    </row>
    <row r="384" ht="39.75" customHeight="1">
      <c r="A384" s="1">
        <v>383.0</v>
      </c>
      <c r="B384" s="2" t="s">
        <v>331</v>
      </c>
      <c r="C384" s="2" t="s">
        <v>542</v>
      </c>
      <c r="D384" s="13"/>
      <c r="E384" s="13"/>
      <c r="F384" s="45"/>
      <c r="G384" s="42"/>
      <c r="H384" s="42"/>
      <c r="I384" s="42"/>
      <c r="J384" s="22"/>
      <c r="K384" s="42"/>
    </row>
    <row r="385" ht="39.75" hidden="1" customHeight="1">
      <c r="A385" s="1">
        <v>384.0</v>
      </c>
      <c r="B385" s="2" t="s">
        <v>21</v>
      </c>
      <c r="C385" s="2" t="s">
        <v>58</v>
      </c>
      <c r="D385" s="13"/>
      <c r="E385" s="13"/>
      <c r="F385" s="45"/>
      <c r="G385" s="42"/>
      <c r="H385" s="42"/>
      <c r="I385" s="42"/>
      <c r="J385" s="22"/>
      <c r="K385" s="42"/>
    </row>
    <row r="386" ht="39.75" customHeight="1">
      <c r="A386" s="1">
        <v>385.0</v>
      </c>
      <c r="B386" s="2" t="s">
        <v>22</v>
      </c>
      <c r="C386" s="2"/>
      <c r="D386" s="13"/>
      <c r="E386" s="13"/>
      <c r="F386" s="44" t="s">
        <v>2750</v>
      </c>
      <c r="G386" s="43">
        <v>1.0</v>
      </c>
      <c r="H386" s="42"/>
      <c r="I386" s="42"/>
      <c r="J386" s="22"/>
      <c r="K386" s="42"/>
    </row>
    <row r="387" ht="39.75" hidden="1" customHeight="1">
      <c r="A387" s="1">
        <v>386.0</v>
      </c>
      <c r="B387" s="2" t="s">
        <v>23</v>
      </c>
      <c r="C387" s="2" t="s">
        <v>66</v>
      </c>
      <c r="D387" s="13"/>
      <c r="E387" s="13"/>
      <c r="F387" s="45"/>
      <c r="G387" s="42"/>
      <c r="H387" s="42"/>
      <c r="I387" s="42"/>
      <c r="J387" s="22"/>
      <c r="K387" s="42"/>
    </row>
    <row r="388" ht="39.75" customHeight="1">
      <c r="A388" s="1">
        <v>387.0</v>
      </c>
      <c r="B388" s="2" t="s">
        <v>24</v>
      </c>
      <c r="C388" s="2" t="s">
        <v>63</v>
      </c>
      <c r="D388" s="13"/>
      <c r="E388" s="13"/>
      <c r="F388" s="45"/>
      <c r="G388" s="42"/>
      <c r="H388" s="42"/>
      <c r="I388" s="42"/>
      <c r="J388" s="22"/>
      <c r="K388" s="42"/>
    </row>
    <row r="389" ht="39.75" customHeight="1">
      <c r="A389" s="1">
        <v>388.0</v>
      </c>
      <c r="B389" s="2" t="s">
        <v>25</v>
      </c>
      <c r="C389" s="2" t="s">
        <v>54</v>
      </c>
      <c r="D389" s="53">
        <v>0.3263888888888889</v>
      </c>
      <c r="E389" s="51">
        <v>0.8333333333333334</v>
      </c>
      <c r="F389" s="44" t="s">
        <v>2751</v>
      </c>
      <c r="G389" s="43">
        <v>1.0</v>
      </c>
      <c r="H389" s="42"/>
      <c r="I389" s="42"/>
      <c r="J389" s="22"/>
      <c r="K389" s="42"/>
    </row>
    <row r="390" ht="39.75" customHeight="1">
      <c r="A390" s="1">
        <v>389.0</v>
      </c>
      <c r="B390" s="2" t="s">
        <v>26</v>
      </c>
      <c r="C390" s="2"/>
      <c r="D390" s="53">
        <v>0.25</v>
      </c>
      <c r="E390" s="13"/>
      <c r="F390" s="44" t="s">
        <v>2752</v>
      </c>
      <c r="G390" s="43">
        <v>1.0</v>
      </c>
      <c r="H390" s="42"/>
      <c r="I390" s="42"/>
      <c r="J390" s="22"/>
      <c r="K390" s="42"/>
    </row>
    <row r="391" ht="39.75" hidden="1" customHeight="1">
      <c r="A391" s="1">
        <v>390.0</v>
      </c>
      <c r="B391" s="2" t="s">
        <v>29</v>
      </c>
      <c r="C391" s="2" t="s">
        <v>58</v>
      </c>
      <c r="D391" s="13"/>
      <c r="E391" s="13"/>
      <c r="F391" s="45"/>
      <c r="G391" s="42"/>
      <c r="H391" s="42"/>
      <c r="I391" s="42"/>
      <c r="J391" s="22"/>
      <c r="K391" s="42"/>
    </row>
    <row r="392" ht="39.75" hidden="1" customHeight="1">
      <c r="A392" s="1">
        <v>391.0</v>
      </c>
      <c r="B392" s="2" t="s">
        <v>30</v>
      </c>
      <c r="C392" s="2" t="s">
        <v>58</v>
      </c>
      <c r="D392" s="13"/>
      <c r="E392" s="13"/>
      <c r="F392" s="45"/>
      <c r="G392" s="42"/>
      <c r="H392" s="42"/>
      <c r="I392" s="42"/>
      <c r="J392" s="22"/>
      <c r="K392" s="42"/>
    </row>
    <row r="393" ht="39.75" customHeight="1">
      <c r="A393" s="1">
        <v>392.0</v>
      </c>
      <c r="B393" s="2" t="s">
        <v>31</v>
      </c>
      <c r="C393" s="2" t="s">
        <v>69</v>
      </c>
      <c r="D393" s="13"/>
      <c r="E393" s="13"/>
      <c r="F393" s="44" t="s">
        <v>2753</v>
      </c>
      <c r="G393" s="43">
        <v>2.0</v>
      </c>
      <c r="H393" s="42"/>
      <c r="I393" s="43">
        <v>1.0</v>
      </c>
      <c r="J393" s="22"/>
      <c r="K393" s="42"/>
    </row>
    <row r="394" ht="39.75" customHeight="1">
      <c r="A394" s="1">
        <v>393.0</v>
      </c>
      <c r="B394" s="2" t="s">
        <v>32</v>
      </c>
      <c r="C394" s="2" t="s">
        <v>39</v>
      </c>
      <c r="D394" s="13"/>
      <c r="E394" s="13"/>
      <c r="F394" s="44" t="s">
        <v>2754</v>
      </c>
      <c r="G394" s="43">
        <v>1.0</v>
      </c>
      <c r="H394" s="42"/>
      <c r="I394" s="42"/>
      <c r="J394" s="22"/>
      <c r="K394" s="42"/>
    </row>
    <row r="395" ht="39.75" customHeight="1">
      <c r="A395" s="1">
        <v>394.0</v>
      </c>
      <c r="B395" s="2" t="s">
        <v>67</v>
      </c>
      <c r="C395" s="2" t="s">
        <v>54</v>
      </c>
      <c r="D395" s="53">
        <v>0.3333333333333333</v>
      </c>
      <c r="E395" s="13"/>
      <c r="F395" s="44" t="s">
        <v>2755</v>
      </c>
      <c r="G395" s="43">
        <v>1.0</v>
      </c>
      <c r="H395" s="42"/>
      <c r="I395" s="43">
        <v>1.0</v>
      </c>
      <c r="J395" s="22"/>
      <c r="K395" s="42"/>
    </row>
    <row r="396" ht="39.75" customHeight="1">
      <c r="A396" s="1">
        <v>395.0</v>
      </c>
      <c r="B396" s="2" t="s">
        <v>35</v>
      </c>
      <c r="C396" s="2" t="s">
        <v>69</v>
      </c>
      <c r="D396" s="13"/>
      <c r="E396" s="13"/>
      <c r="F396" s="85" t="s">
        <v>2756</v>
      </c>
      <c r="G396" s="42"/>
      <c r="H396" s="42"/>
      <c r="I396" s="42"/>
      <c r="J396" s="22"/>
      <c r="K396" s="42"/>
    </row>
    <row r="397" ht="39.75" customHeight="1">
      <c r="A397" s="1">
        <v>396.0</v>
      </c>
      <c r="B397" s="2" t="s">
        <v>36</v>
      </c>
      <c r="C397" s="2" t="s">
        <v>44</v>
      </c>
      <c r="D397" s="13"/>
      <c r="E397" s="13"/>
      <c r="F397" s="45"/>
      <c r="G397" s="42"/>
      <c r="H397" s="42"/>
      <c r="I397" s="42"/>
      <c r="J397" s="22"/>
      <c r="K397" s="42"/>
    </row>
    <row r="398" ht="39.75" customHeight="1">
      <c r="A398" s="1">
        <v>397.0</v>
      </c>
      <c r="B398" s="2" t="s">
        <v>38</v>
      </c>
      <c r="C398" s="2" t="s">
        <v>39</v>
      </c>
      <c r="D398" s="53">
        <v>0.25</v>
      </c>
      <c r="E398" s="13"/>
      <c r="F398" s="44" t="s">
        <v>2757</v>
      </c>
      <c r="G398" s="43">
        <v>1.0</v>
      </c>
      <c r="H398" s="42"/>
      <c r="I398" s="42"/>
      <c r="J398" s="22"/>
      <c r="K398" s="42"/>
    </row>
    <row r="399" ht="39.75" hidden="1" customHeight="1">
      <c r="A399" s="1">
        <v>398.0</v>
      </c>
      <c r="B399" s="2" t="s">
        <v>41</v>
      </c>
      <c r="C399" s="2" t="s">
        <v>58</v>
      </c>
      <c r="D399" s="13"/>
      <c r="E399" s="13"/>
      <c r="F399" s="45"/>
      <c r="G399" s="42"/>
      <c r="H399" s="42"/>
      <c r="I399" s="42"/>
      <c r="J399" s="22"/>
      <c r="K399" s="42"/>
    </row>
    <row r="400" ht="39.75" hidden="1" customHeight="1">
      <c r="A400" s="1">
        <v>399.0</v>
      </c>
      <c r="B400" s="2" t="s">
        <v>42</v>
      </c>
      <c r="C400" s="2" t="s">
        <v>58</v>
      </c>
      <c r="D400" s="13"/>
      <c r="E400" s="13"/>
      <c r="F400" s="45"/>
      <c r="G400" s="42"/>
      <c r="H400" s="42"/>
      <c r="I400" s="42"/>
      <c r="J400" s="22"/>
      <c r="K400" s="42"/>
    </row>
    <row r="401" ht="39.75" customHeight="1">
      <c r="A401" s="1">
        <v>400.0</v>
      </c>
      <c r="B401" s="2" t="s">
        <v>43</v>
      </c>
      <c r="C401" s="2" t="s">
        <v>27</v>
      </c>
      <c r="D401" s="13"/>
      <c r="E401" s="13"/>
      <c r="F401" s="44" t="s">
        <v>2758</v>
      </c>
      <c r="G401" s="43">
        <v>2.0</v>
      </c>
      <c r="H401" s="42"/>
      <c r="I401" s="43">
        <v>1.0</v>
      </c>
      <c r="J401" s="22"/>
      <c r="K401" s="42"/>
    </row>
    <row r="402" ht="39.75" customHeight="1">
      <c r="A402" s="1">
        <v>401.0</v>
      </c>
      <c r="B402" s="2" t="s">
        <v>45</v>
      </c>
      <c r="C402" s="2"/>
      <c r="D402" s="13"/>
      <c r="E402" s="13"/>
      <c r="F402" s="44" t="s">
        <v>2759</v>
      </c>
      <c r="G402" s="43">
        <v>1.0</v>
      </c>
      <c r="H402" s="42"/>
      <c r="I402" s="42"/>
      <c r="J402" s="22"/>
      <c r="K402" s="42"/>
    </row>
    <row r="403" ht="39.75" customHeight="1">
      <c r="A403" s="1">
        <v>402.0</v>
      </c>
      <c r="B403" s="2" t="s">
        <v>46</v>
      </c>
      <c r="C403" s="2" t="s">
        <v>54</v>
      </c>
      <c r="D403" s="53">
        <v>0.3333333333333333</v>
      </c>
      <c r="E403" s="51">
        <v>0.9166666666666666</v>
      </c>
      <c r="F403" s="44" t="s">
        <v>2760</v>
      </c>
      <c r="G403" s="43">
        <v>2.0</v>
      </c>
      <c r="H403" s="42"/>
      <c r="I403" s="42"/>
      <c r="J403" s="22"/>
      <c r="K403" s="42"/>
    </row>
    <row r="404" ht="39.75" customHeight="1">
      <c r="A404" s="1">
        <v>403.0</v>
      </c>
      <c r="B404" s="2" t="s">
        <v>47</v>
      </c>
      <c r="C404" s="2" t="s">
        <v>54</v>
      </c>
      <c r="D404" s="13"/>
      <c r="E404" s="51">
        <v>0.8125</v>
      </c>
      <c r="F404" s="44" t="s">
        <v>2761</v>
      </c>
      <c r="G404" s="43">
        <v>1.0</v>
      </c>
      <c r="H404" s="42"/>
      <c r="I404" s="42"/>
      <c r="J404" s="22"/>
      <c r="K404" s="42"/>
    </row>
    <row r="405" ht="39.75" customHeight="1">
      <c r="A405" s="1">
        <v>404.0</v>
      </c>
      <c r="B405" s="2" t="s">
        <v>48</v>
      </c>
      <c r="C405" s="13"/>
      <c r="D405" s="13"/>
      <c r="E405" s="13"/>
      <c r="F405" s="44" t="s">
        <v>1285</v>
      </c>
      <c r="G405" s="42"/>
      <c r="H405" s="42"/>
      <c r="I405" s="42"/>
      <c r="J405" s="22"/>
      <c r="K405" s="42"/>
    </row>
    <row r="406" ht="39.75" customHeight="1">
      <c r="A406" s="1">
        <v>405.0</v>
      </c>
      <c r="B406" s="21"/>
      <c r="C406" s="21"/>
      <c r="D406" s="21"/>
      <c r="E406" s="21"/>
      <c r="F406" s="46"/>
      <c r="G406" s="47"/>
      <c r="H406" s="47"/>
      <c r="I406" s="47"/>
      <c r="J406" s="48"/>
      <c r="K406" s="47"/>
      <c r="L406" s="49"/>
      <c r="M406" s="49"/>
      <c r="N406" s="49"/>
    </row>
    <row r="407" ht="39.75" customHeight="1">
      <c r="A407" s="1">
        <v>406.0</v>
      </c>
      <c r="B407" s="2" t="s">
        <v>12</v>
      </c>
      <c r="C407" s="2" t="s">
        <v>62</v>
      </c>
      <c r="D407" s="40"/>
      <c r="E407" s="40"/>
      <c r="F407" s="45"/>
      <c r="G407" s="42"/>
      <c r="H407" s="42"/>
      <c r="I407" s="42"/>
      <c r="J407" s="27" t="s">
        <v>2570</v>
      </c>
      <c r="K407" s="42"/>
      <c r="L407" s="15" t="s">
        <v>274</v>
      </c>
    </row>
    <row r="408" ht="39.75" customHeight="1">
      <c r="A408" s="1">
        <v>407.0</v>
      </c>
      <c r="B408" s="2" t="s">
        <v>16</v>
      </c>
      <c r="C408" s="2" t="s">
        <v>27</v>
      </c>
      <c r="D408" s="13"/>
      <c r="E408" s="13"/>
      <c r="F408" s="44" t="s">
        <v>2762</v>
      </c>
      <c r="G408" s="43">
        <v>2.0</v>
      </c>
      <c r="H408" s="42"/>
      <c r="I408" s="43"/>
      <c r="J408" s="27" t="s">
        <v>274</v>
      </c>
      <c r="K408" s="43"/>
    </row>
    <row r="409" ht="39.75" customHeight="1">
      <c r="A409" s="1">
        <v>408.0</v>
      </c>
      <c r="B409" s="2" t="s">
        <v>116</v>
      </c>
      <c r="C409" s="2" t="s">
        <v>69</v>
      </c>
      <c r="D409" s="13"/>
      <c r="E409" s="51">
        <v>0.9583333333333334</v>
      </c>
      <c r="F409" s="85" t="s">
        <v>2763</v>
      </c>
      <c r="G409" s="43">
        <v>1.0</v>
      </c>
      <c r="H409" s="42"/>
      <c r="I409" s="43">
        <v>1.0</v>
      </c>
      <c r="J409" s="27" t="s">
        <v>95</v>
      </c>
      <c r="K409" s="42"/>
    </row>
    <row r="410" ht="39.75" hidden="1" customHeight="1">
      <c r="A410" s="1">
        <v>409.0</v>
      </c>
      <c r="B410" s="2" t="s">
        <v>17</v>
      </c>
      <c r="C410" s="2" t="s">
        <v>58</v>
      </c>
      <c r="D410" s="13"/>
      <c r="E410" s="13"/>
      <c r="F410" s="44"/>
      <c r="G410" s="42"/>
      <c r="H410" s="42"/>
      <c r="I410" s="42"/>
      <c r="J410" s="22"/>
      <c r="K410" s="42"/>
    </row>
    <row r="411" ht="39.75" customHeight="1">
      <c r="A411" s="1">
        <v>410.0</v>
      </c>
      <c r="B411" s="2" t="s">
        <v>331</v>
      </c>
      <c r="C411" s="2" t="s">
        <v>542</v>
      </c>
      <c r="D411" s="13"/>
      <c r="E411" s="13"/>
      <c r="F411" s="44" t="s">
        <v>2764</v>
      </c>
      <c r="G411" s="43">
        <v>1.0</v>
      </c>
      <c r="H411" s="42"/>
      <c r="I411" s="43">
        <v>1.0</v>
      </c>
      <c r="J411" s="22"/>
      <c r="K411" s="42"/>
    </row>
    <row r="412" ht="39.75" customHeight="1">
      <c r="A412" s="1">
        <v>411.0</v>
      </c>
      <c r="B412" s="2" t="s">
        <v>21</v>
      </c>
      <c r="C412" s="2"/>
      <c r="D412" s="13"/>
      <c r="E412" s="13"/>
      <c r="F412" s="44" t="s">
        <v>1331</v>
      </c>
      <c r="G412" s="42"/>
      <c r="H412" s="42"/>
      <c r="I412" s="42"/>
      <c r="J412" s="22"/>
      <c r="K412" s="42"/>
    </row>
    <row r="413" ht="39.75" customHeight="1">
      <c r="A413" s="1">
        <v>412.0</v>
      </c>
      <c r="B413" s="2" t="s">
        <v>22</v>
      </c>
      <c r="C413" s="2"/>
      <c r="D413" s="13"/>
      <c r="E413" s="13"/>
      <c r="F413" s="44" t="s">
        <v>2765</v>
      </c>
      <c r="G413" s="43">
        <v>2.0</v>
      </c>
      <c r="H413" s="42"/>
      <c r="I413" s="43">
        <v>2.0</v>
      </c>
      <c r="J413" s="22"/>
      <c r="K413" s="42"/>
    </row>
    <row r="414" ht="39.75" customHeight="1">
      <c r="A414" s="1">
        <v>413.0</v>
      </c>
      <c r="B414" s="2" t="s">
        <v>23</v>
      </c>
      <c r="C414" s="2"/>
      <c r="D414" s="13"/>
      <c r="E414" s="13"/>
      <c r="F414" s="44" t="s">
        <v>2766</v>
      </c>
      <c r="G414" s="43">
        <v>1.0</v>
      </c>
      <c r="H414" s="42"/>
      <c r="I414" s="42"/>
      <c r="J414" s="22"/>
      <c r="K414" s="42"/>
    </row>
    <row r="415" ht="39.75" customHeight="1">
      <c r="A415" s="1">
        <v>414.0</v>
      </c>
      <c r="B415" s="2" t="s">
        <v>24</v>
      </c>
      <c r="C415" s="2" t="s">
        <v>63</v>
      </c>
      <c r="D415" s="13"/>
      <c r="E415" s="13"/>
      <c r="F415" s="44"/>
      <c r="G415" s="42"/>
      <c r="H415" s="43"/>
      <c r="I415" s="43"/>
      <c r="J415" s="22"/>
      <c r="K415" s="42"/>
    </row>
    <row r="416" ht="39.75" customHeight="1">
      <c r="A416" s="1">
        <v>415.0</v>
      </c>
      <c r="B416" s="2" t="s">
        <v>25</v>
      </c>
      <c r="C416" s="2" t="s">
        <v>69</v>
      </c>
      <c r="D416" s="13"/>
      <c r="E416" s="13"/>
      <c r="F416" s="45"/>
      <c r="G416" s="42"/>
      <c r="H416" s="42"/>
      <c r="I416" s="42"/>
      <c r="J416" s="22"/>
      <c r="K416" s="42"/>
    </row>
    <row r="417" ht="39.75" customHeight="1">
      <c r="A417" s="1">
        <v>416.0</v>
      </c>
      <c r="B417" s="2" t="s">
        <v>26</v>
      </c>
      <c r="C417" s="2" t="s">
        <v>39</v>
      </c>
      <c r="D417" s="13"/>
      <c r="E417" s="13"/>
      <c r="F417" s="44" t="s">
        <v>2767</v>
      </c>
      <c r="G417" s="43">
        <v>1.0</v>
      </c>
      <c r="H417" s="42"/>
      <c r="I417" s="43">
        <v>1.0</v>
      </c>
      <c r="J417" s="22"/>
      <c r="K417" s="42"/>
    </row>
    <row r="418" ht="39.75" customHeight="1">
      <c r="A418" s="1">
        <v>417.0</v>
      </c>
      <c r="B418" s="2" t="s">
        <v>29</v>
      </c>
      <c r="C418" s="2" t="s">
        <v>39</v>
      </c>
      <c r="D418" s="13"/>
      <c r="E418" s="13"/>
      <c r="F418" s="44" t="s">
        <v>2664</v>
      </c>
      <c r="G418" s="43">
        <v>1.0</v>
      </c>
      <c r="H418" s="42"/>
      <c r="I418" s="43">
        <v>1.0</v>
      </c>
      <c r="J418" s="22"/>
      <c r="K418" s="42"/>
    </row>
    <row r="419" ht="39.75" customHeight="1">
      <c r="A419" s="1">
        <v>418.0</v>
      </c>
      <c r="B419" s="2" t="s">
        <v>30</v>
      </c>
      <c r="C419" s="2" t="s">
        <v>64</v>
      </c>
      <c r="D419" s="13"/>
      <c r="E419" s="13"/>
      <c r="F419" s="44" t="s">
        <v>2592</v>
      </c>
      <c r="G419" s="42"/>
      <c r="H419" s="42"/>
      <c r="I419" s="42"/>
      <c r="J419" s="22"/>
      <c r="K419" s="42"/>
    </row>
    <row r="420" ht="39.75" customHeight="1">
      <c r="A420" s="1">
        <v>419.0</v>
      </c>
      <c r="B420" s="2" t="s">
        <v>31</v>
      </c>
      <c r="C420" s="2"/>
      <c r="D420" s="13"/>
      <c r="E420" s="13"/>
      <c r="F420" s="44" t="s">
        <v>2768</v>
      </c>
      <c r="G420" s="43">
        <v>1.0</v>
      </c>
      <c r="H420" s="42"/>
      <c r="I420" s="43">
        <v>1.0</v>
      </c>
      <c r="J420" s="22"/>
      <c r="K420" s="42"/>
    </row>
    <row r="421" ht="39.75" customHeight="1">
      <c r="A421" s="1">
        <v>420.0</v>
      </c>
      <c r="B421" s="2" t="s">
        <v>32</v>
      </c>
      <c r="C421" s="2" t="s">
        <v>54</v>
      </c>
      <c r="D421" s="13"/>
      <c r="E421" s="13"/>
      <c r="F421" s="44" t="s">
        <v>2769</v>
      </c>
      <c r="G421" s="43">
        <v>1.0</v>
      </c>
      <c r="H421" s="42"/>
      <c r="I421" s="43">
        <v>1.0</v>
      </c>
      <c r="J421" s="22"/>
      <c r="K421" s="42"/>
    </row>
    <row r="422" ht="39.75" customHeight="1">
      <c r="A422" s="1">
        <v>421.0</v>
      </c>
      <c r="B422" s="2" t="s">
        <v>67</v>
      </c>
      <c r="C422" s="2" t="s">
        <v>54</v>
      </c>
      <c r="D422" s="13"/>
      <c r="E422" s="13"/>
      <c r="F422" s="44" t="s">
        <v>2770</v>
      </c>
      <c r="G422" s="43">
        <v>1.0</v>
      </c>
      <c r="H422" s="43"/>
      <c r="I422" s="43">
        <v>1.0</v>
      </c>
      <c r="J422" s="22"/>
      <c r="K422" s="42"/>
    </row>
    <row r="423" ht="39.75" hidden="1" customHeight="1">
      <c r="A423" s="1">
        <v>422.0</v>
      </c>
      <c r="B423" s="2" t="s">
        <v>35</v>
      </c>
      <c r="C423" s="2" t="s">
        <v>58</v>
      </c>
      <c r="D423" s="13"/>
      <c r="E423" s="13"/>
      <c r="F423" s="45"/>
      <c r="G423" s="42"/>
      <c r="H423" s="42"/>
      <c r="I423" s="42"/>
      <c r="J423" s="22"/>
      <c r="K423" s="42"/>
    </row>
    <row r="424" ht="39.75" hidden="1" customHeight="1">
      <c r="A424" s="1">
        <v>423.0</v>
      </c>
      <c r="B424" s="2" t="s">
        <v>36</v>
      </c>
      <c r="C424" s="2" t="s">
        <v>66</v>
      </c>
      <c r="D424" s="13"/>
      <c r="E424" s="13"/>
      <c r="F424" s="44"/>
      <c r="G424" s="42"/>
      <c r="H424" s="42"/>
      <c r="I424" s="42"/>
      <c r="J424" s="22"/>
      <c r="K424" s="42"/>
    </row>
    <row r="425" ht="39.75" customHeight="1">
      <c r="A425" s="1">
        <v>424.0</v>
      </c>
      <c r="B425" s="2" t="s">
        <v>38</v>
      </c>
      <c r="C425" s="2" t="s">
        <v>54</v>
      </c>
      <c r="D425" s="13"/>
      <c r="E425" s="13"/>
      <c r="F425" s="44" t="s">
        <v>2771</v>
      </c>
      <c r="G425" s="43">
        <v>1.0</v>
      </c>
      <c r="H425" s="42"/>
      <c r="I425" s="43"/>
      <c r="J425" s="22"/>
      <c r="K425" s="42"/>
    </row>
    <row r="426" ht="39.75" hidden="1" customHeight="1">
      <c r="A426" s="1">
        <v>425.0</v>
      </c>
      <c r="B426" s="2" t="s">
        <v>41</v>
      </c>
      <c r="C426" s="2" t="s">
        <v>58</v>
      </c>
      <c r="D426" s="13"/>
      <c r="E426" s="13"/>
      <c r="F426" s="44"/>
      <c r="G426" s="42"/>
      <c r="H426" s="42"/>
      <c r="I426" s="42"/>
      <c r="J426" s="22"/>
      <c r="K426" s="42"/>
    </row>
    <row r="427" ht="39.75" customHeight="1">
      <c r="A427" s="1">
        <v>426.0</v>
      </c>
      <c r="B427" s="2" t="s">
        <v>42</v>
      </c>
      <c r="C427" s="2"/>
      <c r="D427" s="13"/>
      <c r="E427" s="13"/>
      <c r="F427" s="44" t="s">
        <v>2772</v>
      </c>
      <c r="G427" s="43">
        <v>1.0</v>
      </c>
      <c r="H427" s="42"/>
      <c r="I427" s="43">
        <v>1.0</v>
      </c>
      <c r="J427" s="22"/>
      <c r="K427" s="42"/>
    </row>
    <row r="428" ht="39.75" customHeight="1">
      <c r="A428" s="1">
        <v>427.0</v>
      </c>
      <c r="B428" s="2" t="s">
        <v>43</v>
      </c>
      <c r="C428" s="2" t="s">
        <v>44</v>
      </c>
      <c r="D428" s="13"/>
      <c r="E428" s="13"/>
      <c r="F428" s="45"/>
      <c r="G428" s="42"/>
      <c r="H428" s="42"/>
      <c r="I428" s="42"/>
      <c r="J428" s="22"/>
      <c r="K428" s="42"/>
    </row>
    <row r="429" ht="39.75" hidden="1" customHeight="1">
      <c r="A429" s="1">
        <v>428.0</v>
      </c>
      <c r="B429" s="2" t="s">
        <v>45</v>
      </c>
      <c r="C429" s="2" t="s">
        <v>58</v>
      </c>
      <c r="D429" s="13"/>
      <c r="E429" s="13"/>
      <c r="F429" s="45"/>
      <c r="G429" s="42"/>
      <c r="H429" s="42"/>
      <c r="I429" s="42"/>
      <c r="J429" s="22"/>
      <c r="K429" s="42"/>
    </row>
    <row r="430" ht="39.75" customHeight="1">
      <c r="A430" s="1">
        <v>429.0</v>
      </c>
      <c r="B430" s="2" t="s">
        <v>46</v>
      </c>
      <c r="C430" s="2" t="s">
        <v>54</v>
      </c>
      <c r="D430" s="40"/>
      <c r="E430" s="13"/>
      <c r="F430" s="44" t="s">
        <v>2773</v>
      </c>
      <c r="G430" s="43">
        <v>1.0</v>
      </c>
      <c r="H430" s="42"/>
      <c r="I430" s="42"/>
      <c r="J430" s="22"/>
      <c r="K430" s="42"/>
    </row>
    <row r="431" ht="39.75" customHeight="1">
      <c r="A431" s="1">
        <v>430.0</v>
      </c>
      <c r="B431" s="2" t="s">
        <v>47</v>
      </c>
      <c r="C431" s="2" t="s">
        <v>69</v>
      </c>
      <c r="D431" s="13"/>
      <c r="E431" s="13"/>
      <c r="F431" s="44" t="s">
        <v>2774</v>
      </c>
      <c r="G431" s="43">
        <v>2.0</v>
      </c>
      <c r="H431" s="42"/>
      <c r="I431" s="43">
        <v>1.0</v>
      </c>
      <c r="J431" s="22"/>
      <c r="K431" s="42"/>
    </row>
    <row r="432" ht="39.75" customHeight="1">
      <c r="A432" s="1">
        <v>431.0</v>
      </c>
      <c r="B432" s="2" t="s">
        <v>48</v>
      </c>
      <c r="C432" s="13"/>
      <c r="D432" s="13"/>
      <c r="E432" s="13"/>
      <c r="F432" s="44" t="s">
        <v>2775</v>
      </c>
      <c r="G432" s="43">
        <v>1.0</v>
      </c>
      <c r="H432" s="43"/>
      <c r="I432" s="43">
        <v>1.0</v>
      </c>
      <c r="J432" s="22"/>
      <c r="K432" s="42"/>
    </row>
    <row r="433" ht="39.75" customHeight="1">
      <c r="A433" s="1">
        <v>432.0</v>
      </c>
      <c r="B433" s="21"/>
      <c r="C433" s="21"/>
      <c r="D433" s="21"/>
      <c r="E433" s="21"/>
      <c r="F433" s="46"/>
      <c r="G433" s="47"/>
      <c r="H433" s="47"/>
      <c r="I433" s="47"/>
      <c r="J433" s="48"/>
      <c r="K433" s="47"/>
      <c r="L433" s="49"/>
      <c r="M433" s="49"/>
      <c r="N433" s="49"/>
    </row>
    <row r="434" ht="39.75" customHeight="1">
      <c r="A434" s="1">
        <v>433.0</v>
      </c>
      <c r="B434" s="2" t="s">
        <v>12</v>
      </c>
      <c r="C434" s="2" t="s">
        <v>62</v>
      </c>
      <c r="D434" s="13"/>
      <c r="E434" s="13"/>
      <c r="F434" s="45"/>
      <c r="G434" s="42"/>
      <c r="H434" s="42"/>
      <c r="I434" s="42"/>
      <c r="J434" s="27" t="s">
        <v>2570</v>
      </c>
      <c r="K434" s="42"/>
      <c r="L434" s="15" t="s">
        <v>294</v>
      </c>
    </row>
    <row r="435" ht="39.75" customHeight="1">
      <c r="A435" s="1">
        <v>434.0</v>
      </c>
      <c r="B435" s="2" t="s">
        <v>16</v>
      </c>
      <c r="C435" s="2" t="s">
        <v>44</v>
      </c>
      <c r="D435" s="13"/>
      <c r="E435" s="55">
        <v>0.3541666666666667</v>
      </c>
      <c r="F435" s="52" t="s">
        <v>2776</v>
      </c>
      <c r="G435" s="56">
        <v>1.0</v>
      </c>
      <c r="H435" s="42"/>
      <c r="I435" s="42"/>
      <c r="J435" s="27" t="s">
        <v>294</v>
      </c>
      <c r="K435" s="43"/>
    </row>
    <row r="436" ht="39.75" customHeight="1">
      <c r="A436" s="1">
        <v>435.0</v>
      </c>
      <c r="B436" s="2" t="s">
        <v>116</v>
      </c>
      <c r="C436" s="2"/>
      <c r="D436" s="40"/>
      <c r="E436" s="13"/>
      <c r="F436" s="44" t="s">
        <v>2777</v>
      </c>
      <c r="G436" s="43">
        <v>1.0</v>
      </c>
      <c r="H436" s="42"/>
      <c r="I436" s="43">
        <v>1.0</v>
      </c>
      <c r="J436" s="27" t="s">
        <v>111</v>
      </c>
      <c r="K436" s="42"/>
    </row>
    <row r="437" ht="39.75" hidden="1" customHeight="1">
      <c r="A437" s="1">
        <v>436.0</v>
      </c>
      <c r="B437" s="2" t="s">
        <v>17</v>
      </c>
      <c r="C437" s="2" t="s">
        <v>58</v>
      </c>
      <c r="D437" s="13"/>
      <c r="E437" s="13"/>
      <c r="F437" s="45"/>
      <c r="G437" s="42"/>
      <c r="H437" s="42"/>
      <c r="I437" s="42"/>
      <c r="J437" s="22"/>
      <c r="K437" s="42"/>
    </row>
    <row r="438" ht="39.75" customHeight="1">
      <c r="A438" s="1">
        <v>437.0</v>
      </c>
      <c r="B438" s="2" t="s">
        <v>331</v>
      </c>
      <c r="C438" s="2" t="s">
        <v>542</v>
      </c>
      <c r="D438" s="13"/>
      <c r="E438" s="13"/>
      <c r="F438" s="44" t="s">
        <v>2778</v>
      </c>
      <c r="G438" s="43">
        <v>1.0</v>
      </c>
      <c r="H438" s="42"/>
      <c r="I438" s="42"/>
      <c r="J438" s="22"/>
      <c r="K438" s="42"/>
    </row>
    <row r="439" ht="39.75" hidden="1" customHeight="1">
      <c r="A439" s="1">
        <v>438.0</v>
      </c>
      <c r="B439" s="2" t="s">
        <v>21</v>
      </c>
      <c r="C439" s="2" t="s">
        <v>58</v>
      </c>
      <c r="D439" s="13"/>
      <c r="E439" s="13"/>
      <c r="F439" s="45"/>
      <c r="G439" s="42"/>
      <c r="H439" s="42"/>
      <c r="I439" s="42"/>
      <c r="J439" s="22"/>
      <c r="K439" s="42"/>
    </row>
    <row r="440" ht="39.75" customHeight="1">
      <c r="A440" s="1">
        <v>439.0</v>
      </c>
      <c r="B440" s="2" t="s">
        <v>22</v>
      </c>
      <c r="C440" s="2" t="s">
        <v>69</v>
      </c>
      <c r="D440" s="13"/>
      <c r="E440" s="13"/>
      <c r="F440" s="45"/>
      <c r="G440" s="42"/>
      <c r="H440" s="42"/>
      <c r="I440" s="42"/>
      <c r="J440" s="22"/>
      <c r="K440" s="42"/>
    </row>
    <row r="441" ht="39.75" customHeight="1">
      <c r="A441" s="1">
        <v>440.0</v>
      </c>
      <c r="B441" s="2" t="s">
        <v>23</v>
      </c>
      <c r="C441" s="2" t="s">
        <v>69</v>
      </c>
      <c r="D441" s="13"/>
      <c r="E441" s="13"/>
      <c r="F441" s="44" t="s">
        <v>2779</v>
      </c>
      <c r="G441" s="43">
        <v>1.0</v>
      </c>
      <c r="H441" s="42"/>
      <c r="I441" s="43">
        <v>1.0</v>
      </c>
      <c r="J441" s="22"/>
      <c r="K441" s="42"/>
    </row>
    <row r="442" ht="39.75" customHeight="1">
      <c r="A442" s="1">
        <v>441.0</v>
      </c>
      <c r="B442" s="2" t="s">
        <v>24</v>
      </c>
      <c r="C442" s="2" t="s">
        <v>63</v>
      </c>
      <c r="D442" s="13"/>
      <c r="E442" s="13"/>
      <c r="F442" s="45"/>
      <c r="G442" s="42"/>
      <c r="H442" s="42"/>
      <c r="I442" s="42"/>
      <c r="J442" s="22"/>
      <c r="K442" s="42"/>
    </row>
    <row r="443" ht="39.75" customHeight="1">
      <c r="A443" s="1">
        <v>442.0</v>
      </c>
      <c r="B443" s="2" t="s">
        <v>25</v>
      </c>
      <c r="C443" s="2"/>
      <c r="D443" s="59">
        <v>0.3784722222222222</v>
      </c>
      <c r="E443" s="13"/>
      <c r="F443" s="44" t="s">
        <v>2780</v>
      </c>
      <c r="G443" s="43">
        <v>1.0</v>
      </c>
      <c r="H443" s="42"/>
      <c r="I443" s="43">
        <v>1.0</v>
      </c>
      <c r="J443" s="22"/>
      <c r="K443" s="42"/>
    </row>
    <row r="444" ht="39.75" customHeight="1">
      <c r="A444" s="1">
        <v>443.0</v>
      </c>
      <c r="B444" s="2" t="s">
        <v>26</v>
      </c>
      <c r="C444" s="2" t="s">
        <v>54</v>
      </c>
      <c r="D444" s="13"/>
      <c r="E444" s="13"/>
      <c r="F444" s="44" t="s">
        <v>2781</v>
      </c>
      <c r="G444" s="43">
        <v>1.0</v>
      </c>
      <c r="H444" s="43">
        <v>1.0</v>
      </c>
      <c r="I444" s="42"/>
      <c r="J444" s="22"/>
      <c r="K444" s="42"/>
    </row>
    <row r="445" ht="39.75" customHeight="1">
      <c r="A445" s="1">
        <v>444.0</v>
      </c>
      <c r="B445" s="2" t="s">
        <v>29</v>
      </c>
      <c r="C445" s="2" t="s">
        <v>39</v>
      </c>
      <c r="D445" s="13"/>
      <c r="E445" s="13"/>
      <c r="F445" s="44" t="s">
        <v>2782</v>
      </c>
      <c r="G445" s="43">
        <v>1.0</v>
      </c>
      <c r="H445" s="43">
        <v>1.0</v>
      </c>
      <c r="I445" s="42"/>
      <c r="J445" s="22"/>
      <c r="K445" s="42"/>
    </row>
    <row r="446" ht="39.75" customHeight="1">
      <c r="A446" s="1">
        <v>445.0</v>
      </c>
      <c r="B446" s="2" t="s">
        <v>30</v>
      </c>
      <c r="C446" s="2" t="s">
        <v>64</v>
      </c>
      <c r="D446" s="13"/>
      <c r="E446" s="13"/>
      <c r="F446" s="44" t="s">
        <v>2592</v>
      </c>
      <c r="G446" s="43">
        <v>1.0</v>
      </c>
      <c r="H446" s="42"/>
      <c r="I446" s="43">
        <v>1.0</v>
      </c>
      <c r="J446" s="22"/>
      <c r="K446" s="42"/>
    </row>
    <row r="447" ht="39.75" customHeight="1">
      <c r="A447" s="1">
        <v>446.0</v>
      </c>
      <c r="B447" s="2" t="s">
        <v>31</v>
      </c>
      <c r="C447" s="2" t="s">
        <v>27</v>
      </c>
      <c r="D447" s="13"/>
      <c r="E447" s="13"/>
      <c r="F447" s="44" t="s">
        <v>2783</v>
      </c>
      <c r="G447" s="43">
        <v>2.0</v>
      </c>
      <c r="H447" s="42"/>
      <c r="I447" s="43">
        <v>1.0</v>
      </c>
      <c r="J447" s="22"/>
      <c r="K447" s="42"/>
    </row>
    <row r="448" ht="39.75" customHeight="1">
      <c r="A448" s="1">
        <v>447.0</v>
      </c>
      <c r="B448" s="2" t="s">
        <v>32</v>
      </c>
      <c r="C448" s="2" t="s">
        <v>54</v>
      </c>
      <c r="D448" s="13"/>
      <c r="E448" s="13"/>
      <c r="F448" s="44" t="s">
        <v>2784</v>
      </c>
      <c r="G448" s="43">
        <v>1.0</v>
      </c>
      <c r="H448" s="43">
        <v>1.0</v>
      </c>
      <c r="I448" s="42"/>
      <c r="J448" s="22"/>
      <c r="K448" s="42"/>
    </row>
    <row r="449" ht="39.75" customHeight="1">
      <c r="A449" s="1">
        <v>448.0</v>
      </c>
      <c r="B449" s="2" t="s">
        <v>67</v>
      </c>
      <c r="C449" s="2" t="s">
        <v>54</v>
      </c>
      <c r="D449" s="53">
        <v>0.3125</v>
      </c>
      <c r="E449" s="13"/>
      <c r="F449" s="44" t="s">
        <v>2785</v>
      </c>
      <c r="G449" s="43">
        <v>1.0</v>
      </c>
      <c r="H449" s="42"/>
      <c r="I449" s="42"/>
      <c r="J449" s="22"/>
      <c r="K449" s="42"/>
    </row>
    <row r="450" ht="39.75" hidden="1" customHeight="1">
      <c r="A450" s="1">
        <v>449.0</v>
      </c>
      <c r="B450" s="2" t="s">
        <v>35</v>
      </c>
      <c r="C450" s="2" t="s">
        <v>66</v>
      </c>
      <c r="D450" s="13"/>
      <c r="E450" s="13"/>
      <c r="F450" s="45"/>
      <c r="G450" s="42"/>
      <c r="H450" s="42"/>
      <c r="I450" s="42"/>
      <c r="J450" s="22"/>
      <c r="K450" s="42"/>
    </row>
    <row r="451" ht="39.75" customHeight="1">
      <c r="A451" s="1">
        <v>450.0</v>
      </c>
      <c r="B451" s="2" t="s">
        <v>36</v>
      </c>
      <c r="C451" s="2" t="s">
        <v>39</v>
      </c>
      <c r="D451" s="13"/>
      <c r="E451" s="13"/>
      <c r="F451" s="44" t="s">
        <v>2786</v>
      </c>
      <c r="G451" s="43">
        <v>1.0</v>
      </c>
      <c r="H451" s="42"/>
      <c r="I451" s="42"/>
      <c r="J451" s="22"/>
      <c r="K451" s="42"/>
    </row>
    <row r="452" ht="39.75" customHeight="1">
      <c r="A452" s="1">
        <v>451.0</v>
      </c>
      <c r="B452" s="2" t="s">
        <v>38</v>
      </c>
      <c r="C452" s="2" t="s">
        <v>69</v>
      </c>
      <c r="D452" s="13"/>
      <c r="E452" s="13"/>
      <c r="F452" s="44" t="s">
        <v>2787</v>
      </c>
      <c r="G452" s="43">
        <v>1.0</v>
      </c>
      <c r="H452" s="42"/>
      <c r="I452" s="43">
        <v>1.0</v>
      </c>
      <c r="J452" s="22"/>
      <c r="K452" s="42"/>
    </row>
    <row r="453" ht="39.75" hidden="1" customHeight="1">
      <c r="A453" s="1">
        <v>452.0</v>
      </c>
      <c r="B453" s="2" t="s">
        <v>41</v>
      </c>
      <c r="C453" s="2" t="s">
        <v>58</v>
      </c>
      <c r="D453" s="13"/>
      <c r="E453" s="13"/>
      <c r="F453" s="45"/>
      <c r="G453" s="42"/>
      <c r="H453" s="42"/>
      <c r="I453" s="42"/>
      <c r="J453" s="22"/>
      <c r="K453" s="42"/>
    </row>
    <row r="454" ht="39.75" customHeight="1">
      <c r="A454" s="1">
        <v>453.0</v>
      </c>
      <c r="B454" s="2" t="s">
        <v>42</v>
      </c>
      <c r="C454" s="2"/>
      <c r="D454" s="13"/>
      <c r="E454" s="13"/>
      <c r="F454" s="44" t="s">
        <v>2788</v>
      </c>
      <c r="G454" s="43">
        <v>1.0</v>
      </c>
      <c r="H454" s="42"/>
      <c r="I454" s="43">
        <v>1.0</v>
      </c>
      <c r="J454" s="22"/>
      <c r="K454" s="42"/>
    </row>
    <row r="455" ht="39.75" customHeight="1">
      <c r="A455" s="1">
        <v>454.0</v>
      </c>
      <c r="B455" s="2" t="s">
        <v>43</v>
      </c>
      <c r="C455" s="2"/>
      <c r="D455" s="13"/>
      <c r="E455" s="13"/>
      <c r="F455" s="44" t="s">
        <v>2789</v>
      </c>
      <c r="G455" s="43">
        <v>2.0</v>
      </c>
      <c r="H455" s="42"/>
      <c r="I455" s="42"/>
      <c r="J455" s="22"/>
      <c r="K455" s="42"/>
    </row>
    <row r="456" ht="39.75" hidden="1" customHeight="1">
      <c r="A456" s="1">
        <v>455.0</v>
      </c>
      <c r="B456" s="2" t="s">
        <v>45</v>
      </c>
      <c r="C456" s="2" t="s">
        <v>58</v>
      </c>
      <c r="D456" s="13"/>
      <c r="E456" s="13"/>
      <c r="F456" s="45"/>
      <c r="G456" s="42"/>
      <c r="H456" s="42"/>
      <c r="I456" s="42"/>
      <c r="J456" s="22"/>
      <c r="K456" s="42"/>
    </row>
    <row r="457" ht="39.75" customHeight="1">
      <c r="A457" s="1">
        <v>456.0</v>
      </c>
      <c r="B457" s="2" t="s">
        <v>46</v>
      </c>
      <c r="C457" s="2" t="s">
        <v>54</v>
      </c>
      <c r="D457" s="13"/>
      <c r="E457" s="13"/>
      <c r="F457" s="44" t="s">
        <v>2790</v>
      </c>
      <c r="G457" s="43">
        <v>1.0</v>
      </c>
      <c r="H457" s="42"/>
      <c r="I457" s="42"/>
      <c r="J457" s="22"/>
      <c r="K457" s="42"/>
    </row>
    <row r="458" ht="39.75" customHeight="1">
      <c r="A458" s="1">
        <v>457.0</v>
      </c>
      <c r="B458" s="2" t="s">
        <v>47</v>
      </c>
      <c r="C458" s="13"/>
      <c r="D458" s="40">
        <v>0.4166666666666667</v>
      </c>
      <c r="E458" s="13"/>
      <c r="F458" s="44" t="s">
        <v>2791</v>
      </c>
      <c r="G458" s="43">
        <v>1.0</v>
      </c>
      <c r="H458" s="42"/>
      <c r="I458" s="42"/>
      <c r="J458" s="22"/>
      <c r="K458" s="42"/>
    </row>
    <row r="459" ht="39.75" customHeight="1">
      <c r="A459" s="1">
        <v>458.0</v>
      </c>
      <c r="B459" s="2" t="s">
        <v>48</v>
      </c>
      <c r="C459" s="2"/>
      <c r="D459" s="13"/>
      <c r="E459" s="13"/>
      <c r="F459" s="44" t="s">
        <v>2792</v>
      </c>
      <c r="G459" s="43">
        <v>2.0</v>
      </c>
      <c r="H459" s="42"/>
      <c r="I459" s="42"/>
      <c r="J459" s="22"/>
      <c r="K459" s="42"/>
    </row>
    <row r="460" ht="39.75" customHeight="1">
      <c r="A460" s="1">
        <v>459.0</v>
      </c>
      <c r="B460" s="21"/>
      <c r="C460" s="21"/>
      <c r="D460" s="21"/>
      <c r="E460" s="21"/>
      <c r="F460" s="46"/>
      <c r="G460" s="47"/>
      <c r="H460" s="47"/>
      <c r="I460" s="47"/>
      <c r="J460" s="48"/>
      <c r="K460" s="47"/>
      <c r="L460" s="49"/>
      <c r="M460" s="49"/>
      <c r="N460" s="49"/>
    </row>
    <row r="461" ht="39.75" hidden="1" customHeight="1">
      <c r="A461" s="1">
        <v>460.0</v>
      </c>
      <c r="B461" s="2" t="s">
        <v>12</v>
      </c>
      <c r="C461" s="2" t="s">
        <v>58</v>
      </c>
      <c r="D461" s="13"/>
      <c r="E461" s="13"/>
      <c r="F461" s="45"/>
      <c r="G461" s="42"/>
      <c r="H461" s="42"/>
      <c r="I461" s="42"/>
      <c r="J461" s="27" t="s">
        <v>2570</v>
      </c>
      <c r="K461" s="42"/>
      <c r="L461" s="15" t="s">
        <v>309</v>
      </c>
    </row>
    <row r="462" ht="39.75" customHeight="1">
      <c r="A462" s="1">
        <v>461.0</v>
      </c>
      <c r="B462" s="2" t="s">
        <v>16</v>
      </c>
      <c r="C462" s="2" t="s">
        <v>69</v>
      </c>
      <c r="D462" s="13"/>
      <c r="E462" s="13"/>
      <c r="F462" s="44" t="s">
        <v>2793</v>
      </c>
      <c r="G462" s="43">
        <v>2.0</v>
      </c>
      <c r="H462" s="42"/>
      <c r="I462" s="43">
        <v>1.0</v>
      </c>
      <c r="J462" s="27" t="s">
        <v>309</v>
      </c>
      <c r="K462" s="43"/>
    </row>
    <row r="463" ht="39.75" customHeight="1">
      <c r="A463" s="1">
        <v>462.0</v>
      </c>
      <c r="B463" s="2" t="s">
        <v>116</v>
      </c>
      <c r="C463" s="2"/>
      <c r="D463" s="13"/>
      <c r="E463" s="13"/>
      <c r="F463" s="44" t="s">
        <v>2794</v>
      </c>
      <c r="G463" s="43">
        <v>1.0</v>
      </c>
      <c r="H463" s="42"/>
      <c r="I463" s="42"/>
      <c r="J463" s="27" t="s">
        <v>131</v>
      </c>
      <c r="K463" s="42"/>
    </row>
    <row r="464" ht="39.75" hidden="1" customHeight="1">
      <c r="A464" s="1">
        <v>463.0</v>
      </c>
      <c r="B464" s="2" t="s">
        <v>17</v>
      </c>
      <c r="C464" s="2" t="s">
        <v>58</v>
      </c>
      <c r="D464" s="13"/>
      <c r="E464" s="13"/>
      <c r="F464" s="45"/>
      <c r="G464" s="42"/>
      <c r="H464" s="42"/>
      <c r="I464" s="42"/>
      <c r="J464" s="22"/>
      <c r="K464" s="42"/>
    </row>
    <row r="465" ht="39.75" customHeight="1">
      <c r="A465" s="1">
        <v>464.0</v>
      </c>
      <c r="B465" s="2" t="s">
        <v>331</v>
      </c>
      <c r="C465" s="2" t="s">
        <v>542</v>
      </c>
      <c r="D465" s="13"/>
      <c r="E465" s="13"/>
      <c r="F465" s="45"/>
      <c r="G465" s="42"/>
      <c r="H465" s="42"/>
      <c r="I465" s="42"/>
      <c r="J465" s="22"/>
      <c r="K465" s="42"/>
    </row>
    <row r="466" ht="39.75" customHeight="1">
      <c r="A466" s="1">
        <v>465.0</v>
      </c>
      <c r="B466" s="2" t="s">
        <v>21</v>
      </c>
      <c r="C466" s="2"/>
      <c r="D466" s="82">
        <v>0.3541666666666667</v>
      </c>
      <c r="E466" s="13"/>
      <c r="F466" s="44" t="s">
        <v>2795</v>
      </c>
      <c r="G466" s="43">
        <v>1.0</v>
      </c>
      <c r="H466" s="42"/>
      <c r="I466" s="42"/>
      <c r="J466" s="22"/>
      <c r="K466" s="42"/>
    </row>
    <row r="467" ht="39.75" customHeight="1">
      <c r="A467" s="1">
        <v>466.0</v>
      </c>
      <c r="B467" s="2" t="s">
        <v>22</v>
      </c>
      <c r="C467" s="2" t="s">
        <v>39</v>
      </c>
      <c r="D467" s="13"/>
      <c r="E467" s="13"/>
      <c r="F467" s="44" t="s">
        <v>2796</v>
      </c>
      <c r="G467" s="43">
        <v>1.0</v>
      </c>
      <c r="H467" s="42"/>
      <c r="I467" s="43">
        <v>1.0</v>
      </c>
      <c r="J467" s="22"/>
      <c r="K467" s="42"/>
    </row>
    <row r="468" ht="39.75" customHeight="1">
      <c r="A468" s="1">
        <v>467.0</v>
      </c>
      <c r="B468" s="2" t="s">
        <v>23</v>
      </c>
      <c r="C468" s="2"/>
      <c r="D468" s="13"/>
      <c r="E468" s="13"/>
      <c r="F468" s="44" t="s">
        <v>2797</v>
      </c>
      <c r="G468" s="43">
        <v>1.0</v>
      </c>
      <c r="H468" s="42"/>
      <c r="I468" s="42"/>
      <c r="J468" s="22"/>
      <c r="K468" s="42"/>
    </row>
    <row r="469" ht="39.75" customHeight="1">
      <c r="A469" s="1">
        <v>468.0</v>
      </c>
      <c r="B469" s="2" t="s">
        <v>24</v>
      </c>
      <c r="C469" s="2" t="s">
        <v>63</v>
      </c>
      <c r="D469" s="13"/>
      <c r="E469" s="13"/>
      <c r="F469" s="45"/>
      <c r="G469" s="42"/>
      <c r="H469" s="42"/>
      <c r="I469" s="42"/>
      <c r="J469" s="22"/>
      <c r="K469" s="42"/>
    </row>
    <row r="470" ht="39.75" hidden="1" customHeight="1">
      <c r="A470" s="1">
        <v>469.0</v>
      </c>
      <c r="B470" s="2" t="s">
        <v>25</v>
      </c>
      <c r="C470" s="2" t="s">
        <v>66</v>
      </c>
      <c r="D470" s="13"/>
      <c r="E470" s="13"/>
      <c r="F470" s="45"/>
      <c r="G470" s="42"/>
      <c r="H470" s="42"/>
      <c r="I470" s="42"/>
      <c r="J470" s="22"/>
      <c r="K470" s="42"/>
    </row>
    <row r="471" ht="62.25" customHeight="1">
      <c r="A471" s="1">
        <v>470.0</v>
      </c>
      <c r="B471" s="2" t="s">
        <v>26</v>
      </c>
      <c r="C471" s="2" t="s">
        <v>54</v>
      </c>
      <c r="D471" s="13"/>
      <c r="E471" s="13"/>
      <c r="F471" s="44" t="s">
        <v>2781</v>
      </c>
      <c r="G471" s="43">
        <v>1.0</v>
      </c>
      <c r="H471" s="43">
        <v>1.0</v>
      </c>
      <c r="I471" s="42"/>
      <c r="J471" s="22"/>
      <c r="K471" s="42"/>
    </row>
    <row r="472" ht="39.75" customHeight="1">
      <c r="A472" s="1">
        <v>471.0</v>
      </c>
      <c r="B472" s="2" t="s">
        <v>29</v>
      </c>
      <c r="C472" s="2"/>
      <c r="D472" s="13"/>
      <c r="E472" s="13"/>
      <c r="F472" s="85" t="s">
        <v>2798</v>
      </c>
      <c r="G472" s="43">
        <v>1.0</v>
      </c>
      <c r="H472" s="43">
        <v>1.0</v>
      </c>
      <c r="I472" s="42"/>
      <c r="J472" s="22"/>
      <c r="K472" s="42"/>
    </row>
    <row r="473" ht="39.75" customHeight="1">
      <c r="A473" s="1">
        <v>472.0</v>
      </c>
      <c r="B473" s="2" t="s">
        <v>30</v>
      </c>
      <c r="C473" s="2" t="s">
        <v>64</v>
      </c>
      <c r="D473" s="13"/>
      <c r="E473" s="13"/>
      <c r="F473" s="44" t="s">
        <v>2592</v>
      </c>
      <c r="G473" s="43">
        <v>1.0</v>
      </c>
      <c r="H473" s="42"/>
      <c r="I473" s="43">
        <v>1.0</v>
      </c>
      <c r="J473" s="22"/>
      <c r="K473" s="42"/>
    </row>
    <row r="474" ht="39.75" customHeight="1">
      <c r="A474" s="1">
        <v>473.0</v>
      </c>
      <c r="B474" s="2" t="s">
        <v>31</v>
      </c>
      <c r="C474" s="2" t="s">
        <v>44</v>
      </c>
      <c r="D474" s="13"/>
      <c r="E474" s="13"/>
      <c r="F474" s="52" t="s">
        <v>2799</v>
      </c>
      <c r="G474" s="56">
        <v>1.0</v>
      </c>
      <c r="H474" s="42"/>
      <c r="I474" s="42"/>
      <c r="J474" s="22"/>
      <c r="K474" s="42"/>
    </row>
    <row r="475" ht="39.75" hidden="1" customHeight="1">
      <c r="A475" s="1">
        <v>474.0</v>
      </c>
      <c r="B475" s="2" t="s">
        <v>32</v>
      </c>
      <c r="C475" s="2" t="s">
        <v>58</v>
      </c>
      <c r="D475" s="13"/>
      <c r="E475" s="13"/>
      <c r="F475" s="45"/>
      <c r="G475" s="42"/>
      <c r="H475" s="42"/>
      <c r="I475" s="42"/>
      <c r="J475" s="22"/>
      <c r="K475" s="42"/>
    </row>
    <row r="476" ht="39.75" customHeight="1">
      <c r="A476" s="1">
        <v>475.0</v>
      </c>
      <c r="B476" s="2" t="s">
        <v>67</v>
      </c>
      <c r="C476" s="2" t="s">
        <v>54</v>
      </c>
      <c r="D476" s="82">
        <v>0.3333333333333333</v>
      </c>
      <c r="E476" s="13"/>
      <c r="F476" s="44" t="s">
        <v>2800</v>
      </c>
      <c r="G476" s="43">
        <v>2.0</v>
      </c>
      <c r="H476" s="42"/>
      <c r="I476" s="43">
        <v>1.0</v>
      </c>
      <c r="J476" s="22"/>
      <c r="K476" s="42"/>
    </row>
    <row r="477" ht="39.75" customHeight="1">
      <c r="A477" s="1">
        <v>476.0</v>
      </c>
      <c r="B477" s="2" t="s">
        <v>35</v>
      </c>
      <c r="C477" s="2" t="s">
        <v>54</v>
      </c>
      <c r="D477" s="13"/>
      <c r="E477" s="13"/>
      <c r="F477" s="44" t="s">
        <v>2801</v>
      </c>
      <c r="G477" s="43">
        <v>1.0</v>
      </c>
      <c r="H477" s="42"/>
      <c r="I477" s="42"/>
      <c r="J477" s="22"/>
      <c r="K477" s="42"/>
    </row>
    <row r="478" ht="39.75" customHeight="1">
      <c r="A478" s="1">
        <v>477.0</v>
      </c>
      <c r="B478" s="2" t="s">
        <v>36</v>
      </c>
      <c r="C478" s="2" t="s">
        <v>69</v>
      </c>
      <c r="D478" s="13"/>
      <c r="E478" s="13"/>
      <c r="F478" s="44" t="s">
        <v>2802</v>
      </c>
      <c r="G478" s="43">
        <v>1.0</v>
      </c>
      <c r="H478" s="42"/>
      <c r="I478" s="42"/>
      <c r="J478" s="22"/>
      <c r="K478" s="42"/>
    </row>
    <row r="479" ht="39.75" customHeight="1">
      <c r="A479" s="1">
        <v>478.0</v>
      </c>
      <c r="B479" s="2" t="s">
        <v>38</v>
      </c>
      <c r="C479" s="2"/>
      <c r="D479" s="82">
        <v>0.3472222222222222</v>
      </c>
      <c r="E479" s="13"/>
      <c r="F479" s="44" t="s">
        <v>2803</v>
      </c>
      <c r="G479" s="43">
        <v>3.0</v>
      </c>
      <c r="H479" s="42"/>
      <c r="I479" s="43">
        <v>2.0</v>
      </c>
      <c r="J479" s="22"/>
      <c r="K479" s="42"/>
    </row>
    <row r="480" ht="39.75" hidden="1" customHeight="1">
      <c r="A480" s="1">
        <v>479.0</v>
      </c>
      <c r="B480" s="2" t="s">
        <v>41</v>
      </c>
      <c r="C480" s="2" t="s">
        <v>58</v>
      </c>
      <c r="D480" s="13"/>
      <c r="E480" s="13"/>
      <c r="F480" s="45"/>
      <c r="G480" s="42"/>
      <c r="H480" s="42"/>
      <c r="I480" s="42"/>
      <c r="J480" s="22"/>
      <c r="K480" s="42"/>
    </row>
    <row r="481" ht="39.75" customHeight="1">
      <c r="A481" s="1">
        <v>480.0</v>
      </c>
      <c r="B481" s="2" t="s">
        <v>42</v>
      </c>
      <c r="C481" s="2" t="s">
        <v>39</v>
      </c>
      <c r="D481" s="82">
        <v>0.22916666666666666</v>
      </c>
      <c r="E481" s="40">
        <v>0.6666666666666666</v>
      </c>
      <c r="F481" s="44" t="s">
        <v>2804</v>
      </c>
      <c r="G481" s="43">
        <v>1.0</v>
      </c>
      <c r="H481" s="42"/>
      <c r="I481" s="42"/>
      <c r="J481" s="22"/>
      <c r="K481" s="42"/>
    </row>
    <row r="482" ht="39.75" customHeight="1">
      <c r="A482" s="1">
        <v>481.0</v>
      </c>
      <c r="B482" s="2" t="s">
        <v>43</v>
      </c>
      <c r="C482" s="2" t="s">
        <v>69</v>
      </c>
      <c r="D482" s="13"/>
      <c r="E482" s="13"/>
      <c r="F482" s="83" t="s">
        <v>2805</v>
      </c>
      <c r="G482" s="43">
        <v>2.0</v>
      </c>
      <c r="H482" s="42"/>
      <c r="I482" s="43">
        <v>2.0</v>
      </c>
      <c r="J482" s="22"/>
      <c r="K482" s="42"/>
    </row>
    <row r="483" ht="39.75" hidden="1" customHeight="1">
      <c r="A483" s="1">
        <v>482.0</v>
      </c>
      <c r="B483" s="2" t="s">
        <v>45</v>
      </c>
      <c r="C483" s="2" t="s">
        <v>66</v>
      </c>
      <c r="D483" s="13"/>
      <c r="E483" s="13"/>
      <c r="F483" s="45"/>
      <c r="G483" s="42"/>
      <c r="H483" s="42"/>
      <c r="I483" s="42"/>
      <c r="J483" s="22"/>
      <c r="K483" s="42"/>
    </row>
    <row r="484" ht="39.75" hidden="1" customHeight="1">
      <c r="A484" s="1">
        <v>483.0</v>
      </c>
      <c r="B484" s="2" t="s">
        <v>46</v>
      </c>
      <c r="C484" s="2" t="s">
        <v>58</v>
      </c>
      <c r="D484" s="13"/>
      <c r="E484" s="13"/>
      <c r="F484" s="45"/>
      <c r="G484" s="42"/>
      <c r="H484" s="42"/>
      <c r="I484" s="42"/>
      <c r="J484" s="22"/>
      <c r="K484" s="42"/>
    </row>
    <row r="485" ht="39.75" customHeight="1">
      <c r="A485" s="1">
        <v>484.0</v>
      </c>
      <c r="B485" s="2" t="s">
        <v>47</v>
      </c>
      <c r="C485" s="2" t="s">
        <v>54</v>
      </c>
      <c r="D485" s="82">
        <v>0.3333333333333333</v>
      </c>
      <c r="E485" s="13"/>
      <c r="F485" s="44" t="s">
        <v>2806</v>
      </c>
      <c r="G485" s="43">
        <v>1.0</v>
      </c>
      <c r="H485" s="42"/>
      <c r="I485" s="42"/>
      <c r="J485" s="22"/>
      <c r="K485" s="42"/>
    </row>
    <row r="486" ht="39.75" customHeight="1">
      <c r="A486" s="1">
        <v>485.0</v>
      </c>
      <c r="B486" s="2" t="s">
        <v>48</v>
      </c>
      <c r="C486" s="2" t="s">
        <v>27</v>
      </c>
      <c r="D486" s="13"/>
      <c r="E486" s="13"/>
      <c r="F486" s="44" t="s">
        <v>2807</v>
      </c>
      <c r="G486" s="43">
        <v>1.0</v>
      </c>
      <c r="H486" s="42"/>
      <c r="I486" s="43"/>
      <c r="J486" s="22"/>
      <c r="K486" s="42"/>
    </row>
    <row r="487" ht="39.75" customHeight="1">
      <c r="A487" s="1">
        <v>486.0</v>
      </c>
      <c r="B487" s="21"/>
      <c r="C487" s="21"/>
      <c r="D487" s="21"/>
      <c r="E487" s="21"/>
      <c r="F487" s="46"/>
      <c r="G487" s="47"/>
      <c r="H487" s="47"/>
      <c r="I487" s="47"/>
      <c r="J487" s="48"/>
      <c r="K487" s="47"/>
      <c r="L487" s="49"/>
      <c r="M487" s="49"/>
      <c r="N487" s="49"/>
    </row>
    <row r="488" ht="39.75" hidden="1" customHeight="1">
      <c r="A488" s="1">
        <v>487.0</v>
      </c>
      <c r="B488" s="2" t="s">
        <v>12</v>
      </c>
      <c r="C488" s="2" t="s">
        <v>13</v>
      </c>
      <c r="D488" s="13"/>
      <c r="E488" s="13"/>
      <c r="F488" s="45"/>
      <c r="G488" s="42"/>
      <c r="H488" s="42"/>
      <c r="I488" s="42"/>
      <c r="J488" s="27" t="s">
        <v>2570</v>
      </c>
      <c r="K488" s="42"/>
      <c r="L488" s="15" t="s">
        <v>328</v>
      </c>
    </row>
    <row r="489" ht="39.75" hidden="1" customHeight="1">
      <c r="A489" s="1">
        <v>488.0</v>
      </c>
      <c r="B489" s="2" t="s">
        <v>16</v>
      </c>
      <c r="C489" s="2" t="s">
        <v>13</v>
      </c>
      <c r="D489" s="13"/>
      <c r="E489" s="13"/>
      <c r="F489" s="45"/>
      <c r="G489" s="42"/>
      <c r="H489" s="42"/>
      <c r="I489" s="42"/>
      <c r="J489" s="27" t="s">
        <v>328</v>
      </c>
      <c r="K489" s="43"/>
    </row>
    <row r="490" ht="39.75" customHeight="1">
      <c r="A490" s="1">
        <v>489.0</v>
      </c>
      <c r="B490" s="2" t="s">
        <v>116</v>
      </c>
      <c r="C490" s="2" t="s">
        <v>27</v>
      </c>
      <c r="D490" s="13"/>
      <c r="E490" s="13"/>
      <c r="F490" s="44"/>
      <c r="G490" s="42"/>
      <c r="H490" s="42"/>
      <c r="I490" s="42"/>
      <c r="J490" s="27" t="s">
        <v>149</v>
      </c>
      <c r="K490" s="42"/>
    </row>
    <row r="491" ht="39.75" hidden="1" customHeight="1">
      <c r="A491" s="1">
        <v>490.0</v>
      </c>
      <c r="B491" s="2" t="s">
        <v>17</v>
      </c>
      <c r="C491" s="2" t="s">
        <v>13</v>
      </c>
      <c r="D491" s="13"/>
      <c r="E491" s="13"/>
      <c r="F491" s="45"/>
      <c r="G491" s="42"/>
      <c r="H491" s="42"/>
      <c r="I491" s="42"/>
      <c r="J491" s="27" t="s">
        <v>165</v>
      </c>
      <c r="K491" s="42"/>
    </row>
    <row r="492" ht="39.75" hidden="1" customHeight="1">
      <c r="A492" s="1">
        <v>491.0</v>
      </c>
      <c r="B492" s="2" t="s">
        <v>331</v>
      </c>
      <c r="C492" s="2" t="s">
        <v>13</v>
      </c>
      <c r="D492" s="13"/>
      <c r="E492" s="13"/>
      <c r="F492" s="45"/>
      <c r="G492" s="42"/>
      <c r="H492" s="42"/>
      <c r="I492" s="42"/>
      <c r="J492" s="27" t="s">
        <v>166</v>
      </c>
      <c r="K492" s="42"/>
    </row>
    <row r="493" ht="39.75" hidden="1" customHeight="1">
      <c r="A493" s="1">
        <v>492.0</v>
      </c>
      <c r="B493" s="2" t="s">
        <v>21</v>
      </c>
      <c r="C493" s="2" t="s">
        <v>13</v>
      </c>
      <c r="D493" s="13"/>
      <c r="E493" s="13"/>
      <c r="F493" s="45"/>
      <c r="G493" s="42"/>
      <c r="H493" s="42"/>
      <c r="I493" s="42"/>
      <c r="J493" s="27" t="s">
        <v>167</v>
      </c>
      <c r="K493" s="42"/>
    </row>
    <row r="494" ht="39.75" hidden="1" customHeight="1">
      <c r="A494" s="1">
        <v>493.0</v>
      </c>
      <c r="B494" s="2" t="s">
        <v>22</v>
      </c>
      <c r="C494" s="2" t="s">
        <v>13</v>
      </c>
      <c r="D494" s="13"/>
      <c r="E494" s="13"/>
      <c r="F494" s="45"/>
      <c r="G494" s="42"/>
      <c r="H494" s="42"/>
      <c r="I494" s="42"/>
      <c r="J494" s="22"/>
      <c r="K494" s="42"/>
    </row>
    <row r="495" ht="39.75" customHeight="1">
      <c r="A495" s="1">
        <v>494.0</v>
      </c>
      <c r="B495" s="2" t="s">
        <v>23</v>
      </c>
      <c r="C495" s="2" t="s">
        <v>39</v>
      </c>
      <c r="D495" s="53">
        <v>0.2916666666666667</v>
      </c>
      <c r="E495" s="13"/>
      <c r="F495" s="44" t="s">
        <v>2808</v>
      </c>
      <c r="G495" s="43">
        <v>1.0</v>
      </c>
      <c r="H495" s="42"/>
      <c r="I495" s="42"/>
      <c r="J495" s="22"/>
      <c r="K495" s="42"/>
    </row>
    <row r="496" ht="39.75" customHeight="1">
      <c r="A496" s="1">
        <v>495.0</v>
      </c>
      <c r="B496" s="2" t="s">
        <v>24</v>
      </c>
      <c r="C496" s="2" t="s">
        <v>63</v>
      </c>
      <c r="D496" s="13"/>
      <c r="E496" s="13"/>
      <c r="F496" s="45"/>
      <c r="G496" s="42"/>
      <c r="H496" s="42"/>
      <c r="I496" s="42"/>
      <c r="J496" s="22"/>
      <c r="K496" s="42"/>
    </row>
    <row r="497" ht="81.75" customHeight="1">
      <c r="A497" s="1">
        <v>496.0</v>
      </c>
      <c r="B497" s="2" t="s">
        <v>25</v>
      </c>
      <c r="C497" s="2"/>
      <c r="D497" s="40">
        <v>0.375</v>
      </c>
      <c r="E497" s="13"/>
      <c r="F497" s="44" t="s">
        <v>2809</v>
      </c>
      <c r="G497" s="43">
        <v>3.0</v>
      </c>
      <c r="H497" s="42"/>
      <c r="I497" s="43"/>
      <c r="J497" s="22"/>
      <c r="K497" s="42"/>
    </row>
    <row r="498" ht="39.75" hidden="1" customHeight="1">
      <c r="A498" s="1">
        <v>497.0</v>
      </c>
      <c r="B498" s="2" t="s">
        <v>26</v>
      </c>
      <c r="C498" s="2" t="s">
        <v>13</v>
      </c>
      <c r="D498" s="13"/>
      <c r="E498" s="13"/>
      <c r="F498" s="44"/>
      <c r="G498" s="43"/>
      <c r="H498" s="43"/>
      <c r="I498" s="42"/>
      <c r="J498" s="22"/>
      <c r="K498" s="42"/>
    </row>
    <row r="499" ht="39.75" hidden="1" customHeight="1">
      <c r="A499" s="1">
        <v>498.0</v>
      </c>
      <c r="B499" s="2" t="s">
        <v>29</v>
      </c>
      <c r="C499" s="2" t="s">
        <v>13</v>
      </c>
      <c r="D499" s="13"/>
      <c r="E499" s="13"/>
      <c r="F499" s="45"/>
      <c r="G499" s="42"/>
      <c r="H499" s="42"/>
      <c r="I499" s="42"/>
      <c r="J499" s="22"/>
      <c r="K499" s="42"/>
    </row>
    <row r="500" ht="39.75" hidden="1" customHeight="1">
      <c r="A500" s="1">
        <v>499.0</v>
      </c>
      <c r="B500" s="2" t="s">
        <v>30</v>
      </c>
      <c r="C500" s="2" t="s">
        <v>13</v>
      </c>
      <c r="D500" s="13"/>
      <c r="E500" s="13"/>
      <c r="F500" s="45"/>
      <c r="G500" s="42"/>
      <c r="H500" s="42"/>
      <c r="I500" s="42"/>
      <c r="J500" s="22"/>
      <c r="K500" s="42"/>
    </row>
    <row r="501" ht="39.75" customHeight="1">
      <c r="A501" s="1">
        <v>500.0</v>
      </c>
      <c r="B501" s="2" t="s">
        <v>34</v>
      </c>
      <c r="C501" s="2" t="s">
        <v>272</v>
      </c>
      <c r="D501" s="13"/>
      <c r="E501" s="13"/>
      <c r="F501" s="44" t="s">
        <v>1186</v>
      </c>
      <c r="G501" s="43">
        <v>1.0</v>
      </c>
      <c r="H501" s="42"/>
      <c r="I501" s="43">
        <v>1.0</v>
      </c>
      <c r="J501" s="22"/>
      <c r="K501" s="42"/>
    </row>
    <row r="502" ht="39.75" hidden="1" customHeight="1">
      <c r="A502" s="1">
        <v>501.0</v>
      </c>
      <c r="B502" s="2" t="s">
        <v>32</v>
      </c>
      <c r="C502" s="2" t="s">
        <v>13</v>
      </c>
      <c r="D502" s="13"/>
      <c r="E502" s="13"/>
      <c r="F502" s="45"/>
      <c r="G502" s="42"/>
      <c r="H502" s="42"/>
      <c r="I502" s="42"/>
      <c r="J502" s="22"/>
      <c r="K502" s="42"/>
    </row>
    <row r="503" ht="39.75" hidden="1" customHeight="1">
      <c r="A503" s="1">
        <v>502.0</v>
      </c>
      <c r="B503" s="2" t="s">
        <v>67</v>
      </c>
      <c r="C503" s="2" t="s">
        <v>13</v>
      </c>
      <c r="D503" s="13"/>
      <c r="E503" s="13"/>
      <c r="F503" s="45"/>
      <c r="G503" s="42"/>
      <c r="H503" s="42"/>
      <c r="I503" s="42"/>
      <c r="J503" s="22"/>
      <c r="K503" s="42"/>
    </row>
    <row r="504" ht="39.75" hidden="1" customHeight="1">
      <c r="A504" s="1">
        <v>503.0</v>
      </c>
      <c r="B504" s="2" t="s">
        <v>35</v>
      </c>
      <c r="C504" s="2" t="s">
        <v>13</v>
      </c>
      <c r="D504" s="13"/>
      <c r="E504" s="13"/>
      <c r="F504" s="45"/>
      <c r="G504" s="42"/>
      <c r="H504" s="42"/>
      <c r="I504" s="42"/>
      <c r="J504" s="22"/>
      <c r="K504" s="42"/>
    </row>
    <row r="505" ht="39.75" hidden="1" customHeight="1">
      <c r="A505" s="1">
        <v>504.0</v>
      </c>
      <c r="B505" s="2" t="s">
        <v>36</v>
      </c>
      <c r="C505" s="2" t="s">
        <v>13</v>
      </c>
      <c r="D505" s="13"/>
      <c r="E505" s="13"/>
      <c r="F505" s="45"/>
      <c r="G505" s="42"/>
      <c r="H505" s="42"/>
      <c r="I505" s="42"/>
      <c r="J505" s="22"/>
      <c r="K505" s="42"/>
    </row>
    <row r="506" ht="39.75" customHeight="1">
      <c r="A506" s="1">
        <v>505.0</v>
      </c>
      <c r="B506" s="2" t="s">
        <v>38</v>
      </c>
      <c r="C506" s="2"/>
      <c r="D506" s="53">
        <v>0.3333333333333333</v>
      </c>
      <c r="E506" s="13"/>
      <c r="F506" s="44" t="s">
        <v>2810</v>
      </c>
      <c r="G506" s="43">
        <v>1.0</v>
      </c>
      <c r="H506" s="42"/>
      <c r="I506" s="43">
        <v>1.0</v>
      </c>
      <c r="J506" s="22"/>
      <c r="K506" s="42"/>
    </row>
    <row r="507" ht="39.75" hidden="1" customHeight="1">
      <c r="A507" s="1">
        <v>506.0</v>
      </c>
      <c r="B507" s="2" t="s">
        <v>41</v>
      </c>
      <c r="C507" s="2" t="s">
        <v>13</v>
      </c>
      <c r="D507" s="13"/>
      <c r="E507" s="13"/>
      <c r="F507" s="45"/>
      <c r="G507" s="42"/>
      <c r="H507" s="42"/>
      <c r="I507" s="42"/>
      <c r="J507" s="22"/>
      <c r="K507" s="42"/>
    </row>
    <row r="508" ht="39.75" hidden="1" customHeight="1">
      <c r="A508" s="1">
        <v>507.0</v>
      </c>
      <c r="B508" s="2" t="s">
        <v>42</v>
      </c>
      <c r="C508" s="2" t="s">
        <v>13</v>
      </c>
      <c r="D508" s="13"/>
      <c r="E508" s="13"/>
      <c r="F508" s="45"/>
      <c r="G508" s="42"/>
      <c r="H508" s="42"/>
      <c r="I508" s="42"/>
      <c r="J508" s="22"/>
      <c r="K508" s="42"/>
    </row>
    <row r="509" ht="39.75" hidden="1" customHeight="1">
      <c r="A509" s="1">
        <v>508.0</v>
      </c>
      <c r="B509" s="2" t="s">
        <v>43</v>
      </c>
      <c r="C509" s="2" t="s">
        <v>13</v>
      </c>
      <c r="D509" s="13"/>
      <c r="E509" s="13"/>
      <c r="F509" s="45"/>
      <c r="G509" s="42"/>
      <c r="H509" s="42"/>
      <c r="I509" s="42"/>
      <c r="J509" s="22"/>
      <c r="K509" s="42"/>
    </row>
    <row r="510" ht="39.75" hidden="1" customHeight="1">
      <c r="A510" s="1">
        <v>509.0</v>
      </c>
      <c r="B510" s="2" t="s">
        <v>45</v>
      </c>
      <c r="C510" s="2" t="s">
        <v>13</v>
      </c>
      <c r="D510" s="13"/>
      <c r="E510" s="13"/>
      <c r="F510" s="45"/>
      <c r="G510" s="42"/>
      <c r="H510" s="42"/>
      <c r="I510" s="42"/>
      <c r="J510" s="22"/>
      <c r="K510" s="42"/>
    </row>
    <row r="511" ht="39.75" hidden="1" customHeight="1">
      <c r="A511" s="1">
        <v>510.0</v>
      </c>
      <c r="B511" s="2" t="s">
        <v>46</v>
      </c>
      <c r="C511" s="2" t="s">
        <v>13</v>
      </c>
      <c r="D511" s="13"/>
      <c r="E511" s="13"/>
      <c r="F511" s="45"/>
      <c r="G511" s="42"/>
      <c r="H511" s="42"/>
      <c r="I511" s="42"/>
      <c r="J511" s="22"/>
      <c r="K511" s="42"/>
    </row>
    <row r="512" ht="39.75" customHeight="1">
      <c r="A512" s="1">
        <v>511.0</v>
      </c>
      <c r="B512" s="2" t="s">
        <v>47</v>
      </c>
      <c r="C512" s="2" t="s">
        <v>49</v>
      </c>
      <c r="D512" s="13"/>
      <c r="E512" s="13"/>
      <c r="F512" s="44" t="s">
        <v>2806</v>
      </c>
      <c r="G512" s="43">
        <v>1.0</v>
      </c>
      <c r="H512" s="42"/>
      <c r="I512" s="42"/>
      <c r="J512" s="22"/>
      <c r="K512" s="42"/>
    </row>
    <row r="513" ht="39.75" customHeight="1">
      <c r="A513" s="1">
        <v>512.0</v>
      </c>
      <c r="B513" s="2" t="s">
        <v>48</v>
      </c>
      <c r="C513" s="2" t="s">
        <v>44</v>
      </c>
      <c r="D513" s="13"/>
      <c r="E513" s="13"/>
      <c r="F513" s="45"/>
      <c r="G513" s="42"/>
      <c r="H513" s="42"/>
      <c r="I513" s="42"/>
      <c r="J513" s="22"/>
      <c r="K513" s="42"/>
    </row>
    <row r="514" ht="39.75" customHeight="1">
      <c r="A514" s="1">
        <v>513.0</v>
      </c>
      <c r="B514" s="21"/>
      <c r="C514" s="21"/>
      <c r="D514" s="21"/>
      <c r="E514" s="21"/>
      <c r="F514" s="46"/>
      <c r="G514" s="47"/>
      <c r="H514" s="47"/>
      <c r="I514" s="47"/>
      <c r="J514" s="48"/>
      <c r="K514" s="47"/>
      <c r="L514" s="49"/>
      <c r="M514" s="49"/>
      <c r="N514" s="49"/>
    </row>
    <row r="515" ht="39.75" customHeight="1">
      <c r="A515" s="1">
        <v>514.0</v>
      </c>
      <c r="B515" s="2" t="s">
        <v>12</v>
      </c>
      <c r="C515" s="2" t="s">
        <v>49</v>
      </c>
      <c r="D515" s="13"/>
      <c r="E515" s="13"/>
      <c r="F515" s="45"/>
      <c r="G515" s="42"/>
      <c r="H515" s="42"/>
      <c r="I515" s="42"/>
      <c r="J515" s="27" t="s">
        <v>2570</v>
      </c>
      <c r="K515" s="42"/>
      <c r="L515" s="15" t="s">
        <v>347</v>
      </c>
    </row>
    <row r="516" ht="39.75" hidden="1" customHeight="1">
      <c r="A516" s="1">
        <v>515.0</v>
      </c>
      <c r="B516" s="2" t="s">
        <v>16</v>
      </c>
      <c r="C516" s="2" t="s">
        <v>13</v>
      </c>
      <c r="D516" s="13"/>
      <c r="E516" s="13"/>
      <c r="F516" s="45"/>
      <c r="G516" s="42"/>
      <c r="H516" s="42"/>
      <c r="I516" s="42"/>
      <c r="J516" s="27" t="s">
        <v>347</v>
      </c>
      <c r="K516" s="43"/>
    </row>
    <row r="517" ht="39.75" customHeight="1">
      <c r="A517" s="1">
        <v>516.0</v>
      </c>
      <c r="B517" s="2" t="s">
        <v>116</v>
      </c>
      <c r="C517" s="2" t="s">
        <v>44</v>
      </c>
      <c r="D517" s="13"/>
      <c r="E517" s="13"/>
      <c r="F517" s="45"/>
      <c r="G517" s="42"/>
      <c r="H517" s="42"/>
      <c r="I517" s="42"/>
      <c r="J517" s="27" t="s">
        <v>19</v>
      </c>
      <c r="K517" s="42"/>
    </row>
    <row r="518" ht="39.75" hidden="1" customHeight="1">
      <c r="A518" s="1">
        <v>517.0</v>
      </c>
      <c r="B518" s="2" t="s">
        <v>17</v>
      </c>
      <c r="C518" s="2" t="s">
        <v>13</v>
      </c>
      <c r="D518" s="13"/>
      <c r="E518" s="13"/>
      <c r="F518" s="44"/>
      <c r="G518" s="42"/>
      <c r="H518" s="42"/>
      <c r="I518" s="42"/>
      <c r="J518" s="27" t="s">
        <v>151</v>
      </c>
      <c r="K518" s="42"/>
    </row>
    <row r="519" ht="39.75" hidden="1" customHeight="1">
      <c r="A519" s="1">
        <v>518.0</v>
      </c>
      <c r="B519" s="2" t="s">
        <v>331</v>
      </c>
      <c r="C519" s="2" t="s">
        <v>13</v>
      </c>
      <c r="D519" s="13"/>
      <c r="E519" s="13"/>
      <c r="F519" s="45"/>
      <c r="G519" s="42"/>
      <c r="H519" s="42"/>
      <c r="I519" s="42"/>
      <c r="J519" s="27" t="s">
        <v>152</v>
      </c>
      <c r="K519" s="42"/>
    </row>
    <row r="520" ht="39.75" customHeight="1">
      <c r="A520" s="1">
        <v>519.0</v>
      </c>
      <c r="B520" s="2" t="s">
        <v>268</v>
      </c>
      <c r="C520" s="2" t="s">
        <v>63</v>
      </c>
      <c r="D520" s="13"/>
      <c r="E520" s="13"/>
      <c r="F520" s="44" t="s">
        <v>2811</v>
      </c>
      <c r="G520" s="43">
        <v>1.0</v>
      </c>
      <c r="H520" s="42"/>
      <c r="I520" s="43">
        <v>1.0</v>
      </c>
      <c r="J520" s="27" t="s">
        <v>154</v>
      </c>
      <c r="K520" s="42"/>
    </row>
    <row r="521" ht="39.75" hidden="1" customHeight="1">
      <c r="A521" s="1">
        <v>520.0</v>
      </c>
      <c r="B521" s="2" t="s">
        <v>22</v>
      </c>
      <c r="C521" s="2" t="s">
        <v>13</v>
      </c>
      <c r="D521" s="13"/>
      <c r="E521" s="13"/>
      <c r="F521" s="45"/>
      <c r="G521" s="42"/>
      <c r="H521" s="42"/>
      <c r="I521" s="42"/>
      <c r="J521" s="22"/>
      <c r="K521" s="42"/>
    </row>
    <row r="522" ht="39.75" hidden="1" customHeight="1">
      <c r="A522" s="1">
        <v>521.0</v>
      </c>
      <c r="B522" s="2" t="s">
        <v>23</v>
      </c>
      <c r="C522" s="2" t="s">
        <v>13</v>
      </c>
      <c r="D522" s="13"/>
      <c r="E522" s="13"/>
      <c r="F522" s="45"/>
      <c r="G522" s="42"/>
      <c r="H522" s="42"/>
      <c r="I522" s="42"/>
      <c r="J522" s="22"/>
      <c r="K522" s="42"/>
    </row>
    <row r="523" ht="39.75" hidden="1" customHeight="1">
      <c r="A523" s="1">
        <v>522.0</v>
      </c>
      <c r="B523" s="2" t="s">
        <v>24</v>
      </c>
      <c r="C523" s="2" t="s">
        <v>13</v>
      </c>
      <c r="D523" s="13"/>
      <c r="E523" s="13"/>
      <c r="F523" s="45"/>
      <c r="G523" s="42"/>
      <c r="H523" s="42"/>
      <c r="I523" s="42"/>
      <c r="J523" s="22"/>
      <c r="K523" s="42"/>
    </row>
    <row r="524" ht="39.75" hidden="1" customHeight="1">
      <c r="A524" s="1">
        <v>523.0</v>
      </c>
      <c r="B524" s="2" t="s">
        <v>25</v>
      </c>
      <c r="C524" s="2" t="s">
        <v>13</v>
      </c>
      <c r="D524" s="13"/>
      <c r="E524" s="13"/>
      <c r="F524" s="45"/>
      <c r="G524" s="42"/>
      <c r="H524" s="42"/>
      <c r="I524" s="42"/>
      <c r="J524" s="22"/>
      <c r="K524" s="42"/>
    </row>
    <row r="525" ht="39.75" hidden="1" customHeight="1">
      <c r="A525" s="1">
        <v>524.0</v>
      </c>
      <c r="B525" s="2" t="s">
        <v>26</v>
      </c>
      <c r="C525" s="2" t="s">
        <v>13</v>
      </c>
      <c r="D525" s="13"/>
      <c r="E525" s="13"/>
      <c r="F525" s="45"/>
      <c r="G525" s="42"/>
      <c r="H525" s="42"/>
      <c r="I525" s="42"/>
      <c r="J525" s="22"/>
      <c r="K525" s="42"/>
    </row>
    <row r="526" ht="39.75" customHeight="1">
      <c r="A526" s="1">
        <v>525.0</v>
      </c>
      <c r="B526" s="2" t="s">
        <v>29</v>
      </c>
      <c r="C526" s="2"/>
      <c r="D526" s="40">
        <v>0.375</v>
      </c>
      <c r="E526" s="13"/>
      <c r="F526" s="44" t="s">
        <v>2812</v>
      </c>
      <c r="G526" s="43">
        <v>1.0</v>
      </c>
      <c r="H526" s="42"/>
      <c r="I526" s="43">
        <v>1.0</v>
      </c>
      <c r="J526" s="22"/>
      <c r="K526" s="42"/>
    </row>
    <row r="527" ht="39.75" hidden="1" customHeight="1">
      <c r="A527" s="1">
        <v>526.0</v>
      </c>
      <c r="B527" s="2" t="s">
        <v>30</v>
      </c>
      <c r="C527" s="2" t="s">
        <v>13</v>
      </c>
      <c r="D527" s="13"/>
      <c r="E527" s="13"/>
      <c r="F527" s="45"/>
      <c r="G527" s="42"/>
      <c r="H527" s="42"/>
      <c r="I527" s="42"/>
      <c r="J527" s="22"/>
      <c r="K527" s="42"/>
    </row>
    <row r="528" ht="39.75" hidden="1" customHeight="1">
      <c r="A528" s="1">
        <v>527.0</v>
      </c>
      <c r="B528" s="2" t="s">
        <v>31</v>
      </c>
      <c r="C528" s="2" t="s">
        <v>13</v>
      </c>
      <c r="D528" s="13"/>
      <c r="E528" s="13"/>
      <c r="F528" s="45"/>
      <c r="G528" s="42"/>
      <c r="H528" s="42"/>
      <c r="I528" s="42"/>
      <c r="J528" s="22"/>
      <c r="K528" s="42"/>
    </row>
    <row r="529" ht="39.75" hidden="1" customHeight="1">
      <c r="A529" s="1">
        <v>528.0</v>
      </c>
      <c r="B529" s="2" t="s">
        <v>32</v>
      </c>
      <c r="C529" s="2" t="s">
        <v>13</v>
      </c>
      <c r="D529" s="13"/>
      <c r="E529" s="13"/>
      <c r="F529" s="45"/>
      <c r="G529" s="42"/>
      <c r="H529" s="42"/>
      <c r="I529" s="42"/>
      <c r="J529" s="22"/>
      <c r="K529" s="42"/>
    </row>
    <row r="530" ht="39.75" customHeight="1">
      <c r="A530" s="1">
        <v>529.0</v>
      </c>
      <c r="B530" s="2" t="s">
        <v>67</v>
      </c>
      <c r="C530" s="2" t="s">
        <v>27</v>
      </c>
      <c r="D530" s="13"/>
      <c r="E530" s="13"/>
      <c r="F530" s="44" t="s">
        <v>2813</v>
      </c>
      <c r="G530" s="43">
        <v>1.0</v>
      </c>
      <c r="H530" s="42"/>
      <c r="I530" s="42"/>
      <c r="J530" s="22"/>
      <c r="K530" s="42"/>
    </row>
    <row r="531" ht="39.75" hidden="1" customHeight="1">
      <c r="A531" s="1">
        <v>530.0</v>
      </c>
      <c r="B531" s="2" t="s">
        <v>35</v>
      </c>
      <c r="C531" s="2" t="s">
        <v>13</v>
      </c>
      <c r="D531" s="13"/>
      <c r="E531" s="13"/>
      <c r="F531" s="45"/>
      <c r="G531" s="42"/>
      <c r="H531" s="42"/>
      <c r="I531" s="42"/>
      <c r="J531" s="22"/>
      <c r="K531" s="42"/>
    </row>
    <row r="532" ht="39.75" hidden="1" customHeight="1">
      <c r="A532" s="1">
        <v>531.0</v>
      </c>
      <c r="B532" s="2" t="s">
        <v>36</v>
      </c>
      <c r="C532" s="2" t="s">
        <v>13</v>
      </c>
      <c r="D532" s="13"/>
      <c r="E532" s="13"/>
      <c r="F532" s="45"/>
      <c r="G532" s="42"/>
      <c r="H532" s="42"/>
      <c r="I532" s="42"/>
      <c r="J532" s="22"/>
      <c r="K532" s="42"/>
    </row>
    <row r="533" ht="39.75" hidden="1" customHeight="1">
      <c r="A533" s="1">
        <v>532.0</v>
      </c>
      <c r="B533" s="2" t="s">
        <v>38</v>
      </c>
      <c r="C533" s="2" t="s">
        <v>13</v>
      </c>
      <c r="D533" s="13"/>
      <c r="E533" s="13"/>
      <c r="F533" s="45"/>
      <c r="G533" s="42"/>
      <c r="H533" s="42"/>
      <c r="I533" s="42"/>
      <c r="J533" s="22"/>
      <c r="K533" s="42"/>
    </row>
    <row r="534" ht="39.75" hidden="1" customHeight="1">
      <c r="A534" s="1">
        <v>533.0</v>
      </c>
      <c r="B534" s="2" t="s">
        <v>41</v>
      </c>
      <c r="C534" s="2" t="s">
        <v>13</v>
      </c>
      <c r="D534" s="13"/>
      <c r="E534" s="13"/>
      <c r="F534" s="45"/>
      <c r="G534" s="42"/>
      <c r="H534" s="42"/>
      <c r="I534" s="42"/>
      <c r="J534" s="22"/>
      <c r="K534" s="42"/>
    </row>
    <row r="535" ht="39.75" customHeight="1">
      <c r="A535" s="1">
        <v>534.0</v>
      </c>
      <c r="B535" s="2" t="s">
        <v>42</v>
      </c>
      <c r="C535" s="2" t="s">
        <v>39</v>
      </c>
      <c r="D535" s="40">
        <v>0.375</v>
      </c>
      <c r="E535" s="51">
        <v>0.8402777777777778</v>
      </c>
      <c r="F535" s="44" t="s">
        <v>2814</v>
      </c>
      <c r="G535" s="43">
        <v>1.0</v>
      </c>
      <c r="H535" s="42"/>
      <c r="I535" s="42"/>
      <c r="J535" s="22"/>
      <c r="K535" s="42"/>
    </row>
    <row r="536" ht="39.75" customHeight="1">
      <c r="A536" s="1">
        <v>535.0</v>
      </c>
      <c r="B536" s="2" t="s">
        <v>267</v>
      </c>
      <c r="C536" s="2" t="s">
        <v>272</v>
      </c>
      <c r="D536" s="13"/>
      <c r="E536" s="13"/>
      <c r="F536" s="44" t="s">
        <v>1186</v>
      </c>
      <c r="G536" s="43">
        <v>1.0</v>
      </c>
      <c r="H536" s="42"/>
      <c r="I536" s="43">
        <v>1.0</v>
      </c>
      <c r="J536" s="22"/>
      <c r="K536" s="42"/>
    </row>
    <row r="537" ht="39.75" hidden="1" customHeight="1">
      <c r="A537" s="1">
        <v>536.0</v>
      </c>
      <c r="B537" s="2" t="s">
        <v>45</v>
      </c>
      <c r="C537" s="2" t="s">
        <v>13</v>
      </c>
      <c r="D537" s="13"/>
      <c r="E537" s="13"/>
      <c r="F537" s="45"/>
      <c r="G537" s="42"/>
      <c r="H537" s="42"/>
      <c r="I537" s="42"/>
      <c r="J537" s="22"/>
      <c r="K537" s="42"/>
    </row>
    <row r="538" ht="39.75" customHeight="1">
      <c r="A538" s="1">
        <v>537.0</v>
      </c>
      <c r="B538" s="2" t="s">
        <v>46</v>
      </c>
      <c r="C538" s="13"/>
      <c r="D538" s="40">
        <v>0.375</v>
      </c>
      <c r="E538" s="13"/>
      <c r="F538" s="44" t="s">
        <v>2815</v>
      </c>
      <c r="G538" s="43">
        <v>1.0</v>
      </c>
      <c r="H538" s="43">
        <v>1.0</v>
      </c>
      <c r="I538" s="42"/>
      <c r="J538" s="22"/>
      <c r="K538" s="42"/>
    </row>
    <row r="539" ht="39.75" hidden="1" customHeight="1">
      <c r="A539" s="1">
        <v>538.0</v>
      </c>
      <c r="B539" s="2" t="s">
        <v>47</v>
      </c>
      <c r="C539" s="2" t="s">
        <v>13</v>
      </c>
      <c r="D539" s="13"/>
      <c r="E539" s="13"/>
      <c r="F539" s="45"/>
      <c r="G539" s="42"/>
      <c r="H539" s="42"/>
      <c r="I539" s="42"/>
      <c r="J539" s="22"/>
      <c r="K539" s="42"/>
    </row>
    <row r="540" ht="39.75" hidden="1" customHeight="1">
      <c r="A540" s="1">
        <v>539.0</v>
      </c>
      <c r="B540" s="2" t="s">
        <v>48</v>
      </c>
      <c r="C540" s="2" t="s">
        <v>13</v>
      </c>
      <c r="D540" s="13"/>
      <c r="E540" s="13"/>
      <c r="F540" s="45"/>
      <c r="G540" s="42"/>
      <c r="H540" s="42"/>
      <c r="I540" s="42"/>
      <c r="J540" s="22"/>
      <c r="K540" s="42"/>
    </row>
    <row r="541" ht="39.75" customHeight="1">
      <c r="A541" s="1">
        <v>540.0</v>
      </c>
      <c r="B541" s="21"/>
      <c r="C541" s="21"/>
      <c r="D541" s="21"/>
      <c r="E541" s="21"/>
      <c r="F541" s="46"/>
      <c r="G541" s="47"/>
      <c r="H541" s="47"/>
      <c r="I541" s="47"/>
      <c r="J541" s="48"/>
      <c r="K541" s="47"/>
      <c r="L541" s="49"/>
      <c r="M541" s="49"/>
      <c r="N541" s="49"/>
    </row>
    <row r="542" ht="39.75" customHeight="1">
      <c r="A542" s="1">
        <v>541.0</v>
      </c>
      <c r="B542" s="2" t="s">
        <v>12</v>
      </c>
      <c r="C542" s="2" t="s">
        <v>62</v>
      </c>
      <c r="D542" s="13"/>
      <c r="E542" s="13"/>
      <c r="F542" s="57" t="s">
        <v>1993</v>
      </c>
      <c r="G542" s="43">
        <v>1.0</v>
      </c>
      <c r="H542" s="42"/>
      <c r="I542" s="42"/>
      <c r="J542" s="27" t="s">
        <v>2570</v>
      </c>
      <c r="K542" s="42"/>
      <c r="L542" s="15" t="s">
        <v>362</v>
      </c>
    </row>
    <row r="543" ht="39.75" hidden="1" customHeight="1">
      <c r="A543" s="1">
        <v>542.0</v>
      </c>
      <c r="B543" s="2" t="s">
        <v>16</v>
      </c>
      <c r="C543" s="2" t="s">
        <v>58</v>
      </c>
      <c r="D543" s="13"/>
      <c r="E543" s="13"/>
      <c r="F543" s="45"/>
      <c r="G543" s="42"/>
      <c r="H543" s="42"/>
      <c r="I543" s="42"/>
      <c r="J543" s="27" t="s">
        <v>362</v>
      </c>
      <c r="K543" s="43"/>
    </row>
    <row r="544" ht="39.75" customHeight="1">
      <c r="A544" s="1">
        <v>543.0</v>
      </c>
      <c r="B544" s="2" t="s">
        <v>116</v>
      </c>
      <c r="C544" s="2"/>
      <c r="D544" s="13"/>
      <c r="E544" s="13"/>
      <c r="F544" s="44" t="s">
        <v>2816</v>
      </c>
      <c r="G544" s="43">
        <v>1.0</v>
      </c>
      <c r="H544" s="42"/>
      <c r="I544" s="42"/>
      <c r="J544" s="27" t="s">
        <v>56</v>
      </c>
      <c r="K544" s="42"/>
    </row>
    <row r="545" ht="39.75" hidden="1" customHeight="1">
      <c r="A545" s="1">
        <v>544.0</v>
      </c>
      <c r="B545" s="2" t="s">
        <v>17</v>
      </c>
      <c r="C545" s="2" t="s">
        <v>58</v>
      </c>
      <c r="D545" s="13"/>
      <c r="E545" s="13"/>
      <c r="F545" s="44"/>
      <c r="G545" s="42"/>
      <c r="H545" s="42"/>
      <c r="I545" s="42"/>
      <c r="J545" s="22"/>
      <c r="K545" s="42"/>
    </row>
    <row r="546" ht="39.75" customHeight="1">
      <c r="A546" s="1">
        <v>545.0</v>
      </c>
      <c r="B546" s="2" t="s">
        <v>331</v>
      </c>
      <c r="C546" s="2" t="s">
        <v>542</v>
      </c>
      <c r="D546" s="13"/>
      <c r="E546" s="13"/>
      <c r="F546" s="44" t="s">
        <v>2817</v>
      </c>
      <c r="G546" s="43">
        <v>2.0</v>
      </c>
      <c r="H546" s="42"/>
      <c r="I546" s="42"/>
      <c r="J546" s="22"/>
      <c r="K546" s="42"/>
    </row>
    <row r="547" ht="39.75" customHeight="1">
      <c r="A547" s="1">
        <v>546.0</v>
      </c>
      <c r="B547" s="2" t="s">
        <v>21</v>
      </c>
      <c r="C547" s="2" t="s">
        <v>63</v>
      </c>
      <c r="D547" s="13"/>
      <c r="E547" s="13"/>
      <c r="F547" s="45"/>
      <c r="G547" s="42"/>
      <c r="H547" s="42"/>
      <c r="I547" s="42"/>
      <c r="J547" s="22"/>
      <c r="K547" s="42"/>
    </row>
    <row r="548" ht="39.75" customHeight="1">
      <c r="A548" s="1">
        <v>547.0</v>
      </c>
      <c r="B548" s="2" t="s">
        <v>22</v>
      </c>
      <c r="C548" s="2" t="s">
        <v>54</v>
      </c>
      <c r="D548" s="13"/>
      <c r="E548" s="13"/>
      <c r="F548" s="45"/>
      <c r="G548" s="42"/>
      <c r="H548" s="42"/>
      <c r="I548" s="42"/>
      <c r="J548" s="22"/>
      <c r="K548" s="42"/>
    </row>
    <row r="549" ht="39.75" customHeight="1">
      <c r="A549" s="1">
        <v>548.0</v>
      </c>
      <c r="B549" s="2" t="s">
        <v>23</v>
      </c>
      <c r="C549" s="2" t="s">
        <v>39</v>
      </c>
      <c r="D549" s="13"/>
      <c r="E549" s="13"/>
      <c r="F549" s="44" t="s">
        <v>2818</v>
      </c>
      <c r="G549" s="43">
        <v>1.0</v>
      </c>
      <c r="H549" s="42"/>
      <c r="I549" s="42"/>
      <c r="J549" s="22"/>
      <c r="K549" s="42"/>
    </row>
    <row r="550" ht="39.75" hidden="1" customHeight="1">
      <c r="A550" s="1">
        <v>549.0</v>
      </c>
      <c r="B550" s="2" t="s">
        <v>24</v>
      </c>
      <c r="C550" s="2" t="s">
        <v>58</v>
      </c>
      <c r="D550" s="13"/>
      <c r="E550" s="13"/>
      <c r="F550" s="45"/>
      <c r="G550" s="42"/>
      <c r="H550" s="42"/>
      <c r="I550" s="42"/>
      <c r="J550" s="22"/>
      <c r="K550" s="42"/>
    </row>
    <row r="551" ht="39.75" customHeight="1">
      <c r="A551" s="1">
        <v>550.0</v>
      </c>
      <c r="B551" s="2" t="s">
        <v>25</v>
      </c>
      <c r="C551" s="2" t="s">
        <v>69</v>
      </c>
      <c r="D551" s="13"/>
      <c r="E551" s="40">
        <v>0.8680555555555556</v>
      </c>
      <c r="F551" s="44" t="s">
        <v>2819</v>
      </c>
      <c r="G551" s="43">
        <v>1.0</v>
      </c>
      <c r="H551" s="42"/>
      <c r="I551" s="42"/>
      <c r="J551" s="22"/>
      <c r="K551" s="42"/>
    </row>
    <row r="552" ht="39.75" customHeight="1">
      <c r="A552" s="1">
        <v>551.0</v>
      </c>
      <c r="B552" s="2" t="s">
        <v>26</v>
      </c>
      <c r="C552" s="2"/>
      <c r="D552" s="13"/>
      <c r="E552" s="13"/>
      <c r="F552" s="44" t="s">
        <v>2820</v>
      </c>
      <c r="G552" s="43">
        <v>1.0</v>
      </c>
      <c r="H552" s="42"/>
      <c r="I552" s="42"/>
      <c r="J552" s="22"/>
      <c r="K552" s="42"/>
    </row>
    <row r="553" ht="39.75" customHeight="1">
      <c r="A553" s="1">
        <v>552.0</v>
      </c>
      <c r="B553" s="2" t="s">
        <v>29</v>
      </c>
      <c r="C553" s="2" t="s">
        <v>69</v>
      </c>
      <c r="D553" s="13"/>
      <c r="E553" s="13"/>
      <c r="F553" s="44" t="s">
        <v>2770</v>
      </c>
      <c r="G553" s="43">
        <v>1.0</v>
      </c>
      <c r="H553" s="42"/>
      <c r="I553" s="43">
        <v>1.0</v>
      </c>
      <c r="J553" s="22"/>
      <c r="K553" s="42"/>
    </row>
    <row r="554" ht="39.75" customHeight="1">
      <c r="A554" s="1">
        <v>553.0</v>
      </c>
      <c r="B554" s="2" t="s">
        <v>30</v>
      </c>
      <c r="C554" s="2" t="s">
        <v>64</v>
      </c>
      <c r="D554" s="13"/>
      <c r="E554" s="13"/>
      <c r="F554" s="44" t="s">
        <v>2592</v>
      </c>
      <c r="G554" s="43">
        <v>1.0</v>
      </c>
      <c r="H554" s="42"/>
      <c r="I554" s="43">
        <v>1.0</v>
      </c>
      <c r="J554" s="22"/>
      <c r="K554" s="42"/>
    </row>
    <row r="555" ht="39.75" customHeight="1">
      <c r="A555" s="1">
        <v>554.0</v>
      </c>
      <c r="B555" s="2" t="s">
        <v>31</v>
      </c>
      <c r="C555" s="2" t="s">
        <v>39</v>
      </c>
      <c r="D555" s="13"/>
      <c r="E555" s="13"/>
      <c r="F555" s="44" t="s">
        <v>2821</v>
      </c>
      <c r="G555" s="43">
        <v>1.0</v>
      </c>
      <c r="H555" s="42"/>
      <c r="I555" s="43">
        <v>1.0</v>
      </c>
      <c r="J555" s="22"/>
      <c r="K555" s="42"/>
    </row>
    <row r="556" ht="39.75" hidden="1" customHeight="1">
      <c r="A556" s="1">
        <v>555.0</v>
      </c>
      <c r="B556" s="2" t="s">
        <v>32</v>
      </c>
      <c r="C556" s="2" t="s">
        <v>66</v>
      </c>
      <c r="D556" s="13"/>
      <c r="E556" s="13"/>
      <c r="F556" s="45"/>
      <c r="G556" s="42"/>
      <c r="H556" s="42"/>
      <c r="I556" s="42"/>
      <c r="J556" s="22"/>
      <c r="K556" s="42"/>
    </row>
    <row r="557" ht="39.75" customHeight="1">
      <c r="A557" s="1">
        <v>556.0</v>
      </c>
      <c r="B557" s="2" t="s">
        <v>67</v>
      </c>
      <c r="C557" s="2" t="s">
        <v>44</v>
      </c>
      <c r="D557" s="13"/>
      <c r="E557" s="13"/>
      <c r="F557" s="52" t="s">
        <v>2822</v>
      </c>
      <c r="G557" s="42"/>
      <c r="H557" s="42"/>
      <c r="I557" s="42"/>
      <c r="J557" s="22"/>
      <c r="K557" s="42"/>
    </row>
    <row r="558" ht="39.75" customHeight="1">
      <c r="A558" s="1">
        <v>557.0</v>
      </c>
      <c r="B558" s="2" t="s">
        <v>35</v>
      </c>
      <c r="C558" s="2" t="s">
        <v>54</v>
      </c>
      <c r="D558" s="53">
        <v>0.3125</v>
      </c>
      <c r="E558" s="40">
        <v>0.7708333333333334</v>
      </c>
      <c r="F558" s="44" t="s">
        <v>2823</v>
      </c>
      <c r="G558" s="43">
        <v>1.0</v>
      </c>
      <c r="H558" s="42"/>
      <c r="I558" s="42"/>
      <c r="J558" s="22"/>
      <c r="K558" s="42"/>
    </row>
    <row r="559" ht="39.75" hidden="1" customHeight="1">
      <c r="A559" s="1">
        <v>558.0</v>
      </c>
      <c r="B559" s="2" t="s">
        <v>36</v>
      </c>
      <c r="C559" s="2" t="s">
        <v>58</v>
      </c>
      <c r="D559" s="13"/>
      <c r="E559" s="13"/>
      <c r="F559" s="45"/>
      <c r="G559" s="42"/>
      <c r="H559" s="42"/>
      <c r="I559" s="42"/>
      <c r="J559" s="22"/>
      <c r="K559" s="42"/>
    </row>
    <row r="560" ht="39.75" hidden="1" customHeight="1">
      <c r="A560" s="1">
        <v>559.0</v>
      </c>
      <c r="B560" s="2" t="s">
        <v>38</v>
      </c>
      <c r="C560" s="2" t="s">
        <v>66</v>
      </c>
      <c r="D560" s="13"/>
      <c r="E560" s="13"/>
      <c r="F560" s="45"/>
      <c r="G560" s="42"/>
      <c r="H560" s="42"/>
      <c r="I560" s="42"/>
      <c r="J560" s="22"/>
      <c r="K560" s="42"/>
    </row>
    <row r="561" ht="39.75" hidden="1" customHeight="1">
      <c r="A561" s="1">
        <v>560.0</v>
      </c>
      <c r="B561" s="2" t="s">
        <v>41</v>
      </c>
      <c r="C561" s="2" t="s">
        <v>58</v>
      </c>
      <c r="D561" s="13"/>
      <c r="E561" s="13"/>
      <c r="F561" s="45"/>
      <c r="G561" s="42"/>
      <c r="H561" s="42"/>
      <c r="I561" s="42"/>
      <c r="J561" s="22"/>
      <c r="K561" s="42"/>
    </row>
    <row r="562" ht="39.75" customHeight="1">
      <c r="A562" s="1">
        <v>561.0</v>
      </c>
      <c r="B562" s="2" t="s">
        <v>42</v>
      </c>
      <c r="C562" s="2" t="s">
        <v>54</v>
      </c>
      <c r="D562" s="13"/>
      <c r="E562" s="13"/>
      <c r="F562" s="44" t="s">
        <v>577</v>
      </c>
      <c r="G562" s="43">
        <v>1.0</v>
      </c>
      <c r="H562" s="42"/>
      <c r="I562" s="42"/>
      <c r="J562" s="22"/>
      <c r="K562" s="42"/>
    </row>
    <row r="563" ht="39.75" hidden="1" customHeight="1">
      <c r="A563" s="1">
        <v>562.0</v>
      </c>
      <c r="B563" s="2" t="s">
        <v>43</v>
      </c>
      <c r="C563" s="2" t="s">
        <v>58</v>
      </c>
      <c r="D563" s="13"/>
      <c r="E563" s="13"/>
      <c r="F563" s="45"/>
      <c r="G563" s="42"/>
      <c r="H563" s="42"/>
      <c r="I563" s="42"/>
      <c r="J563" s="22"/>
      <c r="K563" s="42"/>
    </row>
    <row r="564" ht="39.75" customHeight="1">
      <c r="A564" s="1">
        <v>563.0</v>
      </c>
      <c r="B564" s="2" t="s">
        <v>45</v>
      </c>
      <c r="C564" s="2" t="s">
        <v>27</v>
      </c>
      <c r="D564" s="13"/>
      <c r="E564" s="13"/>
      <c r="F564" s="44" t="s">
        <v>2824</v>
      </c>
      <c r="G564" s="43">
        <v>2.0</v>
      </c>
      <c r="H564" s="42"/>
      <c r="I564" s="43">
        <v>2.0</v>
      </c>
      <c r="J564" s="22"/>
      <c r="K564" s="42"/>
    </row>
    <row r="565" ht="39.75" customHeight="1">
      <c r="A565" s="1">
        <v>564.0</v>
      </c>
      <c r="B565" s="2" t="s">
        <v>46</v>
      </c>
      <c r="C565" s="13"/>
      <c r="D565" s="13"/>
      <c r="E565" s="13"/>
      <c r="F565" s="44" t="s">
        <v>2815</v>
      </c>
      <c r="G565" s="43">
        <v>1.0</v>
      </c>
      <c r="H565" s="43">
        <v>1.0</v>
      </c>
      <c r="I565" s="42"/>
      <c r="J565" s="22"/>
      <c r="K565" s="42"/>
    </row>
    <row r="566" ht="39.75" customHeight="1">
      <c r="A566" s="1">
        <v>565.0</v>
      </c>
      <c r="B566" s="2" t="s">
        <v>47</v>
      </c>
      <c r="C566" s="2" t="s">
        <v>69</v>
      </c>
      <c r="D566" s="13"/>
      <c r="E566" s="13"/>
      <c r="F566" s="44" t="s">
        <v>2825</v>
      </c>
      <c r="G566" s="43">
        <v>3.0</v>
      </c>
      <c r="H566" s="42"/>
      <c r="I566" s="43">
        <v>1.0</v>
      </c>
      <c r="J566" s="22"/>
      <c r="K566" s="42"/>
    </row>
    <row r="567" ht="39.75" customHeight="1">
      <c r="A567" s="1">
        <v>566.0</v>
      </c>
      <c r="B567" s="2" t="s">
        <v>48</v>
      </c>
      <c r="C567" s="2" t="s">
        <v>54</v>
      </c>
      <c r="D567" s="13"/>
      <c r="E567" s="13"/>
      <c r="F567" s="44" t="s">
        <v>2826</v>
      </c>
      <c r="G567" s="43">
        <v>2.0</v>
      </c>
      <c r="H567" s="42"/>
      <c r="I567" s="43">
        <v>1.0</v>
      </c>
      <c r="J567" s="22"/>
      <c r="K567" s="42"/>
    </row>
    <row r="568" ht="39.75" customHeight="1">
      <c r="A568" s="1">
        <v>567.0</v>
      </c>
      <c r="B568" s="21"/>
      <c r="C568" s="21"/>
      <c r="D568" s="21"/>
      <c r="E568" s="21"/>
      <c r="F568" s="46"/>
      <c r="G568" s="47"/>
      <c r="H568" s="47"/>
      <c r="I568" s="47"/>
      <c r="J568" s="48"/>
      <c r="K568" s="47"/>
      <c r="L568" s="49"/>
      <c r="M568" s="49"/>
      <c r="N568" s="49"/>
    </row>
    <row r="569" ht="39.75" customHeight="1">
      <c r="A569" s="1">
        <v>568.0</v>
      </c>
      <c r="B569" s="2" t="s">
        <v>12</v>
      </c>
      <c r="C569" s="2" t="s">
        <v>62</v>
      </c>
      <c r="D569" s="13"/>
      <c r="E569" s="13"/>
      <c r="F569" s="44" t="s">
        <v>1543</v>
      </c>
      <c r="G569" s="43">
        <v>1.0</v>
      </c>
      <c r="H569" s="42"/>
      <c r="I569" s="43">
        <v>1.0</v>
      </c>
      <c r="J569" s="27" t="s">
        <v>2570</v>
      </c>
      <c r="K569" s="42"/>
      <c r="L569" s="15" t="s">
        <v>369</v>
      </c>
    </row>
    <row r="570" ht="39.75" hidden="1" customHeight="1">
      <c r="A570" s="1">
        <v>569.0</v>
      </c>
      <c r="B570" s="2" t="s">
        <v>16</v>
      </c>
      <c r="C570" s="2" t="s">
        <v>58</v>
      </c>
      <c r="D570" s="13"/>
      <c r="E570" s="13"/>
      <c r="F570" s="45"/>
      <c r="G570" s="42"/>
      <c r="H570" s="42"/>
      <c r="I570" s="42"/>
      <c r="J570" s="27" t="s">
        <v>369</v>
      </c>
      <c r="K570" s="43"/>
    </row>
    <row r="571" ht="39.75" customHeight="1">
      <c r="A571" s="1">
        <v>570.0</v>
      </c>
      <c r="B571" s="2" t="s">
        <v>116</v>
      </c>
      <c r="C571" s="2" t="s">
        <v>54</v>
      </c>
      <c r="D571" s="13"/>
      <c r="E571" s="13"/>
      <c r="F571" s="44" t="s">
        <v>2827</v>
      </c>
      <c r="G571" s="43">
        <v>1.0</v>
      </c>
      <c r="H571" s="42"/>
      <c r="I571" s="43">
        <v>1.0</v>
      </c>
      <c r="J571" s="27" t="s">
        <v>77</v>
      </c>
      <c r="K571" s="42"/>
    </row>
    <row r="572" ht="99.0" customHeight="1">
      <c r="A572" s="1">
        <v>571.0</v>
      </c>
      <c r="B572" s="2" t="s">
        <v>17</v>
      </c>
      <c r="C572" s="2" t="s">
        <v>69</v>
      </c>
      <c r="D572" s="13"/>
      <c r="E572" s="13"/>
      <c r="F572" s="44" t="s">
        <v>2828</v>
      </c>
      <c r="G572" s="43">
        <v>1.0</v>
      </c>
      <c r="H572" s="42"/>
      <c r="I572" s="42"/>
      <c r="J572" s="22"/>
      <c r="K572" s="42"/>
    </row>
    <row r="573" ht="39.75" customHeight="1">
      <c r="A573" s="1">
        <v>572.0</v>
      </c>
      <c r="B573" s="2" t="s">
        <v>331</v>
      </c>
      <c r="C573" s="2" t="s">
        <v>542</v>
      </c>
      <c r="D573" s="13"/>
      <c r="E573" s="51">
        <v>0.7777777777777778</v>
      </c>
      <c r="F573" s="44" t="s">
        <v>2829</v>
      </c>
      <c r="G573" s="43">
        <v>1.0</v>
      </c>
      <c r="H573" s="42"/>
      <c r="I573" s="42"/>
      <c r="J573" s="22"/>
      <c r="K573" s="42"/>
    </row>
    <row r="574" ht="39.75" customHeight="1">
      <c r="A574" s="1">
        <v>573.0</v>
      </c>
      <c r="B574" s="2" t="s">
        <v>21</v>
      </c>
      <c r="C574" s="2" t="s">
        <v>63</v>
      </c>
      <c r="D574" s="13"/>
      <c r="E574" s="13"/>
      <c r="F574" s="45"/>
      <c r="G574" s="42"/>
      <c r="H574" s="42"/>
      <c r="I574" s="42"/>
      <c r="J574" s="22"/>
      <c r="K574" s="42"/>
    </row>
    <row r="575" ht="66.0" customHeight="1">
      <c r="A575" s="1">
        <v>574.0</v>
      </c>
      <c r="B575" s="2" t="s">
        <v>22</v>
      </c>
      <c r="C575" s="2" t="s">
        <v>54</v>
      </c>
      <c r="D575" s="13"/>
      <c r="E575" s="13"/>
      <c r="F575" s="45"/>
      <c r="G575" s="42"/>
      <c r="H575" s="42"/>
      <c r="I575" s="42"/>
      <c r="J575" s="22"/>
      <c r="K575" s="42"/>
    </row>
    <row r="576" ht="39.75" customHeight="1">
      <c r="A576" s="1">
        <v>575.0</v>
      </c>
      <c r="B576" s="2" t="s">
        <v>23</v>
      </c>
      <c r="C576" s="2"/>
      <c r="D576" s="13"/>
      <c r="E576" s="13"/>
      <c r="F576" s="44" t="s">
        <v>2830</v>
      </c>
      <c r="G576" s="43">
        <v>1.0</v>
      </c>
      <c r="H576" s="42"/>
      <c r="I576" s="42"/>
      <c r="J576" s="22"/>
      <c r="K576" s="42"/>
    </row>
    <row r="577" ht="39.75" hidden="1" customHeight="1">
      <c r="A577" s="1">
        <v>576.0</v>
      </c>
      <c r="B577" s="2" t="s">
        <v>24</v>
      </c>
      <c r="C577" s="2" t="s">
        <v>58</v>
      </c>
      <c r="D577" s="13"/>
      <c r="E577" s="13"/>
      <c r="F577" s="45"/>
      <c r="G577" s="42"/>
      <c r="H577" s="42"/>
      <c r="I577" s="42"/>
      <c r="J577" s="22"/>
      <c r="K577" s="42"/>
    </row>
    <row r="578" ht="39.75" customHeight="1">
      <c r="A578" s="1">
        <v>577.0</v>
      </c>
      <c r="B578" s="2" t="s">
        <v>25</v>
      </c>
      <c r="C578" s="2"/>
      <c r="D578" s="13"/>
      <c r="E578" s="13"/>
      <c r="F578" s="44" t="s">
        <v>2831</v>
      </c>
      <c r="G578" s="43"/>
      <c r="H578" s="42"/>
      <c r="I578" s="43"/>
      <c r="J578" s="22"/>
      <c r="K578" s="42"/>
    </row>
    <row r="579" ht="39.75" customHeight="1">
      <c r="A579" s="1">
        <v>578.0</v>
      </c>
      <c r="B579" s="2" t="s">
        <v>26</v>
      </c>
      <c r="C579" s="2" t="s">
        <v>69</v>
      </c>
      <c r="D579" s="13"/>
      <c r="E579" s="13"/>
      <c r="F579" s="44" t="s">
        <v>2832</v>
      </c>
      <c r="G579" s="43">
        <v>1.0</v>
      </c>
      <c r="H579" s="42"/>
      <c r="I579" s="43">
        <v>1.0</v>
      </c>
      <c r="J579" s="22"/>
      <c r="K579" s="42"/>
    </row>
    <row r="580" ht="39.75" customHeight="1">
      <c r="A580" s="1">
        <v>579.0</v>
      </c>
      <c r="B580" s="2" t="s">
        <v>29</v>
      </c>
      <c r="C580" s="2" t="s">
        <v>39</v>
      </c>
      <c r="D580" s="40">
        <v>0.2916666666666667</v>
      </c>
      <c r="E580" s="13"/>
      <c r="F580" s="44" t="s">
        <v>2833</v>
      </c>
      <c r="G580" s="43">
        <v>2.0</v>
      </c>
      <c r="H580" s="42"/>
      <c r="I580" s="42"/>
      <c r="J580" s="22"/>
      <c r="K580" s="42"/>
    </row>
    <row r="581" ht="39.75" customHeight="1">
      <c r="A581" s="1">
        <v>580.0</v>
      </c>
      <c r="B581" s="2" t="s">
        <v>30</v>
      </c>
      <c r="C581" s="2" t="s">
        <v>64</v>
      </c>
      <c r="D581" s="13"/>
      <c r="E581" s="13"/>
      <c r="F581" s="44" t="s">
        <v>2592</v>
      </c>
      <c r="G581" s="43">
        <v>1.0</v>
      </c>
      <c r="H581" s="42"/>
      <c r="I581" s="43">
        <v>1.0</v>
      </c>
      <c r="J581" s="22"/>
      <c r="K581" s="42"/>
    </row>
    <row r="582" ht="39.75" customHeight="1">
      <c r="A582" s="1">
        <v>581.0</v>
      </c>
      <c r="B582" s="2" t="s">
        <v>31</v>
      </c>
      <c r="C582" s="2"/>
      <c r="D582" s="13"/>
      <c r="E582" s="13"/>
      <c r="F582" s="44" t="s">
        <v>2834</v>
      </c>
      <c r="G582" s="43">
        <v>2.0</v>
      </c>
      <c r="H582" s="42"/>
      <c r="I582" s="43">
        <v>2.0</v>
      </c>
      <c r="J582" s="22"/>
      <c r="K582" s="42"/>
    </row>
    <row r="583" ht="39.75" customHeight="1">
      <c r="A583" s="1">
        <v>582.0</v>
      </c>
      <c r="B583" s="2" t="s">
        <v>32</v>
      </c>
      <c r="C583" s="2" t="s">
        <v>27</v>
      </c>
      <c r="D583" s="13"/>
      <c r="E583" s="13"/>
      <c r="F583" s="44" t="s">
        <v>2835</v>
      </c>
      <c r="G583" s="42"/>
      <c r="H583" s="42"/>
      <c r="I583" s="42"/>
      <c r="J583" s="22"/>
      <c r="K583" s="42"/>
    </row>
    <row r="584" ht="39.75" customHeight="1">
      <c r="A584" s="1">
        <v>583.0</v>
      </c>
      <c r="B584" s="2" t="s">
        <v>67</v>
      </c>
      <c r="C584" s="2" t="s">
        <v>39</v>
      </c>
      <c r="D584" s="40">
        <v>0.2916666666666667</v>
      </c>
      <c r="E584" s="13"/>
      <c r="F584" s="44" t="s">
        <v>2630</v>
      </c>
      <c r="G584" s="43">
        <v>1.0</v>
      </c>
      <c r="H584" s="42"/>
      <c r="I584" s="43">
        <v>1.0</v>
      </c>
      <c r="J584" s="22"/>
      <c r="K584" s="42"/>
    </row>
    <row r="585" ht="39.75" customHeight="1">
      <c r="A585" s="1">
        <v>584.0</v>
      </c>
      <c r="B585" s="2" t="s">
        <v>35</v>
      </c>
      <c r="C585" s="2" t="s">
        <v>54</v>
      </c>
      <c r="D585" s="13"/>
      <c r="E585" s="13"/>
      <c r="F585" s="45"/>
      <c r="G585" s="42"/>
      <c r="H585" s="42"/>
      <c r="I585" s="42"/>
      <c r="J585" s="22"/>
      <c r="K585" s="42"/>
    </row>
    <row r="586" ht="39.75" hidden="1" customHeight="1">
      <c r="A586" s="1">
        <v>585.0</v>
      </c>
      <c r="B586" s="2" t="s">
        <v>36</v>
      </c>
      <c r="C586" s="2" t="s">
        <v>58</v>
      </c>
      <c r="D586" s="13"/>
      <c r="E586" s="13"/>
      <c r="F586" s="45"/>
      <c r="G586" s="42"/>
      <c r="H586" s="42"/>
      <c r="I586" s="42"/>
      <c r="J586" s="22"/>
      <c r="K586" s="42"/>
    </row>
    <row r="587" ht="39.75" customHeight="1">
      <c r="A587" s="1">
        <v>586.0</v>
      </c>
      <c r="B587" s="2" t="s">
        <v>38</v>
      </c>
      <c r="C587" s="2"/>
      <c r="D587" s="13"/>
      <c r="E587" s="13"/>
      <c r="F587" s="44" t="s">
        <v>2836</v>
      </c>
      <c r="G587" s="43">
        <v>1.0</v>
      </c>
      <c r="H587" s="42"/>
      <c r="I587" s="43">
        <v>1.0</v>
      </c>
      <c r="J587" s="22"/>
      <c r="K587" s="42"/>
    </row>
    <row r="588" ht="39.75" hidden="1" customHeight="1">
      <c r="A588" s="1">
        <v>587.0</v>
      </c>
      <c r="B588" s="2" t="s">
        <v>41</v>
      </c>
      <c r="C588" s="2" t="s">
        <v>58</v>
      </c>
      <c r="D588" s="13"/>
      <c r="E588" s="13"/>
      <c r="F588" s="45"/>
      <c r="G588" s="42"/>
      <c r="H588" s="42"/>
      <c r="I588" s="42"/>
      <c r="J588" s="22"/>
      <c r="K588" s="42"/>
    </row>
    <row r="589" ht="39.75" customHeight="1">
      <c r="A589" s="1">
        <v>588.0</v>
      </c>
      <c r="B589" s="2" t="s">
        <v>42</v>
      </c>
      <c r="C589" s="2" t="s">
        <v>54</v>
      </c>
      <c r="D589" s="13"/>
      <c r="E589" s="13"/>
      <c r="F589" s="44" t="s">
        <v>2837</v>
      </c>
      <c r="G589" s="43">
        <v>1.0</v>
      </c>
      <c r="H589" s="42"/>
      <c r="I589" s="42"/>
      <c r="J589" s="22"/>
      <c r="K589" s="42"/>
    </row>
    <row r="590" ht="39.75" customHeight="1">
      <c r="A590" s="1">
        <v>589.0</v>
      </c>
      <c r="B590" s="2" t="s">
        <v>43</v>
      </c>
      <c r="C590" s="2"/>
      <c r="D590" s="13"/>
      <c r="E590" s="13"/>
      <c r="F590" s="44" t="s">
        <v>2838</v>
      </c>
      <c r="G590" s="43">
        <v>1.0</v>
      </c>
      <c r="H590" s="42"/>
      <c r="I590" s="43">
        <v>1.0</v>
      </c>
      <c r="J590" s="22"/>
      <c r="K590" s="42"/>
    </row>
    <row r="591" ht="39.75" customHeight="1">
      <c r="A591" s="1">
        <v>590.0</v>
      </c>
      <c r="B591" s="2" t="s">
        <v>45</v>
      </c>
      <c r="C591" s="2" t="s">
        <v>44</v>
      </c>
      <c r="D591" s="13"/>
      <c r="E591" s="13"/>
      <c r="F591" s="45"/>
      <c r="G591" s="42"/>
      <c r="H591" s="42"/>
      <c r="I591" s="42"/>
      <c r="J591" s="22"/>
      <c r="K591" s="42"/>
    </row>
    <row r="592" ht="39.75" hidden="1" customHeight="1">
      <c r="A592" s="1">
        <v>591.0</v>
      </c>
      <c r="B592" s="2" t="s">
        <v>46</v>
      </c>
      <c r="C592" s="2" t="s">
        <v>58</v>
      </c>
      <c r="D592" s="13"/>
      <c r="E592" s="13"/>
      <c r="F592" s="45"/>
      <c r="G592" s="42"/>
      <c r="H592" s="42"/>
      <c r="I592" s="42"/>
      <c r="J592" s="22"/>
      <c r="K592" s="42"/>
    </row>
    <row r="593" ht="39.75" hidden="1" customHeight="1">
      <c r="A593" s="1">
        <v>592.0</v>
      </c>
      <c r="B593" s="2" t="s">
        <v>47</v>
      </c>
      <c r="C593" s="2" t="s">
        <v>66</v>
      </c>
      <c r="D593" s="13"/>
      <c r="E593" s="13"/>
      <c r="F593" s="45"/>
      <c r="G593" s="42"/>
      <c r="H593" s="42"/>
      <c r="I593" s="42"/>
      <c r="J593" s="22"/>
      <c r="K593" s="42"/>
    </row>
    <row r="594" ht="39.75" customHeight="1">
      <c r="A594" s="1">
        <v>593.0</v>
      </c>
      <c r="B594" s="2" t="s">
        <v>48</v>
      </c>
      <c r="C594" s="2" t="s">
        <v>69</v>
      </c>
      <c r="D594" s="13"/>
      <c r="E594" s="13"/>
      <c r="F594" s="45"/>
      <c r="G594" s="42"/>
      <c r="H594" s="42"/>
      <c r="I594" s="42"/>
      <c r="J594" s="22"/>
      <c r="K594" s="42"/>
    </row>
    <row r="595" ht="39.75" customHeight="1">
      <c r="A595" s="1">
        <v>594.0</v>
      </c>
      <c r="B595" s="21"/>
      <c r="C595" s="21"/>
      <c r="D595" s="21"/>
      <c r="E595" s="21"/>
      <c r="F595" s="46"/>
      <c r="G595" s="47"/>
      <c r="H595" s="47"/>
      <c r="I595" s="47"/>
      <c r="J595" s="48"/>
      <c r="K595" s="47"/>
      <c r="L595" s="49"/>
      <c r="M595" s="49"/>
      <c r="N595" s="49"/>
    </row>
    <row r="596" ht="39.75" hidden="1" customHeight="1">
      <c r="A596" s="1">
        <v>595.0</v>
      </c>
      <c r="B596" s="2" t="s">
        <v>12</v>
      </c>
      <c r="C596" s="2" t="s">
        <v>58</v>
      </c>
      <c r="D596" s="13"/>
      <c r="E596" s="13"/>
      <c r="F596" s="45"/>
      <c r="G596" s="42"/>
      <c r="H596" s="42"/>
      <c r="I596" s="42"/>
      <c r="J596" s="27" t="s">
        <v>2570</v>
      </c>
      <c r="K596" s="42"/>
      <c r="L596" s="15" t="s">
        <v>376</v>
      </c>
    </row>
    <row r="597" ht="39.75" hidden="1" customHeight="1">
      <c r="A597" s="1">
        <v>596.0</v>
      </c>
      <c r="B597" s="2" t="s">
        <v>16</v>
      </c>
      <c r="C597" s="2" t="s">
        <v>58</v>
      </c>
      <c r="D597" s="13"/>
      <c r="E597" s="13"/>
      <c r="F597" s="45"/>
      <c r="G597" s="42"/>
      <c r="H597" s="42"/>
      <c r="I597" s="42"/>
      <c r="J597" s="27" t="s">
        <v>376</v>
      </c>
      <c r="K597" s="43"/>
    </row>
    <row r="598" ht="39.75" customHeight="1">
      <c r="A598" s="1">
        <v>597.0</v>
      </c>
      <c r="B598" s="2" t="s">
        <v>116</v>
      </c>
      <c r="C598" s="2"/>
      <c r="D598" s="82">
        <v>0.3541666666666667</v>
      </c>
      <c r="E598" s="13"/>
      <c r="F598" s="44" t="s">
        <v>2839</v>
      </c>
      <c r="G598" s="43">
        <v>1.0</v>
      </c>
      <c r="H598" s="42"/>
      <c r="I598" s="42"/>
      <c r="J598" s="27" t="s">
        <v>95</v>
      </c>
      <c r="K598" s="42"/>
    </row>
    <row r="599" ht="69.75" customHeight="1">
      <c r="A599" s="1">
        <v>598.0</v>
      </c>
      <c r="B599" s="2" t="s">
        <v>17</v>
      </c>
      <c r="C599" s="2" t="s">
        <v>39</v>
      </c>
      <c r="D599" s="13"/>
      <c r="E599" s="13"/>
      <c r="F599" s="44" t="s">
        <v>2840</v>
      </c>
      <c r="G599" s="43">
        <v>1.0</v>
      </c>
      <c r="H599" s="42"/>
      <c r="I599" s="43">
        <v>1.0</v>
      </c>
      <c r="J599" s="22"/>
      <c r="K599" s="42"/>
    </row>
    <row r="600" ht="39.75" hidden="1" customHeight="1">
      <c r="A600" s="1">
        <v>599.0</v>
      </c>
      <c r="B600" s="2" t="s">
        <v>331</v>
      </c>
      <c r="C600" s="2" t="s">
        <v>66</v>
      </c>
      <c r="D600" s="13"/>
      <c r="E600" s="13"/>
      <c r="F600" s="45"/>
      <c r="G600" s="42"/>
      <c r="H600" s="42"/>
      <c r="I600" s="42"/>
      <c r="J600" s="22"/>
      <c r="K600" s="42"/>
    </row>
    <row r="601" ht="39.75" customHeight="1">
      <c r="A601" s="1">
        <v>600.0</v>
      </c>
      <c r="B601" s="2" t="s">
        <v>21</v>
      </c>
      <c r="C601" s="2" t="s">
        <v>63</v>
      </c>
      <c r="D601" s="13"/>
      <c r="E601" s="13"/>
      <c r="F601" s="44" t="s">
        <v>2841</v>
      </c>
      <c r="G601" s="43">
        <v>1.0</v>
      </c>
      <c r="H601" s="42"/>
      <c r="I601" s="42"/>
      <c r="J601" s="22"/>
      <c r="K601" s="42"/>
    </row>
    <row r="602" ht="39.75" customHeight="1">
      <c r="A602" s="1">
        <v>601.0</v>
      </c>
      <c r="B602" s="2" t="s">
        <v>22</v>
      </c>
      <c r="C602" s="2" t="s">
        <v>54</v>
      </c>
      <c r="D602" s="53">
        <v>0.2916666666666667</v>
      </c>
      <c r="E602" s="13"/>
      <c r="F602" s="44" t="s">
        <v>2842</v>
      </c>
      <c r="G602" s="43">
        <v>1.0</v>
      </c>
      <c r="H602" s="43"/>
      <c r="I602" s="42"/>
      <c r="J602" s="22"/>
      <c r="K602" s="42"/>
    </row>
    <row r="603" ht="39.75" customHeight="1">
      <c r="A603" s="1">
        <v>602.0</v>
      </c>
      <c r="B603" s="2" t="s">
        <v>23</v>
      </c>
      <c r="C603" s="2" t="s">
        <v>69</v>
      </c>
      <c r="D603" s="13"/>
      <c r="E603" s="13"/>
      <c r="F603" s="44" t="s">
        <v>2843</v>
      </c>
      <c r="G603" s="43">
        <v>1.0</v>
      </c>
      <c r="H603" s="42"/>
      <c r="I603" s="42"/>
      <c r="J603" s="22"/>
      <c r="K603" s="42"/>
    </row>
    <row r="604" ht="39.75" customHeight="1">
      <c r="A604" s="1">
        <v>603.0</v>
      </c>
      <c r="B604" s="2" t="s">
        <v>24</v>
      </c>
      <c r="C604" s="2"/>
      <c r="D604" s="13"/>
      <c r="E604" s="13"/>
      <c r="F604" s="44" t="s">
        <v>2844</v>
      </c>
      <c r="G604" s="43"/>
      <c r="H604" s="42"/>
      <c r="I604" s="42"/>
      <c r="J604" s="22"/>
      <c r="K604" s="42"/>
    </row>
    <row r="605" ht="39.75" customHeight="1">
      <c r="A605" s="1">
        <v>604.0</v>
      </c>
      <c r="B605" s="2" t="s">
        <v>25</v>
      </c>
      <c r="C605" s="2"/>
      <c r="D605" s="13"/>
      <c r="E605" s="13"/>
      <c r="F605" s="45"/>
      <c r="G605" s="42"/>
      <c r="H605" s="42"/>
      <c r="I605" s="42"/>
      <c r="J605" s="22"/>
      <c r="K605" s="42"/>
    </row>
    <row r="606" ht="57.75" customHeight="1">
      <c r="A606" s="1">
        <v>605.0</v>
      </c>
      <c r="B606" s="2" t="s">
        <v>26</v>
      </c>
      <c r="C606" s="2" t="s">
        <v>27</v>
      </c>
      <c r="D606" s="13"/>
      <c r="E606" s="13"/>
      <c r="F606" s="44" t="s">
        <v>2845</v>
      </c>
      <c r="G606" s="43">
        <v>1.0</v>
      </c>
      <c r="H606" s="42"/>
      <c r="I606" s="42"/>
      <c r="J606" s="22"/>
      <c r="K606" s="42"/>
    </row>
    <row r="607" ht="39.75" customHeight="1">
      <c r="A607" s="1">
        <v>606.0</v>
      </c>
      <c r="B607" s="2" t="s">
        <v>29</v>
      </c>
      <c r="C607" s="2"/>
      <c r="D607" s="13"/>
      <c r="E607" s="13"/>
      <c r="F607" s="45"/>
      <c r="G607" s="42"/>
      <c r="H607" s="42"/>
      <c r="I607" s="42"/>
      <c r="J607" s="22"/>
      <c r="K607" s="42"/>
    </row>
    <row r="608" ht="39.75" customHeight="1">
      <c r="A608" s="1">
        <v>607.0</v>
      </c>
      <c r="B608" s="2" t="s">
        <v>30</v>
      </c>
      <c r="C608" s="2" t="s">
        <v>64</v>
      </c>
      <c r="D608" s="13"/>
      <c r="E608" s="13"/>
      <c r="F608" s="44" t="s">
        <v>2592</v>
      </c>
      <c r="G608" s="43">
        <v>1.0</v>
      </c>
      <c r="H608" s="42"/>
      <c r="I608" s="43">
        <v>1.0</v>
      </c>
      <c r="J608" s="22"/>
      <c r="K608" s="42"/>
    </row>
    <row r="609" ht="39.75" customHeight="1">
      <c r="A609" s="1">
        <v>608.0</v>
      </c>
      <c r="B609" s="2" t="s">
        <v>31</v>
      </c>
      <c r="C609" s="2" t="s">
        <v>39</v>
      </c>
      <c r="D609" s="13"/>
      <c r="E609" s="13"/>
      <c r="F609" s="44" t="s">
        <v>2691</v>
      </c>
      <c r="G609" s="43">
        <v>1.0</v>
      </c>
      <c r="H609" s="42"/>
      <c r="I609" s="43">
        <v>1.0</v>
      </c>
      <c r="J609" s="22"/>
      <c r="K609" s="42"/>
    </row>
    <row r="610" ht="39.75" customHeight="1">
      <c r="A610" s="1">
        <v>609.0</v>
      </c>
      <c r="B610" s="2" t="s">
        <v>32</v>
      </c>
      <c r="C610" s="2" t="s">
        <v>44</v>
      </c>
      <c r="D610" s="13"/>
      <c r="E610" s="13"/>
      <c r="F610" s="45"/>
      <c r="G610" s="42"/>
      <c r="H610" s="42"/>
      <c r="I610" s="42"/>
      <c r="J610" s="22"/>
      <c r="K610" s="42"/>
    </row>
    <row r="611" ht="39.75" hidden="1" customHeight="1">
      <c r="A611" s="1">
        <v>610.0</v>
      </c>
      <c r="B611" s="2" t="s">
        <v>67</v>
      </c>
      <c r="C611" s="2" t="s">
        <v>58</v>
      </c>
      <c r="D611" s="13"/>
      <c r="E611" s="13"/>
      <c r="F611" s="45"/>
      <c r="G611" s="42"/>
      <c r="H611" s="42"/>
      <c r="I611" s="42"/>
      <c r="J611" s="22"/>
      <c r="K611" s="42"/>
    </row>
    <row r="612" ht="39.75" customHeight="1">
      <c r="A612" s="1">
        <v>611.0</v>
      </c>
      <c r="B612" s="2" t="s">
        <v>35</v>
      </c>
      <c r="C612" s="2" t="s">
        <v>54</v>
      </c>
      <c r="D612" s="13"/>
      <c r="E612" s="13"/>
      <c r="F612" s="44" t="s">
        <v>2846</v>
      </c>
      <c r="G612" s="43">
        <v>1.0</v>
      </c>
      <c r="H612" s="42"/>
      <c r="I612" s="43"/>
      <c r="J612" s="22"/>
      <c r="K612" s="42"/>
    </row>
    <row r="613" ht="39.75" hidden="1" customHeight="1">
      <c r="A613" s="1">
        <v>612.0</v>
      </c>
      <c r="B613" s="2" t="s">
        <v>36</v>
      </c>
      <c r="C613" s="2" t="s">
        <v>58</v>
      </c>
      <c r="D613" s="13"/>
      <c r="E613" s="13"/>
      <c r="F613" s="45"/>
      <c r="G613" s="42"/>
      <c r="H613" s="42"/>
      <c r="I613" s="42"/>
      <c r="J613" s="22"/>
      <c r="K613" s="42"/>
    </row>
    <row r="614" ht="39.75" customHeight="1">
      <c r="A614" s="1">
        <v>613.0</v>
      </c>
      <c r="B614" s="2" t="s">
        <v>38</v>
      </c>
      <c r="C614" s="2" t="s">
        <v>69</v>
      </c>
      <c r="D614" s="13"/>
      <c r="E614" s="13"/>
      <c r="F614" s="45"/>
      <c r="G614" s="42"/>
      <c r="H614" s="42"/>
      <c r="I614" s="42"/>
      <c r="J614" s="22"/>
      <c r="K614" s="42"/>
    </row>
    <row r="615" ht="39.75" hidden="1" customHeight="1">
      <c r="A615" s="1">
        <v>614.0</v>
      </c>
      <c r="B615" s="2" t="s">
        <v>41</v>
      </c>
      <c r="C615" s="2" t="s">
        <v>58</v>
      </c>
      <c r="D615" s="13"/>
      <c r="E615" s="13"/>
      <c r="F615" s="45"/>
      <c r="G615" s="42"/>
      <c r="H615" s="42"/>
      <c r="I615" s="42"/>
      <c r="J615" s="22"/>
      <c r="K615" s="42"/>
    </row>
    <row r="616" ht="39.75" customHeight="1">
      <c r="A616" s="1">
        <v>615.0</v>
      </c>
      <c r="B616" s="2" t="s">
        <v>42</v>
      </c>
      <c r="C616" s="2" t="s">
        <v>54</v>
      </c>
      <c r="D616" s="13"/>
      <c r="E616" s="13"/>
      <c r="F616" s="45"/>
      <c r="G616" s="42"/>
      <c r="H616" s="42"/>
      <c r="I616" s="42"/>
      <c r="J616" s="22"/>
      <c r="K616" s="42"/>
    </row>
    <row r="617" ht="39.75" customHeight="1">
      <c r="A617" s="1">
        <v>616.0</v>
      </c>
      <c r="B617" s="2" t="s">
        <v>43</v>
      </c>
      <c r="C617" s="2"/>
      <c r="D617" s="13"/>
      <c r="E617" s="13"/>
      <c r="F617" s="45"/>
      <c r="G617" s="42"/>
      <c r="H617" s="42"/>
      <c r="I617" s="42"/>
      <c r="J617" s="22"/>
      <c r="K617" s="42"/>
    </row>
    <row r="618" ht="39.75" hidden="1" customHeight="1">
      <c r="A618" s="1">
        <v>617.0</v>
      </c>
      <c r="B618" s="2" t="s">
        <v>45</v>
      </c>
      <c r="C618" s="2" t="s">
        <v>58</v>
      </c>
      <c r="D618" s="13"/>
      <c r="E618" s="13"/>
      <c r="F618" s="45"/>
      <c r="G618" s="42"/>
      <c r="H618" s="42"/>
      <c r="I618" s="42"/>
      <c r="J618" s="22"/>
      <c r="K618" s="42"/>
    </row>
    <row r="619" ht="39.75" customHeight="1">
      <c r="A619" s="1">
        <v>618.0</v>
      </c>
      <c r="B619" s="2" t="s">
        <v>46</v>
      </c>
      <c r="C619" s="2" t="s">
        <v>69</v>
      </c>
      <c r="D619" s="13"/>
      <c r="E619" s="40">
        <v>0.8333333333333334</v>
      </c>
      <c r="F619" s="44" t="s">
        <v>2847</v>
      </c>
      <c r="G619" s="43">
        <v>2.0</v>
      </c>
      <c r="H619" s="42"/>
      <c r="I619" s="43">
        <v>2.0</v>
      </c>
      <c r="J619" s="22"/>
      <c r="K619" s="42"/>
    </row>
    <row r="620" ht="39.75" customHeight="1">
      <c r="A620" s="1">
        <v>619.0</v>
      </c>
      <c r="B620" s="2" t="s">
        <v>47</v>
      </c>
      <c r="C620" s="2" t="s">
        <v>54</v>
      </c>
      <c r="D620" s="13"/>
      <c r="E620" s="13"/>
      <c r="F620" s="45"/>
      <c r="G620" s="42"/>
      <c r="H620" s="42"/>
      <c r="I620" s="42"/>
      <c r="J620" s="22"/>
      <c r="K620" s="42"/>
    </row>
    <row r="621" ht="39.75" customHeight="1">
      <c r="A621" s="1">
        <v>620.0</v>
      </c>
      <c r="B621" s="2" t="s">
        <v>48</v>
      </c>
      <c r="C621" s="13"/>
      <c r="D621" s="13"/>
      <c r="E621" s="13"/>
      <c r="F621" s="57" t="s">
        <v>2848</v>
      </c>
      <c r="G621" s="43">
        <v>1.0</v>
      </c>
      <c r="H621" s="42"/>
      <c r="I621" s="43">
        <v>1.0</v>
      </c>
      <c r="J621" s="22"/>
      <c r="K621" s="42"/>
    </row>
    <row r="622" ht="39.75" customHeight="1">
      <c r="A622" s="1">
        <v>621.0</v>
      </c>
      <c r="B622" s="21"/>
      <c r="C622" s="21"/>
      <c r="D622" s="21"/>
      <c r="E622" s="21"/>
      <c r="F622" s="46"/>
      <c r="G622" s="47"/>
      <c r="H622" s="47"/>
      <c r="I622" s="47"/>
      <c r="J622" s="48"/>
      <c r="K622" s="47"/>
      <c r="L622" s="49"/>
      <c r="M622" s="49"/>
      <c r="N622" s="49"/>
    </row>
    <row r="623" ht="39.75" customHeight="1">
      <c r="A623" s="1">
        <v>622.0</v>
      </c>
      <c r="B623" s="2" t="s">
        <v>12</v>
      </c>
      <c r="C623" s="2" t="s">
        <v>62</v>
      </c>
      <c r="D623" s="13"/>
      <c r="E623" s="13"/>
      <c r="F623" s="44" t="s">
        <v>1543</v>
      </c>
      <c r="G623" s="43">
        <v>1.0</v>
      </c>
      <c r="H623" s="42"/>
      <c r="I623" s="43">
        <v>1.0</v>
      </c>
      <c r="J623" s="27" t="s">
        <v>2570</v>
      </c>
      <c r="K623" s="42"/>
      <c r="L623" s="15" t="s">
        <v>389</v>
      </c>
    </row>
    <row r="624" ht="39.75" hidden="1" customHeight="1">
      <c r="A624" s="1">
        <v>623.0</v>
      </c>
      <c r="B624" s="2" t="s">
        <v>16</v>
      </c>
      <c r="C624" s="2" t="s">
        <v>58</v>
      </c>
      <c r="D624" s="13"/>
      <c r="E624" s="13"/>
      <c r="F624" s="45"/>
      <c r="G624" s="42"/>
      <c r="H624" s="42"/>
      <c r="I624" s="42"/>
      <c r="J624" s="27" t="s">
        <v>389</v>
      </c>
      <c r="K624" s="43"/>
    </row>
    <row r="625" ht="39.75" customHeight="1">
      <c r="A625" s="1">
        <v>624.0</v>
      </c>
      <c r="B625" s="2" t="s">
        <v>116</v>
      </c>
      <c r="C625" s="2"/>
      <c r="D625" s="13"/>
      <c r="E625" s="13"/>
      <c r="F625" s="44" t="s">
        <v>2849</v>
      </c>
      <c r="G625" s="43">
        <v>1.0</v>
      </c>
      <c r="H625" s="42"/>
      <c r="I625" s="42"/>
      <c r="J625" s="27" t="s">
        <v>111</v>
      </c>
      <c r="K625" s="42"/>
    </row>
    <row r="626" ht="39.75" customHeight="1">
      <c r="A626" s="1">
        <v>625.0</v>
      </c>
      <c r="B626" s="2" t="s">
        <v>17</v>
      </c>
      <c r="C626" s="2"/>
      <c r="D626" s="13"/>
      <c r="E626" s="13"/>
      <c r="F626" s="44" t="s">
        <v>2850</v>
      </c>
      <c r="G626" s="43">
        <v>2.0</v>
      </c>
      <c r="H626" s="42"/>
      <c r="I626" s="43">
        <v>1.0</v>
      </c>
      <c r="J626" s="22"/>
      <c r="K626" s="42"/>
    </row>
    <row r="627" ht="39.75" customHeight="1">
      <c r="A627" s="1">
        <v>626.0</v>
      </c>
      <c r="B627" s="2" t="s">
        <v>331</v>
      </c>
      <c r="C627" s="2" t="s">
        <v>542</v>
      </c>
      <c r="D627" s="13"/>
      <c r="E627" s="13"/>
      <c r="F627" s="44" t="s">
        <v>2851</v>
      </c>
      <c r="G627" s="43">
        <v>2.0</v>
      </c>
      <c r="H627" s="42"/>
      <c r="I627" s="43">
        <v>1.0</v>
      </c>
      <c r="J627" s="22"/>
      <c r="K627" s="42"/>
    </row>
    <row r="628" ht="39.75" customHeight="1">
      <c r="A628" s="1">
        <v>627.0</v>
      </c>
      <c r="B628" s="2" t="s">
        <v>21</v>
      </c>
      <c r="C628" s="2" t="s">
        <v>63</v>
      </c>
      <c r="D628" s="13"/>
      <c r="E628" s="13"/>
      <c r="F628" s="45"/>
      <c r="G628" s="42"/>
      <c r="H628" s="42"/>
      <c r="I628" s="42"/>
      <c r="J628" s="22"/>
      <c r="K628" s="42"/>
    </row>
    <row r="629" ht="39.75" customHeight="1">
      <c r="A629" s="1">
        <v>628.0</v>
      </c>
      <c r="B629" s="2" t="s">
        <v>22</v>
      </c>
      <c r="C629" s="2" t="s">
        <v>54</v>
      </c>
      <c r="D629" s="13"/>
      <c r="E629" s="13"/>
      <c r="F629" s="44" t="s">
        <v>2852</v>
      </c>
      <c r="G629" s="43">
        <v>1.0</v>
      </c>
      <c r="H629" s="42"/>
      <c r="I629" s="42"/>
      <c r="J629" s="22"/>
      <c r="K629" s="42"/>
    </row>
    <row r="630" ht="39.75" customHeight="1">
      <c r="A630" s="1">
        <v>629.0</v>
      </c>
      <c r="B630" s="2" t="s">
        <v>23</v>
      </c>
      <c r="C630" s="2" t="s">
        <v>39</v>
      </c>
      <c r="D630" s="13"/>
      <c r="E630" s="13"/>
      <c r="F630" s="44" t="s">
        <v>2853</v>
      </c>
      <c r="G630" s="43">
        <v>1.0</v>
      </c>
      <c r="H630" s="42"/>
      <c r="I630" s="43">
        <v>1.0</v>
      </c>
      <c r="J630" s="22"/>
      <c r="K630" s="42"/>
    </row>
    <row r="631" ht="39.75" customHeight="1">
      <c r="A631" s="1">
        <v>630.0</v>
      </c>
      <c r="B631" s="2" t="s">
        <v>24</v>
      </c>
      <c r="C631" s="2"/>
      <c r="D631" s="13"/>
      <c r="E631" s="13"/>
      <c r="F631" s="44" t="s">
        <v>2854</v>
      </c>
      <c r="G631" s="43">
        <v>1.0</v>
      </c>
      <c r="H631" s="42"/>
      <c r="I631" s="42"/>
      <c r="J631" s="22"/>
      <c r="K631" s="42"/>
    </row>
    <row r="632" ht="39.75" hidden="1" customHeight="1">
      <c r="A632" s="1">
        <v>631.0</v>
      </c>
      <c r="B632" s="2" t="s">
        <v>25</v>
      </c>
      <c r="C632" s="2" t="s">
        <v>58</v>
      </c>
      <c r="D632" s="13"/>
      <c r="E632" s="13"/>
      <c r="F632" s="45"/>
      <c r="G632" s="42"/>
      <c r="H632" s="42"/>
      <c r="I632" s="42"/>
      <c r="J632" s="22"/>
      <c r="K632" s="42"/>
    </row>
    <row r="633" ht="39.75" customHeight="1">
      <c r="A633" s="1">
        <v>632.0</v>
      </c>
      <c r="B633" s="2" t="s">
        <v>26</v>
      </c>
      <c r="C633" s="2" t="s">
        <v>44</v>
      </c>
      <c r="D633" s="13"/>
      <c r="E633" s="13"/>
      <c r="F633" s="45"/>
      <c r="G633" s="42"/>
      <c r="H633" s="42"/>
      <c r="I633" s="42"/>
      <c r="J633" s="22"/>
      <c r="K633" s="42"/>
    </row>
    <row r="634" ht="39.75" customHeight="1">
      <c r="A634" s="1">
        <v>633.0</v>
      </c>
      <c r="B634" s="2" t="s">
        <v>29</v>
      </c>
      <c r="C634" s="2" t="s">
        <v>69</v>
      </c>
      <c r="D634" s="13"/>
      <c r="E634" s="40">
        <v>0.8125</v>
      </c>
      <c r="F634" s="44" t="s">
        <v>2855</v>
      </c>
      <c r="G634" s="43">
        <v>2.0</v>
      </c>
      <c r="H634" s="42"/>
      <c r="I634" s="43">
        <v>1.0</v>
      </c>
      <c r="J634" s="22"/>
      <c r="K634" s="42"/>
    </row>
    <row r="635" ht="39.75" customHeight="1">
      <c r="A635" s="1">
        <v>634.0</v>
      </c>
      <c r="B635" s="2" t="s">
        <v>30</v>
      </c>
      <c r="C635" s="2" t="s">
        <v>64</v>
      </c>
      <c r="D635" s="13"/>
      <c r="E635" s="13"/>
      <c r="F635" s="44" t="s">
        <v>2592</v>
      </c>
      <c r="G635" s="43">
        <v>1.0</v>
      </c>
      <c r="H635" s="42"/>
      <c r="I635" s="43">
        <v>1.0</v>
      </c>
      <c r="J635" s="22"/>
      <c r="K635" s="42"/>
    </row>
    <row r="636" ht="39.75" customHeight="1">
      <c r="A636" s="1">
        <v>635.0</v>
      </c>
      <c r="B636" s="2" t="s">
        <v>31</v>
      </c>
      <c r="C636" s="2" t="s">
        <v>69</v>
      </c>
      <c r="D636" s="13"/>
      <c r="E636" s="13"/>
      <c r="F636" s="44" t="s">
        <v>2856</v>
      </c>
      <c r="G636" s="43">
        <v>2.0</v>
      </c>
      <c r="H636" s="42"/>
      <c r="I636" s="43">
        <v>1.0</v>
      </c>
      <c r="J636" s="22"/>
      <c r="K636" s="42"/>
    </row>
    <row r="637" ht="39.75" customHeight="1">
      <c r="A637" s="1">
        <v>636.0</v>
      </c>
      <c r="B637" s="2" t="s">
        <v>32</v>
      </c>
      <c r="C637" s="2" t="s">
        <v>69</v>
      </c>
      <c r="D637" s="13"/>
      <c r="E637" s="40">
        <v>0.8333333333333334</v>
      </c>
      <c r="F637" s="44" t="s">
        <v>2857</v>
      </c>
      <c r="G637" s="43">
        <v>2.0</v>
      </c>
      <c r="H637" s="42"/>
      <c r="I637" s="43">
        <v>1.0</v>
      </c>
      <c r="J637" s="22"/>
      <c r="K637" s="42"/>
    </row>
    <row r="638" ht="39.75" hidden="1" customHeight="1">
      <c r="A638" s="1">
        <v>637.0</v>
      </c>
      <c r="B638" s="2" t="s">
        <v>67</v>
      </c>
      <c r="C638" s="2" t="s">
        <v>66</v>
      </c>
      <c r="D638" s="13"/>
      <c r="E638" s="13"/>
      <c r="F638" s="45"/>
      <c r="G638" s="42"/>
      <c r="H638" s="42"/>
      <c r="I638" s="42"/>
      <c r="J638" s="22"/>
      <c r="K638" s="42"/>
    </row>
    <row r="639" ht="39.75" customHeight="1">
      <c r="A639" s="1">
        <v>638.0</v>
      </c>
      <c r="B639" s="2" t="s">
        <v>35</v>
      </c>
      <c r="C639" s="2" t="s">
        <v>54</v>
      </c>
      <c r="D639" s="13"/>
      <c r="E639" s="13"/>
      <c r="F639" s="44" t="s">
        <v>2858</v>
      </c>
      <c r="G639" s="43">
        <v>3.0</v>
      </c>
      <c r="H639" s="42"/>
      <c r="I639" s="43">
        <v>2.0</v>
      </c>
      <c r="J639" s="22"/>
      <c r="K639" s="42"/>
    </row>
    <row r="640" ht="39.75" hidden="1" customHeight="1">
      <c r="A640" s="1">
        <v>639.0</v>
      </c>
      <c r="B640" s="2" t="s">
        <v>36</v>
      </c>
      <c r="C640" s="2" t="s">
        <v>58</v>
      </c>
      <c r="D640" s="13"/>
      <c r="E640" s="13"/>
      <c r="F640" s="45"/>
      <c r="G640" s="42"/>
      <c r="H640" s="42"/>
      <c r="I640" s="42"/>
      <c r="J640" s="22"/>
      <c r="K640" s="42"/>
    </row>
    <row r="641" ht="39.75" customHeight="1">
      <c r="A641" s="1">
        <v>640.0</v>
      </c>
      <c r="B641" s="2" t="s">
        <v>38</v>
      </c>
      <c r="C641" s="2"/>
      <c r="D641" s="13"/>
      <c r="E641" s="13"/>
      <c r="F641" s="44" t="s">
        <v>2859</v>
      </c>
      <c r="G641" s="43">
        <v>2.0</v>
      </c>
      <c r="H641" s="42"/>
      <c r="I641" s="43">
        <v>1.0</v>
      </c>
      <c r="J641" s="22"/>
      <c r="K641" s="42"/>
    </row>
    <row r="642" ht="39.75" hidden="1" customHeight="1">
      <c r="A642" s="1">
        <v>641.0</v>
      </c>
      <c r="B642" s="2" t="s">
        <v>41</v>
      </c>
      <c r="C642" s="2" t="s">
        <v>58</v>
      </c>
      <c r="D642" s="13"/>
      <c r="E642" s="13"/>
      <c r="F642" s="45"/>
      <c r="G642" s="42"/>
      <c r="H642" s="42"/>
      <c r="I642" s="42"/>
      <c r="J642" s="22"/>
      <c r="K642" s="42"/>
    </row>
    <row r="643" ht="39.75" customHeight="1">
      <c r="A643" s="1">
        <v>642.0</v>
      </c>
      <c r="B643" s="2" t="s">
        <v>42</v>
      </c>
      <c r="C643" s="2" t="s">
        <v>54</v>
      </c>
      <c r="D643" s="13"/>
      <c r="E643" s="13"/>
      <c r="F643" s="44" t="s">
        <v>2860</v>
      </c>
      <c r="G643" s="43">
        <v>1.0</v>
      </c>
      <c r="H643" s="42"/>
      <c r="I643" s="42"/>
      <c r="J643" s="22"/>
      <c r="K643" s="42"/>
    </row>
    <row r="644" ht="39.75" customHeight="1">
      <c r="A644" s="1">
        <v>643.0</v>
      </c>
      <c r="B644" s="2" t="s">
        <v>43</v>
      </c>
      <c r="C644" s="2"/>
      <c r="D644" s="53">
        <v>0.2916666666666667</v>
      </c>
      <c r="E644" s="13"/>
      <c r="F644" s="44" t="s">
        <v>2861</v>
      </c>
      <c r="G644" s="43">
        <v>1.0</v>
      </c>
      <c r="H644" s="42"/>
      <c r="I644" s="43">
        <v>1.0</v>
      </c>
      <c r="J644" s="22"/>
      <c r="K644" s="42"/>
    </row>
    <row r="645" ht="39.75" customHeight="1">
      <c r="A645" s="1">
        <v>644.0</v>
      </c>
      <c r="B645" s="2" t="s">
        <v>45</v>
      </c>
      <c r="C645" s="2" t="s">
        <v>39</v>
      </c>
      <c r="D645" s="13"/>
      <c r="E645" s="13"/>
      <c r="F645" s="44" t="s">
        <v>2862</v>
      </c>
      <c r="G645" s="43">
        <v>1.0</v>
      </c>
      <c r="H645" s="42"/>
      <c r="I645" s="43">
        <v>1.0</v>
      </c>
      <c r="J645" s="22"/>
      <c r="K645" s="42"/>
    </row>
    <row r="646" ht="39.75" customHeight="1">
      <c r="A646" s="1">
        <v>645.0</v>
      </c>
      <c r="B646" s="2" t="s">
        <v>46</v>
      </c>
      <c r="C646" s="2" t="s">
        <v>27</v>
      </c>
      <c r="D646" s="13"/>
      <c r="E646" s="13"/>
      <c r="F646" s="44" t="s">
        <v>1496</v>
      </c>
      <c r="G646" s="42"/>
      <c r="H646" s="42"/>
      <c r="I646" s="42"/>
      <c r="J646" s="22"/>
      <c r="K646" s="42"/>
    </row>
    <row r="647" ht="39.75" customHeight="1">
      <c r="A647" s="1">
        <v>646.0</v>
      </c>
      <c r="B647" s="2" t="s">
        <v>47</v>
      </c>
      <c r="C647" s="2" t="s">
        <v>54</v>
      </c>
      <c r="D647" s="13"/>
      <c r="E647" s="13"/>
      <c r="F647" s="44" t="s">
        <v>2863</v>
      </c>
      <c r="G647" s="43">
        <v>1.0</v>
      </c>
      <c r="H647" s="42"/>
      <c r="I647" s="43"/>
      <c r="J647" s="22"/>
      <c r="K647" s="42"/>
    </row>
    <row r="648" ht="39.75" customHeight="1">
      <c r="A648" s="1">
        <v>647.0</v>
      </c>
      <c r="B648" s="2" t="s">
        <v>48</v>
      </c>
      <c r="C648" s="13"/>
      <c r="D648" s="13"/>
      <c r="E648" s="13"/>
      <c r="F648" s="44" t="s">
        <v>2864</v>
      </c>
      <c r="G648" s="43">
        <v>4.0</v>
      </c>
      <c r="H648" s="42"/>
      <c r="I648" s="43">
        <v>3.0</v>
      </c>
      <c r="J648" s="22"/>
      <c r="K648" s="42"/>
    </row>
    <row r="649" ht="39.75" customHeight="1">
      <c r="A649" s="1">
        <v>648.0</v>
      </c>
      <c r="B649" s="21"/>
      <c r="C649" s="21"/>
      <c r="D649" s="21"/>
      <c r="E649" s="21"/>
      <c r="F649" s="46"/>
      <c r="G649" s="47"/>
      <c r="H649" s="47"/>
      <c r="I649" s="47"/>
      <c r="J649" s="48"/>
      <c r="K649" s="47"/>
      <c r="L649" s="49"/>
      <c r="M649" s="49"/>
      <c r="N649" s="49"/>
    </row>
    <row r="650" ht="39.75" customHeight="1">
      <c r="A650" s="1">
        <v>649.0</v>
      </c>
      <c r="B650" s="2" t="s">
        <v>12</v>
      </c>
      <c r="C650" s="2" t="s">
        <v>62</v>
      </c>
      <c r="D650" s="13"/>
      <c r="E650" s="13"/>
      <c r="F650" s="44" t="s">
        <v>2865</v>
      </c>
      <c r="G650" s="43">
        <v>1.0</v>
      </c>
      <c r="H650" s="42"/>
      <c r="I650" s="43">
        <v>1.0</v>
      </c>
      <c r="J650" s="27" t="s">
        <v>2570</v>
      </c>
      <c r="K650" s="42"/>
      <c r="L650" s="15" t="s">
        <v>406</v>
      </c>
    </row>
    <row r="651" ht="39.75" hidden="1" customHeight="1">
      <c r="A651" s="1">
        <v>650.0</v>
      </c>
      <c r="B651" s="2" t="s">
        <v>16</v>
      </c>
      <c r="C651" s="2" t="s">
        <v>66</v>
      </c>
      <c r="D651" s="13"/>
      <c r="E651" s="13"/>
      <c r="F651" s="45"/>
      <c r="G651" s="42"/>
      <c r="H651" s="42"/>
      <c r="I651" s="42"/>
      <c r="J651" s="27" t="s">
        <v>406</v>
      </c>
      <c r="K651" s="43"/>
    </row>
    <row r="652" ht="39.75" hidden="1" customHeight="1">
      <c r="A652" s="1">
        <v>651.0</v>
      </c>
      <c r="B652" s="2" t="s">
        <v>116</v>
      </c>
      <c r="C652" s="2" t="s">
        <v>58</v>
      </c>
      <c r="D652" s="13"/>
      <c r="E652" s="13"/>
      <c r="F652" s="45"/>
      <c r="G652" s="42"/>
      <c r="H652" s="42"/>
      <c r="I652" s="42"/>
      <c r="J652" s="27" t="s">
        <v>131</v>
      </c>
      <c r="K652" s="42"/>
    </row>
    <row r="653" ht="39.75" customHeight="1">
      <c r="A653" s="1">
        <v>652.0</v>
      </c>
      <c r="B653" s="2" t="s">
        <v>17</v>
      </c>
      <c r="C653" s="2" t="s">
        <v>39</v>
      </c>
      <c r="D653" s="13"/>
      <c r="E653" s="13"/>
      <c r="F653" s="44" t="s">
        <v>2866</v>
      </c>
      <c r="G653" s="43">
        <v>1.0</v>
      </c>
      <c r="H653" s="42"/>
      <c r="I653" s="43">
        <v>1.0</v>
      </c>
      <c r="J653" s="22"/>
      <c r="K653" s="42"/>
    </row>
    <row r="654" ht="39.75" customHeight="1">
      <c r="A654" s="1">
        <v>653.0</v>
      </c>
      <c r="B654" s="2" t="s">
        <v>331</v>
      </c>
      <c r="C654" s="2" t="s">
        <v>542</v>
      </c>
      <c r="D654" s="13"/>
      <c r="E654" s="13"/>
      <c r="F654" s="45"/>
      <c r="G654" s="42"/>
      <c r="H654" s="42"/>
      <c r="I654" s="42"/>
      <c r="J654" s="22"/>
      <c r="K654" s="42"/>
    </row>
    <row r="655" ht="39.75" customHeight="1">
      <c r="A655" s="1">
        <v>654.0</v>
      </c>
      <c r="B655" s="2" t="s">
        <v>21</v>
      </c>
      <c r="C655" s="2" t="s">
        <v>63</v>
      </c>
      <c r="D655" s="13"/>
      <c r="E655" s="13"/>
      <c r="F655" s="45"/>
      <c r="G655" s="42"/>
      <c r="H655" s="42"/>
      <c r="I655" s="42"/>
      <c r="J655" s="22"/>
      <c r="K655" s="42"/>
    </row>
    <row r="656" ht="39.75" customHeight="1">
      <c r="A656" s="1">
        <v>655.0</v>
      </c>
      <c r="B656" s="2" t="s">
        <v>22</v>
      </c>
      <c r="C656" s="2" t="s">
        <v>54</v>
      </c>
      <c r="D656" s="13"/>
      <c r="E656" s="13"/>
      <c r="F656" s="44" t="s">
        <v>2867</v>
      </c>
      <c r="G656" s="43">
        <v>1.0</v>
      </c>
      <c r="H656" s="42"/>
      <c r="I656" s="42"/>
      <c r="J656" s="22"/>
      <c r="K656" s="42"/>
    </row>
    <row r="657" ht="39.75" customHeight="1">
      <c r="A657" s="1">
        <v>656.0</v>
      </c>
      <c r="B657" s="2" t="s">
        <v>23</v>
      </c>
      <c r="C657" s="2"/>
      <c r="D657" s="13"/>
      <c r="E657" s="13"/>
      <c r="F657" s="44" t="s">
        <v>2868</v>
      </c>
      <c r="G657" s="43">
        <v>1.0</v>
      </c>
      <c r="H657" s="42"/>
      <c r="I657" s="43">
        <v>1.0</v>
      </c>
      <c r="J657" s="22"/>
      <c r="K657" s="42"/>
    </row>
    <row r="658" ht="39.75" customHeight="1">
      <c r="A658" s="1">
        <v>657.0</v>
      </c>
      <c r="B658" s="2" t="s">
        <v>24</v>
      </c>
      <c r="C658" s="2"/>
      <c r="D658" s="13"/>
      <c r="E658" s="13"/>
      <c r="F658" s="44" t="s">
        <v>2869</v>
      </c>
      <c r="G658" s="43">
        <v>1.0</v>
      </c>
      <c r="H658" s="42"/>
      <c r="I658" s="43">
        <v>1.0</v>
      </c>
      <c r="J658" s="22"/>
      <c r="K658" s="42"/>
    </row>
    <row r="659" ht="39.75" customHeight="1">
      <c r="A659" s="1">
        <v>658.0</v>
      </c>
      <c r="B659" s="2" t="s">
        <v>25</v>
      </c>
      <c r="C659" s="2" t="s">
        <v>69</v>
      </c>
      <c r="D659" s="13"/>
      <c r="E659" s="13"/>
      <c r="F659" s="44" t="s">
        <v>2870</v>
      </c>
      <c r="G659" s="43">
        <v>2.0</v>
      </c>
      <c r="H659" s="42"/>
      <c r="I659" s="43">
        <v>1.0</v>
      </c>
      <c r="J659" s="22"/>
      <c r="K659" s="42"/>
    </row>
    <row r="660" ht="39.75" hidden="1" customHeight="1">
      <c r="A660" s="1">
        <v>659.0</v>
      </c>
      <c r="B660" s="2" t="s">
        <v>26</v>
      </c>
      <c r="C660" s="2" t="s">
        <v>58</v>
      </c>
      <c r="D660" s="13"/>
      <c r="E660" s="13"/>
      <c r="F660" s="45"/>
      <c r="G660" s="42"/>
      <c r="H660" s="42"/>
      <c r="I660" s="42"/>
      <c r="J660" s="22"/>
      <c r="K660" s="42"/>
    </row>
    <row r="661" ht="39.75" customHeight="1">
      <c r="A661" s="1">
        <v>660.0</v>
      </c>
      <c r="B661" s="2" t="s">
        <v>29</v>
      </c>
      <c r="C661" s="2" t="s">
        <v>27</v>
      </c>
      <c r="D661" s="13"/>
      <c r="E661" s="88" t="s">
        <v>2871</v>
      </c>
      <c r="F661" s="44" t="s">
        <v>2872</v>
      </c>
      <c r="G661" s="43">
        <v>2.0</v>
      </c>
      <c r="H661" s="42"/>
      <c r="I661" s="43">
        <v>1.0</v>
      </c>
      <c r="J661" s="22"/>
      <c r="K661" s="42"/>
    </row>
    <row r="662" ht="39.75" hidden="1" customHeight="1">
      <c r="A662" s="1">
        <v>661.0</v>
      </c>
      <c r="B662" s="2" t="s">
        <v>30</v>
      </c>
      <c r="C662" s="2" t="s">
        <v>66</v>
      </c>
      <c r="D662" s="13"/>
      <c r="E662" s="13"/>
      <c r="F662" s="45"/>
      <c r="G662" s="42"/>
      <c r="H662" s="42"/>
      <c r="I662" s="42"/>
      <c r="J662" s="22"/>
      <c r="K662" s="42"/>
    </row>
    <row r="663" ht="39.75" customHeight="1">
      <c r="A663" s="1">
        <v>662.0</v>
      </c>
      <c r="B663" s="2" t="s">
        <v>31</v>
      </c>
      <c r="C663" s="2"/>
      <c r="D663" s="13"/>
      <c r="E663" s="13"/>
      <c r="F663" s="44" t="s">
        <v>2873</v>
      </c>
      <c r="G663" s="43">
        <v>2.0</v>
      </c>
      <c r="H663" s="42"/>
      <c r="I663" s="42"/>
      <c r="J663" s="22"/>
      <c r="K663" s="42"/>
    </row>
    <row r="664" ht="39.75" customHeight="1">
      <c r="A664" s="1">
        <v>663.0</v>
      </c>
      <c r="B664" s="2" t="s">
        <v>32</v>
      </c>
      <c r="C664" s="2" t="s">
        <v>54</v>
      </c>
      <c r="D664" s="13"/>
      <c r="E664" s="13"/>
      <c r="F664" s="44" t="s">
        <v>2874</v>
      </c>
      <c r="G664" s="43">
        <v>2.0</v>
      </c>
      <c r="H664" s="42"/>
      <c r="I664" s="42"/>
      <c r="J664" s="22"/>
      <c r="K664" s="42"/>
    </row>
    <row r="665" ht="39.75" hidden="1" customHeight="1">
      <c r="A665" s="1">
        <v>664.0</v>
      </c>
      <c r="B665" s="2" t="s">
        <v>67</v>
      </c>
      <c r="C665" s="2" t="s">
        <v>58</v>
      </c>
      <c r="D665" s="13"/>
      <c r="E665" s="13"/>
      <c r="F665" s="45"/>
      <c r="G665" s="42"/>
      <c r="H665" s="42"/>
      <c r="I665" s="42"/>
      <c r="J665" s="22"/>
      <c r="K665" s="42"/>
    </row>
    <row r="666" ht="39.75" customHeight="1">
      <c r="A666" s="1">
        <v>665.0</v>
      </c>
      <c r="B666" s="2" t="s">
        <v>35</v>
      </c>
      <c r="C666" s="2"/>
      <c r="D666" s="13"/>
      <c r="E666" s="13"/>
      <c r="F666" s="44" t="s">
        <v>1285</v>
      </c>
      <c r="G666" s="43">
        <v>1.0</v>
      </c>
      <c r="H666" s="42"/>
      <c r="I666" s="43">
        <v>1.0</v>
      </c>
      <c r="J666" s="22"/>
      <c r="K666" s="42"/>
    </row>
    <row r="667" ht="39.75" customHeight="1">
      <c r="A667" s="1">
        <v>666.0</v>
      </c>
      <c r="B667" s="2" t="s">
        <v>36</v>
      </c>
      <c r="C667" s="2" t="s">
        <v>27</v>
      </c>
      <c r="D667" s="13"/>
      <c r="E667" s="13"/>
      <c r="F667" s="44" t="s">
        <v>2875</v>
      </c>
      <c r="G667" s="43">
        <v>1.0</v>
      </c>
      <c r="H667" s="42"/>
      <c r="I667" s="43">
        <v>1.0</v>
      </c>
      <c r="J667" s="22"/>
      <c r="K667" s="42"/>
    </row>
    <row r="668" ht="39.75" customHeight="1">
      <c r="A668" s="1">
        <v>667.0</v>
      </c>
      <c r="B668" s="2" t="s">
        <v>38</v>
      </c>
      <c r="C668" s="2" t="s">
        <v>39</v>
      </c>
      <c r="D668" s="13"/>
      <c r="E668" s="13"/>
      <c r="F668" s="44" t="s">
        <v>2876</v>
      </c>
      <c r="G668" s="43">
        <v>1.0</v>
      </c>
      <c r="H668" s="42"/>
      <c r="I668" s="43">
        <v>1.0</v>
      </c>
      <c r="J668" s="22"/>
      <c r="K668" s="42"/>
    </row>
    <row r="669" ht="39.75" hidden="1" customHeight="1">
      <c r="A669" s="1">
        <v>668.0</v>
      </c>
      <c r="B669" s="2" t="s">
        <v>41</v>
      </c>
      <c r="C669" s="2" t="s">
        <v>58</v>
      </c>
      <c r="D669" s="13"/>
      <c r="E669" s="13"/>
      <c r="F669" s="45"/>
      <c r="G669" s="42"/>
      <c r="H669" s="42"/>
      <c r="I669" s="42"/>
      <c r="J669" s="22"/>
      <c r="K669" s="42"/>
    </row>
    <row r="670" ht="39.75" customHeight="1">
      <c r="A670" s="1">
        <v>669.0</v>
      </c>
      <c r="B670" s="2" t="s">
        <v>42</v>
      </c>
      <c r="C670" s="2" t="s">
        <v>69</v>
      </c>
      <c r="D670" s="13"/>
      <c r="E670" s="13"/>
      <c r="F670" s="44" t="s">
        <v>2877</v>
      </c>
      <c r="G670" s="43">
        <v>1.0</v>
      </c>
      <c r="H670" s="42"/>
      <c r="I670" s="43"/>
      <c r="J670" s="22"/>
      <c r="K670" s="42"/>
    </row>
    <row r="671" ht="39.75" hidden="1" customHeight="1">
      <c r="A671" s="1">
        <v>670.0</v>
      </c>
      <c r="B671" s="2" t="s">
        <v>43</v>
      </c>
      <c r="C671" s="2" t="s">
        <v>58</v>
      </c>
      <c r="D671" s="13"/>
      <c r="E671" s="13"/>
      <c r="F671" s="45"/>
      <c r="G671" s="42"/>
      <c r="H671" s="42"/>
      <c r="I671" s="42"/>
      <c r="J671" s="22"/>
      <c r="K671" s="42"/>
    </row>
    <row r="672" ht="39.75" customHeight="1">
      <c r="A672" s="1">
        <v>671.0</v>
      </c>
      <c r="B672" s="2" t="s">
        <v>45</v>
      </c>
      <c r="C672" s="2" t="s">
        <v>54</v>
      </c>
      <c r="D672" s="13"/>
      <c r="E672" s="13"/>
      <c r="F672" s="44" t="s">
        <v>2878</v>
      </c>
      <c r="G672" s="43">
        <v>1.0</v>
      </c>
      <c r="H672" s="42"/>
      <c r="I672" s="43">
        <v>1.0</v>
      </c>
      <c r="J672" s="22"/>
      <c r="K672" s="42"/>
    </row>
    <row r="673" ht="39.75" customHeight="1">
      <c r="A673" s="1">
        <v>672.0</v>
      </c>
      <c r="B673" s="2" t="s">
        <v>46</v>
      </c>
      <c r="C673" s="2" t="s">
        <v>44</v>
      </c>
      <c r="D673" s="13"/>
      <c r="E673" s="13"/>
      <c r="F673" s="45"/>
      <c r="G673" s="42"/>
      <c r="H673" s="42"/>
      <c r="I673" s="42"/>
      <c r="J673" s="22"/>
      <c r="K673" s="42"/>
    </row>
    <row r="674" ht="39.75" hidden="1" customHeight="1">
      <c r="A674" s="1">
        <v>673.0</v>
      </c>
      <c r="B674" s="2" t="s">
        <v>47</v>
      </c>
      <c r="C674" s="2" t="s">
        <v>58</v>
      </c>
      <c r="D674" s="13"/>
      <c r="E674" s="13"/>
      <c r="F674" s="45"/>
      <c r="G674" s="42"/>
      <c r="H674" s="42"/>
      <c r="I674" s="42"/>
      <c r="J674" s="22"/>
      <c r="K674" s="42"/>
    </row>
    <row r="675" ht="39.75" customHeight="1">
      <c r="A675" s="1">
        <v>674.0</v>
      </c>
      <c r="B675" s="2" t="s">
        <v>48</v>
      </c>
      <c r="C675" s="2" t="s">
        <v>54</v>
      </c>
      <c r="D675" s="13"/>
      <c r="E675" s="51">
        <v>0.9791666666666666</v>
      </c>
      <c r="F675" s="44" t="s">
        <v>2879</v>
      </c>
      <c r="G675" s="43">
        <v>1.0</v>
      </c>
      <c r="H675" s="42"/>
      <c r="I675" s="42"/>
      <c r="J675" s="22"/>
      <c r="K675" s="42"/>
    </row>
    <row r="676" ht="39.75" customHeight="1">
      <c r="A676" s="1">
        <v>675.0</v>
      </c>
      <c r="B676" s="21"/>
      <c r="C676" s="21"/>
      <c r="D676" s="21"/>
      <c r="E676" s="21"/>
      <c r="F676" s="46"/>
      <c r="G676" s="47"/>
      <c r="H676" s="47"/>
      <c r="I676" s="47"/>
      <c r="J676" s="48"/>
      <c r="K676" s="47"/>
      <c r="L676" s="49"/>
      <c r="M676" s="49"/>
      <c r="N676" s="49"/>
    </row>
    <row r="677" ht="39.75" hidden="1" customHeight="1">
      <c r="A677" s="1">
        <v>676.0</v>
      </c>
      <c r="B677" s="2" t="s">
        <v>12</v>
      </c>
      <c r="C677" s="2" t="s">
        <v>13</v>
      </c>
      <c r="D677" s="13"/>
      <c r="E677" s="13"/>
      <c r="F677" s="45"/>
      <c r="G677" s="42"/>
      <c r="H677" s="42"/>
      <c r="I677" s="42"/>
      <c r="J677" s="27" t="s">
        <v>2570</v>
      </c>
      <c r="K677" s="42"/>
      <c r="L677" s="15" t="s">
        <v>423</v>
      </c>
    </row>
    <row r="678" ht="39.75" hidden="1" customHeight="1">
      <c r="A678" s="1">
        <v>677.0</v>
      </c>
      <c r="B678" s="2" t="s">
        <v>16</v>
      </c>
      <c r="C678" s="2" t="s">
        <v>13</v>
      </c>
      <c r="D678" s="13"/>
      <c r="E678" s="13"/>
      <c r="F678" s="45"/>
      <c r="G678" s="42"/>
      <c r="H678" s="42"/>
      <c r="I678" s="42"/>
      <c r="J678" s="27" t="s">
        <v>423</v>
      </c>
      <c r="K678" s="43"/>
    </row>
    <row r="679" ht="39.75" hidden="1" customHeight="1">
      <c r="A679" s="1">
        <v>678.0</v>
      </c>
      <c r="B679" s="2" t="s">
        <v>116</v>
      </c>
      <c r="C679" s="2" t="s">
        <v>13</v>
      </c>
      <c r="D679" s="13"/>
      <c r="E679" s="13"/>
      <c r="F679" s="45"/>
      <c r="G679" s="42"/>
      <c r="H679" s="42"/>
      <c r="I679" s="42"/>
      <c r="J679" s="27" t="s">
        <v>149</v>
      </c>
      <c r="K679" s="42"/>
    </row>
    <row r="680" ht="39.75" customHeight="1">
      <c r="A680" s="1">
        <v>679.0</v>
      </c>
      <c r="B680" s="2" t="s">
        <v>17</v>
      </c>
      <c r="C680" s="2" t="s">
        <v>27</v>
      </c>
      <c r="D680" s="13"/>
      <c r="E680" s="13"/>
      <c r="F680" s="44" t="s">
        <v>2880</v>
      </c>
      <c r="G680" s="43">
        <v>1.0</v>
      </c>
      <c r="H680" s="42"/>
      <c r="I680" s="42"/>
      <c r="J680" s="27" t="s">
        <v>165</v>
      </c>
      <c r="K680" s="42"/>
    </row>
    <row r="681" ht="39.75" hidden="1" customHeight="1">
      <c r="A681" s="1">
        <v>680.0</v>
      </c>
      <c r="B681" s="2" t="s">
        <v>331</v>
      </c>
      <c r="C681" s="2" t="s">
        <v>13</v>
      </c>
      <c r="D681" s="13"/>
      <c r="E681" s="13"/>
      <c r="F681" s="45"/>
      <c r="G681" s="42"/>
      <c r="H681" s="42"/>
      <c r="I681" s="42"/>
      <c r="J681" s="27" t="s">
        <v>2637</v>
      </c>
      <c r="K681" s="42"/>
    </row>
    <row r="682" ht="39.75" customHeight="1">
      <c r="A682" s="1">
        <v>681.0</v>
      </c>
      <c r="B682" s="2" t="s">
        <v>21</v>
      </c>
      <c r="C682" s="2" t="s">
        <v>63</v>
      </c>
      <c r="D682" s="13"/>
      <c r="E682" s="13"/>
      <c r="F682" s="45"/>
      <c r="G682" s="42"/>
      <c r="H682" s="42"/>
      <c r="I682" s="42"/>
      <c r="J682" s="27" t="s">
        <v>2638</v>
      </c>
      <c r="K682" s="42"/>
    </row>
    <row r="683" ht="39.75" hidden="1" customHeight="1">
      <c r="A683" s="1">
        <v>682.0</v>
      </c>
      <c r="B683" s="2" t="s">
        <v>22</v>
      </c>
      <c r="C683" s="2" t="s">
        <v>13</v>
      </c>
      <c r="D683" s="13"/>
      <c r="E683" s="13"/>
      <c r="F683" s="45"/>
      <c r="G683" s="42"/>
      <c r="H683" s="42"/>
      <c r="I683" s="42"/>
      <c r="J683" s="22"/>
      <c r="K683" s="42"/>
    </row>
    <row r="684" ht="39.75" customHeight="1">
      <c r="A684" s="1">
        <v>683.0</v>
      </c>
      <c r="B684" s="2" t="s">
        <v>23</v>
      </c>
      <c r="C684" s="2" t="s">
        <v>39</v>
      </c>
      <c r="D684" s="13"/>
      <c r="E684" s="13"/>
      <c r="F684" s="44" t="s">
        <v>2881</v>
      </c>
      <c r="G684" s="43">
        <v>1.0</v>
      </c>
      <c r="H684" s="42"/>
      <c r="I684" s="43">
        <v>1.0</v>
      </c>
      <c r="J684" s="22"/>
      <c r="K684" s="42"/>
    </row>
    <row r="685" ht="39.75" hidden="1" customHeight="1">
      <c r="A685" s="1">
        <v>684.0</v>
      </c>
      <c r="B685" s="2" t="s">
        <v>24</v>
      </c>
      <c r="C685" s="2" t="s">
        <v>13</v>
      </c>
      <c r="D685" s="13"/>
      <c r="E685" s="13"/>
      <c r="F685" s="45"/>
      <c r="G685" s="42"/>
      <c r="H685" s="42"/>
      <c r="I685" s="42"/>
      <c r="J685" s="22"/>
      <c r="K685" s="42"/>
    </row>
    <row r="686" ht="39.75" customHeight="1">
      <c r="A686" s="1">
        <v>685.0</v>
      </c>
      <c r="B686" s="2" t="s">
        <v>25</v>
      </c>
      <c r="C686" s="2" t="s">
        <v>49</v>
      </c>
      <c r="D686" s="13"/>
      <c r="E686" s="13"/>
      <c r="F686" s="44" t="s">
        <v>2882</v>
      </c>
      <c r="G686" s="43">
        <v>1.0</v>
      </c>
      <c r="H686" s="42"/>
      <c r="I686" s="43">
        <v>1.0</v>
      </c>
      <c r="J686" s="22"/>
      <c r="K686" s="42"/>
    </row>
    <row r="687" ht="39.75" hidden="1" customHeight="1">
      <c r="A687" s="1">
        <v>686.0</v>
      </c>
      <c r="B687" s="2" t="s">
        <v>26</v>
      </c>
      <c r="C687" s="2" t="s">
        <v>13</v>
      </c>
      <c r="D687" s="13"/>
      <c r="E687" s="13"/>
      <c r="F687" s="45"/>
      <c r="G687" s="42"/>
      <c r="H687" s="42"/>
      <c r="I687" s="42"/>
      <c r="J687" s="22"/>
      <c r="K687" s="42"/>
    </row>
    <row r="688" ht="39.75" customHeight="1">
      <c r="A688" s="1">
        <v>687.0</v>
      </c>
      <c r="B688" s="2" t="s">
        <v>29</v>
      </c>
      <c r="C688" s="2" t="s">
        <v>44</v>
      </c>
      <c r="D688" s="13"/>
      <c r="E688" s="40">
        <v>0.2916666666666667</v>
      </c>
      <c r="F688" s="89" t="s">
        <v>2883</v>
      </c>
      <c r="G688" s="42"/>
      <c r="H688" s="42"/>
      <c r="I688" s="42"/>
      <c r="J688" s="22"/>
      <c r="K688" s="42"/>
    </row>
    <row r="689" ht="39.75" hidden="1" customHeight="1">
      <c r="A689" s="1">
        <v>688.0</v>
      </c>
      <c r="B689" s="2" t="s">
        <v>30</v>
      </c>
      <c r="C689" s="2" t="s">
        <v>13</v>
      </c>
      <c r="D689" s="13"/>
      <c r="E689" s="13"/>
      <c r="F689" s="45"/>
      <c r="G689" s="42"/>
      <c r="H689" s="42"/>
      <c r="I689" s="42"/>
      <c r="J689" s="22"/>
      <c r="K689" s="42"/>
    </row>
    <row r="690" ht="39.75" hidden="1" customHeight="1">
      <c r="A690" s="1">
        <v>689.0</v>
      </c>
      <c r="B690" s="2" t="s">
        <v>31</v>
      </c>
      <c r="C690" s="2" t="s">
        <v>13</v>
      </c>
      <c r="D690" s="13"/>
      <c r="E690" s="13"/>
      <c r="F690" s="45"/>
      <c r="G690" s="42"/>
      <c r="H690" s="42"/>
      <c r="I690" s="42"/>
      <c r="J690" s="22"/>
      <c r="K690" s="42"/>
    </row>
    <row r="691" ht="39.75" hidden="1" customHeight="1">
      <c r="A691" s="1">
        <v>690.0</v>
      </c>
      <c r="B691" s="2" t="s">
        <v>32</v>
      </c>
      <c r="C691" s="2" t="s">
        <v>13</v>
      </c>
      <c r="D691" s="13"/>
      <c r="E691" s="13"/>
      <c r="F691" s="45"/>
      <c r="G691" s="42"/>
      <c r="H691" s="42"/>
      <c r="I691" s="42"/>
      <c r="J691" s="22"/>
      <c r="K691" s="42"/>
    </row>
    <row r="692" ht="39.75" hidden="1" customHeight="1">
      <c r="A692" s="1">
        <v>691.0</v>
      </c>
      <c r="B692" s="2" t="s">
        <v>67</v>
      </c>
      <c r="C692" s="2" t="s">
        <v>13</v>
      </c>
      <c r="D692" s="13"/>
      <c r="E692" s="13"/>
      <c r="F692" s="45"/>
      <c r="G692" s="42"/>
      <c r="H692" s="42"/>
      <c r="I692" s="42"/>
      <c r="J692" s="22"/>
      <c r="K692" s="42"/>
    </row>
    <row r="693" ht="39.75" customHeight="1">
      <c r="A693" s="1">
        <v>692.0</v>
      </c>
      <c r="B693" s="2" t="s">
        <v>35</v>
      </c>
      <c r="C693" s="2"/>
      <c r="D693" s="40">
        <v>0.375</v>
      </c>
      <c r="E693" s="13"/>
      <c r="F693" s="44" t="s">
        <v>2884</v>
      </c>
      <c r="G693" s="43">
        <v>1.0</v>
      </c>
      <c r="H693" s="42"/>
      <c r="I693" s="42"/>
      <c r="J693" s="22"/>
      <c r="K693" s="42"/>
    </row>
    <row r="694" ht="39.75" customHeight="1">
      <c r="A694" s="1">
        <v>693.0</v>
      </c>
      <c r="B694" s="2" t="s">
        <v>36</v>
      </c>
      <c r="C694" s="2" t="s">
        <v>44</v>
      </c>
      <c r="D694" s="13"/>
      <c r="E694" s="13"/>
      <c r="F694" s="52" t="s">
        <v>2885</v>
      </c>
      <c r="G694" s="56">
        <v>1.0</v>
      </c>
      <c r="H694" s="42"/>
      <c r="I694" s="42"/>
      <c r="J694" s="22"/>
      <c r="K694" s="42"/>
    </row>
    <row r="695" ht="39.75" hidden="1" customHeight="1">
      <c r="A695" s="1">
        <v>694.0</v>
      </c>
      <c r="B695" s="2" t="s">
        <v>38</v>
      </c>
      <c r="C695" s="2" t="s">
        <v>13</v>
      </c>
      <c r="D695" s="13"/>
      <c r="E695" s="13"/>
      <c r="F695" s="45"/>
      <c r="G695" s="42"/>
      <c r="H695" s="42"/>
      <c r="I695" s="42"/>
      <c r="J695" s="22"/>
      <c r="K695" s="42"/>
    </row>
    <row r="696" ht="39.75" hidden="1" customHeight="1">
      <c r="A696" s="1">
        <v>695.0</v>
      </c>
      <c r="B696" s="2" t="s">
        <v>41</v>
      </c>
      <c r="C696" s="2" t="s">
        <v>13</v>
      </c>
      <c r="D696" s="13"/>
      <c r="E696" s="13"/>
      <c r="F696" s="45"/>
      <c r="G696" s="42"/>
      <c r="H696" s="42"/>
      <c r="I696" s="42"/>
      <c r="J696" s="22"/>
      <c r="K696" s="42"/>
    </row>
    <row r="697" ht="39.75" hidden="1" customHeight="1">
      <c r="A697" s="1">
        <v>696.0</v>
      </c>
      <c r="B697" s="2" t="s">
        <v>42</v>
      </c>
      <c r="C697" s="2" t="s">
        <v>13</v>
      </c>
      <c r="D697" s="13"/>
      <c r="E697" s="13"/>
      <c r="F697" s="45"/>
      <c r="G697" s="42"/>
      <c r="H697" s="42"/>
      <c r="I697" s="42"/>
      <c r="J697" s="22"/>
      <c r="K697" s="42"/>
    </row>
    <row r="698" ht="39.75" customHeight="1">
      <c r="A698" s="1">
        <v>697.0</v>
      </c>
      <c r="B698" s="2" t="s">
        <v>267</v>
      </c>
      <c r="C698" s="2" t="s">
        <v>272</v>
      </c>
      <c r="D698" s="13"/>
      <c r="E698" s="13"/>
      <c r="F698" s="44" t="s">
        <v>1186</v>
      </c>
      <c r="G698" s="42"/>
      <c r="H698" s="42"/>
      <c r="I698" s="42"/>
      <c r="J698" s="22"/>
      <c r="K698" s="42"/>
    </row>
    <row r="699" ht="39.75" customHeight="1">
      <c r="A699" s="1">
        <v>698.0</v>
      </c>
      <c r="B699" s="2" t="s">
        <v>45</v>
      </c>
      <c r="C699" s="2"/>
      <c r="D699" s="40">
        <v>0.375</v>
      </c>
      <c r="E699" s="13"/>
      <c r="F699" s="64" t="s">
        <v>2886</v>
      </c>
      <c r="G699" s="43">
        <v>1.0</v>
      </c>
      <c r="H699" s="42"/>
      <c r="I699" s="42"/>
      <c r="J699" s="22"/>
      <c r="K699" s="42"/>
    </row>
    <row r="700" ht="39.75" hidden="1" customHeight="1">
      <c r="A700" s="1">
        <v>699.0</v>
      </c>
      <c r="B700" s="2" t="s">
        <v>46</v>
      </c>
      <c r="C700" s="2" t="s">
        <v>13</v>
      </c>
      <c r="D700" s="13"/>
      <c r="E700" s="13"/>
      <c r="F700" s="45"/>
      <c r="G700" s="42"/>
      <c r="H700" s="42"/>
      <c r="I700" s="42"/>
      <c r="J700" s="22"/>
      <c r="K700" s="42"/>
    </row>
    <row r="701" ht="39.75" hidden="1" customHeight="1">
      <c r="A701" s="1">
        <v>700.0</v>
      </c>
      <c r="B701" s="2" t="s">
        <v>47</v>
      </c>
      <c r="C701" s="2" t="s">
        <v>13</v>
      </c>
      <c r="D701" s="13"/>
      <c r="E701" s="13"/>
      <c r="F701" s="45"/>
      <c r="G701" s="42"/>
      <c r="H701" s="42"/>
      <c r="I701" s="42"/>
      <c r="J701" s="22"/>
      <c r="K701" s="42"/>
    </row>
    <row r="702" ht="39.75" hidden="1" customHeight="1">
      <c r="A702" s="1">
        <v>701.0</v>
      </c>
      <c r="B702" s="2" t="s">
        <v>48</v>
      </c>
      <c r="C702" s="2" t="s">
        <v>13</v>
      </c>
      <c r="D702" s="13"/>
      <c r="E702" s="13"/>
      <c r="F702" s="45"/>
      <c r="G702" s="42"/>
      <c r="H702" s="42"/>
      <c r="I702" s="42"/>
      <c r="J702" s="22"/>
      <c r="K702" s="42"/>
    </row>
    <row r="703" ht="39.75" customHeight="1">
      <c r="A703" s="1">
        <v>702.0</v>
      </c>
      <c r="B703" s="21"/>
      <c r="C703" s="21"/>
      <c r="D703" s="21"/>
      <c r="E703" s="21"/>
      <c r="F703" s="46"/>
      <c r="G703" s="47"/>
      <c r="H703" s="47"/>
      <c r="I703" s="47"/>
      <c r="J703" s="48"/>
      <c r="K703" s="47"/>
      <c r="L703" s="49"/>
      <c r="M703" s="49"/>
      <c r="N703" s="49"/>
    </row>
    <row r="704" ht="39.75" customHeight="1">
      <c r="A704" s="1">
        <v>703.0</v>
      </c>
      <c r="B704" s="2" t="s">
        <v>268</v>
      </c>
      <c r="C704" s="2" t="s">
        <v>63</v>
      </c>
      <c r="D704" s="13"/>
      <c r="E704" s="13"/>
      <c r="F704" s="45"/>
      <c r="G704" s="42"/>
      <c r="H704" s="42"/>
      <c r="I704" s="42"/>
      <c r="J704" s="27" t="s">
        <v>2570</v>
      </c>
      <c r="K704" s="42"/>
      <c r="L704" s="15" t="s">
        <v>438</v>
      </c>
    </row>
    <row r="705" ht="39.75" hidden="1" customHeight="1">
      <c r="A705" s="1">
        <v>704.0</v>
      </c>
      <c r="B705" s="2" t="s">
        <v>16</v>
      </c>
      <c r="C705" s="2" t="s">
        <v>13</v>
      </c>
      <c r="D705" s="13"/>
      <c r="E705" s="13"/>
      <c r="F705" s="45"/>
      <c r="G705" s="42"/>
      <c r="H705" s="42"/>
      <c r="I705" s="42"/>
      <c r="J705" s="27" t="s">
        <v>438</v>
      </c>
      <c r="K705" s="43"/>
    </row>
    <row r="706" ht="39.75" hidden="1" customHeight="1">
      <c r="A706" s="1">
        <v>705.0</v>
      </c>
      <c r="B706" s="2" t="s">
        <v>116</v>
      </c>
      <c r="C706" s="2" t="s">
        <v>13</v>
      </c>
      <c r="D706" s="13"/>
      <c r="E706" s="13"/>
      <c r="F706" s="45"/>
      <c r="G706" s="42"/>
      <c r="H706" s="42"/>
      <c r="I706" s="42"/>
      <c r="J706" s="27" t="s">
        <v>19</v>
      </c>
      <c r="K706" s="42"/>
    </row>
    <row r="707" ht="39.75" customHeight="1">
      <c r="A707" s="1">
        <v>706.0</v>
      </c>
      <c r="B707" s="2" t="s">
        <v>17</v>
      </c>
      <c r="C707" s="2" t="s">
        <v>44</v>
      </c>
      <c r="D707" s="13"/>
      <c r="E707" s="13"/>
      <c r="F707" s="52" t="s">
        <v>2887</v>
      </c>
      <c r="G707" s="56">
        <v>2.0</v>
      </c>
      <c r="H707" s="42"/>
      <c r="I707" s="56">
        <v>2.0</v>
      </c>
      <c r="J707" s="27" t="s">
        <v>410</v>
      </c>
      <c r="K707" s="42"/>
    </row>
    <row r="708" ht="39.75" hidden="1" customHeight="1">
      <c r="A708" s="1">
        <v>707.0</v>
      </c>
      <c r="B708" s="2" t="s">
        <v>331</v>
      </c>
      <c r="C708" s="2" t="s">
        <v>13</v>
      </c>
      <c r="D708" s="13"/>
      <c r="E708" s="13"/>
      <c r="F708" s="45"/>
      <c r="G708" s="42"/>
      <c r="H708" s="42"/>
      <c r="I708" s="42"/>
      <c r="J708" s="27" t="s">
        <v>412</v>
      </c>
      <c r="K708" s="42"/>
    </row>
    <row r="709" ht="39.75" hidden="1" customHeight="1">
      <c r="A709" s="1">
        <v>708.0</v>
      </c>
      <c r="B709" s="2" t="s">
        <v>21</v>
      </c>
      <c r="C709" s="2" t="s">
        <v>13</v>
      </c>
      <c r="D709" s="13"/>
      <c r="E709" s="13"/>
      <c r="F709" s="45"/>
      <c r="G709" s="42"/>
      <c r="H709" s="42"/>
      <c r="I709" s="42"/>
      <c r="J709" s="27" t="s">
        <v>413</v>
      </c>
      <c r="K709" s="42"/>
    </row>
    <row r="710" ht="39.75" hidden="1" customHeight="1">
      <c r="A710" s="1">
        <v>709.0</v>
      </c>
      <c r="B710" s="2" t="s">
        <v>22</v>
      </c>
      <c r="C710" s="2" t="s">
        <v>13</v>
      </c>
      <c r="D710" s="13"/>
      <c r="E710" s="13"/>
      <c r="F710" s="45"/>
      <c r="G710" s="42"/>
      <c r="H710" s="42"/>
      <c r="I710" s="42"/>
      <c r="J710" s="22"/>
      <c r="K710" s="42"/>
    </row>
    <row r="711" ht="39.75" hidden="1" customHeight="1">
      <c r="A711" s="1">
        <v>710.0</v>
      </c>
      <c r="B711" s="2" t="s">
        <v>23</v>
      </c>
      <c r="C711" s="2" t="s">
        <v>13</v>
      </c>
      <c r="D711" s="13"/>
      <c r="E711" s="13"/>
      <c r="F711" s="45"/>
      <c r="G711" s="42"/>
      <c r="H711" s="42"/>
      <c r="I711" s="42"/>
      <c r="J711" s="22"/>
      <c r="K711" s="42"/>
    </row>
    <row r="712" ht="39.75" hidden="1" customHeight="1">
      <c r="A712" s="1">
        <v>711.0</v>
      </c>
      <c r="B712" s="2" t="s">
        <v>24</v>
      </c>
      <c r="C712" s="2" t="s">
        <v>13</v>
      </c>
      <c r="D712" s="13"/>
      <c r="E712" s="13"/>
      <c r="F712" s="45"/>
      <c r="G712" s="42"/>
      <c r="H712" s="42"/>
      <c r="I712" s="42"/>
      <c r="J712" s="22"/>
      <c r="K712" s="42"/>
    </row>
    <row r="713" ht="39.75" hidden="1" customHeight="1">
      <c r="A713" s="1">
        <v>712.0</v>
      </c>
      <c r="B713" s="2" t="s">
        <v>25</v>
      </c>
      <c r="C713" s="2" t="s">
        <v>13</v>
      </c>
      <c r="D713" s="13"/>
      <c r="E713" s="13"/>
      <c r="F713" s="45"/>
      <c r="G713" s="42"/>
      <c r="H713" s="42"/>
      <c r="I713" s="42"/>
      <c r="J713" s="22"/>
      <c r="K713" s="42"/>
    </row>
    <row r="714" ht="39.75" customHeight="1">
      <c r="A714" s="1">
        <v>713.0</v>
      </c>
      <c r="B714" s="2" t="s">
        <v>26</v>
      </c>
      <c r="C714" s="2" t="s">
        <v>39</v>
      </c>
      <c r="D714" s="53">
        <v>0.3125</v>
      </c>
      <c r="E714" s="51">
        <v>0.7638888888888888</v>
      </c>
      <c r="F714" s="44" t="s">
        <v>2888</v>
      </c>
      <c r="G714" s="43">
        <v>2.0</v>
      </c>
      <c r="H714" s="42"/>
      <c r="I714" s="43">
        <v>1.0</v>
      </c>
      <c r="J714" s="22"/>
      <c r="K714" s="42"/>
    </row>
    <row r="715" ht="39.75" hidden="1" customHeight="1">
      <c r="A715" s="1">
        <v>714.0</v>
      </c>
      <c r="B715" s="2" t="s">
        <v>29</v>
      </c>
      <c r="C715" s="2" t="s">
        <v>13</v>
      </c>
      <c r="D715" s="13"/>
      <c r="E715" s="13"/>
      <c r="F715" s="45"/>
      <c r="G715" s="42"/>
      <c r="H715" s="42"/>
      <c r="I715" s="42"/>
      <c r="J715" s="22"/>
      <c r="K715" s="42"/>
    </row>
    <row r="716" ht="39.75" hidden="1" customHeight="1">
      <c r="A716" s="1">
        <v>715.0</v>
      </c>
      <c r="B716" s="2" t="s">
        <v>30</v>
      </c>
      <c r="C716" s="2" t="s">
        <v>13</v>
      </c>
      <c r="D716" s="13"/>
      <c r="E716" s="13"/>
      <c r="F716" s="45"/>
      <c r="G716" s="42"/>
      <c r="H716" s="42"/>
      <c r="I716" s="42"/>
      <c r="J716" s="22"/>
      <c r="K716" s="42"/>
    </row>
    <row r="717" ht="39.75" customHeight="1">
      <c r="A717" s="1">
        <v>716.0</v>
      </c>
      <c r="B717" s="2" t="s">
        <v>31</v>
      </c>
      <c r="C717" s="2" t="s">
        <v>49</v>
      </c>
      <c r="D717" s="13"/>
      <c r="E717" s="13"/>
      <c r="F717" s="44" t="s">
        <v>2889</v>
      </c>
      <c r="G717" s="43">
        <v>2.0</v>
      </c>
      <c r="H717" s="42"/>
      <c r="I717" s="43">
        <v>1.0</v>
      </c>
      <c r="J717" s="22"/>
      <c r="K717" s="42"/>
    </row>
    <row r="718" ht="39.75" customHeight="1">
      <c r="A718" s="1">
        <v>717.0</v>
      </c>
      <c r="B718" s="2" t="s">
        <v>32</v>
      </c>
      <c r="C718" s="2"/>
      <c r="D718" s="40">
        <v>0.375</v>
      </c>
      <c r="E718" s="13"/>
      <c r="F718" s="44" t="s">
        <v>2890</v>
      </c>
      <c r="G718" s="43">
        <v>1.0</v>
      </c>
      <c r="H718" s="42"/>
      <c r="I718" s="42"/>
      <c r="J718" s="22"/>
      <c r="K718" s="42"/>
    </row>
    <row r="719" ht="39.75" customHeight="1">
      <c r="A719" s="1">
        <v>718.0</v>
      </c>
      <c r="B719" s="2" t="s">
        <v>67</v>
      </c>
      <c r="C719" s="2"/>
      <c r="D719" s="40">
        <v>0.375</v>
      </c>
      <c r="E719" s="13"/>
      <c r="F719" s="44" t="s">
        <v>2891</v>
      </c>
      <c r="G719" s="43">
        <v>2.0</v>
      </c>
      <c r="H719" s="42"/>
      <c r="I719" s="43">
        <v>1.0</v>
      </c>
      <c r="J719" s="22"/>
      <c r="K719" s="42"/>
    </row>
    <row r="720" ht="39.75" customHeight="1">
      <c r="A720" s="1">
        <v>719.0</v>
      </c>
      <c r="B720" s="2" t="s">
        <v>34</v>
      </c>
      <c r="C720" s="2" t="s">
        <v>272</v>
      </c>
      <c r="D720" s="13"/>
      <c r="E720" s="13"/>
      <c r="F720" s="44" t="s">
        <v>1186</v>
      </c>
      <c r="G720" s="43">
        <v>1.0</v>
      </c>
      <c r="H720" s="42"/>
      <c r="I720" s="43">
        <v>1.0</v>
      </c>
      <c r="J720" s="22"/>
      <c r="K720" s="42"/>
    </row>
    <row r="721" ht="39.75" hidden="1" customHeight="1">
      <c r="A721" s="1">
        <v>720.0</v>
      </c>
      <c r="B721" s="2" t="s">
        <v>36</v>
      </c>
      <c r="C721" s="2" t="s">
        <v>13</v>
      </c>
      <c r="D721" s="13"/>
      <c r="E721" s="13"/>
      <c r="F721" s="45"/>
      <c r="G721" s="42"/>
      <c r="H721" s="42"/>
      <c r="I721" s="42"/>
      <c r="J721" s="22"/>
      <c r="K721" s="42"/>
    </row>
    <row r="722" ht="39.75" hidden="1" customHeight="1">
      <c r="A722" s="1">
        <v>721.0</v>
      </c>
      <c r="B722" s="2" t="s">
        <v>38</v>
      </c>
      <c r="C722" s="2" t="s">
        <v>13</v>
      </c>
      <c r="D722" s="13"/>
      <c r="E722" s="13"/>
      <c r="F722" s="45"/>
      <c r="G722" s="42"/>
      <c r="H722" s="42"/>
      <c r="I722" s="42"/>
      <c r="J722" s="22"/>
      <c r="K722" s="42"/>
    </row>
    <row r="723" ht="39.75" hidden="1" customHeight="1">
      <c r="A723" s="1">
        <v>722.0</v>
      </c>
      <c r="B723" s="2" t="s">
        <v>41</v>
      </c>
      <c r="C723" s="2" t="s">
        <v>13</v>
      </c>
      <c r="D723" s="13"/>
      <c r="E723" s="13"/>
      <c r="F723" s="45"/>
      <c r="G723" s="42"/>
      <c r="H723" s="42"/>
      <c r="I723" s="42"/>
      <c r="J723" s="22"/>
      <c r="K723" s="42"/>
    </row>
    <row r="724" ht="39.75" hidden="1" customHeight="1">
      <c r="A724" s="1">
        <v>723.0</v>
      </c>
      <c r="B724" s="2" t="s">
        <v>42</v>
      </c>
      <c r="C724" s="2" t="s">
        <v>13</v>
      </c>
      <c r="D724" s="13"/>
      <c r="E724" s="13"/>
      <c r="F724" s="45"/>
      <c r="G724" s="42"/>
      <c r="H724" s="42"/>
      <c r="I724" s="42"/>
      <c r="J724" s="22"/>
      <c r="K724" s="42"/>
    </row>
    <row r="725" ht="39.75" hidden="1" customHeight="1">
      <c r="A725" s="1">
        <v>724.0</v>
      </c>
      <c r="B725" s="2" t="s">
        <v>43</v>
      </c>
      <c r="C725" s="2" t="s">
        <v>13</v>
      </c>
      <c r="D725" s="13"/>
      <c r="E725" s="13"/>
      <c r="F725" s="45"/>
      <c r="G725" s="42"/>
      <c r="H725" s="42"/>
      <c r="I725" s="42"/>
      <c r="J725" s="22"/>
      <c r="K725" s="42"/>
    </row>
    <row r="726" ht="39.75" hidden="1" customHeight="1">
      <c r="A726" s="1">
        <v>725.0</v>
      </c>
      <c r="B726" s="2" t="s">
        <v>45</v>
      </c>
      <c r="C726" s="2" t="s">
        <v>13</v>
      </c>
      <c r="D726" s="13"/>
      <c r="E726" s="13"/>
      <c r="F726" s="45"/>
      <c r="G726" s="42"/>
      <c r="H726" s="42"/>
      <c r="I726" s="42"/>
      <c r="J726" s="22"/>
      <c r="K726" s="42"/>
    </row>
    <row r="727" ht="39.75" hidden="1" customHeight="1">
      <c r="A727" s="1">
        <v>726.0</v>
      </c>
      <c r="B727" s="2" t="s">
        <v>46</v>
      </c>
      <c r="C727" s="2" t="s">
        <v>13</v>
      </c>
      <c r="D727" s="13"/>
      <c r="E727" s="13"/>
      <c r="F727" s="45"/>
      <c r="G727" s="42"/>
      <c r="H727" s="42"/>
      <c r="I727" s="42"/>
      <c r="J727" s="22"/>
      <c r="K727" s="42"/>
    </row>
    <row r="728" ht="39.75" hidden="1" customHeight="1">
      <c r="A728" s="1">
        <v>727.0</v>
      </c>
      <c r="B728" s="2" t="s">
        <v>47</v>
      </c>
      <c r="C728" s="2" t="s">
        <v>13</v>
      </c>
      <c r="D728" s="13"/>
      <c r="E728" s="13"/>
      <c r="F728" s="45"/>
      <c r="G728" s="42"/>
      <c r="H728" s="42"/>
      <c r="I728" s="42"/>
      <c r="J728" s="22"/>
      <c r="K728" s="42"/>
    </row>
    <row r="729" ht="39.75" customHeight="1">
      <c r="A729" s="1">
        <v>728.0</v>
      </c>
      <c r="B729" s="2" t="s">
        <v>48</v>
      </c>
      <c r="C729" s="2" t="s">
        <v>27</v>
      </c>
      <c r="D729" s="13"/>
      <c r="E729" s="13"/>
      <c r="F729" s="44" t="s">
        <v>2892</v>
      </c>
      <c r="G729" s="43">
        <v>2.0</v>
      </c>
      <c r="H729" s="42"/>
      <c r="I729" s="42"/>
      <c r="J729" s="22"/>
      <c r="K729" s="42"/>
    </row>
    <row r="730" ht="39.75" customHeight="1">
      <c r="A730" s="1">
        <v>729.0</v>
      </c>
      <c r="B730" s="21"/>
      <c r="C730" s="21"/>
      <c r="D730" s="21"/>
      <c r="E730" s="21"/>
      <c r="F730" s="46"/>
      <c r="G730" s="47"/>
      <c r="H730" s="47"/>
      <c r="I730" s="47"/>
      <c r="J730" s="48"/>
      <c r="K730" s="47"/>
      <c r="L730" s="49"/>
      <c r="M730" s="49"/>
      <c r="N730" s="49"/>
    </row>
    <row r="731" ht="39.75" hidden="1" customHeight="1">
      <c r="A731" s="1">
        <v>730.0</v>
      </c>
      <c r="B731" s="2" t="s">
        <v>12</v>
      </c>
      <c r="C731" s="2" t="s">
        <v>58</v>
      </c>
      <c r="D731" s="13"/>
      <c r="E731" s="13"/>
      <c r="F731" s="45"/>
      <c r="G731" s="42"/>
      <c r="H731" s="42"/>
      <c r="I731" s="42"/>
      <c r="J731" s="27" t="s">
        <v>2570</v>
      </c>
      <c r="K731" s="42"/>
      <c r="L731" s="15" t="s">
        <v>452</v>
      </c>
    </row>
    <row r="732" ht="39.75" customHeight="1">
      <c r="A732" s="1">
        <v>731.0</v>
      </c>
      <c r="B732" s="2" t="s">
        <v>16</v>
      </c>
      <c r="C732" s="2" t="s">
        <v>54</v>
      </c>
      <c r="D732" s="13"/>
      <c r="E732" s="13"/>
      <c r="F732" s="44" t="s">
        <v>2893</v>
      </c>
      <c r="G732" s="43">
        <v>1.0</v>
      </c>
      <c r="H732" s="42"/>
      <c r="I732" s="42"/>
      <c r="J732" s="27" t="s">
        <v>452</v>
      </c>
      <c r="K732" s="43"/>
    </row>
    <row r="733" ht="39.75" hidden="1" customHeight="1">
      <c r="A733" s="1">
        <v>732.0</v>
      </c>
      <c r="B733" s="2" t="s">
        <v>116</v>
      </c>
      <c r="C733" s="2" t="s">
        <v>58</v>
      </c>
      <c r="D733" s="13"/>
      <c r="E733" s="13"/>
      <c r="F733" s="45"/>
      <c r="G733" s="42"/>
      <c r="H733" s="42"/>
      <c r="I733" s="42"/>
      <c r="J733" s="27" t="s">
        <v>56</v>
      </c>
      <c r="K733" s="42"/>
    </row>
    <row r="734" ht="39.75" hidden="1" customHeight="1">
      <c r="A734" s="1">
        <v>733.0</v>
      </c>
      <c r="B734" s="2" t="s">
        <v>17</v>
      </c>
      <c r="C734" s="2" t="s">
        <v>66</v>
      </c>
      <c r="D734" s="13"/>
      <c r="E734" s="13"/>
      <c r="F734" s="44"/>
      <c r="G734" s="42"/>
      <c r="H734" s="42"/>
      <c r="I734" s="42"/>
      <c r="J734" s="22"/>
      <c r="K734" s="42"/>
    </row>
    <row r="735" ht="39.75" customHeight="1">
      <c r="A735" s="1">
        <v>734.0</v>
      </c>
      <c r="B735" s="2" t="s">
        <v>331</v>
      </c>
      <c r="C735" s="2" t="s">
        <v>542</v>
      </c>
      <c r="D735" s="13"/>
      <c r="E735" s="13"/>
      <c r="F735" s="44" t="s">
        <v>2894</v>
      </c>
      <c r="G735" s="43">
        <v>1.0</v>
      </c>
      <c r="H735" s="42"/>
      <c r="I735" s="43">
        <v>1.0</v>
      </c>
      <c r="J735" s="22"/>
      <c r="K735" s="42"/>
    </row>
    <row r="736" ht="39.75" customHeight="1">
      <c r="A736" s="1">
        <v>735.0</v>
      </c>
      <c r="B736" s="2" t="s">
        <v>21</v>
      </c>
      <c r="C736" s="2"/>
      <c r="D736" s="53">
        <v>0.3611111111111111</v>
      </c>
      <c r="E736" s="13"/>
      <c r="F736" s="44" t="s">
        <v>2895</v>
      </c>
      <c r="G736" s="43">
        <v>1.0</v>
      </c>
      <c r="H736" s="42"/>
      <c r="I736" s="42"/>
      <c r="J736" s="22"/>
      <c r="K736" s="42"/>
    </row>
    <row r="737" ht="39.75" customHeight="1">
      <c r="A737" s="1">
        <v>736.0</v>
      </c>
      <c r="B737" s="2" t="s">
        <v>22</v>
      </c>
      <c r="C737" s="2" t="s">
        <v>39</v>
      </c>
      <c r="D737" s="13"/>
      <c r="E737" s="13"/>
      <c r="F737" s="44" t="s">
        <v>2896</v>
      </c>
      <c r="G737" s="43">
        <v>1.0</v>
      </c>
      <c r="H737" s="42"/>
      <c r="I737" s="43">
        <v>1.0</v>
      </c>
      <c r="J737" s="22"/>
      <c r="K737" s="42"/>
    </row>
    <row r="738" ht="39.75" customHeight="1">
      <c r="A738" s="1">
        <v>737.0</v>
      </c>
      <c r="B738" s="2" t="s">
        <v>23</v>
      </c>
      <c r="C738" s="2"/>
      <c r="D738" s="13"/>
      <c r="E738" s="13"/>
      <c r="F738" s="45"/>
      <c r="G738" s="42"/>
      <c r="H738" s="42"/>
      <c r="I738" s="42"/>
      <c r="J738" s="22"/>
      <c r="K738" s="42"/>
    </row>
    <row r="739" ht="39.75" customHeight="1">
      <c r="A739" s="1">
        <v>738.0</v>
      </c>
      <c r="B739" s="2" t="s">
        <v>24</v>
      </c>
      <c r="C739" s="2" t="s">
        <v>63</v>
      </c>
      <c r="D739" s="13"/>
      <c r="E739" s="13"/>
      <c r="F739" s="45"/>
      <c r="G739" s="42"/>
      <c r="H739" s="42"/>
      <c r="I739" s="42"/>
      <c r="J739" s="22"/>
      <c r="K739" s="42"/>
    </row>
    <row r="740" ht="39.75" customHeight="1">
      <c r="A740" s="1">
        <v>739.0</v>
      </c>
      <c r="B740" s="2" t="s">
        <v>25</v>
      </c>
      <c r="C740" s="2"/>
      <c r="D740" s="40"/>
      <c r="E740" s="13"/>
      <c r="F740" s="44"/>
      <c r="G740" s="43"/>
      <c r="H740" s="42"/>
      <c r="I740" s="43"/>
      <c r="J740" s="22"/>
      <c r="K740" s="42"/>
    </row>
    <row r="741" ht="53.25" customHeight="1">
      <c r="A741" s="1">
        <v>740.0</v>
      </c>
      <c r="B741" s="2" t="s">
        <v>26</v>
      </c>
      <c r="C741" s="2"/>
      <c r="D741" s="13"/>
      <c r="E741" s="13"/>
      <c r="F741" s="45"/>
      <c r="G741" s="42"/>
      <c r="H741" s="42"/>
      <c r="I741" s="42"/>
      <c r="J741" s="22"/>
      <c r="K741" s="42"/>
    </row>
    <row r="742" ht="39.75" customHeight="1">
      <c r="A742" s="1">
        <v>741.0</v>
      </c>
      <c r="B742" s="2" t="s">
        <v>29</v>
      </c>
      <c r="C742" s="2" t="s">
        <v>27</v>
      </c>
      <c r="D742" s="13"/>
      <c r="E742" s="13"/>
      <c r="F742" s="44" t="s">
        <v>2897</v>
      </c>
      <c r="G742" s="43">
        <v>2.0</v>
      </c>
      <c r="H742" s="42"/>
      <c r="I742" s="43">
        <v>1.0</v>
      </c>
      <c r="J742" s="22"/>
      <c r="K742" s="42"/>
    </row>
    <row r="743" ht="39.75" hidden="1" customHeight="1">
      <c r="A743" s="1">
        <v>742.0</v>
      </c>
      <c r="B743" s="2" t="s">
        <v>30</v>
      </c>
      <c r="C743" s="2" t="s">
        <v>58</v>
      </c>
      <c r="D743" s="13"/>
      <c r="E743" s="13"/>
      <c r="F743" s="45"/>
      <c r="G743" s="42"/>
      <c r="H743" s="42"/>
      <c r="I743" s="42"/>
      <c r="J743" s="22"/>
      <c r="K743" s="42"/>
    </row>
    <row r="744" ht="39.75" customHeight="1">
      <c r="A744" s="1">
        <v>743.0</v>
      </c>
      <c r="B744" s="2" t="s">
        <v>31</v>
      </c>
      <c r="C744" s="2" t="s">
        <v>54</v>
      </c>
      <c r="D744" s="13"/>
      <c r="E744" s="13"/>
      <c r="F744" s="44" t="s">
        <v>2768</v>
      </c>
      <c r="G744" s="43">
        <v>1.0</v>
      </c>
      <c r="H744" s="42"/>
      <c r="I744" s="43">
        <v>1.0</v>
      </c>
      <c r="J744" s="22"/>
      <c r="K744" s="42"/>
    </row>
    <row r="745" ht="39.75" customHeight="1">
      <c r="A745" s="1">
        <v>744.0</v>
      </c>
      <c r="B745" s="2" t="s">
        <v>32</v>
      </c>
      <c r="C745" s="2"/>
      <c r="D745" s="13"/>
      <c r="E745" s="13"/>
      <c r="F745" s="44" t="s">
        <v>1285</v>
      </c>
      <c r="G745" s="43">
        <v>1.0</v>
      </c>
      <c r="H745" s="42"/>
      <c r="I745" s="43">
        <v>1.0</v>
      </c>
      <c r="J745" s="22"/>
      <c r="K745" s="42"/>
    </row>
    <row r="746" ht="39.75" customHeight="1">
      <c r="A746" s="1">
        <v>745.0</v>
      </c>
      <c r="B746" s="2" t="s">
        <v>67</v>
      </c>
      <c r="C746" s="2" t="s">
        <v>39</v>
      </c>
      <c r="D746" s="13"/>
      <c r="E746" s="13"/>
      <c r="F746" s="44" t="s">
        <v>2691</v>
      </c>
      <c r="G746" s="43">
        <v>1.0</v>
      </c>
      <c r="H746" s="42"/>
      <c r="I746" s="43">
        <v>1.0</v>
      </c>
      <c r="J746" s="22"/>
      <c r="K746" s="42"/>
    </row>
    <row r="747" ht="39.75" hidden="1" customHeight="1">
      <c r="A747" s="1">
        <v>746.0</v>
      </c>
      <c r="B747" s="2" t="s">
        <v>35</v>
      </c>
      <c r="C747" s="2" t="s">
        <v>58</v>
      </c>
      <c r="D747" s="13"/>
      <c r="E747" s="13"/>
      <c r="F747" s="45"/>
      <c r="G747" s="42"/>
      <c r="H747" s="42"/>
      <c r="I747" s="42"/>
      <c r="J747" s="22"/>
      <c r="K747" s="42"/>
    </row>
    <row r="748" ht="39.75" customHeight="1">
      <c r="A748" s="1">
        <v>747.0</v>
      </c>
      <c r="B748" s="2" t="s">
        <v>36</v>
      </c>
      <c r="C748" s="2" t="s">
        <v>69</v>
      </c>
      <c r="D748" s="13"/>
      <c r="E748" s="13"/>
      <c r="F748" s="44" t="s">
        <v>2898</v>
      </c>
      <c r="G748" s="43">
        <v>1.0</v>
      </c>
      <c r="H748" s="42"/>
      <c r="I748" s="42"/>
      <c r="J748" s="22"/>
      <c r="K748" s="42"/>
    </row>
    <row r="749" ht="39.75" customHeight="1">
      <c r="A749" s="1">
        <v>748.0</v>
      </c>
      <c r="B749" s="2" t="s">
        <v>38</v>
      </c>
      <c r="C749" s="2" t="s">
        <v>69</v>
      </c>
      <c r="D749" s="13"/>
      <c r="E749" s="13"/>
      <c r="F749" s="44" t="s">
        <v>2899</v>
      </c>
      <c r="G749" s="43">
        <v>1.0</v>
      </c>
      <c r="H749" s="42"/>
      <c r="I749" s="43">
        <v>1.0</v>
      </c>
      <c r="J749" s="22"/>
      <c r="K749" s="42"/>
    </row>
    <row r="750" ht="39.75" hidden="1" customHeight="1">
      <c r="A750" s="1">
        <v>749.0</v>
      </c>
      <c r="B750" s="2" t="s">
        <v>41</v>
      </c>
      <c r="C750" s="2" t="s">
        <v>58</v>
      </c>
      <c r="D750" s="13"/>
      <c r="E750" s="13"/>
      <c r="F750" s="45"/>
      <c r="G750" s="42"/>
      <c r="H750" s="42"/>
      <c r="I750" s="42"/>
      <c r="J750" s="22"/>
      <c r="K750" s="42"/>
    </row>
    <row r="751" ht="39.75" customHeight="1">
      <c r="A751" s="1">
        <v>750.0</v>
      </c>
      <c r="B751" s="2" t="s">
        <v>42</v>
      </c>
      <c r="C751" s="2" t="s">
        <v>69</v>
      </c>
      <c r="D751" s="13"/>
      <c r="E751" s="13"/>
      <c r="F751" s="44" t="s">
        <v>2900</v>
      </c>
      <c r="G751" s="43">
        <v>2.0</v>
      </c>
      <c r="H751" s="42"/>
      <c r="I751" s="43">
        <v>1.0</v>
      </c>
      <c r="J751" s="22"/>
      <c r="K751" s="42"/>
    </row>
    <row r="752" ht="39.75" customHeight="1">
      <c r="A752" s="1">
        <v>751.0</v>
      </c>
      <c r="B752" s="2" t="s">
        <v>43</v>
      </c>
      <c r="C752" s="2" t="s">
        <v>54</v>
      </c>
      <c r="D752" s="13"/>
      <c r="E752" s="13"/>
      <c r="F752" s="44" t="s">
        <v>2901</v>
      </c>
      <c r="G752" s="43">
        <v>2.0</v>
      </c>
      <c r="H752" s="42"/>
      <c r="I752" s="43">
        <v>1.0</v>
      </c>
      <c r="J752" s="22"/>
      <c r="K752" s="42"/>
    </row>
    <row r="753" ht="39.75" customHeight="1">
      <c r="A753" s="1">
        <v>752.0</v>
      </c>
      <c r="B753" s="2" t="s">
        <v>45</v>
      </c>
      <c r="C753" s="2" t="s">
        <v>54</v>
      </c>
      <c r="D753" s="13"/>
      <c r="E753" s="13"/>
      <c r="F753" s="45"/>
      <c r="G753" s="42"/>
      <c r="H753" s="42"/>
      <c r="I753" s="42"/>
      <c r="J753" s="22"/>
      <c r="K753" s="42"/>
    </row>
    <row r="754" ht="39.75" customHeight="1">
      <c r="A754" s="1">
        <v>753.0</v>
      </c>
      <c r="B754" s="2" t="s">
        <v>46</v>
      </c>
      <c r="C754" s="2"/>
      <c r="D754" s="13"/>
      <c r="E754" s="13"/>
      <c r="F754" s="44" t="s">
        <v>2902</v>
      </c>
      <c r="G754" s="43">
        <v>1.0</v>
      </c>
      <c r="H754" s="42"/>
      <c r="I754" s="42"/>
      <c r="J754" s="22"/>
      <c r="K754" s="42"/>
    </row>
    <row r="755" ht="39.75" customHeight="1">
      <c r="A755" s="1">
        <v>754.0</v>
      </c>
      <c r="B755" s="2" t="s">
        <v>47</v>
      </c>
      <c r="C755" s="13"/>
      <c r="D755" s="13"/>
      <c r="E755" s="13"/>
      <c r="F755" s="44" t="s">
        <v>2903</v>
      </c>
      <c r="G755" s="43">
        <v>1.0</v>
      </c>
      <c r="H755" s="42"/>
      <c r="I755" s="42"/>
      <c r="J755" s="22"/>
      <c r="K755" s="42"/>
    </row>
    <row r="756" ht="39.75" customHeight="1">
      <c r="A756" s="1">
        <v>755.0</v>
      </c>
      <c r="B756" s="2" t="s">
        <v>48</v>
      </c>
      <c r="C756" s="2" t="s">
        <v>44</v>
      </c>
      <c r="D756" s="13"/>
      <c r="E756" s="13"/>
      <c r="F756" s="45"/>
      <c r="G756" s="42"/>
      <c r="H756" s="42"/>
      <c r="I756" s="42"/>
      <c r="J756" s="22"/>
      <c r="K756" s="42"/>
    </row>
    <row r="757" ht="39.75" customHeight="1">
      <c r="A757" s="1">
        <v>756.0</v>
      </c>
      <c r="B757" s="21"/>
      <c r="C757" s="21"/>
      <c r="D757" s="21"/>
      <c r="E757" s="21"/>
      <c r="F757" s="46"/>
      <c r="G757" s="47"/>
      <c r="H757" s="47"/>
      <c r="I757" s="47"/>
      <c r="J757" s="48"/>
      <c r="K757" s="47"/>
      <c r="L757" s="49"/>
      <c r="M757" s="49"/>
      <c r="N757" s="49"/>
    </row>
    <row r="758" ht="39.75" customHeight="1">
      <c r="A758" s="1">
        <v>757.0</v>
      </c>
      <c r="B758" s="2" t="s">
        <v>12</v>
      </c>
      <c r="C758" s="2" t="s">
        <v>62</v>
      </c>
      <c r="D758" s="13"/>
      <c r="E758" s="13"/>
      <c r="F758" s="44" t="s">
        <v>1543</v>
      </c>
      <c r="G758" s="43">
        <v>1.0</v>
      </c>
      <c r="H758" s="42"/>
      <c r="I758" s="43">
        <v>1.0</v>
      </c>
      <c r="J758" s="27" t="s">
        <v>2570</v>
      </c>
      <c r="K758" s="42"/>
      <c r="L758" s="15" t="s">
        <v>460</v>
      </c>
    </row>
    <row r="759" ht="39.75" customHeight="1">
      <c r="A759" s="1">
        <v>758.0</v>
      </c>
      <c r="B759" s="2" t="s">
        <v>16</v>
      </c>
      <c r="C759" s="2" t="s">
        <v>54</v>
      </c>
      <c r="D759" s="13"/>
      <c r="E759" s="40">
        <v>0.8125</v>
      </c>
      <c r="F759" s="44" t="s">
        <v>2904</v>
      </c>
      <c r="G759" s="43">
        <v>1.0</v>
      </c>
      <c r="H759" s="43">
        <v>1.0</v>
      </c>
      <c r="I759" s="42"/>
      <c r="J759" s="27" t="s">
        <v>460</v>
      </c>
      <c r="K759" s="43"/>
    </row>
    <row r="760" ht="39.75" hidden="1" customHeight="1">
      <c r="A760" s="1">
        <v>759.0</v>
      </c>
      <c r="B760" s="2" t="s">
        <v>116</v>
      </c>
      <c r="C760" s="2" t="s">
        <v>58</v>
      </c>
      <c r="D760" s="13"/>
      <c r="E760" s="13"/>
      <c r="F760" s="45"/>
      <c r="G760" s="42"/>
      <c r="H760" s="42"/>
      <c r="I760" s="42"/>
      <c r="J760" s="27" t="s">
        <v>77</v>
      </c>
      <c r="K760" s="42"/>
    </row>
    <row r="761" ht="80.25" customHeight="1">
      <c r="A761" s="1">
        <v>760.0</v>
      </c>
      <c r="B761" s="2" t="s">
        <v>17</v>
      </c>
      <c r="C761" s="2"/>
      <c r="D761" s="53">
        <v>0.3125</v>
      </c>
      <c r="E761" s="13"/>
      <c r="F761" s="44" t="s">
        <v>2905</v>
      </c>
      <c r="G761" s="43">
        <v>2.0</v>
      </c>
      <c r="H761" s="42"/>
      <c r="I761" s="43">
        <v>2.0</v>
      </c>
      <c r="J761" s="22"/>
      <c r="K761" s="42"/>
    </row>
    <row r="762" ht="39.75" customHeight="1">
      <c r="A762" s="1">
        <v>761.0</v>
      </c>
      <c r="B762" s="2" t="s">
        <v>331</v>
      </c>
      <c r="C762" s="2" t="s">
        <v>542</v>
      </c>
      <c r="D762" s="13"/>
      <c r="E762" s="13"/>
      <c r="F762" s="44" t="s">
        <v>2906</v>
      </c>
      <c r="G762" s="43">
        <v>1.0</v>
      </c>
      <c r="H762" s="42"/>
      <c r="I762" s="43">
        <v>1.0</v>
      </c>
      <c r="J762" s="22"/>
      <c r="K762" s="42"/>
    </row>
    <row r="763" ht="39.75" customHeight="1">
      <c r="A763" s="1">
        <v>762.0</v>
      </c>
      <c r="B763" s="2" t="s">
        <v>21</v>
      </c>
      <c r="C763" s="2"/>
      <c r="D763" s="13"/>
      <c r="E763" s="13"/>
      <c r="F763" s="44" t="s">
        <v>2907</v>
      </c>
      <c r="G763" s="43">
        <v>1.0</v>
      </c>
      <c r="H763" s="42"/>
      <c r="I763" s="42"/>
      <c r="J763" s="22"/>
      <c r="K763" s="42"/>
    </row>
    <row r="764" ht="66.0" customHeight="1">
      <c r="A764" s="1">
        <v>763.0</v>
      </c>
      <c r="B764" s="2" t="s">
        <v>22</v>
      </c>
      <c r="C764" s="2" t="s">
        <v>69</v>
      </c>
      <c r="D764" s="13"/>
      <c r="E764" s="13"/>
      <c r="F764" s="44" t="s">
        <v>2908</v>
      </c>
      <c r="G764" s="43">
        <v>1.0</v>
      </c>
      <c r="H764" s="42"/>
      <c r="I764" s="43">
        <v>1.0</v>
      </c>
      <c r="J764" s="22"/>
      <c r="K764" s="42"/>
    </row>
    <row r="765" ht="39.75" hidden="1" customHeight="1">
      <c r="A765" s="1">
        <v>764.0</v>
      </c>
      <c r="B765" s="2" t="s">
        <v>23</v>
      </c>
      <c r="C765" s="2" t="s">
        <v>58</v>
      </c>
      <c r="D765" s="13"/>
      <c r="E765" s="13"/>
      <c r="F765" s="45"/>
      <c r="G765" s="42"/>
      <c r="H765" s="42"/>
      <c r="I765" s="42"/>
      <c r="J765" s="22"/>
      <c r="K765" s="42"/>
    </row>
    <row r="766" ht="39.75" customHeight="1">
      <c r="A766" s="1">
        <v>765.0</v>
      </c>
      <c r="B766" s="2" t="s">
        <v>24</v>
      </c>
      <c r="C766" s="2" t="s">
        <v>63</v>
      </c>
      <c r="D766" s="13"/>
      <c r="E766" s="13"/>
      <c r="F766" s="44" t="s">
        <v>2909</v>
      </c>
      <c r="G766" s="43">
        <v>1.0</v>
      </c>
      <c r="H766" s="42"/>
      <c r="I766" s="42"/>
      <c r="J766" s="22"/>
      <c r="K766" s="42"/>
    </row>
    <row r="767" ht="87.0" customHeight="1">
      <c r="A767" s="1">
        <v>766.0</v>
      </c>
      <c r="B767" s="2" t="s">
        <v>25</v>
      </c>
      <c r="C767" s="2"/>
      <c r="D767" s="53">
        <v>0.3541666666666667</v>
      </c>
      <c r="E767" s="13"/>
      <c r="F767" s="44" t="s">
        <v>2910</v>
      </c>
      <c r="G767" s="43">
        <v>1.0</v>
      </c>
      <c r="H767" s="42"/>
      <c r="I767" s="43">
        <v>1.0</v>
      </c>
      <c r="J767" s="22"/>
      <c r="K767" s="42"/>
    </row>
    <row r="768" ht="59.25" customHeight="1">
      <c r="A768" s="1">
        <v>767.0</v>
      </c>
      <c r="B768" s="2" t="s">
        <v>26</v>
      </c>
      <c r="C768" s="2" t="s">
        <v>39</v>
      </c>
      <c r="D768" s="13"/>
      <c r="E768" s="13"/>
      <c r="F768" s="44" t="s">
        <v>2911</v>
      </c>
      <c r="G768" s="43">
        <v>1.0</v>
      </c>
      <c r="H768" s="42"/>
      <c r="I768" s="43">
        <v>1.0</v>
      </c>
      <c r="J768" s="22"/>
      <c r="K768" s="42"/>
    </row>
    <row r="769" ht="39.75" customHeight="1">
      <c r="A769" s="1">
        <v>768.0</v>
      </c>
      <c r="B769" s="2" t="s">
        <v>29</v>
      </c>
      <c r="C769" s="2" t="s">
        <v>44</v>
      </c>
      <c r="D769" s="13"/>
      <c r="E769" s="13"/>
      <c r="F769" s="45"/>
      <c r="G769" s="42"/>
      <c r="H769" s="42"/>
      <c r="I769" s="42"/>
      <c r="J769" s="22"/>
      <c r="K769" s="42"/>
    </row>
    <row r="770" ht="39.75" hidden="1" customHeight="1">
      <c r="A770" s="1">
        <v>769.0</v>
      </c>
      <c r="B770" s="2" t="s">
        <v>30</v>
      </c>
      <c r="C770" s="2" t="s">
        <v>58</v>
      </c>
      <c r="D770" s="13"/>
      <c r="E770" s="13"/>
      <c r="F770" s="45"/>
      <c r="G770" s="42"/>
      <c r="H770" s="42"/>
      <c r="I770" s="42"/>
      <c r="J770" s="22"/>
      <c r="K770" s="42"/>
    </row>
    <row r="771" ht="39.75" customHeight="1">
      <c r="A771" s="1">
        <v>770.0</v>
      </c>
      <c r="B771" s="2" t="s">
        <v>31</v>
      </c>
      <c r="C771" s="2" t="s">
        <v>54</v>
      </c>
      <c r="D771" s="13"/>
      <c r="E771" s="13"/>
      <c r="F771" s="44" t="s">
        <v>2912</v>
      </c>
      <c r="G771" s="43">
        <v>3.0</v>
      </c>
      <c r="H771" s="42"/>
      <c r="I771" s="43">
        <v>2.0</v>
      </c>
      <c r="J771" s="22"/>
      <c r="K771" s="42"/>
    </row>
    <row r="772" ht="39.75" customHeight="1">
      <c r="A772" s="1">
        <v>771.0</v>
      </c>
      <c r="B772" s="2" t="s">
        <v>32</v>
      </c>
      <c r="C772" s="2" t="s">
        <v>69</v>
      </c>
      <c r="D772" s="13"/>
      <c r="E772" s="13"/>
      <c r="F772" s="44" t="s">
        <v>2913</v>
      </c>
      <c r="G772" s="43">
        <v>1.0</v>
      </c>
      <c r="H772" s="42"/>
      <c r="I772" s="43">
        <v>1.0</v>
      </c>
      <c r="J772" s="22"/>
      <c r="K772" s="42"/>
    </row>
    <row r="773" ht="39.75" customHeight="1">
      <c r="A773" s="1">
        <v>772.0</v>
      </c>
      <c r="B773" s="2" t="s">
        <v>67</v>
      </c>
      <c r="C773" s="2"/>
      <c r="D773" s="13"/>
      <c r="E773" s="13"/>
      <c r="F773" s="44" t="s">
        <v>2914</v>
      </c>
      <c r="G773" s="43">
        <v>1.0</v>
      </c>
      <c r="H773" s="42"/>
      <c r="I773" s="43">
        <v>1.0</v>
      </c>
      <c r="J773" s="22"/>
      <c r="K773" s="42"/>
    </row>
    <row r="774" ht="39.75" hidden="1" customHeight="1">
      <c r="A774" s="1">
        <v>773.0</v>
      </c>
      <c r="B774" s="2" t="s">
        <v>35</v>
      </c>
      <c r="C774" s="2" t="s">
        <v>58</v>
      </c>
      <c r="D774" s="13"/>
      <c r="E774" s="13"/>
      <c r="F774" s="45"/>
      <c r="G774" s="42"/>
      <c r="H774" s="42"/>
      <c r="I774" s="42"/>
      <c r="J774" s="22"/>
      <c r="K774" s="42"/>
    </row>
    <row r="775" ht="39.75" customHeight="1">
      <c r="A775" s="1">
        <v>774.0</v>
      </c>
      <c r="B775" s="2" t="s">
        <v>36</v>
      </c>
      <c r="C775" s="2" t="s">
        <v>69</v>
      </c>
      <c r="D775" s="13"/>
      <c r="E775" s="13"/>
      <c r="F775" s="44" t="s">
        <v>2741</v>
      </c>
      <c r="G775" s="43">
        <v>1.0</v>
      </c>
      <c r="H775" s="42"/>
      <c r="I775" s="43">
        <v>1.0</v>
      </c>
      <c r="J775" s="22"/>
      <c r="K775" s="42"/>
    </row>
    <row r="776" ht="39.75" customHeight="1">
      <c r="A776" s="1">
        <v>775.0</v>
      </c>
      <c r="B776" s="2" t="s">
        <v>38</v>
      </c>
      <c r="C776" s="2"/>
      <c r="D776" s="13"/>
      <c r="E776" s="13"/>
      <c r="F776" s="44" t="s">
        <v>1285</v>
      </c>
      <c r="G776" s="43">
        <v>1.0</v>
      </c>
      <c r="H776" s="42"/>
      <c r="I776" s="43">
        <v>1.0</v>
      </c>
      <c r="J776" s="22"/>
      <c r="K776" s="42"/>
    </row>
    <row r="777" ht="39.75" hidden="1" customHeight="1">
      <c r="A777" s="1">
        <v>776.0</v>
      </c>
      <c r="B777" s="2" t="s">
        <v>41</v>
      </c>
      <c r="C777" s="2" t="s">
        <v>58</v>
      </c>
      <c r="D777" s="13"/>
      <c r="E777" s="13"/>
      <c r="F777" s="45"/>
      <c r="G777" s="42"/>
      <c r="H777" s="42"/>
      <c r="I777" s="42"/>
      <c r="J777" s="22"/>
      <c r="K777" s="42"/>
    </row>
    <row r="778" ht="39.75" customHeight="1">
      <c r="A778" s="1">
        <v>777.0</v>
      </c>
      <c r="B778" s="2" t="s">
        <v>42</v>
      </c>
      <c r="C778" s="2"/>
      <c r="D778" s="13"/>
      <c r="E778" s="13"/>
      <c r="F778" s="44" t="s">
        <v>2915</v>
      </c>
      <c r="G778" s="43">
        <v>2.0</v>
      </c>
      <c r="H778" s="42"/>
      <c r="I778" s="42"/>
      <c r="J778" s="22"/>
      <c r="K778" s="42"/>
    </row>
    <row r="779" ht="39.75" customHeight="1">
      <c r="A779" s="1">
        <v>778.0</v>
      </c>
      <c r="B779" s="2" t="s">
        <v>43</v>
      </c>
      <c r="C779" s="2" t="s">
        <v>54</v>
      </c>
      <c r="D779" s="13"/>
      <c r="E779" s="13"/>
      <c r="F779" s="44" t="s">
        <v>2916</v>
      </c>
      <c r="G779" s="43">
        <v>2.0</v>
      </c>
      <c r="H779" s="42"/>
      <c r="I779" s="43">
        <v>1.0</v>
      </c>
      <c r="J779" s="22"/>
      <c r="K779" s="42"/>
    </row>
    <row r="780" ht="39.75" customHeight="1">
      <c r="A780" s="1">
        <v>779.0</v>
      </c>
      <c r="B780" s="2" t="s">
        <v>45</v>
      </c>
      <c r="C780" s="2" t="s">
        <v>54</v>
      </c>
      <c r="D780" s="53">
        <v>0.3055555555555556</v>
      </c>
      <c r="E780" s="51">
        <v>0.8125</v>
      </c>
      <c r="F780" s="44" t="s">
        <v>2917</v>
      </c>
      <c r="G780" s="43">
        <v>1.0</v>
      </c>
      <c r="H780" s="42"/>
      <c r="I780" s="43"/>
      <c r="J780" s="22"/>
      <c r="K780" s="42"/>
    </row>
    <row r="781" ht="39.75" hidden="1" customHeight="1">
      <c r="A781" s="1">
        <v>780.0</v>
      </c>
      <c r="B781" s="2" t="s">
        <v>46</v>
      </c>
      <c r="C781" s="2" t="s">
        <v>66</v>
      </c>
      <c r="D781" s="13"/>
      <c r="E781" s="13"/>
      <c r="F781" s="45"/>
      <c r="G781" s="42"/>
      <c r="H781" s="42"/>
      <c r="I781" s="42"/>
      <c r="J781" s="22"/>
      <c r="K781" s="42"/>
    </row>
    <row r="782" ht="39.75" customHeight="1">
      <c r="A782" s="1">
        <v>781.0</v>
      </c>
      <c r="B782" s="2" t="s">
        <v>47</v>
      </c>
      <c r="C782" s="2" t="s">
        <v>39</v>
      </c>
      <c r="D782" s="13"/>
      <c r="E782" s="13"/>
      <c r="F782" s="44" t="s">
        <v>2691</v>
      </c>
      <c r="G782" s="43">
        <v>1.0</v>
      </c>
      <c r="H782" s="42"/>
      <c r="I782" s="43">
        <v>1.0</v>
      </c>
      <c r="J782" s="22"/>
      <c r="K782" s="42"/>
    </row>
    <row r="783" ht="39.75" customHeight="1">
      <c r="A783" s="1">
        <v>782.0</v>
      </c>
      <c r="B783" s="2" t="s">
        <v>48</v>
      </c>
      <c r="C783" s="2" t="s">
        <v>27</v>
      </c>
      <c r="D783" s="13"/>
      <c r="E783" s="13"/>
      <c r="F783" s="45"/>
      <c r="G783" s="42"/>
      <c r="H783" s="42"/>
      <c r="I783" s="42"/>
      <c r="J783" s="22"/>
      <c r="K783" s="42"/>
    </row>
    <row r="784" ht="39.75" customHeight="1">
      <c r="A784" s="1">
        <v>783.0</v>
      </c>
      <c r="B784" s="21"/>
      <c r="C784" s="21"/>
      <c r="D784" s="21"/>
      <c r="E784" s="21"/>
      <c r="F784" s="46"/>
      <c r="G784" s="47"/>
      <c r="H784" s="47"/>
      <c r="I784" s="47"/>
      <c r="J784" s="48"/>
      <c r="K784" s="47"/>
      <c r="L784" s="49"/>
      <c r="M784" s="49"/>
      <c r="N784" s="49"/>
    </row>
    <row r="785" ht="39.75" customHeight="1">
      <c r="A785" s="1">
        <v>784.0</v>
      </c>
      <c r="B785" s="2" t="s">
        <v>12</v>
      </c>
      <c r="C785" s="2" t="s">
        <v>62</v>
      </c>
      <c r="D785" s="13"/>
      <c r="E785" s="13"/>
      <c r="F785" s="45"/>
      <c r="G785" s="42"/>
      <c r="H785" s="42"/>
      <c r="I785" s="42"/>
      <c r="J785" s="27" t="s">
        <v>2570</v>
      </c>
      <c r="K785" s="42"/>
      <c r="L785" s="15" t="s">
        <v>467</v>
      </c>
    </row>
    <row r="786" ht="39.75" customHeight="1">
      <c r="A786" s="1">
        <v>785.0</v>
      </c>
      <c r="B786" s="2" t="s">
        <v>16</v>
      </c>
      <c r="C786" s="2" t="s">
        <v>54</v>
      </c>
      <c r="D786" s="13"/>
      <c r="E786" s="13"/>
      <c r="F786" s="44" t="s">
        <v>2918</v>
      </c>
      <c r="G786" s="43">
        <v>1.0</v>
      </c>
      <c r="H786" s="43">
        <v>1.0</v>
      </c>
      <c r="I786" s="42"/>
      <c r="J786" s="27" t="s">
        <v>467</v>
      </c>
      <c r="K786" s="43"/>
    </row>
    <row r="787" ht="39.75" hidden="1" customHeight="1">
      <c r="A787" s="1">
        <v>786.0</v>
      </c>
      <c r="B787" s="2" t="s">
        <v>116</v>
      </c>
      <c r="C787" s="2" t="s">
        <v>66</v>
      </c>
      <c r="D787" s="13"/>
      <c r="E787" s="13"/>
      <c r="F787" s="45"/>
      <c r="G787" s="42"/>
      <c r="H787" s="42"/>
      <c r="I787" s="42"/>
      <c r="J787" s="27" t="s">
        <v>95</v>
      </c>
      <c r="K787" s="42"/>
    </row>
    <row r="788" ht="39.75" customHeight="1">
      <c r="A788" s="1">
        <v>787.0</v>
      </c>
      <c r="B788" s="2" t="s">
        <v>17</v>
      </c>
      <c r="C788" s="2" t="s">
        <v>27</v>
      </c>
      <c r="D788" s="13"/>
      <c r="E788" s="13"/>
      <c r="F788" s="44" t="s">
        <v>2919</v>
      </c>
      <c r="G788" s="43">
        <v>1.0</v>
      </c>
      <c r="H788" s="42"/>
      <c r="I788" s="42"/>
      <c r="J788" s="22"/>
      <c r="K788" s="42"/>
    </row>
    <row r="789" ht="39.75" customHeight="1">
      <c r="A789" s="1">
        <v>788.0</v>
      </c>
      <c r="B789" s="2" t="s">
        <v>331</v>
      </c>
      <c r="C789" s="2" t="s">
        <v>542</v>
      </c>
      <c r="D789" s="13"/>
      <c r="E789" s="13"/>
      <c r="F789" s="44" t="s">
        <v>2920</v>
      </c>
      <c r="G789" s="43">
        <v>2.0</v>
      </c>
      <c r="H789" s="42"/>
      <c r="I789" s="42"/>
      <c r="J789" s="22"/>
      <c r="K789" s="42"/>
    </row>
    <row r="790" ht="39.75" customHeight="1">
      <c r="A790" s="1">
        <v>789.0</v>
      </c>
      <c r="B790" s="2" t="s">
        <v>21</v>
      </c>
      <c r="C790" s="2"/>
      <c r="D790" s="13"/>
      <c r="E790" s="13"/>
      <c r="F790" s="44" t="s">
        <v>2921</v>
      </c>
      <c r="G790" s="43">
        <v>2.0</v>
      </c>
      <c r="H790" s="42"/>
      <c r="I790" s="43">
        <v>1.0</v>
      </c>
      <c r="J790" s="22"/>
      <c r="K790" s="42"/>
    </row>
    <row r="791" ht="39.75" customHeight="1">
      <c r="A791" s="1">
        <v>790.0</v>
      </c>
      <c r="B791" s="2" t="s">
        <v>22</v>
      </c>
      <c r="C791" s="2" t="s">
        <v>39</v>
      </c>
      <c r="D791" s="13"/>
      <c r="E791" s="13"/>
      <c r="F791" s="44" t="s">
        <v>2911</v>
      </c>
      <c r="G791" s="43">
        <v>1.0</v>
      </c>
      <c r="H791" s="42"/>
      <c r="I791" s="43">
        <v>1.0</v>
      </c>
      <c r="J791" s="22"/>
      <c r="K791" s="42"/>
    </row>
    <row r="792" ht="39.75" hidden="1" customHeight="1">
      <c r="A792" s="1">
        <v>791.0</v>
      </c>
      <c r="B792" s="2" t="s">
        <v>23</v>
      </c>
      <c r="C792" s="2" t="s">
        <v>58</v>
      </c>
      <c r="D792" s="13"/>
      <c r="E792" s="13"/>
      <c r="F792" s="45"/>
      <c r="G792" s="42"/>
      <c r="H792" s="42"/>
      <c r="I792" s="42"/>
      <c r="J792" s="22"/>
      <c r="K792" s="42"/>
    </row>
    <row r="793" ht="39.75" customHeight="1">
      <c r="A793" s="1">
        <v>792.0</v>
      </c>
      <c r="B793" s="2" t="s">
        <v>24</v>
      </c>
      <c r="C793" s="2" t="s">
        <v>63</v>
      </c>
      <c r="D793" s="13"/>
      <c r="E793" s="13"/>
      <c r="F793" s="45"/>
      <c r="G793" s="42"/>
      <c r="H793" s="42"/>
      <c r="I793" s="42"/>
      <c r="J793" s="22"/>
      <c r="K793" s="42"/>
    </row>
    <row r="794" ht="70.5" customHeight="1">
      <c r="A794" s="1">
        <v>793.0</v>
      </c>
      <c r="B794" s="2" t="s">
        <v>25</v>
      </c>
      <c r="C794" s="2"/>
      <c r="D794" s="13"/>
      <c r="E794" s="13"/>
      <c r="F794" s="44" t="s">
        <v>2922</v>
      </c>
      <c r="G794" s="43">
        <v>1.0</v>
      </c>
      <c r="H794" s="42"/>
      <c r="I794" s="42"/>
      <c r="J794" s="22"/>
      <c r="K794" s="42"/>
    </row>
    <row r="795" ht="39.75" hidden="1" customHeight="1">
      <c r="A795" s="1">
        <v>794.0</v>
      </c>
      <c r="B795" s="2" t="s">
        <v>26</v>
      </c>
      <c r="C795" s="2" t="s">
        <v>66</v>
      </c>
      <c r="D795" s="13"/>
      <c r="E795" s="13"/>
      <c r="F795" s="45"/>
      <c r="G795" s="42"/>
      <c r="H795" s="42"/>
      <c r="I795" s="42"/>
      <c r="J795" s="22"/>
      <c r="K795" s="42"/>
    </row>
    <row r="796" ht="39.75" hidden="1" customHeight="1">
      <c r="A796" s="1">
        <v>795.0</v>
      </c>
      <c r="B796" s="2" t="s">
        <v>29</v>
      </c>
      <c r="C796" s="2" t="s">
        <v>58</v>
      </c>
      <c r="D796" s="13"/>
      <c r="E796" s="13"/>
      <c r="F796" s="45"/>
      <c r="G796" s="42"/>
      <c r="H796" s="42"/>
      <c r="I796" s="42"/>
      <c r="J796" s="22"/>
      <c r="K796" s="42"/>
    </row>
    <row r="797" ht="39.75" hidden="1" customHeight="1">
      <c r="A797" s="1">
        <v>796.0</v>
      </c>
      <c r="B797" s="2" t="s">
        <v>30</v>
      </c>
      <c r="C797" s="2" t="s">
        <v>58</v>
      </c>
      <c r="D797" s="13"/>
      <c r="E797" s="13"/>
      <c r="F797" s="45"/>
      <c r="G797" s="42"/>
      <c r="H797" s="42"/>
      <c r="I797" s="42"/>
      <c r="J797" s="22"/>
      <c r="K797" s="42"/>
    </row>
    <row r="798" ht="39.75" customHeight="1">
      <c r="A798" s="1">
        <v>797.0</v>
      </c>
      <c r="B798" s="2" t="s">
        <v>31</v>
      </c>
      <c r="C798" s="2" t="s">
        <v>54</v>
      </c>
      <c r="D798" s="13"/>
      <c r="E798" s="13"/>
      <c r="F798" s="44" t="s">
        <v>472</v>
      </c>
      <c r="G798" s="42"/>
      <c r="H798" s="42"/>
      <c r="I798" s="42"/>
      <c r="J798" s="22"/>
      <c r="K798" s="42"/>
    </row>
    <row r="799" ht="39.75" customHeight="1">
      <c r="A799" s="1">
        <v>798.0</v>
      </c>
      <c r="B799" s="2" t="s">
        <v>32</v>
      </c>
      <c r="C799" s="2" t="s">
        <v>39</v>
      </c>
      <c r="D799" s="13"/>
      <c r="E799" s="13"/>
      <c r="F799" s="44" t="s">
        <v>2664</v>
      </c>
      <c r="G799" s="43">
        <v>1.0</v>
      </c>
      <c r="H799" s="42"/>
      <c r="I799" s="43">
        <v>1.0</v>
      </c>
      <c r="J799" s="22"/>
      <c r="K799" s="42"/>
    </row>
    <row r="800" ht="39.75" customHeight="1">
      <c r="A800" s="1">
        <v>799.0</v>
      </c>
      <c r="B800" s="2" t="s">
        <v>67</v>
      </c>
      <c r="C800" s="2" t="s">
        <v>69</v>
      </c>
      <c r="D800" s="13"/>
      <c r="E800" s="40">
        <v>0.8402777777777778</v>
      </c>
      <c r="F800" s="44" t="s">
        <v>2923</v>
      </c>
      <c r="G800" s="43">
        <v>2.0</v>
      </c>
      <c r="H800" s="42"/>
      <c r="I800" s="43">
        <v>1.0</v>
      </c>
      <c r="J800" s="22"/>
      <c r="K800" s="42"/>
    </row>
    <row r="801" ht="39.75" hidden="1" customHeight="1">
      <c r="A801" s="1">
        <v>800.0</v>
      </c>
      <c r="B801" s="2" t="s">
        <v>35</v>
      </c>
      <c r="C801" s="2" t="s">
        <v>58</v>
      </c>
      <c r="D801" s="13"/>
      <c r="E801" s="13"/>
      <c r="F801" s="45"/>
      <c r="G801" s="42"/>
      <c r="H801" s="42"/>
      <c r="I801" s="42"/>
      <c r="J801" s="22"/>
      <c r="K801" s="42"/>
    </row>
    <row r="802" ht="39.75" customHeight="1">
      <c r="A802" s="1">
        <v>801.0</v>
      </c>
      <c r="B802" s="2" t="s">
        <v>36</v>
      </c>
      <c r="C802" s="13"/>
      <c r="D802" s="13"/>
      <c r="E802" s="13"/>
      <c r="F802" s="44" t="s">
        <v>1285</v>
      </c>
      <c r="G802" s="43">
        <v>1.0</v>
      </c>
      <c r="H802" s="42"/>
      <c r="I802" s="43">
        <v>1.0</v>
      </c>
      <c r="J802" s="22"/>
      <c r="K802" s="42"/>
    </row>
    <row r="803" ht="39.75" customHeight="1">
      <c r="A803" s="1">
        <v>802.0</v>
      </c>
      <c r="B803" s="2" t="s">
        <v>38</v>
      </c>
      <c r="C803" s="2"/>
      <c r="D803" s="13"/>
      <c r="E803" s="13"/>
      <c r="F803" s="44" t="s">
        <v>2924</v>
      </c>
      <c r="G803" s="43">
        <v>1.0</v>
      </c>
      <c r="H803" s="42"/>
      <c r="I803" s="43">
        <v>1.0</v>
      </c>
      <c r="J803" s="22"/>
      <c r="K803" s="42"/>
    </row>
    <row r="804" ht="39.75" hidden="1" customHeight="1">
      <c r="A804" s="1">
        <v>803.0</v>
      </c>
      <c r="B804" s="2" t="s">
        <v>41</v>
      </c>
      <c r="C804" s="2" t="s">
        <v>58</v>
      </c>
      <c r="D804" s="13"/>
      <c r="E804" s="13"/>
      <c r="F804" s="45"/>
      <c r="G804" s="42"/>
      <c r="H804" s="42"/>
      <c r="I804" s="42"/>
      <c r="J804" s="22"/>
      <c r="K804" s="42"/>
    </row>
    <row r="805" ht="39.75" customHeight="1">
      <c r="A805" s="1">
        <v>804.0</v>
      </c>
      <c r="B805" s="2" t="s">
        <v>42</v>
      </c>
      <c r="C805" s="2" t="s">
        <v>69</v>
      </c>
      <c r="D805" s="13"/>
      <c r="E805" s="40">
        <v>0.8680555555555556</v>
      </c>
      <c r="F805" s="44" t="s">
        <v>2925</v>
      </c>
      <c r="G805" s="43">
        <v>2.0</v>
      </c>
      <c r="H805" s="42"/>
      <c r="I805" s="43">
        <v>1.0</v>
      </c>
      <c r="J805" s="22"/>
      <c r="K805" s="42"/>
    </row>
    <row r="806" ht="39.75" customHeight="1">
      <c r="A806" s="1">
        <v>805.0</v>
      </c>
      <c r="B806" s="2" t="s">
        <v>43</v>
      </c>
      <c r="C806" s="2" t="s">
        <v>54</v>
      </c>
      <c r="D806" s="53">
        <v>0.2916666666666667</v>
      </c>
      <c r="E806" s="13"/>
      <c r="F806" s="44" t="s">
        <v>2926</v>
      </c>
      <c r="G806" s="43">
        <v>1.0</v>
      </c>
      <c r="H806" s="42"/>
      <c r="I806" s="43">
        <v>1.0</v>
      </c>
      <c r="J806" s="22"/>
      <c r="K806" s="42"/>
    </row>
    <row r="807" ht="39.75" customHeight="1">
      <c r="A807" s="1">
        <v>806.0</v>
      </c>
      <c r="B807" s="2" t="s">
        <v>45</v>
      </c>
      <c r="C807" s="2" t="s">
        <v>54</v>
      </c>
      <c r="D807" s="13"/>
      <c r="E807" s="13"/>
      <c r="F807" s="44" t="s">
        <v>2927</v>
      </c>
      <c r="G807" s="43">
        <v>1.0</v>
      </c>
      <c r="H807" s="42"/>
      <c r="I807" s="42"/>
      <c r="J807" s="22"/>
      <c r="K807" s="42"/>
    </row>
    <row r="808" ht="39.75" customHeight="1">
      <c r="A808" s="1">
        <v>807.0</v>
      </c>
      <c r="B808" s="2" t="s">
        <v>46</v>
      </c>
      <c r="C808" s="2" t="s">
        <v>69</v>
      </c>
      <c r="D808" s="13"/>
      <c r="E808" s="40">
        <v>0.8229166666666666</v>
      </c>
      <c r="F808" s="44" t="s">
        <v>2928</v>
      </c>
      <c r="G808" s="42"/>
      <c r="H808" s="42"/>
      <c r="I808" s="42"/>
      <c r="J808" s="22"/>
      <c r="K808" s="42"/>
    </row>
    <row r="809" ht="39.75" hidden="1" customHeight="1">
      <c r="A809" s="1">
        <v>808.0</v>
      </c>
      <c r="B809" s="2" t="s">
        <v>47</v>
      </c>
      <c r="C809" s="2" t="s">
        <v>58</v>
      </c>
      <c r="D809" s="13"/>
      <c r="E809" s="13"/>
      <c r="F809" s="45"/>
      <c r="G809" s="42"/>
      <c r="H809" s="42"/>
      <c r="I809" s="42"/>
      <c r="J809" s="22"/>
      <c r="K809" s="42"/>
    </row>
    <row r="810" ht="39.75" customHeight="1">
      <c r="A810" s="1">
        <v>809.0</v>
      </c>
      <c r="B810" s="2" t="s">
        <v>48</v>
      </c>
      <c r="C810" s="2" t="s">
        <v>44</v>
      </c>
      <c r="D810" s="13"/>
      <c r="E810" s="13"/>
      <c r="F810" s="45"/>
      <c r="G810" s="42"/>
      <c r="H810" s="42"/>
      <c r="I810" s="42"/>
      <c r="J810" s="22"/>
      <c r="K810" s="42"/>
    </row>
    <row r="811" ht="39.75" customHeight="1">
      <c r="A811" s="1">
        <v>810.0</v>
      </c>
      <c r="B811" s="21"/>
      <c r="C811" s="21"/>
      <c r="D811" s="21"/>
      <c r="E811" s="21"/>
      <c r="F811" s="46"/>
      <c r="G811" s="47"/>
      <c r="H811" s="47"/>
      <c r="I811" s="47"/>
      <c r="J811" s="48"/>
      <c r="K811" s="47"/>
      <c r="L811" s="49"/>
      <c r="M811" s="49"/>
      <c r="N811" s="49"/>
    </row>
    <row r="812" ht="39.75" customHeight="1">
      <c r="A812" s="1">
        <v>811.0</v>
      </c>
      <c r="B812" s="2" t="s">
        <v>12</v>
      </c>
      <c r="C812" s="2" t="s">
        <v>62</v>
      </c>
      <c r="D812" s="13"/>
      <c r="E812" s="13"/>
      <c r="F812" s="45"/>
      <c r="G812" s="42"/>
      <c r="H812" s="42"/>
      <c r="I812" s="42"/>
      <c r="J812" s="27" t="s">
        <v>2570</v>
      </c>
      <c r="K812" s="42"/>
      <c r="L812" s="15" t="s">
        <v>477</v>
      </c>
    </row>
    <row r="813" ht="39.75" customHeight="1">
      <c r="A813" s="1">
        <v>812.0</v>
      </c>
      <c r="B813" s="2" t="s">
        <v>16</v>
      </c>
      <c r="C813" s="2" t="s">
        <v>54</v>
      </c>
      <c r="D813" s="13"/>
      <c r="E813" s="13"/>
      <c r="F813" s="44" t="s">
        <v>2929</v>
      </c>
      <c r="G813" s="43">
        <v>1.0</v>
      </c>
      <c r="H813" s="42"/>
      <c r="I813" s="43">
        <v>1.0</v>
      </c>
      <c r="J813" s="27" t="s">
        <v>477</v>
      </c>
      <c r="K813" s="43"/>
    </row>
    <row r="814" ht="39.75" customHeight="1">
      <c r="A814" s="1">
        <v>813.0</v>
      </c>
      <c r="B814" s="2" t="s">
        <v>116</v>
      </c>
      <c r="C814" s="2"/>
      <c r="D814" s="13"/>
      <c r="E814" s="13"/>
      <c r="F814" s="44" t="s">
        <v>2930</v>
      </c>
      <c r="G814" s="43">
        <v>2.0</v>
      </c>
      <c r="H814" s="42"/>
      <c r="I814" s="42"/>
      <c r="J814" s="27" t="s">
        <v>111</v>
      </c>
      <c r="K814" s="42"/>
    </row>
    <row r="815" ht="39.75" customHeight="1">
      <c r="A815" s="1">
        <v>814.0</v>
      </c>
      <c r="B815" s="2" t="s">
        <v>17</v>
      </c>
      <c r="C815" s="2" t="s">
        <v>44</v>
      </c>
      <c r="D815" s="13"/>
      <c r="E815" s="13"/>
      <c r="F815" s="44"/>
      <c r="G815" s="42"/>
      <c r="H815" s="42"/>
      <c r="I815" s="42"/>
      <c r="J815" s="22"/>
      <c r="K815" s="42"/>
    </row>
    <row r="816" ht="39.75" customHeight="1">
      <c r="A816" s="1">
        <v>815.0</v>
      </c>
      <c r="B816" s="2" t="s">
        <v>331</v>
      </c>
      <c r="C816" s="2" t="s">
        <v>542</v>
      </c>
      <c r="D816" s="13"/>
      <c r="E816" s="13"/>
      <c r="F816" s="44" t="s">
        <v>2931</v>
      </c>
      <c r="G816" s="43">
        <v>1.0</v>
      </c>
      <c r="H816" s="42"/>
      <c r="I816" s="42"/>
      <c r="J816" s="22"/>
      <c r="K816" s="42"/>
    </row>
    <row r="817" ht="39.75" customHeight="1">
      <c r="A817" s="1">
        <v>816.0</v>
      </c>
      <c r="B817" s="2" t="s">
        <v>21</v>
      </c>
      <c r="C817" s="2" t="s">
        <v>63</v>
      </c>
      <c r="D817" s="13"/>
      <c r="E817" s="13"/>
      <c r="F817" s="45"/>
      <c r="G817" s="42"/>
      <c r="H817" s="42"/>
      <c r="I817" s="42"/>
      <c r="J817" s="22"/>
      <c r="K817" s="42"/>
    </row>
    <row r="818" ht="39.75" customHeight="1">
      <c r="A818" s="1">
        <v>817.0</v>
      </c>
      <c r="B818" s="2" t="s">
        <v>22</v>
      </c>
      <c r="C818" s="2" t="s">
        <v>27</v>
      </c>
      <c r="D818" s="13"/>
      <c r="E818" s="13"/>
      <c r="F818" s="44" t="s">
        <v>2932</v>
      </c>
      <c r="G818" s="43">
        <v>1.0</v>
      </c>
      <c r="H818" s="42"/>
      <c r="I818" s="43">
        <v>1.0</v>
      </c>
      <c r="J818" s="22"/>
      <c r="K818" s="42"/>
    </row>
    <row r="819" ht="39.75" hidden="1" customHeight="1">
      <c r="A819" s="1">
        <v>818.0</v>
      </c>
      <c r="B819" s="2" t="s">
        <v>23</v>
      </c>
      <c r="C819" s="2" t="s">
        <v>58</v>
      </c>
      <c r="D819" s="13"/>
      <c r="E819" s="13"/>
      <c r="F819" s="45"/>
      <c r="G819" s="42"/>
      <c r="H819" s="42"/>
      <c r="I819" s="42"/>
      <c r="J819" s="22"/>
      <c r="K819" s="42"/>
    </row>
    <row r="820" ht="39.75" customHeight="1">
      <c r="A820" s="1">
        <v>819.0</v>
      </c>
      <c r="B820" s="2" t="s">
        <v>24</v>
      </c>
      <c r="C820" s="2" t="s">
        <v>63</v>
      </c>
      <c r="D820" s="13"/>
      <c r="E820" s="13"/>
      <c r="F820" s="44" t="s">
        <v>2549</v>
      </c>
      <c r="G820" s="43">
        <v>1.0</v>
      </c>
      <c r="H820" s="42"/>
      <c r="I820" s="42"/>
      <c r="J820" s="22"/>
      <c r="K820" s="42"/>
    </row>
    <row r="821" ht="39.75" customHeight="1">
      <c r="A821" s="1">
        <v>820.0</v>
      </c>
      <c r="B821" s="2" t="s">
        <v>25</v>
      </c>
      <c r="C821" s="2" t="s">
        <v>69</v>
      </c>
      <c r="D821" s="13"/>
      <c r="E821" s="40">
        <v>0.8402777777777778</v>
      </c>
      <c r="F821" s="44" t="s">
        <v>2933</v>
      </c>
      <c r="G821" s="43">
        <v>1.0</v>
      </c>
      <c r="H821" s="42"/>
      <c r="I821" s="42"/>
      <c r="J821" s="22"/>
      <c r="K821" s="42"/>
    </row>
    <row r="822" ht="39.75" customHeight="1">
      <c r="A822" s="1">
        <v>821.0</v>
      </c>
      <c r="B822" s="2" t="s">
        <v>26</v>
      </c>
      <c r="C822" s="2"/>
      <c r="D822" s="13"/>
      <c r="E822" s="13"/>
      <c r="F822" s="44" t="s">
        <v>2934</v>
      </c>
      <c r="G822" s="43">
        <v>1.0</v>
      </c>
      <c r="H822" s="42"/>
      <c r="I822" s="42"/>
      <c r="J822" s="22"/>
      <c r="K822" s="42"/>
    </row>
    <row r="823" ht="39.75" hidden="1" customHeight="1">
      <c r="A823" s="1">
        <v>822.0</v>
      </c>
      <c r="B823" s="2" t="s">
        <v>29</v>
      </c>
      <c r="C823" s="2" t="s">
        <v>58</v>
      </c>
      <c r="D823" s="13"/>
      <c r="E823" s="13"/>
      <c r="F823" s="45"/>
      <c r="G823" s="42"/>
      <c r="H823" s="42"/>
      <c r="I823" s="42"/>
      <c r="J823" s="22"/>
      <c r="K823" s="42"/>
    </row>
    <row r="824" ht="39.75" hidden="1" customHeight="1">
      <c r="A824" s="1">
        <v>823.0</v>
      </c>
      <c r="B824" s="2" t="s">
        <v>30</v>
      </c>
      <c r="C824" s="2" t="s">
        <v>58</v>
      </c>
      <c r="D824" s="13"/>
      <c r="E824" s="13"/>
      <c r="F824" s="45"/>
      <c r="G824" s="42"/>
      <c r="H824" s="42"/>
      <c r="I824" s="42"/>
      <c r="J824" s="22"/>
      <c r="K824" s="42"/>
    </row>
    <row r="825" ht="39.75" customHeight="1">
      <c r="A825" s="1">
        <v>824.0</v>
      </c>
      <c r="B825" s="2" t="s">
        <v>31</v>
      </c>
      <c r="C825" s="2" t="s">
        <v>54</v>
      </c>
      <c r="D825" s="13"/>
      <c r="E825" s="13"/>
      <c r="F825" s="44" t="s">
        <v>2935</v>
      </c>
      <c r="G825" s="43">
        <v>2.0</v>
      </c>
      <c r="H825" s="42"/>
      <c r="I825" s="43">
        <v>2.0</v>
      </c>
      <c r="J825" s="22"/>
      <c r="K825" s="42"/>
    </row>
    <row r="826" ht="39.75" customHeight="1">
      <c r="A826" s="1">
        <v>825.0</v>
      </c>
      <c r="B826" s="2" t="s">
        <v>32</v>
      </c>
      <c r="C826" s="2"/>
      <c r="D826" s="13"/>
      <c r="E826" s="13"/>
      <c r="F826" s="44" t="s">
        <v>2936</v>
      </c>
      <c r="G826" s="43">
        <v>1.0</v>
      </c>
      <c r="H826" s="42"/>
      <c r="I826" s="43">
        <v>1.0</v>
      </c>
      <c r="J826" s="22"/>
      <c r="K826" s="42"/>
    </row>
    <row r="827" ht="39.75" customHeight="1">
      <c r="A827" s="1">
        <v>826.0</v>
      </c>
      <c r="B827" s="2" t="s">
        <v>67</v>
      </c>
      <c r="C827" s="2" t="s">
        <v>69</v>
      </c>
      <c r="D827" s="13"/>
      <c r="E827" s="40">
        <v>0.8125</v>
      </c>
      <c r="F827" s="44" t="s">
        <v>2937</v>
      </c>
      <c r="G827" s="43">
        <v>2.0</v>
      </c>
      <c r="H827" s="42"/>
      <c r="I827" s="43">
        <v>2.0</v>
      </c>
      <c r="J827" s="22"/>
      <c r="K827" s="42"/>
    </row>
    <row r="828" ht="39.75" hidden="1" customHeight="1">
      <c r="A828" s="1">
        <v>827.0</v>
      </c>
      <c r="B828" s="2" t="s">
        <v>35</v>
      </c>
      <c r="C828" s="2" t="s">
        <v>58</v>
      </c>
      <c r="D828" s="13"/>
      <c r="E828" s="13"/>
      <c r="F828" s="45"/>
      <c r="G828" s="42"/>
      <c r="H828" s="42"/>
      <c r="I828" s="42"/>
      <c r="J828" s="22"/>
      <c r="K828" s="42"/>
    </row>
    <row r="829" ht="39.75" customHeight="1">
      <c r="A829" s="1">
        <v>828.0</v>
      </c>
      <c r="B829" s="2" t="s">
        <v>36</v>
      </c>
      <c r="C829" s="2" t="s">
        <v>39</v>
      </c>
      <c r="D829" s="13"/>
      <c r="E829" s="13"/>
      <c r="F829" s="44" t="s">
        <v>2938</v>
      </c>
      <c r="G829" s="43">
        <v>1.0</v>
      </c>
      <c r="H829" s="42"/>
      <c r="I829" s="42"/>
      <c r="J829" s="22"/>
      <c r="K829" s="42"/>
    </row>
    <row r="830" ht="39.75" customHeight="1">
      <c r="A830" s="1">
        <v>829.0</v>
      </c>
      <c r="B830" s="2" t="s">
        <v>38</v>
      </c>
      <c r="C830" s="2"/>
      <c r="D830" s="13"/>
      <c r="E830" s="13"/>
      <c r="F830" s="44" t="s">
        <v>2939</v>
      </c>
      <c r="G830" s="43">
        <v>1.0</v>
      </c>
      <c r="H830" s="42"/>
      <c r="I830" s="42"/>
      <c r="J830" s="22"/>
      <c r="K830" s="42"/>
    </row>
    <row r="831" ht="39.75" hidden="1" customHeight="1">
      <c r="A831" s="1">
        <v>830.0</v>
      </c>
      <c r="B831" s="2" t="s">
        <v>41</v>
      </c>
      <c r="C831" s="2" t="s">
        <v>58</v>
      </c>
      <c r="D831" s="13"/>
      <c r="E831" s="13"/>
      <c r="F831" s="45"/>
      <c r="G831" s="42"/>
      <c r="H831" s="42"/>
      <c r="I831" s="42"/>
      <c r="J831" s="22"/>
      <c r="K831" s="42"/>
    </row>
    <row r="832" ht="39.75" customHeight="1">
      <c r="A832" s="1">
        <v>831.0</v>
      </c>
      <c r="B832" s="2" t="s">
        <v>42</v>
      </c>
      <c r="C832" s="2" t="s">
        <v>39</v>
      </c>
      <c r="D832" s="13"/>
      <c r="E832" s="13"/>
      <c r="F832" s="44" t="s">
        <v>2664</v>
      </c>
      <c r="G832" s="43">
        <v>1.0</v>
      </c>
      <c r="H832" s="42"/>
      <c r="I832" s="43">
        <v>1.0</v>
      </c>
      <c r="J832" s="22"/>
      <c r="K832" s="42"/>
    </row>
    <row r="833" ht="39.75" hidden="1" customHeight="1">
      <c r="A833" s="1">
        <v>832.0</v>
      </c>
      <c r="B833" s="2" t="s">
        <v>43</v>
      </c>
      <c r="C833" s="2" t="s">
        <v>66</v>
      </c>
      <c r="D833" s="13"/>
      <c r="E833" s="13"/>
      <c r="F833" s="45"/>
      <c r="G833" s="42"/>
      <c r="H833" s="42"/>
      <c r="I833" s="42"/>
      <c r="J833" s="22"/>
      <c r="K833" s="42"/>
    </row>
    <row r="834" ht="39.75" customHeight="1">
      <c r="A834" s="1">
        <v>833.0</v>
      </c>
      <c r="B834" s="2" t="s">
        <v>45</v>
      </c>
      <c r="C834" s="2" t="s">
        <v>54</v>
      </c>
      <c r="D834" s="13"/>
      <c r="E834" s="13"/>
      <c r="F834" s="44" t="s">
        <v>2940</v>
      </c>
      <c r="G834" s="43">
        <v>1.0</v>
      </c>
      <c r="H834" s="42"/>
      <c r="I834" s="43">
        <v>1.0</v>
      </c>
      <c r="J834" s="22"/>
      <c r="K834" s="42"/>
    </row>
    <row r="835" ht="39.75" customHeight="1">
      <c r="A835" s="1">
        <v>834.0</v>
      </c>
      <c r="B835" s="2" t="s">
        <v>46</v>
      </c>
      <c r="C835" s="13"/>
      <c r="D835" s="13"/>
      <c r="E835" s="13"/>
      <c r="F835" s="44" t="s">
        <v>2941</v>
      </c>
      <c r="G835" s="43">
        <v>1.0</v>
      </c>
      <c r="H835" s="42"/>
      <c r="I835" s="43">
        <v>1.0</v>
      </c>
      <c r="J835" s="22"/>
      <c r="K835" s="42"/>
    </row>
    <row r="836" ht="39.75" customHeight="1">
      <c r="A836" s="1">
        <v>835.0</v>
      </c>
      <c r="B836" s="2" t="s">
        <v>47</v>
      </c>
      <c r="C836" s="2" t="s">
        <v>69</v>
      </c>
      <c r="D836" s="13"/>
      <c r="E836" s="13"/>
      <c r="F836" s="44" t="s">
        <v>2942</v>
      </c>
      <c r="G836" s="43">
        <v>1.0</v>
      </c>
      <c r="H836" s="42"/>
      <c r="I836" s="43">
        <v>1.0</v>
      </c>
      <c r="J836" s="22"/>
      <c r="K836" s="42"/>
    </row>
    <row r="837" ht="39.75" customHeight="1">
      <c r="A837" s="1">
        <v>836.0</v>
      </c>
      <c r="B837" s="2" t="s">
        <v>48</v>
      </c>
      <c r="C837" s="2" t="s">
        <v>54</v>
      </c>
      <c r="D837" s="13"/>
      <c r="E837" s="13"/>
      <c r="F837" s="44" t="s">
        <v>2943</v>
      </c>
      <c r="G837" s="43">
        <v>1.0</v>
      </c>
      <c r="H837" s="42"/>
      <c r="I837" s="42"/>
      <c r="J837" s="22"/>
      <c r="K837" s="42"/>
    </row>
    <row r="838" ht="39.75" customHeight="1">
      <c r="A838" s="1">
        <v>837.0</v>
      </c>
      <c r="B838" s="21"/>
      <c r="C838" s="21"/>
      <c r="D838" s="21"/>
      <c r="E838" s="21"/>
      <c r="F838" s="46"/>
      <c r="G838" s="47"/>
      <c r="H838" s="47"/>
      <c r="I838" s="47"/>
      <c r="J838" s="48"/>
      <c r="K838" s="47"/>
      <c r="L838" s="49"/>
      <c r="M838" s="49"/>
      <c r="N838" s="49"/>
    </row>
    <row r="839" ht="39.75" hidden="1" customHeight="1">
      <c r="A839" s="1"/>
      <c r="B839" s="2" t="s">
        <v>12</v>
      </c>
      <c r="C839" s="21"/>
      <c r="D839" s="21"/>
      <c r="E839" s="21"/>
      <c r="F839" s="46"/>
      <c r="G839" s="62">
        <f>SUMIF(B3:B837,"*이동현*",G3:G837)</f>
        <v>11</v>
      </c>
      <c r="H839" s="47"/>
      <c r="I839" s="47"/>
      <c r="J839" s="48"/>
      <c r="K839" s="47"/>
      <c r="L839" s="49"/>
      <c r="M839" s="49"/>
      <c r="N839" s="49"/>
    </row>
    <row r="840" ht="39.75" hidden="1" customHeight="1">
      <c r="A840" s="1"/>
      <c r="B840" s="2" t="s">
        <v>16</v>
      </c>
      <c r="C840" s="21"/>
      <c r="D840" s="21"/>
      <c r="E840" s="21"/>
      <c r="F840" s="46"/>
      <c r="G840" s="62">
        <f>SUMIF(B4:B837,"*반일훈*",G4:G837)</f>
        <v>24</v>
      </c>
      <c r="H840" s="47"/>
      <c r="I840" s="47"/>
      <c r="J840" s="48"/>
      <c r="K840" s="47"/>
      <c r="L840" s="49"/>
      <c r="M840" s="49"/>
      <c r="N840" s="49"/>
    </row>
    <row r="841" ht="39.75" hidden="1" customHeight="1">
      <c r="A841" s="1"/>
      <c r="B841" s="2" t="s">
        <v>116</v>
      </c>
      <c r="C841" s="21"/>
      <c r="D841" s="21"/>
      <c r="E841" s="21"/>
      <c r="F841" s="46"/>
      <c r="G841" s="62">
        <f>SUMIF(B5:B837,"*김재식*",G5:G837)</f>
        <v>16</v>
      </c>
      <c r="H841" s="47"/>
      <c r="I841" s="47"/>
      <c r="J841" s="48"/>
      <c r="K841" s="47"/>
      <c r="L841" s="49"/>
      <c r="M841" s="49"/>
      <c r="N841" s="49"/>
    </row>
    <row r="842" ht="39.75" hidden="1" customHeight="1">
      <c r="A842" s="1"/>
      <c r="B842" s="2" t="s">
        <v>17</v>
      </c>
      <c r="C842" s="21"/>
      <c r="D842" s="21"/>
      <c r="E842" s="21"/>
      <c r="F842" s="46"/>
      <c r="G842" s="62">
        <f>SUMIF(B5:B837,"*신동환*",G5:G837)</f>
        <v>21</v>
      </c>
      <c r="H842" s="47"/>
      <c r="I842" s="47"/>
      <c r="J842" s="48"/>
      <c r="K842" s="47"/>
      <c r="L842" s="49"/>
      <c r="M842" s="49"/>
      <c r="N842" s="49"/>
    </row>
    <row r="843" ht="39.75" hidden="1" customHeight="1">
      <c r="A843" s="1"/>
      <c r="B843" s="2" t="s">
        <v>331</v>
      </c>
      <c r="C843" s="21"/>
      <c r="D843" s="21"/>
      <c r="E843" s="21"/>
      <c r="F843" s="46"/>
      <c r="G843" s="62">
        <f>SUMIF(B5:B837,"*장후원*",G5:G837)</f>
        <v>22</v>
      </c>
      <c r="H843" s="47"/>
      <c r="I843" s="47"/>
      <c r="J843" s="48"/>
      <c r="K843" s="47"/>
      <c r="L843" s="49"/>
      <c r="M843" s="49"/>
      <c r="N843" s="49"/>
    </row>
    <row r="844" ht="39.75" hidden="1" customHeight="1">
      <c r="A844" s="1"/>
      <c r="B844" s="2" t="s">
        <v>21</v>
      </c>
      <c r="C844" s="21"/>
      <c r="D844" s="21"/>
      <c r="E844" s="21"/>
      <c r="F844" s="46"/>
      <c r="G844" s="62">
        <f>SUMIF(B5:B837,"*구본준*",G5:G837)</f>
        <v>8</v>
      </c>
      <c r="H844" s="47"/>
      <c r="I844" s="47"/>
      <c r="J844" s="48"/>
      <c r="K844" s="47"/>
      <c r="L844" s="49"/>
      <c r="M844" s="49"/>
      <c r="N844" s="49"/>
    </row>
    <row r="845" ht="39.75" hidden="1" customHeight="1">
      <c r="A845" s="1"/>
      <c r="B845" s="2" t="s">
        <v>22</v>
      </c>
      <c r="C845" s="21"/>
      <c r="D845" s="21"/>
      <c r="E845" s="21"/>
      <c r="F845" s="46"/>
      <c r="G845" s="62">
        <f>SUMIF(B5:B837,"*이학진*",G5:G837)</f>
        <v>17</v>
      </c>
      <c r="H845" s="47"/>
      <c r="I845" s="47"/>
      <c r="J845" s="48"/>
      <c r="K845" s="47"/>
      <c r="L845" s="49"/>
      <c r="M845" s="49"/>
      <c r="N845" s="49"/>
    </row>
    <row r="846" ht="39.75" hidden="1" customHeight="1">
      <c r="A846" s="1"/>
      <c r="B846" s="2" t="s">
        <v>23</v>
      </c>
      <c r="C846" s="21"/>
      <c r="D846" s="21"/>
      <c r="E846" s="21"/>
      <c r="F846" s="46"/>
      <c r="G846" s="62">
        <f>SUMIF(B5:B837,"*황현우*",G5:G837)</f>
        <v>22</v>
      </c>
      <c r="H846" s="47"/>
      <c r="I846" s="47"/>
      <c r="J846" s="48"/>
      <c r="K846" s="47"/>
      <c r="L846" s="49"/>
      <c r="M846" s="49"/>
      <c r="N846" s="49"/>
    </row>
    <row r="847" ht="39.75" hidden="1" customHeight="1">
      <c r="A847" s="1"/>
      <c r="B847" s="2" t="s">
        <v>24</v>
      </c>
      <c r="C847" s="21"/>
      <c r="D847" s="21"/>
      <c r="E847" s="21"/>
      <c r="F847" s="46"/>
      <c r="G847" s="62">
        <f>SUMIF(B5:B837,"*김미란*",G5:G837)</f>
        <v>5</v>
      </c>
      <c r="H847" s="47"/>
      <c r="I847" s="47"/>
      <c r="J847" s="48"/>
      <c r="K847" s="47"/>
      <c r="L847" s="49"/>
      <c r="M847" s="49"/>
      <c r="N847" s="49"/>
    </row>
    <row r="848" ht="39.75" hidden="1" customHeight="1">
      <c r="A848" s="1"/>
      <c r="B848" s="2" t="s">
        <v>25</v>
      </c>
      <c r="C848" s="21"/>
      <c r="D848" s="21"/>
      <c r="E848" s="21"/>
      <c r="F848" s="46"/>
      <c r="G848" s="62">
        <f>SUMIF(B5:B837,"*유규열*",G5:G837)</f>
        <v>21</v>
      </c>
      <c r="H848" s="47"/>
      <c r="I848" s="47"/>
      <c r="J848" s="48"/>
      <c r="K848" s="47"/>
      <c r="L848" s="49"/>
      <c r="M848" s="49"/>
      <c r="N848" s="49"/>
    </row>
    <row r="849" ht="39.75" hidden="1" customHeight="1">
      <c r="A849" s="1"/>
      <c r="B849" s="2" t="s">
        <v>26</v>
      </c>
      <c r="C849" s="21"/>
      <c r="D849" s="21"/>
      <c r="E849" s="21"/>
      <c r="F849" s="46"/>
      <c r="G849" s="62">
        <f>SUMIF(B5:B837,"*김준택*",G5:G837)</f>
        <v>20</v>
      </c>
      <c r="H849" s="47"/>
      <c r="I849" s="47"/>
      <c r="J849" s="48"/>
      <c r="K849" s="47"/>
      <c r="L849" s="49"/>
      <c r="M849" s="49"/>
      <c r="N849" s="49"/>
    </row>
    <row r="850" ht="39.75" hidden="1" customHeight="1">
      <c r="A850" s="1"/>
      <c r="B850" s="2" t="s">
        <v>29</v>
      </c>
      <c r="C850" s="21"/>
      <c r="D850" s="21"/>
      <c r="E850" s="21"/>
      <c r="F850" s="46"/>
      <c r="G850" s="62">
        <f>SUMIF(B5:B837,"*방극철*",G5:G837)</f>
        <v>23</v>
      </c>
      <c r="H850" s="47"/>
      <c r="I850" s="47"/>
      <c r="J850" s="48"/>
      <c r="K850" s="47"/>
      <c r="L850" s="49"/>
      <c r="M850" s="49"/>
      <c r="N850" s="49"/>
    </row>
    <row r="851" ht="39.75" hidden="1" customHeight="1">
      <c r="A851" s="1"/>
      <c r="B851" s="2" t="s">
        <v>30</v>
      </c>
      <c r="C851" s="21"/>
      <c r="D851" s="21"/>
      <c r="E851" s="21"/>
      <c r="F851" s="46"/>
      <c r="G851" s="62">
        <f>SUMIF(B5:B837,"*홍승재*",G5:G837)</f>
        <v>18</v>
      </c>
      <c r="H851" s="47"/>
      <c r="I851" s="47"/>
      <c r="J851" s="48"/>
      <c r="K851" s="47"/>
      <c r="L851" s="49"/>
      <c r="M851" s="49"/>
      <c r="N851" s="49"/>
    </row>
    <row r="852" ht="39.75" hidden="1" customHeight="1">
      <c r="A852" s="1"/>
      <c r="B852" s="2" t="s">
        <v>31</v>
      </c>
      <c r="C852" s="21"/>
      <c r="D852" s="21"/>
      <c r="E852" s="21"/>
      <c r="F852" s="46"/>
      <c r="G852" s="62">
        <f>SUMIF(B5:B837,"*이   경*",G5:G837)</f>
        <v>32</v>
      </c>
      <c r="H852" s="47"/>
      <c r="I852" s="47"/>
      <c r="J852" s="48"/>
      <c r="K852" s="47"/>
      <c r="L852" s="49"/>
      <c r="M852" s="49"/>
      <c r="N852" s="49"/>
    </row>
    <row r="853" ht="39.75" hidden="1" customHeight="1">
      <c r="A853" s="1"/>
      <c r="B853" s="2" t="s">
        <v>32</v>
      </c>
      <c r="C853" s="21"/>
      <c r="D853" s="21"/>
      <c r="E853" s="21"/>
      <c r="F853" s="46"/>
      <c r="G853" s="62">
        <f>SUMIF(B5:B837,"*정상원*",G5:G837)</f>
        <v>21</v>
      </c>
      <c r="H853" s="47"/>
      <c r="I853" s="47"/>
      <c r="J853" s="48"/>
      <c r="K853" s="47"/>
      <c r="L853" s="49"/>
      <c r="M853" s="49"/>
      <c r="N853" s="49"/>
    </row>
    <row r="854" ht="39.75" hidden="1" customHeight="1">
      <c r="A854" s="1"/>
      <c r="B854" s="2" t="s">
        <v>67</v>
      </c>
      <c r="C854" s="21"/>
      <c r="D854" s="21"/>
      <c r="E854" s="21"/>
      <c r="F854" s="46"/>
      <c r="G854" s="62">
        <f>SUMIF(B5:B837,"*이주원*",G5:G837)</f>
        <v>26</v>
      </c>
      <c r="H854" s="47"/>
      <c r="I854" s="47"/>
      <c r="J854" s="48"/>
      <c r="K854" s="47"/>
      <c r="L854" s="49"/>
      <c r="M854" s="49"/>
      <c r="N854" s="49"/>
    </row>
    <row r="855" ht="39.75" hidden="1" customHeight="1">
      <c r="A855" s="1"/>
      <c r="B855" s="2" t="s">
        <v>35</v>
      </c>
      <c r="C855" s="21"/>
      <c r="D855" s="21"/>
      <c r="E855" s="21"/>
      <c r="F855" s="46"/>
      <c r="G855" s="62">
        <f>SUMIF(B5:B837,"*최무룡*",G5:G837)</f>
        <v>17</v>
      </c>
      <c r="H855" s="47"/>
      <c r="I855" s="47"/>
      <c r="J855" s="48"/>
      <c r="K855" s="47"/>
      <c r="L855" s="49"/>
      <c r="M855" s="49"/>
      <c r="N855" s="49"/>
    </row>
    <row r="856" ht="39.75" hidden="1" customHeight="1">
      <c r="A856" s="1"/>
      <c r="B856" s="2" t="s">
        <v>36</v>
      </c>
      <c r="C856" s="21"/>
      <c r="D856" s="21"/>
      <c r="E856" s="21"/>
      <c r="F856" s="46"/>
      <c r="G856" s="62">
        <f>SUMIF(B5:B837,"*정철원*",G5:G837)</f>
        <v>24</v>
      </c>
      <c r="H856" s="47"/>
      <c r="I856" s="47"/>
      <c r="J856" s="48"/>
      <c r="K856" s="47"/>
      <c r="L856" s="49"/>
      <c r="M856" s="49"/>
      <c r="N856" s="49"/>
    </row>
    <row r="857" ht="39.75" hidden="1" customHeight="1">
      <c r="A857" s="1"/>
      <c r="B857" s="2" t="s">
        <v>38</v>
      </c>
      <c r="C857" s="21"/>
      <c r="D857" s="21"/>
      <c r="E857" s="21"/>
      <c r="F857" s="46"/>
      <c r="G857" s="62">
        <f>SUMIF(B5:B837,"*김진광*",G5:G837)</f>
        <v>27</v>
      </c>
      <c r="H857" s="47"/>
      <c r="I857" s="47"/>
      <c r="J857" s="48"/>
      <c r="K857" s="47"/>
      <c r="L857" s="49"/>
      <c r="M857" s="49"/>
      <c r="N857" s="49"/>
    </row>
    <row r="858" ht="39.75" hidden="1" customHeight="1">
      <c r="A858" s="1"/>
      <c r="B858" s="2" t="s">
        <v>41</v>
      </c>
      <c r="C858" s="21"/>
      <c r="D858" s="21"/>
      <c r="E858" s="21"/>
      <c r="F858" s="46"/>
      <c r="G858" s="62">
        <f>SUMIF(B5:B837,"*조용희*",G5:G837)</f>
        <v>0</v>
      </c>
      <c r="H858" s="47"/>
      <c r="I858" s="47"/>
      <c r="J858" s="48"/>
      <c r="K858" s="47"/>
      <c r="L858" s="49"/>
      <c r="M858" s="49"/>
      <c r="N858" s="49"/>
    </row>
    <row r="859" ht="39.75" hidden="1" customHeight="1">
      <c r="A859" s="1"/>
      <c r="B859" s="2" t="s">
        <v>42</v>
      </c>
      <c r="C859" s="21"/>
      <c r="D859" s="21"/>
      <c r="E859" s="21"/>
      <c r="F859" s="46"/>
      <c r="G859" s="62">
        <f>SUMIF(B5:B837,"*이완근*",G5:G837)</f>
        <v>26</v>
      </c>
      <c r="H859" s="47"/>
      <c r="I859" s="47"/>
      <c r="J859" s="48"/>
      <c r="K859" s="47"/>
      <c r="L859" s="49"/>
      <c r="M859" s="49"/>
      <c r="N859" s="49"/>
    </row>
    <row r="860" ht="39.75" hidden="1" customHeight="1">
      <c r="A860" s="1"/>
      <c r="B860" s="2" t="s">
        <v>43</v>
      </c>
      <c r="C860" s="21"/>
      <c r="D860" s="21"/>
      <c r="E860" s="21"/>
      <c r="F860" s="46"/>
      <c r="G860" s="62">
        <f>SUMIF(B5:B837,"*박대권*",G5:G837)</f>
        <v>19</v>
      </c>
      <c r="H860" s="47"/>
      <c r="I860" s="47"/>
      <c r="J860" s="48"/>
      <c r="K860" s="47"/>
      <c r="L860" s="49"/>
      <c r="M860" s="49"/>
      <c r="N860" s="49"/>
    </row>
    <row r="861" ht="39.75" hidden="1" customHeight="1">
      <c r="A861" s="1"/>
      <c r="B861" s="2" t="s">
        <v>45</v>
      </c>
      <c r="C861" s="21"/>
      <c r="D861" s="21"/>
      <c r="E861" s="21"/>
      <c r="F861" s="46"/>
      <c r="G861" s="62">
        <f>SUMIF(B5:B837,"*김대호*",G5:G837)</f>
        <v>23</v>
      </c>
      <c r="H861" s="47"/>
      <c r="I861" s="47"/>
      <c r="J861" s="48"/>
      <c r="K861" s="47"/>
      <c r="L861" s="49"/>
      <c r="M861" s="49"/>
      <c r="N861" s="49"/>
    </row>
    <row r="862" ht="39.75" hidden="1" customHeight="1">
      <c r="A862" s="1"/>
      <c r="B862" s="2" t="s">
        <v>46</v>
      </c>
      <c r="C862" s="21"/>
      <c r="D862" s="21"/>
      <c r="E862" s="21"/>
      <c r="F862" s="46"/>
      <c r="G862" s="62">
        <f>SUMIF(B5:B837,"*이현일*",G5:G837)</f>
        <v>21</v>
      </c>
      <c r="H862" s="47"/>
      <c r="I862" s="47"/>
      <c r="J862" s="48"/>
      <c r="K862" s="47"/>
      <c r="L862" s="49"/>
      <c r="M862" s="49"/>
      <c r="N862" s="49"/>
    </row>
    <row r="863" ht="39.75" hidden="1" customHeight="1">
      <c r="A863" s="1"/>
      <c r="B863" s="2" t="s">
        <v>47</v>
      </c>
      <c r="C863" s="21"/>
      <c r="D863" s="21"/>
      <c r="E863" s="21"/>
      <c r="F863" s="46"/>
      <c r="G863" s="62">
        <f>SUMIF(B5:B837,"*유연경*",G5:G837)</f>
        <v>23</v>
      </c>
      <c r="H863" s="47"/>
      <c r="I863" s="47"/>
      <c r="J863" s="48"/>
      <c r="K863" s="47"/>
      <c r="L863" s="49"/>
      <c r="M863" s="49"/>
      <c r="N863" s="49"/>
    </row>
    <row r="864" ht="39.75" hidden="1" customHeight="1">
      <c r="A864" s="1"/>
      <c r="B864" s="2" t="s">
        <v>48</v>
      </c>
      <c r="C864" s="21"/>
      <c r="D864" s="21"/>
      <c r="E864" s="21"/>
      <c r="F864" s="46"/>
      <c r="G864" s="62">
        <f>SUMIF(B5:B837,"*정재우*",G5:G837)</f>
        <v>29</v>
      </c>
      <c r="H864" s="47"/>
      <c r="I864" s="47"/>
      <c r="J864" s="48"/>
      <c r="K864" s="47"/>
      <c r="L864" s="49"/>
      <c r="M864" s="49"/>
      <c r="N864" s="49"/>
    </row>
  </sheetData>
  <mergeCells count="31">
    <mergeCell ref="L2:N27"/>
    <mergeCell ref="L29:N54"/>
    <mergeCell ref="L56:N81"/>
    <mergeCell ref="L83:N108"/>
    <mergeCell ref="L110:N135"/>
    <mergeCell ref="L137:N162"/>
    <mergeCell ref="L164:N189"/>
    <mergeCell ref="L191:N216"/>
    <mergeCell ref="L218:N243"/>
    <mergeCell ref="L245:N270"/>
    <mergeCell ref="L272:N297"/>
    <mergeCell ref="L299:N324"/>
    <mergeCell ref="L326:N351"/>
    <mergeCell ref="L353:N378"/>
    <mergeCell ref="L380:N405"/>
    <mergeCell ref="L407:N432"/>
    <mergeCell ref="L434:N459"/>
    <mergeCell ref="L461:N486"/>
    <mergeCell ref="L488:N513"/>
    <mergeCell ref="L515:N540"/>
    <mergeCell ref="L542:N567"/>
    <mergeCell ref="L758:N783"/>
    <mergeCell ref="L785:N810"/>
    <mergeCell ref="L812:N837"/>
    <mergeCell ref="L569:N594"/>
    <mergeCell ref="L596:N621"/>
    <mergeCell ref="L623:N648"/>
    <mergeCell ref="L650:N675"/>
    <mergeCell ref="L677:N702"/>
    <mergeCell ref="L704:N729"/>
    <mergeCell ref="L731:N756"/>
  </mergeCells>
  <conditionalFormatting sqref="B2:I864">
    <cfRule type="expression" dxfId="6" priority="1">
      <formula>$C2="휴가"</formula>
    </cfRule>
  </conditionalFormatting>
  <conditionalFormatting sqref="B2:I864">
    <cfRule type="expression" dxfId="6" priority="2">
      <formula>$C2="휴무"</formula>
    </cfRule>
  </conditionalFormatting>
  <conditionalFormatting sqref="B2:I864">
    <cfRule type="expression" dxfId="6" priority="3">
      <formula>$C2="제크"</formula>
    </cfRule>
  </conditionalFormatting>
  <conditionalFormatting sqref="B2:I864">
    <cfRule type="expression" dxfId="7" priority="4">
      <formula>$C2="야퇴"</formula>
    </cfRule>
  </conditionalFormatting>
  <conditionalFormatting sqref="B2:I864">
    <cfRule type="expression" dxfId="8" priority="5">
      <formula>$C2="대통령실"</formula>
    </cfRule>
  </conditionalFormatting>
  <conditionalFormatting sqref="B2:I864">
    <cfRule type="expression" dxfId="8" priority="6">
      <formula>$C2="헌법재판소"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8.25"/>
    <col customWidth="1" min="3" max="3" width="10.75"/>
    <col customWidth="1" min="4" max="5" width="8.88"/>
    <col customWidth="1" min="6" max="6" width="50.13"/>
    <col customWidth="1" min="7" max="7" width="8.88"/>
    <col customWidth="1" min="8" max="8" width="10.63"/>
    <col customWidth="1" min="9" max="9" width="11.38"/>
    <col customWidth="1" min="10" max="10" width="8.5"/>
    <col customWidth="1" min="11" max="11" width="11.38"/>
    <col customWidth="1" min="12" max="14" width="12.0"/>
  </cols>
  <sheetData>
    <row r="1" ht="22.5" customHeight="1">
      <c r="A1" s="1" t="s">
        <v>2944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36"/>
      <c r="K1" s="2" t="s">
        <v>1160</v>
      </c>
      <c r="L1" s="37" t="s">
        <v>490</v>
      </c>
      <c r="M1" s="38" t="s">
        <v>10</v>
      </c>
      <c r="N1" s="39" t="s">
        <v>11</v>
      </c>
    </row>
    <row r="2" ht="39.75" customHeight="1">
      <c r="A2" s="1">
        <v>1.0</v>
      </c>
      <c r="B2" s="2" t="s">
        <v>12</v>
      </c>
      <c r="C2" s="2" t="s">
        <v>62</v>
      </c>
      <c r="D2" s="40"/>
      <c r="E2" s="40"/>
      <c r="F2" s="45"/>
      <c r="G2" s="42"/>
      <c r="H2" s="42"/>
      <c r="I2" s="42"/>
      <c r="J2" s="14" t="s">
        <v>2945</v>
      </c>
      <c r="K2" s="43"/>
      <c r="L2" s="15" t="s">
        <v>15</v>
      </c>
    </row>
    <row r="3" ht="39.75" customHeight="1">
      <c r="A3" s="1">
        <v>2.0</v>
      </c>
      <c r="B3" s="2" t="s">
        <v>16</v>
      </c>
      <c r="C3" s="2" t="s">
        <v>54</v>
      </c>
      <c r="D3" s="13"/>
      <c r="E3" s="13"/>
      <c r="F3" s="44" t="s">
        <v>2946</v>
      </c>
      <c r="G3" s="43">
        <v>1.0</v>
      </c>
      <c r="H3" s="42"/>
      <c r="I3" s="42"/>
      <c r="J3" s="14" t="s">
        <v>15</v>
      </c>
      <c r="K3" s="43"/>
    </row>
    <row r="4" ht="39.75" customHeight="1">
      <c r="A4" s="1">
        <v>3.0</v>
      </c>
      <c r="B4" s="2" t="s">
        <v>116</v>
      </c>
      <c r="C4" s="2"/>
      <c r="D4" s="13"/>
      <c r="E4" s="13"/>
      <c r="F4" s="44" t="s">
        <v>2947</v>
      </c>
      <c r="G4" s="43">
        <v>1.0</v>
      </c>
      <c r="H4" s="42"/>
      <c r="I4" s="43">
        <v>1.0</v>
      </c>
      <c r="J4" s="14" t="s">
        <v>131</v>
      </c>
      <c r="K4" s="43"/>
    </row>
    <row r="5" ht="39.75" customHeight="1">
      <c r="A5" s="1">
        <v>4.0</v>
      </c>
      <c r="B5" s="2" t="s">
        <v>17</v>
      </c>
      <c r="C5" s="2"/>
      <c r="D5" s="13"/>
      <c r="E5" s="13"/>
      <c r="F5" s="44" t="s">
        <v>2948</v>
      </c>
      <c r="G5" s="43">
        <v>2.0</v>
      </c>
      <c r="H5" s="42"/>
      <c r="I5" s="42"/>
      <c r="J5" s="14"/>
      <c r="K5" s="43"/>
    </row>
    <row r="6" ht="39.75" hidden="1" customHeight="1">
      <c r="A6" s="1">
        <v>5.0</v>
      </c>
      <c r="B6" s="2" t="s">
        <v>331</v>
      </c>
      <c r="C6" s="2" t="s">
        <v>58</v>
      </c>
      <c r="D6" s="13"/>
      <c r="E6" s="13"/>
      <c r="F6" s="45"/>
      <c r="G6" s="42"/>
      <c r="H6" s="42"/>
      <c r="I6" s="42"/>
      <c r="J6" s="14"/>
      <c r="K6" s="43"/>
    </row>
    <row r="7" ht="39.75" hidden="1" customHeight="1">
      <c r="A7" s="1">
        <v>6.0</v>
      </c>
      <c r="B7" s="2" t="s">
        <v>21</v>
      </c>
      <c r="C7" s="2" t="s">
        <v>66</v>
      </c>
      <c r="D7" s="13"/>
      <c r="E7" s="13"/>
      <c r="F7" s="45"/>
      <c r="G7" s="42"/>
      <c r="H7" s="42"/>
      <c r="I7" s="42"/>
      <c r="J7" s="14"/>
      <c r="K7" s="43"/>
    </row>
    <row r="8" ht="39.75" customHeight="1">
      <c r="A8" s="1">
        <v>7.0</v>
      </c>
      <c r="B8" s="2" t="s">
        <v>22</v>
      </c>
      <c r="C8" s="2" t="s">
        <v>44</v>
      </c>
      <c r="D8" s="13"/>
      <c r="E8" s="13"/>
      <c r="F8" s="44"/>
      <c r="G8" s="42"/>
      <c r="H8" s="42"/>
      <c r="I8" s="42"/>
      <c r="J8" s="14"/>
      <c r="K8" s="43"/>
    </row>
    <row r="9" ht="39.75" hidden="1" customHeight="1">
      <c r="A9" s="1">
        <v>8.0</v>
      </c>
      <c r="B9" s="2" t="s">
        <v>23</v>
      </c>
      <c r="C9" s="2" t="s">
        <v>58</v>
      </c>
      <c r="D9" s="13"/>
      <c r="E9" s="13"/>
      <c r="F9" s="45"/>
      <c r="G9" s="42"/>
      <c r="H9" s="42"/>
      <c r="I9" s="42"/>
      <c r="J9" s="14"/>
      <c r="K9" s="43"/>
    </row>
    <row r="10" ht="39.75" customHeight="1">
      <c r="A10" s="1">
        <v>9.0</v>
      </c>
      <c r="B10" s="2" t="s">
        <v>24</v>
      </c>
      <c r="C10" s="2" t="s">
        <v>63</v>
      </c>
      <c r="D10" s="13"/>
      <c r="E10" s="13"/>
      <c r="F10" s="44"/>
      <c r="G10" s="42"/>
      <c r="H10" s="43"/>
      <c r="I10" s="43"/>
      <c r="J10" s="14"/>
      <c r="K10" s="43"/>
    </row>
    <row r="11" ht="39.75" customHeight="1">
      <c r="A11" s="1">
        <v>10.0</v>
      </c>
      <c r="B11" s="2" t="s">
        <v>25</v>
      </c>
      <c r="C11" s="2" t="s">
        <v>39</v>
      </c>
      <c r="D11" s="13"/>
      <c r="E11" s="13"/>
      <c r="F11" s="44" t="s">
        <v>2949</v>
      </c>
      <c r="G11" s="43">
        <v>1.0</v>
      </c>
      <c r="H11" s="42"/>
      <c r="I11" s="43">
        <v>1.0</v>
      </c>
      <c r="J11" s="14"/>
      <c r="K11" s="43"/>
    </row>
    <row r="12" ht="39.75" customHeight="1">
      <c r="A12" s="1">
        <v>11.0</v>
      </c>
      <c r="B12" s="2" t="s">
        <v>26</v>
      </c>
      <c r="C12" s="2" t="s">
        <v>69</v>
      </c>
      <c r="D12" s="13"/>
      <c r="E12" s="40">
        <v>0.8402777777777778</v>
      </c>
      <c r="F12" s="44" t="s">
        <v>2950</v>
      </c>
      <c r="G12" s="43">
        <v>1.0</v>
      </c>
      <c r="H12" s="42"/>
      <c r="I12" s="43">
        <v>1.0</v>
      </c>
      <c r="J12" s="14"/>
      <c r="K12" s="43"/>
    </row>
    <row r="13" ht="39.75" hidden="1" customHeight="1">
      <c r="A13" s="1">
        <v>12.0</v>
      </c>
      <c r="B13" s="2" t="s">
        <v>29</v>
      </c>
      <c r="C13" s="2" t="s">
        <v>58</v>
      </c>
      <c r="D13" s="13"/>
      <c r="E13" s="13"/>
      <c r="F13" s="44"/>
      <c r="G13" s="42"/>
      <c r="H13" s="42"/>
      <c r="I13" s="42"/>
      <c r="J13" s="14"/>
      <c r="K13" s="43"/>
    </row>
    <row r="14" ht="39.75" hidden="1" customHeight="1">
      <c r="A14" s="1">
        <v>13.0</v>
      </c>
      <c r="B14" s="2" t="s">
        <v>30</v>
      </c>
      <c r="C14" s="2" t="s">
        <v>58</v>
      </c>
      <c r="D14" s="13"/>
      <c r="E14" s="13"/>
      <c r="F14" s="44"/>
      <c r="G14" s="42"/>
      <c r="H14" s="42"/>
      <c r="I14" s="42"/>
      <c r="J14" s="14"/>
      <c r="K14" s="43"/>
    </row>
    <row r="15" ht="39.75" customHeight="1">
      <c r="A15" s="1"/>
      <c r="B15" s="2" t="s">
        <v>31</v>
      </c>
      <c r="C15" s="2" t="s">
        <v>54</v>
      </c>
      <c r="D15" s="53">
        <v>0.3333333333333333</v>
      </c>
      <c r="E15" s="13"/>
      <c r="F15" s="44" t="s">
        <v>2951</v>
      </c>
      <c r="G15" s="43">
        <v>1.0</v>
      </c>
      <c r="H15" s="42"/>
      <c r="I15" s="43">
        <v>1.0</v>
      </c>
      <c r="J15" s="14"/>
      <c r="K15" s="43"/>
    </row>
    <row r="16" ht="39.75" customHeight="1">
      <c r="A16" s="1">
        <v>15.0</v>
      </c>
      <c r="B16" s="2" t="s">
        <v>32</v>
      </c>
      <c r="C16" s="2"/>
      <c r="D16" s="13"/>
      <c r="E16" s="13"/>
      <c r="F16" s="44" t="s">
        <v>2952</v>
      </c>
      <c r="G16" s="43">
        <v>1.0</v>
      </c>
      <c r="H16" s="42"/>
      <c r="I16" s="43">
        <v>1.0</v>
      </c>
      <c r="J16" s="14"/>
      <c r="K16" s="43"/>
    </row>
    <row r="17" ht="39.75" customHeight="1">
      <c r="A17" s="1">
        <v>16.0</v>
      </c>
      <c r="B17" s="2" t="s">
        <v>67</v>
      </c>
      <c r="C17" s="2" t="s">
        <v>69</v>
      </c>
      <c r="D17" s="13"/>
      <c r="E17" s="40">
        <v>0.8125</v>
      </c>
      <c r="F17" s="44" t="s">
        <v>2770</v>
      </c>
      <c r="G17" s="43">
        <v>1.0</v>
      </c>
      <c r="H17" s="43"/>
      <c r="I17" s="43">
        <v>1.0</v>
      </c>
      <c r="J17" s="14"/>
      <c r="K17" s="43"/>
    </row>
    <row r="18" ht="39.75" hidden="1" customHeight="1">
      <c r="A18" s="1">
        <v>17.0</v>
      </c>
      <c r="B18" s="2" t="s">
        <v>35</v>
      </c>
      <c r="C18" s="2" t="s">
        <v>58</v>
      </c>
      <c r="D18" s="13"/>
      <c r="E18" s="13"/>
      <c r="F18" s="45"/>
      <c r="G18" s="42"/>
      <c r="H18" s="42"/>
      <c r="I18" s="42"/>
      <c r="J18" s="14"/>
      <c r="K18" s="43"/>
    </row>
    <row r="19" ht="39.75" customHeight="1">
      <c r="A19" s="1">
        <v>18.0</v>
      </c>
      <c r="B19" s="2" t="s">
        <v>36</v>
      </c>
      <c r="C19" s="2"/>
      <c r="D19" s="13"/>
      <c r="E19" s="13"/>
      <c r="F19" s="44" t="s">
        <v>2953</v>
      </c>
      <c r="G19" s="43">
        <v>1.0</v>
      </c>
      <c r="H19" s="42"/>
      <c r="I19" s="42"/>
      <c r="J19" s="14"/>
      <c r="K19" s="43"/>
    </row>
    <row r="20" ht="39.75" customHeight="1">
      <c r="A20" s="1">
        <v>19.0</v>
      </c>
      <c r="B20" s="2" t="s">
        <v>38</v>
      </c>
      <c r="C20" s="2" t="s">
        <v>69</v>
      </c>
      <c r="D20" s="13"/>
      <c r="E20" s="40">
        <v>0.8333333333333334</v>
      </c>
      <c r="F20" s="44" t="s">
        <v>2954</v>
      </c>
      <c r="G20" s="43">
        <v>1.0</v>
      </c>
      <c r="H20" s="42"/>
      <c r="I20" s="42"/>
      <c r="J20" s="14"/>
      <c r="K20" s="43"/>
    </row>
    <row r="21" ht="39.75" hidden="1" customHeight="1">
      <c r="A21" s="1">
        <v>20.0</v>
      </c>
      <c r="B21" s="2" t="s">
        <v>41</v>
      </c>
      <c r="C21" s="2" t="s">
        <v>58</v>
      </c>
      <c r="D21" s="13"/>
      <c r="E21" s="13"/>
      <c r="F21" s="44"/>
      <c r="G21" s="42"/>
      <c r="H21" s="42"/>
      <c r="I21" s="42"/>
      <c r="J21" s="14"/>
      <c r="K21" s="43"/>
    </row>
    <row r="22" ht="39.75" customHeight="1">
      <c r="A22" s="1">
        <v>21.0</v>
      </c>
      <c r="B22" s="2" t="s">
        <v>42</v>
      </c>
      <c r="C22" s="2" t="s">
        <v>39</v>
      </c>
      <c r="D22" s="13"/>
      <c r="E22" s="13"/>
      <c r="F22" s="44" t="s">
        <v>2664</v>
      </c>
      <c r="G22" s="43">
        <v>1.0</v>
      </c>
      <c r="H22" s="42"/>
      <c r="I22" s="43">
        <v>1.0</v>
      </c>
      <c r="J22" s="14"/>
      <c r="K22" s="43"/>
    </row>
    <row r="23" ht="39.75" customHeight="1">
      <c r="A23" s="1">
        <v>22.0</v>
      </c>
      <c r="B23" s="2" t="s">
        <v>43</v>
      </c>
      <c r="C23" s="2" t="s">
        <v>54</v>
      </c>
      <c r="D23" s="13"/>
      <c r="E23" s="13"/>
      <c r="F23" s="44" t="s">
        <v>2955</v>
      </c>
      <c r="G23" s="43">
        <v>1.0</v>
      </c>
      <c r="H23" s="42"/>
      <c r="I23" s="43">
        <v>1.0</v>
      </c>
      <c r="J23" s="14"/>
      <c r="K23" s="43"/>
    </row>
    <row r="24" ht="39.75" customHeight="1">
      <c r="A24" s="1">
        <v>23.0</v>
      </c>
      <c r="B24" s="2" t="s">
        <v>45</v>
      </c>
      <c r="C24" s="2"/>
      <c r="D24" s="13"/>
      <c r="E24" s="13"/>
      <c r="F24" s="44" t="s">
        <v>1285</v>
      </c>
      <c r="G24" s="43">
        <v>1.0</v>
      </c>
      <c r="H24" s="42"/>
      <c r="I24" s="43">
        <v>1.0</v>
      </c>
      <c r="J24" s="14"/>
      <c r="K24" s="43"/>
    </row>
    <row r="25" ht="39.75" customHeight="1">
      <c r="A25" s="1">
        <v>24.0</v>
      </c>
      <c r="B25" s="2" t="s">
        <v>46</v>
      </c>
      <c r="C25" s="2" t="s">
        <v>27</v>
      </c>
      <c r="D25" s="40"/>
      <c r="E25" s="13"/>
      <c r="F25" s="44" t="s">
        <v>2956</v>
      </c>
      <c r="G25" s="43">
        <v>1.0</v>
      </c>
      <c r="H25" s="42"/>
      <c r="I25" s="42"/>
      <c r="J25" s="14"/>
      <c r="K25" s="43"/>
    </row>
    <row r="26" ht="39.75" customHeight="1">
      <c r="A26" s="1">
        <v>25.0</v>
      </c>
      <c r="B26" s="2" t="s">
        <v>47</v>
      </c>
      <c r="C26" s="2"/>
      <c r="D26" s="13"/>
      <c r="E26" s="13"/>
      <c r="F26" s="44" t="s">
        <v>2957</v>
      </c>
      <c r="G26" s="43">
        <v>1.0</v>
      </c>
      <c r="H26" s="42"/>
      <c r="I26" s="43">
        <v>1.0</v>
      </c>
      <c r="J26" s="14"/>
      <c r="K26" s="43"/>
    </row>
    <row r="27" ht="39.75" customHeight="1">
      <c r="A27" s="1">
        <v>26.0</v>
      </c>
      <c r="B27" s="2" t="s">
        <v>48</v>
      </c>
      <c r="C27" s="2" t="s">
        <v>54</v>
      </c>
      <c r="D27" s="13"/>
      <c r="E27" s="13"/>
      <c r="F27" s="44" t="s">
        <v>2958</v>
      </c>
      <c r="G27" s="43">
        <v>1.0</v>
      </c>
      <c r="H27" s="42"/>
      <c r="I27" s="42"/>
      <c r="J27" s="14"/>
      <c r="K27" s="43"/>
    </row>
    <row r="28" ht="39.75" customHeight="1">
      <c r="A28" s="1">
        <v>27.0</v>
      </c>
      <c r="B28" s="21"/>
      <c r="C28" s="21"/>
      <c r="D28" s="21"/>
      <c r="E28" s="21"/>
      <c r="F28" s="46"/>
      <c r="G28" s="47"/>
      <c r="H28" s="47"/>
      <c r="I28" s="47"/>
      <c r="J28" s="48"/>
      <c r="K28" s="47"/>
      <c r="L28" s="49"/>
      <c r="M28" s="49"/>
      <c r="N28" s="49"/>
    </row>
    <row r="29" ht="39.75" hidden="1" customHeight="1">
      <c r="A29" s="1">
        <v>28.0</v>
      </c>
      <c r="B29" s="2" t="s">
        <v>12</v>
      </c>
      <c r="C29" s="2" t="s">
        <v>13</v>
      </c>
      <c r="D29" s="13"/>
      <c r="E29" s="13"/>
      <c r="F29" s="45"/>
      <c r="G29" s="42"/>
      <c r="H29" s="42"/>
      <c r="I29" s="42"/>
      <c r="J29" s="14" t="s">
        <v>2945</v>
      </c>
      <c r="K29" s="43"/>
      <c r="L29" s="15" t="s">
        <v>52</v>
      </c>
    </row>
    <row r="30" ht="39.75" customHeight="1">
      <c r="A30" s="1">
        <v>29.0</v>
      </c>
      <c r="B30" s="2" t="s">
        <v>16</v>
      </c>
      <c r="C30" s="2" t="s">
        <v>49</v>
      </c>
      <c r="D30" s="13"/>
      <c r="E30" s="13"/>
      <c r="F30" s="44" t="s">
        <v>2959</v>
      </c>
      <c r="G30" s="43">
        <v>1.0</v>
      </c>
      <c r="H30" s="42"/>
      <c r="I30" s="42"/>
      <c r="J30" s="14" t="s">
        <v>52</v>
      </c>
      <c r="K30" s="43"/>
    </row>
    <row r="31" ht="39.75" customHeight="1">
      <c r="A31" s="1">
        <v>30.0</v>
      </c>
      <c r="B31" s="2" t="s">
        <v>20</v>
      </c>
      <c r="C31" s="2" t="s">
        <v>271</v>
      </c>
      <c r="D31" s="13"/>
      <c r="E31" s="13"/>
      <c r="F31" s="45"/>
      <c r="G31" s="42"/>
      <c r="H31" s="42"/>
      <c r="I31" s="42"/>
      <c r="J31" s="14" t="s">
        <v>149</v>
      </c>
      <c r="K31" s="43"/>
    </row>
    <row r="32" ht="62.25" customHeight="1">
      <c r="A32" s="1">
        <v>31.0</v>
      </c>
      <c r="B32" s="2" t="s">
        <v>17</v>
      </c>
      <c r="C32" s="2"/>
      <c r="D32" s="40">
        <v>0.375</v>
      </c>
      <c r="E32" s="13"/>
      <c r="F32" s="44" t="s">
        <v>2960</v>
      </c>
      <c r="G32" s="43">
        <v>2.0</v>
      </c>
      <c r="H32" s="42"/>
      <c r="I32" s="43">
        <v>1.0</v>
      </c>
      <c r="J32" s="14" t="s">
        <v>165</v>
      </c>
      <c r="K32" s="43"/>
    </row>
    <row r="33" ht="39.75" customHeight="1">
      <c r="A33" s="1">
        <v>32.0</v>
      </c>
      <c r="B33" s="2" t="s">
        <v>263</v>
      </c>
      <c r="C33" s="2" t="s">
        <v>272</v>
      </c>
      <c r="D33" s="13"/>
      <c r="E33" s="13"/>
      <c r="F33" s="44" t="s">
        <v>2961</v>
      </c>
      <c r="G33" s="43">
        <v>1.0</v>
      </c>
      <c r="H33" s="42"/>
      <c r="I33" s="43">
        <v>1.0</v>
      </c>
      <c r="J33" s="14" t="s">
        <v>166</v>
      </c>
      <c r="K33" s="43"/>
    </row>
    <row r="34" ht="39.75" customHeight="1">
      <c r="A34" s="1">
        <v>33.0</v>
      </c>
      <c r="B34" s="2" t="s">
        <v>21</v>
      </c>
      <c r="C34" s="2" t="s">
        <v>63</v>
      </c>
      <c r="D34" s="13"/>
      <c r="E34" s="13"/>
      <c r="F34" s="45"/>
      <c r="G34" s="42"/>
      <c r="H34" s="42"/>
      <c r="I34" s="42"/>
      <c r="J34" s="14" t="s">
        <v>167</v>
      </c>
      <c r="K34" s="43"/>
    </row>
    <row r="35" ht="71.25" customHeight="1">
      <c r="A35" s="1">
        <v>34.0</v>
      </c>
      <c r="B35" s="2" t="s">
        <v>22</v>
      </c>
      <c r="C35" s="2"/>
      <c r="D35" s="40">
        <v>0.375</v>
      </c>
      <c r="E35" s="13"/>
      <c r="F35" s="44" t="s">
        <v>2962</v>
      </c>
      <c r="G35" s="43">
        <v>1.0</v>
      </c>
      <c r="H35" s="42"/>
      <c r="I35" s="43">
        <v>1.0</v>
      </c>
      <c r="J35" s="14"/>
      <c r="K35" s="43"/>
    </row>
    <row r="36" ht="39.75" hidden="1" customHeight="1">
      <c r="A36" s="1">
        <v>35.0</v>
      </c>
      <c r="B36" s="2" t="s">
        <v>23</v>
      </c>
      <c r="C36" s="2" t="s">
        <v>13</v>
      </c>
      <c r="D36" s="13"/>
      <c r="E36" s="13"/>
      <c r="F36" s="45"/>
      <c r="G36" s="42"/>
      <c r="H36" s="42"/>
      <c r="I36" s="42"/>
      <c r="J36" s="14"/>
      <c r="K36" s="43"/>
    </row>
    <row r="37" ht="39.75" hidden="1" customHeight="1">
      <c r="A37" s="1">
        <v>36.0</v>
      </c>
      <c r="B37" s="2" t="s">
        <v>24</v>
      </c>
      <c r="C37" s="2" t="s">
        <v>13</v>
      </c>
      <c r="D37" s="13"/>
      <c r="E37" s="13"/>
      <c r="F37" s="45"/>
      <c r="G37" s="42"/>
      <c r="H37" s="42"/>
      <c r="I37" s="42"/>
      <c r="J37" s="14"/>
      <c r="K37" s="43"/>
    </row>
    <row r="38" ht="39.75" hidden="1" customHeight="1">
      <c r="A38" s="1">
        <v>37.0</v>
      </c>
      <c r="B38" s="2" t="s">
        <v>25</v>
      </c>
      <c r="C38" s="2" t="s">
        <v>13</v>
      </c>
      <c r="D38" s="13"/>
      <c r="E38" s="13"/>
      <c r="F38" s="45"/>
      <c r="G38" s="42"/>
      <c r="H38" s="42"/>
      <c r="I38" s="42"/>
      <c r="J38" s="14"/>
      <c r="K38" s="43"/>
    </row>
    <row r="39" ht="39.75" hidden="1" customHeight="1">
      <c r="A39" s="1">
        <v>38.0</v>
      </c>
      <c r="B39" s="2" t="s">
        <v>26</v>
      </c>
      <c r="C39" s="2" t="s">
        <v>13</v>
      </c>
      <c r="D39" s="13"/>
      <c r="E39" s="13"/>
      <c r="F39" s="45"/>
      <c r="G39" s="42"/>
      <c r="H39" s="42"/>
      <c r="I39" s="42"/>
      <c r="J39" s="14"/>
      <c r="K39" s="43"/>
    </row>
    <row r="40" ht="39.75" hidden="1" customHeight="1">
      <c r="A40" s="1">
        <v>39.0</v>
      </c>
      <c r="B40" s="2" t="s">
        <v>29</v>
      </c>
      <c r="C40" s="2" t="s">
        <v>13</v>
      </c>
      <c r="D40" s="13"/>
      <c r="E40" s="13"/>
      <c r="F40" s="45"/>
      <c r="G40" s="42"/>
      <c r="H40" s="42"/>
      <c r="I40" s="42"/>
      <c r="J40" s="14"/>
      <c r="K40" s="43"/>
    </row>
    <row r="41" ht="39.75" hidden="1" customHeight="1">
      <c r="A41" s="1">
        <v>40.0</v>
      </c>
      <c r="B41" s="2" t="s">
        <v>30</v>
      </c>
      <c r="C41" s="2" t="s">
        <v>13</v>
      </c>
      <c r="D41" s="13"/>
      <c r="E41" s="13"/>
      <c r="F41" s="45"/>
      <c r="G41" s="42"/>
      <c r="H41" s="42"/>
      <c r="I41" s="42"/>
      <c r="J41" s="14"/>
      <c r="K41" s="43"/>
    </row>
    <row r="42" ht="39.75" hidden="1" customHeight="1">
      <c r="A42" s="1">
        <v>41.0</v>
      </c>
      <c r="B42" s="2" t="s">
        <v>31</v>
      </c>
      <c r="C42" s="2" t="s">
        <v>13</v>
      </c>
      <c r="D42" s="13"/>
      <c r="E42" s="13"/>
      <c r="F42" s="45"/>
      <c r="G42" s="42"/>
      <c r="H42" s="42"/>
      <c r="I42" s="42"/>
      <c r="J42" s="14"/>
      <c r="K42" s="43"/>
    </row>
    <row r="43" ht="39.75" hidden="1" customHeight="1">
      <c r="A43" s="1">
        <v>42.0</v>
      </c>
      <c r="B43" s="2" t="s">
        <v>32</v>
      </c>
      <c r="C43" s="2" t="s">
        <v>13</v>
      </c>
      <c r="D43" s="13"/>
      <c r="E43" s="13"/>
      <c r="F43" s="45"/>
      <c r="G43" s="42"/>
      <c r="H43" s="42"/>
      <c r="I43" s="42"/>
      <c r="J43" s="14"/>
      <c r="K43" s="43"/>
    </row>
    <row r="44" ht="39.75" hidden="1" customHeight="1">
      <c r="A44" s="1">
        <v>43.0</v>
      </c>
      <c r="B44" s="2" t="s">
        <v>67</v>
      </c>
      <c r="C44" s="2" t="s">
        <v>13</v>
      </c>
      <c r="D44" s="13"/>
      <c r="E44" s="13"/>
      <c r="F44" s="45"/>
      <c r="G44" s="42"/>
      <c r="H44" s="42"/>
      <c r="I44" s="42"/>
      <c r="J44" s="14"/>
      <c r="K44" s="43"/>
    </row>
    <row r="45" ht="39.75" hidden="1" customHeight="1">
      <c r="A45" s="1">
        <v>44.0</v>
      </c>
      <c r="B45" s="2" t="s">
        <v>35</v>
      </c>
      <c r="C45" s="2" t="s">
        <v>13</v>
      </c>
      <c r="D45" s="13"/>
      <c r="E45" s="13"/>
      <c r="F45" s="45"/>
      <c r="G45" s="42"/>
      <c r="H45" s="42"/>
      <c r="I45" s="42"/>
      <c r="J45" s="14"/>
      <c r="K45" s="43"/>
    </row>
    <row r="46" ht="39.75" hidden="1" customHeight="1">
      <c r="A46" s="1">
        <v>45.0</v>
      </c>
      <c r="B46" s="2" t="s">
        <v>36</v>
      </c>
      <c r="C46" s="2" t="s">
        <v>13</v>
      </c>
      <c r="D46" s="13"/>
      <c r="E46" s="13"/>
      <c r="F46" s="45"/>
      <c r="G46" s="42"/>
      <c r="H46" s="42"/>
      <c r="I46" s="42"/>
      <c r="J46" s="14"/>
      <c r="K46" s="43"/>
    </row>
    <row r="47" ht="39.75" customHeight="1">
      <c r="A47" s="1">
        <v>46.0</v>
      </c>
      <c r="B47" s="2" t="s">
        <v>38</v>
      </c>
      <c r="C47" s="2" t="s">
        <v>27</v>
      </c>
      <c r="D47" s="13"/>
      <c r="E47" s="13"/>
      <c r="F47" s="44" t="s">
        <v>2963</v>
      </c>
      <c r="G47" s="43">
        <v>1.0</v>
      </c>
      <c r="H47" s="42"/>
      <c r="I47" s="43">
        <v>1.0</v>
      </c>
      <c r="J47" s="14"/>
      <c r="K47" s="43"/>
    </row>
    <row r="48" ht="39.75" hidden="1" customHeight="1">
      <c r="A48" s="1">
        <v>47.0</v>
      </c>
      <c r="B48" s="2" t="s">
        <v>41</v>
      </c>
      <c r="C48" s="2" t="s">
        <v>13</v>
      </c>
      <c r="D48" s="13"/>
      <c r="E48" s="13"/>
      <c r="F48" s="45"/>
      <c r="G48" s="42"/>
      <c r="H48" s="42"/>
      <c r="I48" s="42"/>
      <c r="J48" s="14"/>
      <c r="K48" s="43"/>
    </row>
    <row r="49" ht="39.75" hidden="1" customHeight="1">
      <c r="A49" s="1">
        <v>48.0</v>
      </c>
      <c r="B49" s="2" t="s">
        <v>42</v>
      </c>
      <c r="C49" s="2" t="s">
        <v>13</v>
      </c>
      <c r="D49" s="13"/>
      <c r="E49" s="13"/>
      <c r="F49" s="45"/>
      <c r="G49" s="42"/>
      <c r="H49" s="42"/>
      <c r="I49" s="42"/>
      <c r="J49" s="14"/>
      <c r="K49" s="43"/>
    </row>
    <row r="50" ht="39.75" hidden="1" customHeight="1">
      <c r="A50" s="1">
        <v>49.0</v>
      </c>
      <c r="B50" s="2" t="s">
        <v>43</v>
      </c>
      <c r="C50" s="2" t="s">
        <v>13</v>
      </c>
      <c r="D50" s="13"/>
      <c r="E50" s="13"/>
      <c r="F50" s="45"/>
      <c r="G50" s="42"/>
      <c r="H50" s="42"/>
      <c r="I50" s="42"/>
      <c r="J50" s="14"/>
      <c r="K50" s="43"/>
    </row>
    <row r="51" ht="39.75" hidden="1" customHeight="1">
      <c r="A51" s="1">
        <v>50.0</v>
      </c>
      <c r="B51" s="2" t="s">
        <v>45</v>
      </c>
      <c r="C51" s="2" t="s">
        <v>13</v>
      </c>
      <c r="D51" s="13"/>
      <c r="E51" s="13"/>
      <c r="F51" s="45"/>
      <c r="G51" s="42"/>
      <c r="H51" s="42"/>
      <c r="I51" s="42"/>
      <c r="J51" s="14"/>
      <c r="K51" s="43"/>
    </row>
    <row r="52" ht="39.75" customHeight="1">
      <c r="A52" s="1">
        <v>51.0</v>
      </c>
      <c r="B52" s="2" t="s">
        <v>46</v>
      </c>
      <c r="C52" s="2" t="s">
        <v>44</v>
      </c>
      <c r="D52" s="13"/>
      <c r="E52" s="13"/>
      <c r="F52" s="45"/>
      <c r="G52" s="42"/>
      <c r="H52" s="42"/>
      <c r="I52" s="42"/>
      <c r="J52" s="14"/>
      <c r="K52" s="43"/>
    </row>
    <row r="53" ht="39.75" hidden="1" customHeight="1">
      <c r="A53" s="1">
        <v>52.0</v>
      </c>
      <c r="B53" s="2" t="s">
        <v>47</v>
      </c>
      <c r="C53" s="2" t="s">
        <v>13</v>
      </c>
      <c r="D53" s="13"/>
      <c r="E53" s="13"/>
      <c r="F53" s="45"/>
      <c r="G53" s="42"/>
      <c r="H53" s="42"/>
      <c r="I53" s="42"/>
      <c r="J53" s="14"/>
      <c r="K53" s="43"/>
    </row>
    <row r="54" ht="39.75" customHeight="1">
      <c r="A54" s="1">
        <v>53.0</v>
      </c>
      <c r="B54" s="2" t="s">
        <v>48</v>
      </c>
      <c r="C54" s="2" t="s">
        <v>39</v>
      </c>
      <c r="D54" s="13"/>
      <c r="E54" s="13"/>
      <c r="F54" s="44" t="s">
        <v>2964</v>
      </c>
      <c r="G54" s="43">
        <v>2.0</v>
      </c>
      <c r="H54" s="42"/>
      <c r="I54" s="43">
        <v>2.0</v>
      </c>
      <c r="J54" s="14"/>
      <c r="K54" s="43"/>
    </row>
    <row r="55" ht="39.75" customHeight="1">
      <c r="A55" s="1">
        <v>54.0</v>
      </c>
      <c r="B55" s="21"/>
      <c r="C55" s="21"/>
      <c r="D55" s="21"/>
      <c r="E55" s="21"/>
      <c r="F55" s="46"/>
      <c r="G55" s="47"/>
      <c r="H55" s="47"/>
      <c r="I55" s="47"/>
      <c r="J55" s="48"/>
      <c r="K55" s="47"/>
      <c r="L55" s="49"/>
      <c r="M55" s="49"/>
      <c r="N55" s="49"/>
    </row>
    <row r="56" ht="39.75" hidden="1" customHeight="1">
      <c r="A56" s="1">
        <v>55.0</v>
      </c>
      <c r="B56" s="2" t="s">
        <v>12</v>
      </c>
      <c r="C56" s="2" t="s">
        <v>13</v>
      </c>
      <c r="D56" s="13"/>
      <c r="E56" s="13"/>
      <c r="F56" s="45"/>
      <c r="G56" s="42"/>
      <c r="H56" s="42"/>
      <c r="I56" s="42"/>
      <c r="J56" s="14" t="s">
        <v>2945</v>
      </c>
      <c r="K56" s="43"/>
      <c r="L56" s="15" t="s">
        <v>74</v>
      </c>
    </row>
    <row r="57" ht="39.75" hidden="1" customHeight="1">
      <c r="A57" s="1">
        <v>56.0</v>
      </c>
      <c r="B57" s="2" t="s">
        <v>16</v>
      </c>
      <c r="C57" s="2" t="s">
        <v>13</v>
      </c>
      <c r="D57" s="13"/>
      <c r="E57" s="13"/>
      <c r="F57" s="45"/>
      <c r="G57" s="42"/>
      <c r="H57" s="42"/>
      <c r="I57" s="42"/>
      <c r="J57" s="14" t="s">
        <v>74</v>
      </c>
      <c r="K57" s="43"/>
    </row>
    <row r="58" ht="39.75" customHeight="1">
      <c r="A58" s="1">
        <v>57.0</v>
      </c>
      <c r="B58" s="2" t="s">
        <v>116</v>
      </c>
      <c r="C58" s="2"/>
      <c r="D58" s="40">
        <v>0.7083333333333334</v>
      </c>
      <c r="E58" s="13"/>
      <c r="F58" s="44" t="s">
        <v>2965</v>
      </c>
      <c r="G58" s="43">
        <v>1.0</v>
      </c>
      <c r="H58" s="43">
        <v>1.0</v>
      </c>
      <c r="I58" s="42"/>
      <c r="J58" s="14" t="s">
        <v>19</v>
      </c>
      <c r="K58" s="43"/>
    </row>
    <row r="59" ht="39.75" hidden="1" customHeight="1">
      <c r="A59" s="1">
        <v>58.0</v>
      </c>
      <c r="B59" s="2" t="s">
        <v>17</v>
      </c>
      <c r="C59" s="2" t="s">
        <v>13</v>
      </c>
      <c r="D59" s="13"/>
      <c r="E59" s="13"/>
      <c r="F59" s="45"/>
      <c r="G59" s="42"/>
      <c r="H59" s="42"/>
      <c r="I59" s="42"/>
      <c r="J59" s="14" t="s">
        <v>151</v>
      </c>
      <c r="K59" s="43"/>
    </row>
    <row r="60" ht="39.75" hidden="1" customHeight="1">
      <c r="A60" s="1">
        <v>59.0</v>
      </c>
      <c r="B60" s="2" t="s">
        <v>331</v>
      </c>
      <c r="C60" s="2" t="s">
        <v>13</v>
      </c>
      <c r="D60" s="13"/>
      <c r="E60" s="13"/>
      <c r="F60" s="45"/>
      <c r="G60" s="42"/>
      <c r="H60" s="42"/>
      <c r="I60" s="42"/>
      <c r="J60" s="14" t="s">
        <v>152</v>
      </c>
      <c r="K60" s="43"/>
    </row>
    <row r="61" ht="39.75" hidden="1" customHeight="1">
      <c r="A61" s="1">
        <v>60.0</v>
      </c>
      <c r="B61" s="2" t="s">
        <v>21</v>
      </c>
      <c r="C61" s="2" t="s">
        <v>13</v>
      </c>
      <c r="D61" s="13"/>
      <c r="E61" s="13"/>
      <c r="F61" s="45"/>
      <c r="G61" s="42"/>
      <c r="H61" s="42"/>
      <c r="I61" s="42"/>
      <c r="J61" s="14" t="s">
        <v>154</v>
      </c>
      <c r="K61" s="43"/>
    </row>
    <row r="62" ht="39.75" hidden="1" customHeight="1">
      <c r="A62" s="1">
        <v>61.0</v>
      </c>
      <c r="B62" s="2" t="s">
        <v>22</v>
      </c>
      <c r="C62" s="2" t="s">
        <v>13</v>
      </c>
      <c r="D62" s="13"/>
      <c r="E62" s="13"/>
      <c r="F62" s="45"/>
      <c r="G62" s="42"/>
      <c r="H62" s="42"/>
      <c r="I62" s="42"/>
      <c r="J62" s="14"/>
      <c r="K62" s="43"/>
    </row>
    <row r="63" ht="39.75" hidden="1" customHeight="1">
      <c r="A63" s="1">
        <v>62.0</v>
      </c>
      <c r="B63" s="2" t="s">
        <v>23</v>
      </c>
      <c r="C63" s="2" t="s">
        <v>13</v>
      </c>
      <c r="D63" s="13"/>
      <c r="E63" s="13"/>
      <c r="F63" s="45"/>
      <c r="G63" s="42"/>
      <c r="H63" s="42"/>
      <c r="I63" s="42"/>
      <c r="J63" s="14"/>
      <c r="K63" s="43"/>
    </row>
    <row r="64" ht="39.75" customHeight="1">
      <c r="A64" s="1">
        <v>63.0</v>
      </c>
      <c r="B64" s="2" t="s">
        <v>24</v>
      </c>
      <c r="C64" s="2" t="s">
        <v>63</v>
      </c>
      <c r="D64" s="13"/>
      <c r="E64" s="13"/>
      <c r="F64" s="45"/>
      <c r="G64" s="42"/>
      <c r="H64" s="42"/>
      <c r="I64" s="42"/>
      <c r="J64" s="14"/>
      <c r="K64" s="43"/>
    </row>
    <row r="65" ht="39.75" hidden="1" customHeight="1">
      <c r="A65" s="1">
        <v>64.0</v>
      </c>
      <c r="B65" s="2" t="s">
        <v>25</v>
      </c>
      <c r="C65" s="2" t="s">
        <v>13</v>
      </c>
      <c r="D65" s="13"/>
      <c r="E65" s="13"/>
      <c r="F65" s="45"/>
      <c r="G65" s="42"/>
      <c r="H65" s="42"/>
      <c r="I65" s="42"/>
      <c r="J65" s="14"/>
      <c r="K65" s="43"/>
    </row>
    <row r="66" ht="65.25" customHeight="1">
      <c r="A66" s="1">
        <v>65.0</v>
      </c>
      <c r="B66" s="2" t="s">
        <v>26</v>
      </c>
      <c r="C66" s="2"/>
      <c r="D66" s="40">
        <v>0.375</v>
      </c>
      <c r="E66" s="13"/>
      <c r="F66" s="44" t="s">
        <v>2966</v>
      </c>
      <c r="G66" s="43">
        <v>1.0</v>
      </c>
      <c r="H66" s="42"/>
      <c r="I66" s="42"/>
      <c r="J66" s="14"/>
      <c r="K66" s="43"/>
    </row>
    <row r="67" ht="39.75" hidden="1" customHeight="1">
      <c r="A67" s="1">
        <v>66.0</v>
      </c>
      <c r="B67" s="2" t="s">
        <v>29</v>
      </c>
      <c r="C67" s="2" t="s">
        <v>13</v>
      </c>
      <c r="D67" s="13"/>
      <c r="E67" s="13"/>
      <c r="F67" s="45"/>
      <c r="G67" s="42"/>
      <c r="H67" s="42"/>
      <c r="I67" s="42"/>
      <c r="J67" s="14"/>
      <c r="K67" s="43"/>
    </row>
    <row r="68" ht="39.75" customHeight="1">
      <c r="A68" s="1">
        <v>67.0</v>
      </c>
      <c r="B68" s="2" t="s">
        <v>30</v>
      </c>
      <c r="C68" s="2" t="s">
        <v>49</v>
      </c>
      <c r="D68" s="13"/>
      <c r="E68" s="13"/>
      <c r="F68" s="44" t="s">
        <v>2967</v>
      </c>
      <c r="G68" s="43">
        <v>2.0</v>
      </c>
      <c r="H68" s="42"/>
      <c r="I68" s="43">
        <v>1.0</v>
      </c>
      <c r="J68" s="14"/>
      <c r="K68" s="43"/>
    </row>
    <row r="69" ht="39.75" customHeight="1">
      <c r="A69" s="1">
        <v>68.0</v>
      </c>
      <c r="B69" s="2" t="s">
        <v>31</v>
      </c>
      <c r="C69" s="2" t="s">
        <v>39</v>
      </c>
      <c r="D69" s="13"/>
      <c r="E69" s="13"/>
      <c r="F69" s="44" t="s">
        <v>2968</v>
      </c>
      <c r="G69" s="43">
        <v>2.0</v>
      </c>
      <c r="H69" s="42"/>
      <c r="I69" s="43">
        <v>2.0</v>
      </c>
      <c r="J69" s="14"/>
      <c r="K69" s="43"/>
    </row>
    <row r="70" ht="39.75" customHeight="1">
      <c r="A70" s="1">
        <v>69.0</v>
      </c>
      <c r="B70" s="2" t="s">
        <v>32</v>
      </c>
      <c r="C70" s="2"/>
      <c r="D70" s="40">
        <v>0.375</v>
      </c>
      <c r="E70" s="13"/>
      <c r="F70" s="44" t="s">
        <v>2969</v>
      </c>
      <c r="G70" s="43">
        <v>1.0</v>
      </c>
      <c r="H70" s="42"/>
      <c r="I70" s="42"/>
      <c r="J70" s="14"/>
      <c r="K70" s="43"/>
    </row>
    <row r="71" ht="39.75" customHeight="1">
      <c r="A71" s="1">
        <v>70.0</v>
      </c>
      <c r="B71" s="2" t="s">
        <v>33</v>
      </c>
      <c r="C71" s="2" t="s">
        <v>272</v>
      </c>
      <c r="D71" s="13"/>
      <c r="E71" s="13"/>
      <c r="F71" s="45"/>
      <c r="G71" s="42"/>
      <c r="H71" s="42"/>
      <c r="I71" s="42"/>
      <c r="J71" s="14"/>
      <c r="K71" s="43"/>
    </row>
    <row r="72" ht="39.75" customHeight="1">
      <c r="A72" s="1">
        <v>71.0</v>
      </c>
      <c r="B72" s="2" t="s">
        <v>35</v>
      </c>
      <c r="C72" s="2"/>
      <c r="D72" s="40">
        <v>0.6666666666666666</v>
      </c>
      <c r="E72" s="13"/>
      <c r="F72" s="44" t="s">
        <v>2970</v>
      </c>
      <c r="G72" s="43">
        <v>1.0</v>
      </c>
      <c r="H72" s="43">
        <v>1.0</v>
      </c>
      <c r="I72" s="42"/>
      <c r="J72" s="14"/>
      <c r="K72" s="43"/>
    </row>
    <row r="73" ht="39.75" hidden="1" customHeight="1">
      <c r="A73" s="1">
        <v>72.0</v>
      </c>
      <c r="B73" s="2" t="s">
        <v>36</v>
      </c>
      <c r="C73" s="2" t="s">
        <v>13</v>
      </c>
      <c r="D73" s="13"/>
      <c r="E73" s="13"/>
      <c r="F73" s="45"/>
      <c r="G73" s="42"/>
      <c r="H73" s="42"/>
      <c r="I73" s="42"/>
      <c r="J73" s="14"/>
      <c r="K73" s="43"/>
    </row>
    <row r="74" ht="39.75" customHeight="1">
      <c r="A74" s="1">
        <v>73.0</v>
      </c>
      <c r="B74" s="2" t="s">
        <v>38</v>
      </c>
      <c r="C74" s="2" t="s">
        <v>44</v>
      </c>
      <c r="D74" s="13"/>
      <c r="E74" s="13"/>
      <c r="F74" s="45"/>
      <c r="G74" s="42"/>
      <c r="H74" s="42"/>
      <c r="I74" s="42"/>
      <c r="J74" s="14"/>
      <c r="K74" s="43"/>
    </row>
    <row r="75" ht="39.75" hidden="1" customHeight="1">
      <c r="A75" s="1">
        <v>74.0</v>
      </c>
      <c r="B75" s="2" t="s">
        <v>41</v>
      </c>
      <c r="C75" s="2" t="s">
        <v>13</v>
      </c>
      <c r="D75" s="13"/>
      <c r="E75" s="13"/>
      <c r="F75" s="45"/>
      <c r="G75" s="42"/>
      <c r="H75" s="42"/>
      <c r="I75" s="42"/>
      <c r="J75" s="14"/>
      <c r="K75" s="43"/>
    </row>
    <row r="76" ht="39.75" hidden="1" customHeight="1">
      <c r="A76" s="1">
        <v>75.0</v>
      </c>
      <c r="B76" s="2" t="s">
        <v>42</v>
      </c>
      <c r="C76" s="2" t="s">
        <v>13</v>
      </c>
      <c r="D76" s="13"/>
      <c r="E76" s="13"/>
      <c r="F76" s="45"/>
      <c r="G76" s="42"/>
      <c r="H76" s="42"/>
      <c r="I76" s="42"/>
      <c r="J76" s="14"/>
      <c r="K76" s="43"/>
    </row>
    <row r="77" ht="39.75" hidden="1" customHeight="1">
      <c r="A77" s="1">
        <v>76.0</v>
      </c>
      <c r="B77" s="2" t="s">
        <v>43</v>
      </c>
      <c r="C77" s="2" t="s">
        <v>13</v>
      </c>
      <c r="D77" s="13"/>
      <c r="E77" s="13"/>
      <c r="F77" s="45"/>
      <c r="G77" s="42"/>
      <c r="H77" s="42"/>
      <c r="I77" s="42"/>
      <c r="J77" s="14"/>
      <c r="K77" s="43"/>
    </row>
    <row r="78" ht="39.75" hidden="1" customHeight="1">
      <c r="A78" s="1">
        <v>77.0</v>
      </c>
      <c r="B78" s="2" t="s">
        <v>45</v>
      </c>
      <c r="C78" s="2" t="s">
        <v>13</v>
      </c>
      <c r="D78" s="13"/>
      <c r="E78" s="13"/>
      <c r="F78" s="45"/>
      <c r="G78" s="42"/>
      <c r="H78" s="42"/>
      <c r="I78" s="42"/>
      <c r="J78" s="14"/>
      <c r="K78" s="43"/>
    </row>
    <row r="79" ht="39.75" customHeight="1">
      <c r="A79" s="1">
        <v>78.0</v>
      </c>
      <c r="B79" s="2" t="s">
        <v>46</v>
      </c>
      <c r="C79" s="2" t="s">
        <v>27</v>
      </c>
      <c r="D79" s="13"/>
      <c r="E79" s="13"/>
      <c r="F79" s="44" t="s">
        <v>2971</v>
      </c>
      <c r="G79" s="43">
        <v>1.0</v>
      </c>
      <c r="H79" s="42"/>
      <c r="I79" s="42"/>
      <c r="J79" s="14"/>
      <c r="K79" s="43"/>
    </row>
    <row r="80" ht="39.75" hidden="1" customHeight="1">
      <c r="A80" s="1">
        <v>79.0</v>
      </c>
      <c r="B80" s="2" t="s">
        <v>47</v>
      </c>
      <c r="C80" s="2" t="s">
        <v>13</v>
      </c>
      <c r="D80" s="13"/>
      <c r="E80" s="13"/>
      <c r="F80" s="45"/>
      <c r="G80" s="42"/>
      <c r="H80" s="42"/>
      <c r="I80" s="42"/>
      <c r="J80" s="14"/>
      <c r="K80" s="43"/>
    </row>
    <row r="81" ht="39.75" hidden="1" customHeight="1">
      <c r="A81" s="1">
        <v>80.0</v>
      </c>
      <c r="B81" s="2" t="s">
        <v>48</v>
      </c>
      <c r="C81" s="2" t="s">
        <v>13</v>
      </c>
      <c r="D81" s="13"/>
      <c r="E81" s="13"/>
      <c r="F81" s="45"/>
      <c r="G81" s="42"/>
      <c r="H81" s="42"/>
      <c r="I81" s="42"/>
      <c r="J81" s="14"/>
      <c r="K81" s="43"/>
    </row>
    <row r="82" ht="39.75" customHeight="1">
      <c r="A82" s="1">
        <v>81.0</v>
      </c>
      <c r="B82" s="21"/>
      <c r="C82" s="21"/>
      <c r="D82" s="21"/>
      <c r="E82" s="21"/>
      <c r="F82" s="46"/>
      <c r="G82" s="47"/>
      <c r="H82" s="47"/>
      <c r="I82" s="47"/>
      <c r="J82" s="48"/>
      <c r="K82" s="47"/>
      <c r="L82" s="49"/>
      <c r="M82" s="49"/>
      <c r="N82" s="49"/>
    </row>
    <row r="83" ht="39.75" customHeight="1">
      <c r="A83" s="1">
        <v>82.0</v>
      </c>
      <c r="B83" s="2" t="s">
        <v>12</v>
      </c>
      <c r="C83" s="2" t="s">
        <v>62</v>
      </c>
      <c r="D83" s="13"/>
      <c r="E83" s="13"/>
      <c r="F83" s="44" t="s">
        <v>1543</v>
      </c>
      <c r="G83" s="43">
        <v>1.0</v>
      </c>
      <c r="H83" s="42"/>
      <c r="I83" s="43">
        <v>1.0</v>
      </c>
      <c r="J83" s="14" t="s">
        <v>2945</v>
      </c>
      <c r="K83" s="43"/>
      <c r="L83" s="15" t="s">
        <v>94</v>
      </c>
    </row>
    <row r="84" ht="39.75" hidden="1" customHeight="1">
      <c r="A84" s="1">
        <v>83.0</v>
      </c>
      <c r="B84" s="2" t="s">
        <v>16</v>
      </c>
      <c r="C84" s="2" t="s">
        <v>66</v>
      </c>
      <c r="D84" s="13"/>
      <c r="E84" s="13"/>
      <c r="F84" s="45"/>
      <c r="G84" s="42"/>
      <c r="H84" s="42"/>
      <c r="I84" s="42"/>
      <c r="J84" s="14" t="s">
        <v>94</v>
      </c>
      <c r="K84" s="43"/>
    </row>
    <row r="85" ht="39.75" customHeight="1">
      <c r="A85" s="1">
        <v>84.0</v>
      </c>
      <c r="B85" s="2" t="s">
        <v>116</v>
      </c>
      <c r="C85" s="2"/>
      <c r="D85" s="13"/>
      <c r="E85" s="13"/>
      <c r="F85" s="44" t="s">
        <v>2972</v>
      </c>
      <c r="G85" s="43">
        <v>1.0</v>
      </c>
      <c r="H85" s="43">
        <v>1.0</v>
      </c>
      <c r="I85" s="42"/>
      <c r="J85" s="14" t="s">
        <v>56</v>
      </c>
      <c r="K85" s="43"/>
    </row>
    <row r="86" ht="39.75" customHeight="1">
      <c r="A86" s="1">
        <v>85.0</v>
      </c>
      <c r="B86" s="2" t="s">
        <v>17</v>
      </c>
      <c r="C86" s="2" t="s">
        <v>54</v>
      </c>
      <c r="D86" s="13"/>
      <c r="E86" s="13"/>
      <c r="F86" s="44" t="s">
        <v>2973</v>
      </c>
      <c r="G86" s="43">
        <v>1.0</v>
      </c>
      <c r="H86" s="42"/>
      <c r="I86" s="42"/>
      <c r="J86" s="14"/>
      <c r="K86" s="43"/>
    </row>
    <row r="87" ht="39.75" hidden="1" customHeight="1">
      <c r="A87" s="1">
        <v>86.0</v>
      </c>
      <c r="B87" s="2" t="s">
        <v>331</v>
      </c>
      <c r="C87" s="2" t="s">
        <v>58</v>
      </c>
      <c r="D87" s="13"/>
      <c r="E87" s="13"/>
      <c r="F87" s="45"/>
      <c r="G87" s="42"/>
      <c r="H87" s="42"/>
      <c r="I87" s="42"/>
      <c r="J87" s="14"/>
      <c r="K87" s="43"/>
    </row>
    <row r="88" ht="39.75" customHeight="1">
      <c r="A88" s="1">
        <v>87.0</v>
      </c>
      <c r="B88" s="2" t="s">
        <v>21</v>
      </c>
      <c r="C88" s="2" t="s">
        <v>63</v>
      </c>
      <c r="D88" s="13"/>
      <c r="E88" s="13"/>
      <c r="F88" s="45"/>
      <c r="G88" s="42"/>
      <c r="H88" s="42"/>
      <c r="I88" s="42"/>
      <c r="J88" s="14"/>
      <c r="K88" s="43"/>
    </row>
    <row r="89" ht="39.75" customHeight="1">
      <c r="A89" s="1">
        <v>88.0</v>
      </c>
      <c r="B89" s="2" t="s">
        <v>22</v>
      </c>
      <c r="C89" s="2" t="s">
        <v>27</v>
      </c>
      <c r="D89" s="13"/>
      <c r="E89" s="13"/>
      <c r="F89" s="44" t="s">
        <v>2974</v>
      </c>
      <c r="G89" s="42"/>
      <c r="H89" s="42"/>
      <c r="I89" s="42"/>
      <c r="J89" s="14"/>
      <c r="K89" s="43"/>
    </row>
    <row r="90" ht="39.75" hidden="1" customHeight="1">
      <c r="A90" s="1">
        <v>89.0</v>
      </c>
      <c r="B90" s="2" t="s">
        <v>23</v>
      </c>
      <c r="C90" s="2" t="s">
        <v>58</v>
      </c>
      <c r="D90" s="13"/>
      <c r="E90" s="13"/>
      <c r="F90" s="45"/>
      <c r="G90" s="42"/>
      <c r="H90" s="42"/>
      <c r="I90" s="42"/>
      <c r="J90" s="14"/>
      <c r="K90" s="43"/>
    </row>
    <row r="91" ht="39.75" customHeight="1">
      <c r="A91" s="1">
        <v>90.0</v>
      </c>
      <c r="B91" s="2" t="s">
        <v>24</v>
      </c>
      <c r="C91" s="2"/>
      <c r="D91" s="13"/>
      <c r="E91" s="13"/>
      <c r="F91" s="44" t="s">
        <v>2975</v>
      </c>
      <c r="G91" s="43">
        <v>1.0</v>
      </c>
      <c r="H91" s="42"/>
      <c r="I91" s="42"/>
      <c r="J91" s="14"/>
      <c r="K91" s="43"/>
    </row>
    <row r="92" ht="39.75" customHeight="1">
      <c r="A92" s="1">
        <v>91.0</v>
      </c>
      <c r="B92" s="2" t="s">
        <v>25</v>
      </c>
      <c r="C92" s="2" t="s">
        <v>69</v>
      </c>
      <c r="D92" s="13"/>
      <c r="E92" s="40">
        <v>0.8541666666666666</v>
      </c>
      <c r="F92" s="44" t="s">
        <v>2976</v>
      </c>
      <c r="G92" s="43">
        <v>2.0</v>
      </c>
      <c r="H92" s="42"/>
      <c r="I92" s="43">
        <v>2.0</v>
      </c>
      <c r="J92" s="14"/>
      <c r="K92" s="43"/>
    </row>
    <row r="93" ht="39.75" customHeight="1">
      <c r="A93" s="1">
        <v>92.0</v>
      </c>
      <c r="B93" s="2" t="s">
        <v>26</v>
      </c>
      <c r="C93" s="2" t="s">
        <v>39</v>
      </c>
      <c r="D93" s="13"/>
      <c r="E93" s="13"/>
      <c r="F93" s="44" t="s">
        <v>2977</v>
      </c>
      <c r="G93" s="43">
        <v>1.0</v>
      </c>
      <c r="H93" s="42"/>
      <c r="I93" s="43">
        <v>1.0</v>
      </c>
      <c r="J93" s="14"/>
      <c r="K93" s="43"/>
    </row>
    <row r="94" ht="39.75" customHeight="1">
      <c r="A94" s="1">
        <v>93.0</v>
      </c>
      <c r="B94" s="2" t="s">
        <v>29</v>
      </c>
      <c r="C94" s="2"/>
      <c r="D94" s="13"/>
      <c r="E94" s="13"/>
      <c r="F94" s="44" t="s">
        <v>2978</v>
      </c>
      <c r="G94" s="43">
        <v>3.0</v>
      </c>
      <c r="H94" s="42"/>
      <c r="I94" s="43">
        <v>1.0</v>
      </c>
      <c r="J94" s="14"/>
      <c r="K94" s="43"/>
    </row>
    <row r="95" ht="39.75" customHeight="1">
      <c r="A95" s="1">
        <v>94.0</v>
      </c>
      <c r="B95" s="2" t="s">
        <v>30</v>
      </c>
      <c r="C95" s="2" t="s">
        <v>64</v>
      </c>
      <c r="D95" s="13"/>
      <c r="E95" s="13"/>
      <c r="F95" s="44" t="s">
        <v>2592</v>
      </c>
      <c r="G95" s="43">
        <v>1.0</v>
      </c>
      <c r="H95" s="42"/>
      <c r="I95" s="43">
        <v>1.0</v>
      </c>
      <c r="J95" s="14"/>
      <c r="K95" s="43"/>
    </row>
    <row r="96" ht="39.75" hidden="1" customHeight="1">
      <c r="A96" s="1">
        <v>95.0</v>
      </c>
      <c r="B96" s="2" t="s">
        <v>31</v>
      </c>
      <c r="C96" s="2" t="s">
        <v>58</v>
      </c>
      <c r="D96" s="13"/>
      <c r="E96" s="13"/>
      <c r="F96" s="45"/>
      <c r="G96" s="42"/>
      <c r="H96" s="42"/>
      <c r="I96" s="42"/>
      <c r="J96" s="14"/>
      <c r="K96" s="43"/>
    </row>
    <row r="97" ht="39.75" customHeight="1">
      <c r="A97" s="1">
        <v>96.0</v>
      </c>
      <c r="B97" s="2" t="s">
        <v>32</v>
      </c>
      <c r="C97" s="2"/>
      <c r="D97" s="13"/>
      <c r="E97" s="13"/>
      <c r="F97" s="44" t="s">
        <v>2979</v>
      </c>
      <c r="G97" s="43">
        <v>1.0</v>
      </c>
      <c r="H97" s="42"/>
      <c r="I97" s="43">
        <v>1.0</v>
      </c>
      <c r="J97" s="14"/>
      <c r="K97" s="43"/>
    </row>
    <row r="98" ht="39.75" customHeight="1">
      <c r="A98" s="1">
        <v>97.0</v>
      </c>
      <c r="B98" s="2" t="s">
        <v>67</v>
      </c>
      <c r="C98" s="2" t="s">
        <v>39</v>
      </c>
      <c r="D98" s="13"/>
      <c r="E98" s="51">
        <v>0.6875</v>
      </c>
      <c r="F98" s="44" t="s">
        <v>2664</v>
      </c>
      <c r="G98" s="43">
        <v>1.0</v>
      </c>
      <c r="H98" s="42"/>
      <c r="I98" s="43">
        <v>1.0</v>
      </c>
      <c r="J98" s="14"/>
      <c r="K98" s="43"/>
    </row>
    <row r="99" ht="39.75" customHeight="1">
      <c r="A99" s="1">
        <v>98.0</v>
      </c>
      <c r="B99" s="2" t="s">
        <v>35</v>
      </c>
      <c r="C99" s="2" t="s">
        <v>54</v>
      </c>
      <c r="D99" s="13"/>
      <c r="E99" s="13"/>
      <c r="F99" s="44" t="s">
        <v>2980</v>
      </c>
      <c r="G99" s="43">
        <v>1.0</v>
      </c>
      <c r="H99" s="43">
        <v>1.0</v>
      </c>
      <c r="I99" s="42"/>
      <c r="J99" s="14"/>
      <c r="K99" s="43"/>
    </row>
    <row r="100" ht="39.75" customHeight="1">
      <c r="A100" s="1">
        <v>99.0</v>
      </c>
      <c r="B100" s="2" t="s">
        <v>36</v>
      </c>
      <c r="C100" s="2" t="s">
        <v>54</v>
      </c>
      <c r="D100" s="13"/>
      <c r="E100" s="13"/>
      <c r="F100" s="44" t="s">
        <v>2981</v>
      </c>
      <c r="G100" s="43">
        <v>1.0</v>
      </c>
      <c r="H100" s="42"/>
      <c r="I100" s="43">
        <v>1.0</v>
      </c>
      <c r="J100" s="14"/>
      <c r="K100" s="43"/>
    </row>
    <row r="101" ht="39.75" customHeight="1">
      <c r="A101" s="1">
        <v>100.0</v>
      </c>
      <c r="B101" s="2" t="s">
        <v>38</v>
      </c>
      <c r="C101" s="2" t="s">
        <v>69</v>
      </c>
      <c r="D101" s="13"/>
      <c r="E101" s="13"/>
      <c r="F101" s="44" t="s">
        <v>2982</v>
      </c>
      <c r="G101" s="43">
        <v>1.0</v>
      </c>
      <c r="H101" s="42"/>
      <c r="I101" s="42"/>
      <c r="J101" s="14"/>
      <c r="K101" s="43"/>
    </row>
    <row r="102" ht="39.75" hidden="1" customHeight="1">
      <c r="A102" s="1">
        <v>101.0</v>
      </c>
      <c r="B102" s="2" t="s">
        <v>41</v>
      </c>
      <c r="C102" s="2" t="s">
        <v>58</v>
      </c>
      <c r="D102" s="13"/>
      <c r="E102" s="13"/>
      <c r="F102" s="45"/>
      <c r="G102" s="42"/>
      <c r="H102" s="42"/>
      <c r="I102" s="42"/>
      <c r="J102" s="14"/>
      <c r="K102" s="43"/>
    </row>
    <row r="103" ht="39.75" hidden="1" customHeight="1">
      <c r="A103" s="1">
        <v>102.0</v>
      </c>
      <c r="B103" s="2" t="s">
        <v>42</v>
      </c>
      <c r="C103" s="2" t="s">
        <v>58</v>
      </c>
      <c r="D103" s="13"/>
      <c r="E103" s="13"/>
      <c r="F103" s="45"/>
      <c r="G103" s="42"/>
      <c r="H103" s="42"/>
      <c r="I103" s="42"/>
      <c r="J103" s="14"/>
      <c r="K103" s="43"/>
    </row>
    <row r="104" ht="39.75" hidden="1" customHeight="1">
      <c r="A104" s="1">
        <v>103.0</v>
      </c>
      <c r="B104" s="2" t="s">
        <v>43</v>
      </c>
      <c r="C104" s="2" t="s">
        <v>58</v>
      </c>
      <c r="D104" s="13"/>
      <c r="E104" s="13"/>
      <c r="F104" s="45"/>
      <c r="G104" s="42"/>
      <c r="H104" s="42"/>
      <c r="I104" s="42"/>
      <c r="J104" s="14"/>
      <c r="K104" s="43"/>
    </row>
    <row r="105" ht="39.75" hidden="1" customHeight="1">
      <c r="A105" s="1">
        <v>104.0</v>
      </c>
      <c r="B105" s="2" t="s">
        <v>45</v>
      </c>
      <c r="C105" s="2" t="s">
        <v>58</v>
      </c>
      <c r="D105" s="13"/>
      <c r="E105" s="13"/>
      <c r="F105" s="45"/>
      <c r="G105" s="42"/>
      <c r="H105" s="42"/>
      <c r="I105" s="42"/>
      <c r="J105" s="14"/>
      <c r="K105" s="43"/>
    </row>
    <row r="106" ht="39.75" customHeight="1">
      <c r="A106" s="1">
        <v>105.0</v>
      </c>
      <c r="B106" s="2" t="s">
        <v>46</v>
      </c>
      <c r="C106" s="2" t="s">
        <v>44</v>
      </c>
      <c r="D106" s="13"/>
      <c r="E106" s="13"/>
      <c r="F106" s="45"/>
      <c r="G106" s="42"/>
      <c r="H106" s="42"/>
      <c r="I106" s="42"/>
      <c r="J106" s="14"/>
      <c r="K106" s="43"/>
    </row>
    <row r="107" ht="39.75" customHeight="1">
      <c r="A107" s="1">
        <v>106.0</v>
      </c>
      <c r="B107" s="2" t="s">
        <v>47</v>
      </c>
      <c r="C107" s="2" t="s">
        <v>54</v>
      </c>
      <c r="D107" s="13"/>
      <c r="E107" s="13"/>
      <c r="F107" s="44" t="s">
        <v>2983</v>
      </c>
      <c r="G107" s="43">
        <v>1.0</v>
      </c>
      <c r="H107" s="42"/>
      <c r="I107" s="42"/>
      <c r="J107" s="14"/>
      <c r="K107" s="43"/>
    </row>
    <row r="108" ht="39.75" customHeight="1">
      <c r="A108" s="1">
        <v>107.0</v>
      </c>
      <c r="B108" s="2" t="s">
        <v>48</v>
      </c>
      <c r="C108" s="2" t="s">
        <v>69</v>
      </c>
      <c r="D108" s="13"/>
      <c r="E108" s="13"/>
      <c r="F108" s="44" t="s">
        <v>2984</v>
      </c>
      <c r="G108" s="43">
        <v>1.0</v>
      </c>
      <c r="H108" s="42"/>
      <c r="I108" s="42"/>
      <c r="J108" s="14"/>
      <c r="K108" s="43"/>
    </row>
    <row r="109" ht="39.75" customHeight="1">
      <c r="A109" s="1">
        <v>108.0</v>
      </c>
      <c r="B109" s="21"/>
      <c r="C109" s="21"/>
      <c r="D109" s="21"/>
      <c r="E109" s="21"/>
      <c r="F109" s="46"/>
      <c r="G109" s="47"/>
      <c r="H109" s="47"/>
      <c r="I109" s="47"/>
      <c r="J109" s="54"/>
      <c r="K109" s="72"/>
      <c r="L109" s="49"/>
      <c r="M109" s="49"/>
      <c r="N109" s="49"/>
    </row>
    <row r="110" ht="39.75" customHeight="1">
      <c r="A110" s="1">
        <v>109.0</v>
      </c>
      <c r="B110" s="2" t="s">
        <v>12</v>
      </c>
      <c r="C110" s="2" t="s">
        <v>62</v>
      </c>
      <c r="D110" s="13"/>
      <c r="E110" s="13"/>
      <c r="F110" s="44" t="s">
        <v>1543</v>
      </c>
      <c r="G110" s="43">
        <v>1.0</v>
      </c>
      <c r="H110" s="42"/>
      <c r="I110" s="43">
        <v>1.0</v>
      </c>
      <c r="J110" s="27" t="s">
        <v>2945</v>
      </c>
      <c r="K110" s="43"/>
      <c r="L110" s="15" t="s">
        <v>109</v>
      </c>
    </row>
    <row r="111" ht="39.75" customHeight="1">
      <c r="A111" s="1">
        <v>110.0</v>
      </c>
      <c r="B111" s="2" t="s">
        <v>16</v>
      </c>
      <c r="C111" s="2"/>
      <c r="D111" s="53">
        <v>0.3333333333333333</v>
      </c>
      <c r="E111" s="13"/>
      <c r="F111" s="44" t="s">
        <v>2985</v>
      </c>
      <c r="G111" s="43">
        <v>2.0</v>
      </c>
      <c r="H111" s="42"/>
      <c r="I111" s="43">
        <v>1.0</v>
      </c>
      <c r="J111" s="27" t="s">
        <v>109</v>
      </c>
      <c r="K111" s="43"/>
    </row>
    <row r="112" ht="39.75" customHeight="1">
      <c r="A112" s="1">
        <v>111.0</v>
      </c>
      <c r="B112" s="2" t="s">
        <v>116</v>
      </c>
      <c r="C112" s="2"/>
      <c r="D112" s="53">
        <v>0.2916666666666667</v>
      </c>
      <c r="E112" s="13"/>
      <c r="F112" s="44" t="s">
        <v>2986</v>
      </c>
      <c r="G112" s="43">
        <v>1.0</v>
      </c>
      <c r="H112" s="42"/>
      <c r="I112" s="42"/>
      <c r="J112" s="27" t="s">
        <v>77</v>
      </c>
      <c r="K112" s="43"/>
    </row>
    <row r="113" ht="39.75" customHeight="1">
      <c r="A113" s="1">
        <v>112.0</v>
      </c>
      <c r="B113" s="2" t="s">
        <v>17</v>
      </c>
      <c r="C113" s="2" t="s">
        <v>54</v>
      </c>
      <c r="D113" s="13"/>
      <c r="E113" s="13"/>
      <c r="F113" s="44" t="s">
        <v>2987</v>
      </c>
      <c r="G113" s="43">
        <v>2.0</v>
      </c>
      <c r="H113" s="42"/>
      <c r="I113" s="42"/>
      <c r="J113" s="22"/>
      <c r="K113" s="42"/>
    </row>
    <row r="114" ht="39.75" hidden="1" customHeight="1">
      <c r="A114" s="1">
        <v>113.0</v>
      </c>
      <c r="B114" s="2" t="s">
        <v>331</v>
      </c>
      <c r="C114" s="2" t="s">
        <v>58</v>
      </c>
      <c r="D114" s="13"/>
      <c r="E114" s="13"/>
      <c r="F114" s="45"/>
      <c r="G114" s="42"/>
      <c r="H114" s="42"/>
      <c r="I114" s="42"/>
      <c r="J114" s="22"/>
      <c r="K114" s="42"/>
    </row>
    <row r="115" ht="39.75" customHeight="1">
      <c r="A115" s="1">
        <v>114.0</v>
      </c>
      <c r="B115" s="2" t="s">
        <v>21</v>
      </c>
      <c r="C115" s="2" t="s">
        <v>63</v>
      </c>
      <c r="D115" s="13"/>
      <c r="E115" s="13"/>
      <c r="F115" s="45"/>
      <c r="G115" s="42"/>
      <c r="H115" s="42"/>
      <c r="I115" s="42"/>
      <c r="J115" s="22"/>
      <c r="K115" s="42"/>
    </row>
    <row r="116" ht="39.75" customHeight="1">
      <c r="A116" s="1">
        <v>115.0</v>
      </c>
      <c r="B116" s="2" t="s">
        <v>22</v>
      </c>
      <c r="C116" s="2" t="s">
        <v>44</v>
      </c>
      <c r="D116" s="13"/>
      <c r="E116" s="13"/>
      <c r="F116" s="45"/>
      <c r="G116" s="42"/>
      <c r="H116" s="42"/>
      <c r="I116" s="42"/>
      <c r="J116" s="22"/>
      <c r="K116" s="42"/>
    </row>
    <row r="117" ht="39.75" customHeight="1">
      <c r="A117" s="1">
        <v>116.0</v>
      </c>
      <c r="B117" s="2" t="s">
        <v>23</v>
      </c>
      <c r="C117" s="2" t="s">
        <v>54</v>
      </c>
      <c r="D117" s="53">
        <v>0.3333333333333333</v>
      </c>
      <c r="E117" s="13"/>
      <c r="F117" s="44" t="s">
        <v>2988</v>
      </c>
      <c r="G117" s="43">
        <v>1.0</v>
      </c>
      <c r="H117" s="43">
        <v>1.0</v>
      </c>
      <c r="I117" s="42"/>
      <c r="J117" s="22"/>
      <c r="K117" s="42"/>
    </row>
    <row r="118" ht="39.75" customHeight="1">
      <c r="A118" s="1">
        <v>117.0</v>
      </c>
      <c r="B118" s="2" t="s">
        <v>24</v>
      </c>
      <c r="C118" s="2"/>
      <c r="D118" s="53">
        <v>0.3541666666666667</v>
      </c>
      <c r="E118" s="13"/>
      <c r="F118" s="44" t="s">
        <v>2989</v>
      </c>
      <c r="G118" s="43">
        <v>2.0</v>
      </c>
      <c r="H118" s="42"/>
      <c r="I118" s="43">
        <v>1.0</v>
      </c>
      <c r="J118" s="22"/>
      <c r="K118" s="42"/>
    </row>
    <row r="119" ht="39.75" customHeight="1">
      <c r="A119" s="1">
        <v>118.0</v>
      </c>
      <c r="B119" s="2" t="s">
        <v>25</v>
      </c>
      <c r="C119" s="2" t="s">
        <v>27</v>
      </c>
      <c r="D119" s="13"/>
      <c r="E119" s="13"/>
      <c r="F119" s="44" t="s">
        <v>2990</v>
      </c>
      <c r="G119" s="43">
        <v>1.0</v>
      </c>
      <c r="H119" s="42"/>
      <c r="I119" s="42"/>
      <c r="J119" s="22"/>
      <c r="K119" s="42"/>
    </row>
    <row r="120" ht="39.75" customHeight="1">
      <c r="A120" s="1">
        <v>119.0</v>
      </c>
      <c r="B120" s="2" t="s">
        <v>26</v>
      </c>
      <c r="C120" s="2"/>
      <c r="D120" s="53">
        <v>0.3333333333333333</v>
      </c>
      <c r="E120" s="13"/>
      <c r="F120" s="44" t="s">
        <v>2991</v>
      </c>
      <c r="G120" s="43">
        <v>2.0</v>
      </c>
      <c r="H120" s="42"/>
      <c r="I120" s="42"/>
      <c r="J120" s="22"/>
      <c r="K120" s="42"/>
    </row>
    <row r="121" ht="39.75" customHeight="1">
      <c r="A121" s="1">
        <v>120.0</v>
      </c>
      <c r="B121" s="2" t="s">
        <v>29</v>
      </c>
      <c r="C121" s="2" t="s">
        <v>39</v>
      </c>
      <c r="D121" s="40">
        <v>0.2916666666666667</v>
      </c>
      <c r="E121" s="51">
        <v>0.6875</v>
      </c>
      <c r="F121" s="44" t="s">
        <v>2992</v>
      </c>
      <c r="G121" s="43">
        <v>2.0</v>
      </c>
      <c r="H121" s="43"/>
      <c r="I121" s="43">
        <v>2.0</v>
      </c>
      <c r="J121" s="22"/>
      <c r="K121" s="42"/>
    </row>
    <row r="122" ht="39.75" customHeight="1">
      <c r="A122" s="1">
        <v>121.0</v>
      </c>
      <c r="B122" s="2" t="s">
        <v>30</v>
      </c>
      <c r="C122" s="2" t="s">
        <v>64</v>
      </c>
      <c r="D122" s="13"/>
      <c r="E122" s="13"/>
      <c r="F122" s="44" t="s">
        <v>2592</v>
      </c>
      <c r="G122" s="43">
        <v>1.0</v>
      </c>
      <c r="H122" s="42"/>
      <c r="I122" s="43">
        <v>1.0</v>
      </c>
      <c r="J122" s="22"/>
      <c r="K122" s="42"/>
    </row>
    <row r="123" ht="39.75" hidden="1" customHeight="1">
      <c r="A123" s="1">
        <v>122.0</v>
      </c>
      <c r="B123" s="2" t="s">
        <v>31</v>
      </c>
      <c r="C123" s="2" t="s">
        <v>58</v>
      </c>
      <c r="D123" s="13"/>
      <c r="E123" s="13"/>
      <c r="F123" s="45"/>
      <c r="G123" s="42"/>
      <c r="H123" s="42"/>
      <c r="I123" s="42"/>
      <c r="J123" s="22"/>
      <c r="K123" s="42"/>
    </row>
    <row r="124" ht="39.75" customHeight="1">
      <c r="A124" s="1">
        <v>123.0</v>
      </c>
      <c r="B124" s="2" t="s">
        <v>32</v>
      </c>
      <c r="C124" s="2" t="s">
        <v>69</v>
      </c>
      <c r="D124" s="13"/>
      <c r="E124" s="40">
        <v>0.9027777777777778</v>
      </c>
      <c r="F124" s="44" t="s">
        <v>2993</v>
      </c>
      <c r="G124" s="43">
        <v>1.0</v>
      </c>
      <c r="H124" s="42"/>
      <c r="I124" s="42"/>
      <c r="J124" s="22"/>
      <c r="K124" s="42"/>
    </row>
    <row r="125" ht="39.75" customHeight="1">
      <c r="A125" s="1">
        <v>124.0</v>
      </c>
      <c r="B125" s="2" t="s">
        <v>67</v>
      </c>
      <c r="C125" s="2" t="s">
        <v>69</v>
      </c>
      <c r="D125" s="13"/>
      <c r="E125" s="40">
        <v>0.8194444444444444</v>
      </c>
      <c r="F125" s="44" t="s">
        <v>2994</v>
      </c>
      <c r="G125" s="43">
        <v>2.0</v>
      </c>
      <c r="H125" s="42"/>
      <c r="I125" s="43">
        <v>1.0</v>
      </c>
      <c r="J125" s="22"/>
      <c r="K125" s="42"/>
    </row>
    <row r="126" ht="39.75" customHeight="1">
      <c r="A126" s="1">
        <v>125.0</v>
      </c>
      <c r="B126" s="2" t="s">
        <v>35</v>
      </c>
      <c r="C126" s="2" t="s">
        <v>54</v>
      </c>
      <c r="D126" s="53">
        <v>0.3333333333333333</v>
      </c>
      <c r="E126" s="51">
        <v>0.875</v>
      </c>
      <c r="F126" s="44" t="s">
        <v>2980</v>
      </c>
      <c r="G126" s="43">
        <v>1.0</v>
      </c>
      <c r="H126" s="43">
        <v>1.0</v>
      </c>
      <c r="I126" s="42"/>
      <c r="J126" s="22"/>
      <c r="K126" s="42"/>
    </row>
    <row r="127" ht="39.75" customHeight="1">
      <c r="A127" s="1">
        <v>126.0</v>
      </c>
      <c r="B127" s="2" t="s">
        <v>36</v>
      </c>
      <c r="C127" s="2"/>
      <c r="D127" s="53">
        <v>0.3125</v>
      </c>
      <c r="E127" s="13"/>
      <c r="F127" s="44" t="s">
        <v>2995</v>
      </c>
      <c r="G127" s="43">
        <v>4.0</v>
      </c>
      <c r="H127" s="42"/>
      <c r="I127" s="43">
        <v>3.0</v>
      </c>
      <c r="J127" s="22"/>
      <c r="K127" s="42"/>
    </row>
    <row r="128" ht="39.75" hidden="1" customHeight="1">
      <c r="A128" s="1">
        <v>127.0</v>
      </c>
      <c r="B128" s="2" t="s">
        <v>38</v>
      </c>
      <c r="C128" s="2" t="s">
        <v>66</v>
      </c>
      <c r="D128" s="13"/>
      <c r="E128" s="13"/>
      <c r="F128" s="45"/>
      <c r="G128" s="42"/>
      <c r="H128" s="42"/>
      <c r="I128" s="42"/>
      <c r="J128" s="22"/>
      <c r="K128" s="42"/>
    </row>
    <row r="129" ht="39.75" hidden="1" customHeight="1">
      <c r="A129" s="1">
        <v>128.0</v>
      </c>
      <c r="B129" s="2" t="s">
        <v>41</v>
      </c>
      <c r="C129" s="2" t="s">
        <v>58</v>
      </c>
      <c r="D129" s="13"/>
      <c r="E129" s="13"/>
      <c r="F129" s="45"/>
      <c r="G129" s="42"/>
      <c r="H129" s="42"/>
      <c r="I129" s="42"/>
      <c r="J129" s="22"/>
      <c r="K129" s="42"/>
    </row>
    <row r="130" ht="39.75" hidden="1" customHeight="1">
      <c r="A130" s="1">
        <v>129.0</v>
      </c>
      <c r="B130" s="2" t="s">
        <v>42</v>
      </c>
      <c r="C130" s="2" t="s">
        <v>58</v>
      </c>
      <c r="D130" s="13"/>
      <c r="E130" s="13"/>
      <c r="F130" s="45"/>
      <c r="G130" s="42"/>
      <c r="H130" s="42"/>
      <c r="I130" s="42"/>
      <c r="J130" s="22"/>
      <c r="K130" s="42"/>
    </row>
    <row r="131" ht="39.75" hidden="1" customHeight="1">
      <c r="A131" s="1">
        <v>130.0</v>
      </c>
      <c r="B131" s="2" t="s">
        <v>43</v>
      </c>
      <c r="C131" s="2" t="s">
        <v>58</v>
      </c>
      <c r="D131" s="13"/>
      <c r="E131" s="13"/>
      <c r="F131" s="45"/>
      <c r="G131" s="42"/>
      <c r="H131" s="42"/>
      <c r="I131" s="42"/>
      <c r="J131" s="22"/>
      <c r="K131" s="42"/>
    </row>
    <row r="132" ht="39.75" hidden="1" customHeight="1">
      <c r="A132" s="1">
        <v>131.0</v>
      </c>
      <c r="B132" s="2" t="s">
        <v>45</v>
      </c>
      <c r="C132" s="2" t="s">
        <v>58</v>
      </c>
      <c r="D132" s="13"/>
      <c r="E132" s="13"/>
      <c r="F132" s="45"/>
      <c r="G132" s="42"/>
      <c r="H132" s="42"/>
      <c r="I132" s="42"/>
      <c r="J132" s="22"/>
      <c r="K132" s="42"/>
    </row>
    <row r="133" ht="39.75" customHeight="1">
      <c r="A133" s="1">
        <v>132.0</v>
      </c>
      <c r="B133" s="2" t="s">
        <v>46</v>
      </c>
      <c r="C133" s="2" t="s">
        <v>69</v>
      </c>
      <c r="D133" s="13"/>
      <c r="E133" s="13"/>
      <c r="F133" s="44" t="s">
        <v>2996</v>
      </c>
      <c r="G133" s="43">
        <v>3.0</v>
      </c>
      <c r="H133" s="42"/>
      <c r="I133" s="43">
        <v>1.0</v>
      </c>
      <c r="J133" s="22"/>
      <c r="K133" s="42"/>
    </row>
    <row r="134" ht="39.75" customHeight="1">
      <c r="A134" s="1">
        <v>133.0</v>
      </c>
      <c r="B134" s="2" t="s">
        <v>47</v>
      </c>
      <c r="C134" s="2" t="s">
        <v>54</v>
      </c>
      <c r="D134" s="40">
        <v>0.5416666666666666</v>
      </c>
      <c r="E134" s="51">
        <v>0.9444444444444444</v>
      </c>
      <c r="F134" s="44" t="s">
        <v>2997</v>
      </c>
      <c r="G134" s="43">
        <v>1.0</v>
      </c>
      <c r="H134" s="42"/>
      <c r="I134" s="42"/>
      <c r="J134" s="22"/>
      <c r="K134" s="42"/>
    </row>
    <row r="135" ht="39.75" customHeight="1">
      <c r="A135" s="1">
        <v>134.0</v>
      </c>
      <c r="B135" s="2" t="s">
        <v>48</v>
      </c>
      <c r="C135" s="2" t="s">
        <v>39</v>
      </c>
      <c r="D135" s="40">
        <v>0.2916666666666667</v>
      </c>
      <c r="E135" s="51">
        <v>0.6875</v>
      </c>
      <c r="F135" s="44" t="s">
        <v>2998</v>
      </c>
      <c r="G135" s="43">
        <v>3.0</v>
      </c>
      <c r="H135" s="42"/>
      <c r="I135" s="43">
        <v>3.0</v>
      </c>
      <c r="J135" s="22"/>
      <c r="K135" s="42"/>
    </row>
    <row r="136" ht="39.75" customHeight="1">
      <c r="A136" s="1">
        <v>135.0</v>
      </c>
      <c r="B136" s="21"/>
      <c r="C136" s="21"/>
      <c r="D136" s="21"/>
      <c r="E136" s="21"/>
      <c r="F136" s="46"/>
      <c r="G136" s="47"/>
      <c r="H136" s="47"/>
      <c r="I136" s="47"/>
      <c r="J136" s="48"/>
      <c r="K136" s="47"/>
      <c r="L136" s="49"/>
      <c r="M136" s="49"/>
      <c r="N136" s="49"/>
    </row>
    <row r="137" ht="39.75" customHeight="1">
      <c r="A137" s="1">
        <v>136.0</v>
      </c>
      <c r="B137" s="2" t="s">
        <v>12</v>
      </c>
      <c r="C137" s="2" t="s">
        <v>62</v>
      </c>
      <c r="D137" s="13"/>
      <c r="E137" s="13"/>
      <c r="F137" s="45"/>
      <c r="G137" s="42"/>
      <c r="H137" s="42"/>
      <c r="I137" s="42"/>
      <c r="J137" s="27" t="s">
        <v>2945</v>
      </c>
      <c r="K137" s="43"/>
      <c r="L137" s="15" t="s">
        <v>128</v>
      </c>
    </row>
    <row r="138" ht="39.75" customHeight="1">
      <c r="A138" s="1">
        <v>137.0</v>
      </c>
      <c r="B138" s="2" t="s">
        <v>16</v>
      </c>
      <c r="C138" s="2"/>
      <c r="D138" s="13"/>
      <c r="E138" s="13"/>
      <c r="F138" s="44" t="s">
        <v>2999</v>
      </c>
      <c r="G138" s="43">
        <v>1.0</v>
      </c>
      <c r="H138" s="42"/>
      <c r="I138" s="43">
        <v>1.0</v>
      </c>
      <c r="J138" s="27" t="s">
        <v>128</v>
      </c>
      <c r="K138" s="43"/>
    </row>
    <row r="139" ht="39.75" customHeight="1">
      <c r="A139" s="1">
        <v>138.0</v>
      </c>
      <c r="B139" s="2" t="s">
        <v>116</v>
      </c>
      <c r="C139" s="2"/>
      <c r="D139" s="13"/>
      <c r="E139" s="13"/>
      <c r="F139" s="44" t="s">
        <v>3000</v>
      </c>
      <c r="G139" s="43">
        <v>2.0</v>
      </c>
      <c r="H139" s="42"/>
      <c r="I139" s="43">
        <v>2.0</v>
      </c>
      <c r="J139" s="27" t="s">
        <v>95</v>
      </c>
      <c r="K139" s="43"/>
    </row>
    <row r="140" ht="39.75" customHeight="1">
      <c r="A140" s="1">
        <v>139.0</v>
      </c>
      <c r="B140" s="2" t="s">
        <v>17</v>
      </c>
      <c r="C140" s="2" t="s">
        <v>54</v>
      </c>
      <c r="D140" s="53">
        <v>0.2708333333333333</v>
      </c>
      <c r="E140" s="13"/>
      <c r="F140" s="44" t="s">
        <v>3001</v>
      </c>
      <c r="G140" s="43">
        <v>1.0</v>
      </c>
      <c r="H140" s="42"/>
      <c r="I140" s="43">
        <v>1.0</v>
      </c>
      <c r="J140" s="27"/>
      <c r="K140" s="43"/>
    </row>
    <row r="141" ht="39.75" hidden="1" customHeight="1">
      <c r="A141" s="1">
        <v>140.0</v>
      </c>
      <c r="B141" s="2" t="s">
        <v>331</v>
      </c>
      <c r="C141" s="2" t="s">
        <v>58</v>
      </c>
      <c r="D141" s="13"/>
      <c r="E141" s="13"/>
      <c r="F141" s="45"/>
      <c r="G141" s="42"/>
      <c r="H141" s="42"/>
      <c r="I141" s="42"/>
      <c r="J141" s="27"/>
      <c r="K141" s="43"/>
    </row>
    <row r="142" ht="39.75" customHeight="1">
      <c r="A142" s="1">
        <v>141.0</v>
      </c>
      <c r="B142" s="2" t="s">
        <v>21</v>
      </c>
      <c r="C142" s="2" t="s">
        <v>63</v>
      </c>
      <c r="D142" s="13"/>
      <c r="E142" s="13"/>
      <c r="F142" s="45"/>
      <c r="G142" s="42"/>
      <c r="H142" s="42"/>
      <c r="I142" s="42"/>
      <c r="J142" s="27"/>
      <c r="K142" s="43"/>
    </row>
    <row r="143" ht="39.75" hidden="1" customHeight="1">
      <c r="A143" s="1">
        <v>142.0</v>
      </c>
      <c r="B143" s="2" t="s">
        <v>22</v>
      </c>
      <c r="C143" s="2" t="s">
        <v>66</v>
      </c>
      <c r="D143" s="13"/>
      <c r="E143" s="13"/>
      <c r="F143" s="45"/>
      <c r="G143" s="42"/>
      <c r="H143" s="42"/>
      <c r="I143" s="42"/>
      <c r="J143" s="22"/>
      <c r="K143" s="42"/>
    </row>
    <row r="144" ht="39.75" customHeight="1">
      <c r="A144" s="1">
        <v>143.0</v>
      </c>
      <c r="B144" s="2" t="s">
        <v>23</v>
      </c>
      <c r="C144" s="2" t="s">
        <v>54</v>
      </c>
      <c r="D144" s="13"/>
      <c r="E144" s="13"/>
      <c r="F144" s="44" t="s">
        <v>3002</v>
      </c>
      <c r="G144" s="43">
        <v>1.0</v>
      </c>
      <c r="H144" s="43">
        <v>1.0</v>
      </c>
      <c r="I144" s="42"/>
      <c r="J144" s="22"/>
      <c r="K144" s="42"/>
    </row>
    <row r="145" ht="39.75" customHeight="1">
      <c r="A145" s="1">
        <v>144.0</v>
      </c>
      <c r="B145" s="2" t="s">
        <v>24</v>
      </c>
      <c r="C145" s="2"/>
      <c r="D145" s="53">
        <v>0.25</v>
      </c>
      <c r="E145" s="13"/>
      <c r="F145" s="44" t="s">
        <v>3003</v>
      </c>
      <c r="G145" s="43">
        <v>1.0</v>
      </c>
      <c r="H145" s="42"/>
      <c r="I145" s="42"/>
      <c r="J145" s="22"/>
      <c r="K145" s="42"/>
    </row>
    <row r="146" ht="39.75" customHeight="1">
      <c r="A146" s="1">
        <v>145.0</v>
      </c>
      <c r="B146" s="2" t="s">
        <v>25</v>
      </c>
      <c r="C146" s="2" t="s">
        <v>44</v>
      </c>
      <c r="D146" s="13"/>
      <c r="E146" s="13"/>
      <c r="F146" s="45"/>
      <c r="G146" s="42"/>
      <c r="H146" s="42"/>
      <c r="I146" s="42"/>
      <c r="J146" s="22"/>
      <c r="K146" s="42"/>
    </row>
    <row r="147" ht="39.75" customHeight="1">
      <c r="A147" s="1">
        <v>146.0</v>
      </c>
      <c r="B147" s="2" t="s">
        <v>26</v>
      </c>
      <c r="C147" s="2" t="s">
        <v>69</v>
      </c>
      <c r="D147" s="13"/>
      <c r="E147" s="13"/>
      <c r="F147" s="44" t="s">
        <v>2741</v>
      </c>
      <c r="G147" s="43">
        <v>1.0</v>
      </c>
      <c r="H147" s="42"/>
      <c r="I147" s="43">
        <v>1.0</v>
      </c>
      <c r="J147" s="22"/>
      <c r="K147" s="42"/>
    </row>
    <row r="148" ht="39.75" customHeight="1">
      <c r="A148" s="1">
        <v>147.0</v>
      </c>
      <c r="B148" s="2" t="s">
        <v>29</v>
      </c>
      <c r="C148" s="2" t="s">
        <v>69</v>
      </c>
      <c r="D148" s="13"/>
      <c r="E148" s="40">
        <v>0.8680555555555556</v>
      </c>
      <c r="F148" s="44" t="s">
        <v>3004</v>
      </c>
      <c r="G148" s="43">
        <v>1.0</v>
      </c>
      <c r="H148" s="42"/>
      <c r="I148" s="43"/>
      <c r="J148" s="22"/>
      <c r="K148" s="42"/>
    </row>
    <row r="149" ht="39.75" customHeight="1">
      <c r="A149" s="1">
        <v>148.0</v>
      </c>
      <c r="B149" s="2" t="s">
        <v>30</v>
      </c>
      <c r="C149" s="2" t="s">
        <v>64</v>
      </c>
      <c r="D149" s="13"/>
      <c r="E149" s="13"/>
      <c r="F149" s="44" t="s">
        <v>2592</v>
      </c>
      <c r="G149" s="43">
        <v>1.0</v>
      </c>
      <c r="H149" s="42"/>
      <c r="I149" s="43">
        <v>1.0</v>
      </c>
      <c r="J149" s="22"/>
      <c r="K149" s="42"/>
    </row>
    <row r="150" ht="39.75" hidden="1" customHeight="1">
      <c r="A150" s="1">
        <v>149.0</v>
      </c>
      <c r="B150" s="2" t="s">
        <v>31</v>
      </c>
      <c r="C150" s="2" t="s">
        <v>58</v>
      </c>
      <c r="D150" s="13"/>
      <c r="E150" s="13"/>
      <c r="F150" s="45"/>
      <c r="G150" s="42"/>
      <c r="H150" s="42"/>
      <c r="I150" s="42"/>
      <c r="J150" s="22"/>
      <c r="K150" s="42"/>
    </row>
    <row r="151" ht="39.75" customHeight="1">
      <c r="A151" s="1">
        <v>150.0</v>
      </c>
      <c r="B151" s="2" t="s">
        <v>32</v>
      </c>
      <c r="C151" s="2"/>
      <c r="D151" s="13"/>
      <c r="E151" s="13"/>
      <c r="F151" s="44" t="s">
        <v>3005</v>
      </c>
      <c r="G151" s="43">
        <v>2.0</v>
      </c>
      <c r="H151" s="42"/>
      <c r="I151" s="42"/>
      <c r="J151" s="22"/>
      <c r="K151" s="42"/>
    </row>
    <row r="152" ht="39.75" customHeight="1">
      <c r="A152" s="1">
        <v>151.0</v>
      </c>
      <c r="B152" s="2" t="s">
        <v>67</v>
      </c>
      <c r="C152" s="2" t="s">
        <v>39</v>
      </c>
      <c r="D152" s="13"/>
      <c r="E152" s="13"/>
      <c r="F152" s="44" t="s">
        <v>2785</v>
      </c>
      <c r="G152" s="43">
        <v>1.0</v>
      </c>
      <c r="H152" s="42"/>
      <c r="I152" s="43">
        <v>1.0</v>
      </c>
      <c r="J152" s="22"/>
      <c r="K152" s="42"/>
    </row>
    <row r="153" ht="39.75" customHeight="1">
      <c r="A153" s="1">
        <v>152.0</v>
      </c>
      <c r="B153" s="2" t="s">
        <v>35</v>
      </c>
      <c r="C153" s="2" t="s">
        <v>54</v>
      </c>
      <c r="D153" s="53">
        <v>0.3263888888888889</v>
      </c>
      <c r="E153" s="13"/>
      <c r="F153" s="44" t="s">
        <v>2691</v>
      </c>
      <c r="G153" s="43">
        <v>1.0</v>
      </c>
      <c r="H153" s="42"/>
      <c r="I153" s="43">
        <v>1.0</v>
      </c>
      <c r="J153" s="22"/>
      <c r="K153" s="42"/>
    </row>
    <row r="154" ht="39.75" customHeight="1">
      <c r="A154" s="1">
        <v>153.0</v>
      </c>
      <c r="B154" s="2" t="s">
        <v>36</v>
      </c>
      <c r="C154" s="2" t="s">
        <v>69</v>
      </c>
      <c r="D154" s="13"/>
      <c r="E154" s="13"/>
      <c r="F154" s="44" t="s">
        <v>3006</v>
      </c>
      <c r="G154" s="43">
        <v>1.0</v>
      </c>
      <c r="H154" s="42"/>
      <c r="I154" s="42"/>
      <c r="J154" s="22"/>
      <c r="K154" s="42"/>
    </row>
    <row r="155" ht="39.75" hidden="1" customHeight="1">
      <c r="A155" s="1">
        <v>154.0</v>
      </c>
      <c r="B155" s="2" t="s">
        <v>38</v>
      </c>
      <c r="C155" s="2" t="s">
        <v>58</v>
      </c>
      <c r="D155" s="13"/>
      <c r="E155" s="13"/>
      <c r="F155" s="45"/>
      <c r="G155" s="42"/>
      <c r="H155" s="42"/>
      <c r="I155" s="42"/>
      <c r="J155" s="22"/>
      <c r="K155" s="42"/>
    </row>
    <row r="156" ht="39.75" hidden="1" customHeight="1">
      <c r="A156" s="1">
        <v>155.0</v>
      </c>
      <c r="B156" s="2" t="s">
        <v>41</v>
      </c>
      <c r="C156" s="2" t="s">
        <v>58</v>
      </c>
      <c r="D156" s="13"/>
      <c r="E156" s="13"/>
      <c r="F156" s="45"/>
      <c r="G156" s="42"/>
      <c r="H156" s="42"/>
      <c r="I156" s="42"/>
      <c r="J156" s="22"/>
      <c r="K156" s="42"/>
    </row>
    <row r="157" ht="39.75" hidden="1" customHeight="1">
      <c r="A157" s="1">
        <v>156.0</v>
      </c>
      <c r="B157" s="2" t="s">
        <v>42</v>
      </c>
      <c r="C157" s="2" t="s">
        <v>58</v>
      </c>
      <c r="D157" s="13"/>
      <c r="E157" s="13"/>
      <c r="F157" s="45"/>
      <c r="G157" s="42"/>
      <c r="H157" s="42"/>
      <c r="I157" s="42"/>
      <c r="J157" s="22"/>
      <c r="K157" s="42"/>
    </row>
    <row r="158" ht="39.75" hidden="1" customHeight="1">
      <c r="A158" s="1">
        <v>157.0</v>
      </c>
      <c r="B158" s="2" t="s">
        <v>43</v>
      </c>
      <c r="C158" s="2" t="s">
        <v>58</v>
      </c>
      <c r="D158" s="13"/>
      <c r="E158" s="13"/>
      <c r="F158" s="45"/>
      <c r="G158" s="42"/>
      <c r="H158" s="42"/>
      <c r="I158" s="42"/>
      <c r="J158" s="22"/>
      <c r="K158" s="42"/>
    </row>
    <row r="159" ht="39.75" hidden="1" customHeight="1">
      <c r="A159" s="1">
        <v>158.0</v>
      </c>
      <c r="B159" s="2" t="s">
        <v>45</v>
      </c>
      <c r="C159" s="2" t="s">
        <v>58</v>
      </c>
      <c r="D159" s="13"/>
      <c r="E159" s="13"/>
      <c r="F159" s="45"/>
      <c r="G159" s="42"/>
      <c r="H159" s="42"/>
      <c r="I159" s="42"/>
      <c r="J159" s="22"/>
      <c r="K159" s="42"/>
    </row>
    <row r="160" ht="39.75" customHeight="1">
      <c r="A160" s="1">
        <v>159.0</v>
      </c>
      <c r="B160" s="2" t="s">
        <v>46</v>
      </c>
      <c r="C160" s="2" t="s">
        <v>27</v>
      </c>
      <c r="D160" s="13"/>
      <c r="E160" s="13"/>
      <c r="F160" s="44" t="s">
        <v>3007</v>
      </c>
      <c r="G160" s="43">
        <v>1.0</v>
      </c>
      <c r="H160" s="42"/>
      <c r="I160" s="43">
        <v>1.0</v>
      </c>
      <c r="J160" s="22"/>
      <c r="K160" s="42"/>
    </row>
    <row r="161" ht="39.75" customHeight="1">
      <c r="A161" s="1">
        <v>160.0</v>
      </c>
      <c r="B161" s="2" t="s">
        <v>47</v>
      </c>
      <c r="C161" s="2" t="s">
        <v>54</v>
      </c>
      <c r="D161" s="53">
        <v>0.25</v>
      </c>
      <c r="E161" s="13"/>
      <c r="F161" s="44" t="s">
        <v>3008</v>
      </c>
      <c r="G161" s="43">
        <v>1.0</v>
      </c>
      <c r="H161" s="42"/>
      <c r="I161" s="42"/>
      <c r="J161" s="22"/>
      <c r="K161" s="42"/>
    </row>
    <row r="162" ht="39.75" customHeight="1">
      <c r="A162" s="1">
        <v>161.0</v>
      </c>
      <c r="B162" s="2" t="s">
        <v>48</v>
      </c>
      <c r="C162" s="2" t="s">
        <v>39</v>
      </c>
      <c r="D162" s="13"/>
      <c r="E162" s="13"/>
      <c r="F162" s="44" t="s">
        <v>3009</v>
      </c>
      <c r="G162" s="43">
        <v>2.0</v>
      </c>
      <c r="H162" s="42"/>
      <c r="I162" s="43">
        <v>1.0</v>
      </c>
      <c r="J162" s="22"/>
      <c r="K162" s="42"/>
    </row>
    <row r="163" ht="39.75" customHeight="1">
      <c r="A163" s="1">
        <v>162.0</v>
      </c>
      <c r="B163" s="21"/>
      <c r="C163" s="21"/>
      <c r="D163" s="21"/>
      <c r="E163" s="21"/>
      <c r="F163" s="46"/>
      <c r="G163" s="47"/>
      <c r="H163" s="47"/>
      <c r="I163" s="47"/>
      <c r="J163" s="48"/>
      <c r="K163" s="47"/>
      <c r="L163" s="49"/>
      <c r="M163" s="49"/>
      <c r="N163" s="49"/>
    </row>
    <row r="164" ht="39.75" customHeight="1">
      <c r="A164" s="1">
        <v>163.0</v>
      </c>
      <c r="B164" s="2" t="s">
        <v>12</v>
      </c>
      <c r="C164" s="2" t="s">
        <v>62</v>
      </c>
      <c r="D164" s="13"/>
      <c r="E164" s="13"/>
      <c r="F164" s="44" t="s">
        <v>1543</v>
      </c>
      <c r="G164" s="43">
        <v>1.0</v>
      </c>
      <c r="H164" s="42"/>
      <c r="I164" s="43">
        <v>1.0</v>
      </c>
      <c r="J164" s="27" t="s">
        <v>2945</v>
      </c>
      <c r="K164" s="43"/>
      <c r="L164" s="15" t="s">
        <v>147</v>
      </c>
    </row>
    <row r="165" ht="39.75" customHeight="1">
      <c r="A165" s="1">
        <v>164.0</v>
      </c>
      <c r="B165" s="2" t="s">
        <v>16</v>
      </c>
      <c r="C165" s="2" t="s">
        <v>39</v>
      </c>
      <c r="D165" s="40">
        <v>0.2916666666666667</v>
      </c>
      <c r="E165" s="13"/>
      <c r="F165" s="44" t="s">
        <v>2691</v>
      </c>
      <c r="G165" s="43">
        <v>1.0</v>
      </c>
      <c r="H165" s="42"/>
      <c r="I165" s="43">
        <v>1.0</v>
      </c>
      <c r="J165" s="27" t="s">
        <v>147</v>
      </c>
      <c r="K165" s="43"/>
    </row>
    <row r="166" ht="39.75" customHeight="1">
      <c r="A166" s="1">
        <v>165.0</v>
      </c>
      <c r="B166" s="2" t="s">
        <v>116</v>
      </c>
      <c r="C166" s="2"/>
      <c r="D166" s="13"/>
      <c r="E166" s="13"/>
      <c r="F166" s="44" t="s">
        <v>3010</v>
      </c>
      <c r="G166" s="43">
        <v>2.0</v>
      </c>
      <c r="H166" s="42"/>
      <c r="I166" s="43">
        <v>1.0</v>
      </c>
      <c r="J166" s="27" t="s">
        <v>111</v>
      </c>
      <c r="K166" s="43"/>
    </row>
    <row r="167" ht="39.75" customHeight="1">
      <c r="A167" s="1">
        <v>166.0</v>
      </c>
      <c r="B167" s="2" t="s">
        <v>17</v>
      </c>
      <c r="C167" s="2" t="s">
        <v>54</v>
      </c>
      <c r="D167" s="53">
        <v>0.2708333333333333</v>
      </c>
      <c r="E167" s="13"/>
      <c r="F167" s="44" t="s">
        <v>3011</v>
      </c>
      <c r="G167" s="43">
        <v>1.0</v>
      </c>
      <c r="H167" s="42"/>
      <c r="I167" s="43">
        <v>1.0</v>
      </c>
      <c r="J167" s="27"/>
      <c r="K167" s="43"/>
    </row>
    <row r="168" ht="39.75" hidden="1" customHeight="1">
      <c r="A168" s="1">
        <v>167.0</v>
      </c>
      <c r="B168" s="2" t="s">
        <v>331</v>
      </c>
      <c r="C168" s="2" t="s">
        <v>58</v>
      </c>
      <c r="D168" s="13"/>
      <c r="E168" s="13"/>
      <c r="F168" s="45"/>
      <c r="G168" s="42"/>
      <c r="H168" s="42"/>
      <c r="I168" s="42"/>
      <c r="J168" s="27"/>
      <c r="K168" s="43"/>
    </row>
    <row r="169" ht="39.75" customHeight="1">
      <c r="A169" s="1">
        <v>168.0</v>
      </c>
      <c r="B169" s="2" t="s">
        <v>21</v>
      </c>
      <c r="C169" s="2" t="s">
        <v>63</v>
      </c>
      <c r="D169" s="13"/>
      <c r="E169" s="13"/>
      <c r="F169" s="45"/>
      <c r="G169" s="42"/>
      <c r="H169" s="42"/>
      <c r="I169" s="42"/>
      <c r="J169" s="27"/>
      <c r="K169" s="43"/>
    </row>
    <row r="170" ht="39.75" hidden="1" customHeight="1">
      <c r="A170" s="1">
        <v>169.0</v>
      </c>
      <c r="B170" s="2" t="s">
        <v>22</v>
      </c>
      <c r="C170" s="2" t="s">
        <v>58</v>
      </c>
      <c r="D170" s="13"/>
      <c r="E170" s="13"/>
      <c r="F170" s="45"/>
      <c r="G170" s="42"/>
      <c r="H170" s="42"/>
      <c r="I170" s="42"/>
      <c r="J170" s="22"/>
      <c r="K170" s="42"/>
    </row>
    <row r="171" ht="39.75" customHeight="1">
      <c r="A171" s="1">
        <v>170.0</v>
      </c>
      <c r="B171" s="2" t="s">
        <v>23</v>
      </c>
      <c r="C171" s="2" t="s">
        <v>54</v>
      </c>
      <c r="D171" s="53">
        <v>0.2916666666666667</v>
      </c>
      <c r="E171" s="13"/>
      <c r="F171" s="44" t="s">
        <v>3012</v>
      </c>
      <c r="G171" s="43">
        <v>2.0</v>
      </c>
      <c r="H171" s="42"/>
      <c r="I171" s="42"/>
      <c r="J171" s="22"/>
      <c r="K171" s="42"/>
    </row>
    <row r="172" ht="39.75" customHeight="1">
      <c r="A172" s="1">
        <v>171.0</v>
      </c>
      <c r="B172" s="2" t="s">
        <v>24</v>
      </c>
      <c r="C172" s="2"/>
      <c r="D172" s="13"/>
      <c r="E172" s="13"/>
      <c r="F172" s="44" t="s">
        <v>3013</v>
      </c>
      <c r="G172" s="43">
        <v>1.0</v>
      </c>
      <c r="H172" s="42"/>
      <c r="I172" s="42"/>
      <c r="J172" s="22"/>
      <c r="K172" s="42"/>
    </row>
    <row r="173" ht="39.75" hidden="1" customHeight="1">
      <c r="A173" s="1">
        <v>172.0</v>
      </c>
      <c r="B173" s="2" t="s">
        <v>25</v>
      </c>
      <c r="C173" s="2" t="s">
        <v>66</v>
      </c>
      <c r="D173" s="13"/>
      <c r="E173" s="13"/>
      <c r="F173" s="45"/>
      <c r="G173" s="42"/>
      <c r="H173" s="42"/>
      <c r="I173" s="42"/>
      <c r="J173" s="22"/>
      <c r="K173" s="42"/>
    </row>
    <row r="174" ht="39.75" customHeight="1">
      <c r="A174" s="1">
        <v>173.0</v>
      </c>
      <c r="B174" s="2" t="s">
        <v>26</v>
      </c>
      <c r="C174" s="2" t="s">
        <v>69</v>
      </c>
      <c r="D174" s="13"/>
      <c r="E174" s="13"/>
      <c r="F174" s="44" t="s">
        <v>3014</v>
      </c>
      <c r="G174" s="43">
        <v>1.0</v>
      </c>
      <c r="H174" s="42"/>
      <c r="I174" s="42"/>
      <c r="J174" s="22"/>
      <c r="K174" s="42"/>
    </row>
    <row r="175" ht="39.75" customHeight="1">
      <c r="A175" s="1">
        <v>174.0</v>
      </c>
      <c r="B175" s="2" t="s">
        <v>29</v>
      </c>
      <c r="C175" s="2" t="s">
        <v>39</v>
      </c>
      <c r="D175" s="53">
        <v>0.25</v>
      </c>
      <c r="E175" s="13"/>
      <c r="F175" s="44" t="s">
        <v>3015</v>
      </c>
      <c r="G175" s="43">
        <v>2.0</v>
      </c>
      <c r="H175" s="42"/>
      <c r="I175" s="43">
        <v>1.0</v>
      </c>
      <c r="J175" s="22"/>
      <c r="K175" s="42"/>
    </row>
    <row r="176" ht="39.75" customHeight="1">
      <c r="A176" s="1">
        <v>175.0</v>
      </c>
      <c r="B176" s="2" t="s">
        <v>30</v>
      </c>
      <c r="C176" s="2" t="s">
        <v>64</v>
      </c>
      <c r="D176" s="13"/>
      <c r="E176" s="13"/>
      <c r="F176" s="44" t="s">
        <v>2592</v>
      </c>
      <c r="G176" s="43">
        <v>1.0</v>
      </c>
      <c r="H176" s="42"/>
      <c r="I176" s="43">
        <v>1.0</v>
      </c>
      <c r="J176" s="22"/>
      <c r="K176" s="42"/>
    </row>
    <row r="177" ht="39.75" hidden="1" customHeight="1">
      <c r="A177" s="1">
        <v>176.0</v>
      </c>
      <c r="B177" s="2" t="s">
        <v>31</v>
      </c>
      <c r="C177" s="2" t="s">
        <v>58</v>
      </c>
      <c r="D177" s="13"/>
      <c r="E177" s="13"/>
      <c r="F177" s="45"/>
      <c r="G177" s="42"/>
      <c r="H177" s="42"/>
      <c r="I177" s="42"/>
      <c r="J177" s="22"/>
      <c r="K177" s="42"/>
    </row>
    <row r="178" ht="39.75" customHeight="1">
      <c r="A178" s="1">
        <v>177.0</v>
      </c>
      <c r="B178" s="2" t="s">
        <v>32</v>
      </c>
      <c r="C178" s="2" t="s">
        <v>27</v>
      </c>
      <c r="D178" s="13"/>
      <c r="E178" s="13"/>
      <c r="F178" s="44" t="s">
        <v>3016</v>
      </c>
      <c r="G178" s="43">
        <v>1.0</v>
      </c>
      <c r="H178" s="42"/>
      <c r="I178" s="43">
        <v>1.0</v>
      </c>
      <c r="J178" s="22"/>
      <c r="K178" s="42"/>
    </row>
    <row r="179" ht="39.75" hidden="1" customHeight="1">
      <c r="A179" s="1">
        <v>178.0</v>
      </c>
      <c r="B179" s="2" t="s">
        <v>67</v>
      </c>
      <c r="C179" s="2" t="s">
        <v>58</v>
      </c>
      <c r="D179" s="13"/>
      <c r="E179" s="13"/>
      <c r="F179" s="45"/>
      <c r="G179" s="42"/>
      <c r="H179" s="42"/>
      <c r="I179" s="42"/>
      <c r="J179" s="22"/>
      <c r="K179" s="42"/>
    </row>
    <row r="180" ht="39.75" customHeight="1">
      <c r="A180" s="1">
        <v>179.0</v>
      </c>
      <c r="B180" s="2" t="s">
        <v>35</v>
      </c>
      <c r="C180" s="2" t="s">
        <v>54</v>
      </c>
      <c r="D180" s="13"/>
      <c r="E180" s="13"/>
      <c r="F180" s="44" t="s">
        <v>3017</v>
      </c>
      <c r="G180" s="43">
        <v>1.0</v>
      </c>
      <c r="H180" s="42"/>
      <c r="I180" s="42"/>
      <c r="J180" s="22"/>
      <c r="K180" s="42"/>
    </row>
    <row r="181" ht="39.75" customHeight="1">
      <c r="A181" s="1">
        <v>180.0</v>
      </c>
      <c r="B181" s="2" t="s">
        <v>36</v>
      </c>
      <c r="C181" s="2" t="s">
        <v>69</v>
      </c>
      <c r="D181" s="13"/>
      <c r="E181" s="40">
        <v>0.8125</v>
      </c>
      <c r="F181" s="44" t="s">
        <v>2741</v>
      </c>
      <c r="G181" s="43">
        <v>1.0</v>
      </c>
      <c r="H181" s="42"/>
      <c r="I181" s="43">
        <v>1.0</v>
      </c>
      <c r="J181" s="22"/>
      <c r="K181" s="42"/>
    </row>
    <row r="182" ht="39.75" hidden="1" customHeight="1">
      <c r="A182" s="1">
        <v>181.0</v>
      </c>
      <c r="B182" s="2" t="s">
        <v>38</v>
      </c>
      <c r="C182" s="2" t="s">
        <v>58</v>
      </c>
      <c r="D182" s="13"/>
      <c r="E182" s="13"/>
      <c r="F182" s="45"/>
      <c r="G182" s="42"/>
      <c r="H182" s="42"/>
      <c r="I182" s="42"/>
      <c r="J182" s="22"/>
      <c r="K182" s="42"/>
    </row>
    <row r="183" ht="39.75" hidden="1" customHeight="1">
      <c r="A183" s="1">
        <v>182.0</v>
      </c>
      <c r="B183" s="2" t="s">
        <v>41</v>
      </c>
      <c r="C183" s="2" t="s">
        <v>58</v>
      </c>
      <c r="D183" s="13"/>
      <c r="E183" s="13"/>
      <c r="F183" s="45"/>
      <c r="G183" s="42"/>
      <c r="H183" s="42"/>
      <c r="I183" s="42"/>
      <c r="J183" s="22"/>
      <c r="K183" s="42"/>
    </row>
    <row r="184" ht="39.75" hidden="1" customHeight="1">
      <c r="A184" s="1">
        <v>183.0</v>
      </c>
      <c r="B184" s="2" t="s">
        <v>42</v>
      </c>
      <c r="C184" s="2" t="s">
        <v>58</v>
      </c>
      <c r="D184" s="13"/>
      <c r="E184" s="13"/>
      <c r="F184" s="45"/>
      <c r="G184" s="42"/>
      <c r="H184" s="42"/>
      <c r="I184" s="42"/>
      <c r="J184" s="22"/>
      <c r="K184" s="42"/>
    </row>
    <row r="185" ht="39.75" hidden="1" customHeight="1">
      <c r="A185" s="1">
        <v>184.0</v>
      </c>
      <c r="B185" s="2" t="s">
        <v>43</v>
      </c>
      <c r="C185" s="2" t="s">
        <v>58</v>
      </c>
      <c r="D185" s="13"/>
      <c r="E185" s="13"/>
      <c r="F185" s="45"/>
      <c r="G185" s="42"/>
      <c r="H185" s="42"/>
      <c r="I185" s="42"/>
      <c r="J185" s="22"/>
      <c r="K185" s="42"/>
    </row>
    <row r="186" ht="39.75" hidden="1" customHeight="1">
      <c r="A186" s="1">
        <v>185.0</v>
      </c>
      <c r="B186" s="2" t="s">
        <v>45</v>
      </c>
      <c r="C186" s="2" t="s">
        <v>58</v>
      </c>
      <c r="D186" s="13"/>
      <c r="E186" s="13"/>
      <c r="F186" s="45"/>
      <c r="G186" s="42"/>
      <c r="H186" s="42"/>
      <c r="I186" s="42"/>
      <c r="J186" s="22"/>
      <c r="K186" s="42"/>
    </row>
    <row r="187" ht="39.75" customHeight="1">
      <c r="A187" s="1">
        <v>186.0</v>
      </c>
      <c r="B187" s="2" t="s">
        <v>46</v>
      </c>
      <c r="C187" s="2" t="s">
        <v>44</v>
      </c>
      <c r="D187" s="13"/>
      <c r="E187" s="55">
        <v>0.4166666666666667</v>
      </c>
      <c r="F187" s="52" t="s">
        <v>3018</v>
      </c>
      <c r="G187" s="56">
        <v>1.0</v>
      </c>
      <c r="H187" s="42"/>
      <c r="I187" s="42"/>
      <c r="J187" s="22"/>
      <c r="K187" s="42"/>
    </row>
    <row r="188" ht="39.75" customHeight="1">
      <c r="A188" s="1">
        <v>187.0</v>
      </c>
      <c r="B188" s="2" t="s">
        <v>47</v>
      </c>
      <c r="C188" s="2" t="s">
        <v>54</v>
      </c>
      <c r="D188" s="13"/>
      <c r="E188" s="13"/>
      <c r="F188" s="44" t="s">
        <v>3019</v>
      </c>
      <c r="G188" s="43">
        <v>1.0</v>
      </c>
      <c r="H188" s="42"/>
      <c r="I188" s="42"/>
      <c r="J188" s="22"/>
      <c r="K188" s="42"/>
    </row>
    <row r="189" ht="39.75" customHeight="1">
      <c r="A189" s="1">
        <v>188.0</v>
      </c>
      <c r="B189" s="2" t="s">
        <v>48</v>
      </c>
      <c r="C189" s="2" t="s">
        <v>69</v>
      </c>
      <c r="D189" s="13"/>
      <c r="E189" s="13"/>
      <c r="F189" s="44" t="s">
        <v>3020</v>
      </c>
      <c r="G189" s="43">
        <v>2.0</v>
      </c>
      <c r="H189" s="42"/>
      <c r="I189" s="43">
        <v>1.0</v>
      </c>
      <c r="J189" s="22"/>
      <c r="K189" s="42"/>
    </row>
    <row r="190" ht="39.75" customHeight="1">
      <c r="A190" s="1">
        <v>189.0</v>
      </c>
      <c r="B190" s="21"/>
      <c r="C190" s="21"/>
      <c r="D190" s="21"/>
      <c r="E190" s="21"/>
      <c r="F190" s="46"/>
      <c r="G190" s="47"/>
      <c r="H190" s="47"/>
      <c r="I190" s="47"/>
      <c r="J190" s="48"/>
      <c r="K190" s="47"/>
      <c r="L190" s="49"/>
      <c r="M190" s="49"/>
      <c r="N190" s="49"/>
    </row>
    <row r="191" ht="39.75" customHeight="1">
      <c r="A191" s="1">
        <v>190.0</v>
      </c>
      <c r="B191" s="2" t="s">
        <v>12</v>
      </c>
      <c r="C191" s="2" t="s">
        <v>62</v>
      </c>
      <c r="D191" s="13"/>
      <c r="E191" s="13"/>
      <c r="F191" s="45"/>
      <c r="G191" s="42"/>
      <c r="H191" s="42"/>
      <c r="I191" s="42"/>
      <c r="J191" s="27" t="s">
        <v>2945</v>
      </c>
      <c r="K191" s="42"/>
      <c r="L191" s="15" t="s">
        <v>163</v>
      </c>
    </row>
    <row r="192" ht="69.75" customHeight="1">
      <c r="A192" s="1">
        <v>191.0</v>
      </c>
      <c r="B192" s="2" t="s">
        <v>16</v>
      </c>
      <c r="C192" s="2" t="s">
        <v>69</v>
      </c>
      <c r="D192" s="13"/>
      <c r="E192" s="13"/>
      <c r="F192" s="44" t="s">
        <v>3021</v>
      </c>
      <c r="G192" s="43">
        <v>1.0</v>
      </c>
      <c r="H192" s="42"/>
      <c r="I192" s="42"/>
      <c r="J192" s="27" t="s">
        <v>163</v>
      </c>
      <c r="K192" s="43"/>
    </row>
    <row r="193" ht="39.75" customHeight="1">
      <c r="A193" s="1">
        <v>192.0</v>
      </c>
      <c r="B193" s="2" t="s">
        <v>116</v>
      </c>
      <c r="C193" s="2" t="s">
        <v>69</v>
      </c>
      <c r="D193" s="13"/>
      <c r="E193" s="13"/>
      <c r="F193" s="44" t="s">
        <v>2741</v>
      </c>
      <c r="G193" s="43">
        <v>1.0</v>
      </c>
      <c r="H193" s="42"/>
      <c r="I193" s="43">
        <v>1.0</v>
      </c>
      <c r="J193" s="27" t="s">
        <v>131</v>
      </c>
      <c r="K193" s="42"/>
    </row>
    <row r="194" ht="69.75" customHeight="1">
      <c r="A194" s="1">
        <v>193.0</v>
      </c>
      <c r="B194" s="2" t="s">
        <v>17</v>
      </c>
      <c r="C194" s="2" t="s">
        <v>54</v>
      </c>
      <c r="D194" s="13"/>
      <c r="E194" s="13"/>
      <c r="F194" s="44"/>
      <c r="G194" s="42"/>
      <c r="H194" s="42"/>
      <c r="I194" s="42"/>
      <c r="J194" s="22"/>
      <c r="K194" s="42"/>
    </row>
    <row r="195" ht="39.75" hidden="1" customHeight="1">
      <c r="A195" s="1">
        <v>194.0</v>
      </c>
      <c r="B195" s="2" t="s">
        <v>331</v>
      </c>
      <c r="C195" s="2" t="s">
        <v>58</v>
      </c>
      <c r="D195" s="13"/>
      <c r="E195" s="13"/>
      <c r="F195" s="45"/>
      <c r="G195" s="42"/>
      <c r="H195" s="42"/>
      <c r="I195" s="42"/>
      <c r="J195" s="22"/>
      <c r="K195" s="42"/>
    </row>
    <row r="196" ht="39.75" customHeight="1">
      <c r="A196" s="1">
        <v>195.0</v>
      </c>
      <c r="B196" s="2" t="s">
        <v>21</v>
      </c>
      <c r="C196" s="2" t="s">
        <v>63</v>
      </c>
      <c r="D196" s="13"/>
      <c r="E196" s="13"/>
      <c r="F196" s="45"/>
      <c r="G196" s="42"/>
      <c r="H196" s="42"/>
      <c r="I196" s="42"/>
      <c r="J196" s="22"/>
      <c r="K196" s="42"/>
    </row>
    <row r="197" ht="39.75" hidden="1" customHeight="1">
      <c r="A197" s="1">
        <v>196.0</v>
      </c>
      <c r="B197" s="2" t="s">
        <v>22</v>
      </c>
      <c r="C197" s="2" t="s">
        <v>58</v>
      </c>
      <c r="D197" s="13"/>
      <c r="E197" s="13"/>
      <c r="F197" s="45"/>
      <c r="G197" s="42"/>
      <c r="H197" s="42"/>
      <c r="I197" s="42"/>
      <c r="J197" s="22"/>
      <c r="K197" s="42"/>
    </row>
    <row r="198" ht="39.75" customHeight="1">
      <c r="A198" s="1">
        <v>197.0</v>
      </c>
      <c r="B198" s="2" t="s">
        <v>23</v>
      </c>
      <c r="C198" s="2" t="s">
        <v>54</v>
      </c>
      <c r="D198" s="13"/>
      <c r="E198" s="13"/>
      <c r="F198" s="44" t="s">
        <v>3022</v>
      </c>
      <c r="G198" s="43">
        <v>1.0</v>
      </c>
      <c r="H198" s="42"/>
      <c r="I198" s="42"/>
      <c r="J198" s="22"/>
      <c r="K198" s="42"/>
    </row>
    <row r="199" ht="39.75" customHeight="1">
      <c r="A199" s="1">
        <v>198.0</v>
      </c>
      <c r="B199" s="2" t="s">
        <v>24</v>
      </c>
      <c r="C199" s="2"/>
      <c r="D199" s="13"/>
      <c r="E199" s="13"/>
      <c r="F199" s="44" t="s">
        <v>3023</v>
      </c>
      <c r="G199" s="43">
        <v>1.0</v>
      </c>
      <c r="H199" s="42"/>
      <c r="I199" s="43">
        <v>1.0</v>
      </c>
      <c r="J199" s="22"/>
      <c r="K199" s="42"/>
    </row>
    <row r="200" ht="39.75" hidden="1" customHeight="1">
      <c r="A200" s="1">
        <v>199.0</v>
      </c>
      <c r="B200" s="2" t="s">
        <v>25</v>
      </c>
      <c r="C200" s="2" t="s">
        <v>58</v>
      </c>
      <c r="D200" s="13"/>
      <c r="E200" s="13"/>
      <c r="F200" s="45"/>
      <c r="G200" s="42"/>
      <c r="H200" s="42"/>
      <c r="I200" s="42"/>
      <c r="J200" s="22"/>
      <c r="K200" s="42"/>
    </row>
    <row r="201" ht="39.75" customHeight="1">
      <c r="A201" s="1">
        <v>200.0</v>
      </c>
      <c r="B201" s="2" t="s">
        <v>26</v>
      </c>
      <c r="C201" s="2" t="s">
        <v>39</v>
      </c>
      <c r="D201" s="13"/>
      <c r="E201" s="13"/>
      <c r="F201" s="44" t="s">
        <v>2691</v>
      </c>
      <c r="G201" s="43">
        <v>1.0</v>
      </c>
      <c r="H201" s="42"/>
      <c r="I201" s="43">
        <v>1.0</v>
      </c>
      <c r="J201" s="22"/>
      <c r="K201" s="42"/>
    </row>
    <row r="202" ht="51.75" customHeight="1">
      <c r="A202" s="1">
        <v>201.0</v>
      </c>
      <c r="B202" s="2" t="s">
        <v>29</v>
      </c>
      <c r="C202" s="2"/>
      <c r="D202" s="13"/>
      <c r="E202" s="13"/>
      <c r="F202" s="45"/>
      <c r="G202" s="42"/>
      <c r="H202" s="42"/>
      <c r="I202" s="42"/>
      <c r="J202" s="22"/>
      <c r="K202" s="42"/>
    </row>
    <row r="203" ht="39.75" customHeight="1">
      <c r="A203" s="1">
        <v>202.0</v>
      </c>
      <c r="B203" s="2" t="s">
        <v>30</v>
      </c>
      <c r="C203" s="2" t="s">
        <v>64</v>
      </c>
      <c r="D203" s="13"/>
      <c r="E203" s="13"/>
      <c r="F203" s="44" t="s">
        <v>2592</v>
      </c>
      <c r="G203" s="43">
        <v>1.0</v>
      </c>
      <c r="H203" s="42"/>
      <c r="I203" s="43">
        <v>1.0</v>
      </c>
      <c r="J203" s="22"/>
      <c r="K203" s="42"/>
    </row>
    <row r="204" ht="39.75" customHeight="1">
      <c r="A204" s="1">
        <v>203.0</v>
      </c>
      <c r="B204" s="2" t="s">
        <v>31</v>
      </c>
      <c r="C204" s="2" t="s">
        <v>27</v>
      </c>
      <c r="D204" s="13"/>
      <c r="E204" s="13"/>
      <c r="F204" s="44" t="s">
        <v>3024</v>
      </c>
      <c r="G204" s="42"/>
      <c r="H204" s="42"/>
      <c r="I204" s="42"/>
      <c r="J204" s="22"/>
      <c r="K204" s="42"/>
    </row>
    <row r="205" ht="39.75" customHeight="1">
      <c r="A205" s="1">
        <v>204.0</v>
      </c>
      <c r="B205" s="2" t="s">
        <v>32</v>
      </c>
      <c r="C205" s="2" t="s">
        <v>44</v>
      </c>
      <c r="D205" s="13"/>
      <c r="E205" s="13"/>
      <c r="F205" s="45"/>
      <c r="G205" s="42"/>
      <c r="H205" s="42"/>
      <c r="I205" s="42"/>
      <c r="J205" s="22"/>
      <c r="K205" s="42"/>
    </row>
    <row r="206" ht="39.75" hidden="1" customHeight="1">
      <c r="A206" s="1">
        <v>205.0</v>
      </c>
      <c r="B206" s="2" t="s">
        <v>67</v>
      </c>
      <c r="C206" s="2" t="s">
        <v>66</v>
      </c>
      <c r="D206" s="13"/>
      <c r="E206" s="13"/>
      <c r="F206" s="45"/>
      <c r="G206" s="42"/>
      <c r="H206" s="42"/>
      <c r="I206" s="42"/>
      <c r="J206" s="22"/>
      <c r="K206" s="42"/>
    </row>
    <row r="207" ht="39.75" customHeight="1">
      <c r="A207" s="1">
        <v>206.0</v>
      </c>
      <c r="B207" s="2" t="s">
        <v>35</v>
      </c>
      <c r="C207" s="2" t="s">
        <v>54</v>
      </c>
      <c r="D207" s="13"/>
      <c r="E207" s="13"/>
      <c r="F207" s="44" t="s">
        <v>3025</v>
      </c>
      <c r="G207" s="43">
        <v>1.0</v>
      </c>
      <c r="H207" s="42"/>
      <c r="I207" s="42"/>
      <c r="J207" s="22"/>
      <c r="K207" s="42"/>
    </row>
    <row r="208" ht="39.75" customHeight="1">
      <c r="A208" s="1">
        <v>207.0</v>
      </c>
      <c r="B208" s="2" t="s">
        <v>36</v>
      </c>
      <c r="C208" s="2" t="s">
        <v>39</v>
      </c>
      <c r="D208" s="13"/>
      <c r="E208" s="13"/>
      <c r="F208" s="44" t="s">
        <v>3026</v>
      </c>
      <c r="G208" s="43">
        <v>1.0</v>
      </c>
      <c r="H208" s="42"/>
      <c r="I208" s="42"/>
      <c r="J208" s="22"/>
      <c r="K208" s="42"/>
    </row>
    <row r="209" ht="39.75" hidden="1" customHeight="1">
      <c r="A209" s="1">
        <v>208.0</v>
      </c>
      <c r="B209" s="2" t="s">
        <v>38</v>
      </c>
      <c r="C209" s="2" t="s">
        <v>58</v>
      </c>
      <c r="D209" s="13"/>
      <c r="E209" s="13"/>
      <c r="F209" s="45"/>
      <c r="G209" s="42"/>
      <c r="H209" s="42"/>
      <c r="I209" s="42"/>
      <c r="J209" s="22"/>
      <c r="K209" s="42"/>
    </row>
    <row r="210" ht="39.75" hidden="1" customHeight="1">
      <c r="A210" s="1">
        <v>209.0</v>
      </c>
      <c r="B210" s="2" t="s">
        <v>41</v>
      </c>
      <c r="C210" s="2" t="s">
        <v>58</v>
      </c>
      <c r="D210" s="13"/>
      <c r="E210" s="13"/>
      <c r="F210" s="45"/>
      <c r="G210" s="42"/>
      <c r="H210" s="42"/>
      <c r="I210" s="42"/>
      <c r="J210" s="22"/>
      <c r="K210" s="42"/>
    </row>
    <row r="211" ht="39.75" hidden="1" customHeight="1">
      <c r="A211" s="1">
        <v>210.0</v>
      </c>
      <c r="B211" s="2" t="s">
        <v>42</v>
      </c>
      <c r="C211" s="2" t="s">
        <v>58</v>
      </c>
      <c r="D211" s="13"/>
      <c r="E211" s="13"/>
      <c r="F211" s="45"/>
      <c r="G211" s="42"/>
      <c r="H211" s="42"/>
      <c r="I211" s="42"/>
      <c r="J211" s="22"/>
      <c r="K211" s="42"/>
    </row>
    <row r="212" ht="39.75" hidden="1" customHeight="1">
      <c r="A212" s="1">
        <v>211.0</v>
      </c>
      <c r="B212" s="2" t="s">
        <v>43</v>
      </c>
      <c r="C212" s="2" t="s">
        <v>58</v>
      </c>
      <c r="D212" s="13"/>
      <c r="E212" s="13"/>
      <c r="F212" s="45"/>
      <c r="G212" s="42"/>
      <c r="H212" s="42"/>
      <c r="I212" s="42"/>
      <c r="J212" s="22"/>
      <c r="K212" s="42"/>
    </row>
    <row r="213" ht="39.75" hidden="1" customHeight="1">
      <c r="A213" s="1">
        <v>212.0</v>
      </c>
      <c r="B213" s="2" t="s">
        <v>45</v>
      </c>
      <c r="C213" s="2" t="s">
        <v>58</v>
      </c>
      <c r="D213" s="13"/>
      <c r="E213" s="13"/>
      <c r="F213" s="45"/>
      <c r="G213" s="42"/>
      <c r="H213" s="42"/>
      <c r="I213" s="42"/>
      <c r="J213" s="22"/>
      <c r="K213" s="42"/>
    </row>
    <row r="214" ht="39.75" customHeight="1">
      <c r="A214" s="1">
        <v>213.0</v>
      </c>
      <c r="B214" s="2" t="s">
        <v>46</v>
      </c>
      <c r="C214" s="2" t="s">
        <v>69</v>
      </c>
      <c r="D214" s="13"/>
      <c r="E214" s="40">
        <v>0.8472222222222222</v>
      </c>
      <c r="F214" s="44" t="s">
        <v>3027</v>
      </c>
      <c r="G214" s="43">
        <v>1.0</v>
      </c>
      <c r="H214" s="42"/>
      <c r="I214" s="42"/>
      <c r="J214" s="22"/>
      <c r="K214" s="42"/>
    </row>
    <row r="215" ht="39.75" customHeight="1">
      <c r="A215" s="1">
        <v>214.0</v>
      </c>
      <c r="B215" s="2" t="s">
        <v>47</v>
      </c>
      <c r="C215" s="2" t="s">
        <v>54</v>
      </c>
      <c r="D215" s="13"/>
      <c r="E215" s="13"/>
      <c r="F215" s="44" t="s">
        <v>3028</v>
      </c>
      <c r="G215" s="43">
        <v>1.0</v>
      </c>
      <c r="H215" s="42"/>
      <c r="I215" s="42"/>
      <c r="J215" s="22"/>
      <c r="K215" s="42"/>
    </row>
    <row r="216" ht="39.75" hidden="1" customHeight="1">
      <c r="A216" s="1">
        <v>215.0</v>
      </c>
      <c r="B216" s="2" t="s">
        <v>48</v>
      </c>
      <c r="C216" s="2" t="s">
        <v>58</v>
      </c>
      <c r="D216" s="13"/>
      <c r="E216" s="13"/>
      <c r="F216" s="45"/>
      <c r="G216" s="42"/>
      <c r="H216" s="42"/>
      <c r="I216" s="42"/>
      <c r="J216" s="22"/>
      <c r="K216" s="42"/>
    </row>
    <row r="217" ht="39.75" customHeight="1">
      <c r="A217" s="1">
        <v>216.0</v>
      </c>
      <c r="B217" s="21"/>
      <c r="C217" s="21"/>
      <c r="D217" s="21"/>
      <c r="E217" s="21"/>
      <c r="F217" s="46"/>
      <c r="G217" s="47"/>
      <c r="H217" s="47"/>
      <c r="I217" s="47"/>
      <c r="J217" s="48"/>
      <c r="K217" s="47"/>
      <c r="L217" s="49"/>
      <c r="M217" s="49"/>
      <c r="N217" s="49"/>
    </row>
    <row r="218" ht="39.75" customHeight="1">
      <c r="A218" s="1">
        <v>217.0</v>
      </c>
      <c r="B218" s="2" t="s">
        <v>12</v>
      </c>
      <c r="C218" s="2" t="s">
        <v>39</v>
      </c>
      <c r="D218" s="13"/>
      <c r="E218" s="13"/>
      <c r="F218" s="44" t="s">
        <v>3029</v>
      </c>
      <c r="G218" s="43">
        <v>2.0</v>
      </c>
      <c r="H218" s="42"/>
      <c r="I218" s="43">
        <v>1.0</v>
      </c>
      <c r="J218" s="27" t="s">
        <v>2945</v>
      </c>
      <c r="K218" s="42"/>
      <c r="L218" s="15" t="s">
        <v>175</v>
      </c>
    </row>
    <row r="219" ht="39.75" hidden="1" customHeight="1">
      <c r="A219" s="1">
        <v>218.0</v>
      </c>
      <c r="B219" s="2" t="s">
        <v>16</v>
      </c>
      <c r="C219" s="2" t="s">
        <v>13</v>
      </c>
      <c r="D219" s="13"/>
      <c r="E219" s="13"/>
      <c r="F219" s="45"/>
      <c r="G219" s="42"/>
      <c r="H219" s="42"/>
      <c r="I219" s="42"/>
      <c r="J219" s="27" t="s">
        <v>175</v>
      </c>
      <c r="K219" s="43"/>
    </row>
    <row r="220" ht="39.75" hidden="1" customHeight="1">
      <c r="A220" s="1">
        <v>219.0</v>
      </c>
      <c r="B220" s="2" t="s">
        <v>116</v>
      </c>
      <c r="C220" s="2" t="s">
        <v>13</v>
      </c>
      <c r="D220" s="13"/>
      <c r="E220" s="13"/>
      <c r="F220" s="45"/>
      <c r="G220" s="42"/>
      <c r="H220" s="42"/>
      <c r="I220" s="42"/>
      <c r="J220" s="27" t="s">
        <v>149</v>
      </c>
      <c r="K220" s="42"/>
    </row>
    <row r="221" ht="39.75" customHeight="1">
      <c r="A221" s="1">
        <v>220.0</v>
      </c>
      <c r="B221" s="2" t="s">
        <v>20</v>
      </c>
      <c r="C221" s="2" t="s">
        <v>271</v>
      </c>
      <c r="D221" s="13"/>
      <c r="E221" s="13"/>
      <c r="F221" s="44"/>
      <c r="G221" s="42"/>
      <c r="H221" s="42"/>
      <c r="I221" s="42"/>
      <c r="J221" s="27" t="s">
        <v>165</v>
      </c>
      <c r="K221" s="42"/>
    </row>
    <row r="222" ht="39.75" customHeight="1">
      <c r="A222" s="1">
        <v>221.0</v>
      </c>
      <c r="B222" s="2" t="s">
        <v>263</v>
      </c>
      <c r="C222" s="2" t="s">
        <v>272</v>
      </c>
      <c r="D222" s="13"/>
      <c r="E222" s="13"/>
      <c r="F222" s="44" t="s">
        <v>3030</v>
      </c>
      <c r="G222" s="43">
        <v>1.0</v>
      </c>
      <c r="H222" s="42"/>
      <c r="I222" s="43">
        <v>1.0</v>
      </c>
      <c r="J222" s="27" t="s">
        <v>2637</v>
      </c>
      <c r="K222" s="42"/>
    </row>
    <row r="223" ht="39.75" hidden="1" customHeight="1">
      <c r="A223" s="1">
        <v>222.0</v>
      </c>
      <c r="B223" s="2" t="s">
        <v>21</v>
      </c>
      <c r="C223" s="2" t="s">
        <v>13</v>
      </c>
      <c r="D223" s="13"/>
      <c r="E223" s="13"/>
      <c r="F223" s="45"/>
      <c r="G223" s="42"/>
      <c r="H223" s="42"/>
      <c r="I223" s="42"/>
      <c r="J223" s="27" t="s">
        <v>2638</v>
      </c>
      <c r="K223" s="42"/>
    </row>
    <row r="224" ht="39.75" hidden="1" customHeight="1">
      <c r="A224" s="1">
        <v>223.0</v>
      </c>
      <c r="B224" s="2" t="s">
        <v>22</v>
      </c>
      <c r="C224" s="2" t="s">
        <v>13</v>
      </c>
      <c r="D224" s="13"/>
      <c r="E224" s="13"/>
      <c r="F224" s="45"/>
      <c r="G224" s="42"/>
      <c r="H224" s="42"/>
      <c r="I224" s="42"/>
      <c r="J224" s="22"/>
      <c r="K224" s="42"/>
    </row>
    <row r="225" ht="39.75" hidden="1" customHeight="1">
      <c r="A225" s="1">
        <v>224.0</v>
      </c>
      <c r="B225" s="2" t="s">
        <v>23</v>
      </c>
      <c r="C225" s="2" t="s">
        <v>13</v>
      </c>
      <c r="D225" s="13"/>
      <c r="E225" s="13"/>
      <c r="F225" s="45"/>
      <c r="G225" s="42"/>
      <c r="H225" s="42"/>
      <c r="I225" s="42"/>
      <c r="J225" s="22"/>
      <c r="K225" s="42"/>
    </row>
    <row r="226" ht="39.75" customHeight="1">
      <c r="A226" s="1">
        <v>225.0</v>
      </c>
      <c r="B226" s="2" t="s">
        <v>24</v>
      </c>
      <c r="C226" s="2" t="s">
        <v>63</v>
      </c>
      <c r="D226" s="13"/>
      <c r="E226" s="13"/>
      <c r="F226" s="45"/>
      <c r="G226" s="42"/>
      <c r="H226" s="42"/>
      <c r="I226" s="42"/>
      <c r="J226" s="22"/>
      <c r="K226" s="42"/>
    </row>
    <row r="227" ht="39.75" hidden="1" customHeight="1">
      <c r="A227" s="1">
        <v>226.0</v>
      </c>
      <c r="B227" s="2" t="s">
        <v>25</v>
      </c>
      <c r="C227" s="2" t="s">
        <v>13</v>
      </c>
      <c r="D227" s="13"/>
      <c r="E227" s="13"/>
      <c r="F227" s="45"/>
      <c r="G227" s="42"/>
      <c r="H227" s="42"/>
      <c r="I227" s="42"/>
      <c r="J227" s="22"/>
      <c r="K227" s="42"/>
    </row>
    <row r="228" ht="39.75" customHeight="1">
      <c r="A228" s="1">
        <v>227.0</v>
      </c>
      <c r="B228" s="2" t="s">
        <v>26</v>
      </c>
      <c r="C228" s="2" t="s">
        <v>27</v>
      </c>
      <c r="D228" s="13"/>
      <c r="E228" s="13"/>
      <c r="F228" s="45"/>
      <c r="G228" s="42"/>
      <c r="H228" s="42"/>
      <c r="I228" s="42"/>
      <c r="J228" s="22"/>
      <c r="K228" s="42"/>
    </row>
    <row r="229" ht="39.75" hidden="1" customHeight="1">
      <c r="A229" s="1">
        <v>228.0</v>
      </c>
      <c r="B229" s="2" t="s">
        <v>29</v>
      </c>
      <c r="C229" s="2" t="s">
        <v>13</v>
      </c>
      <c r="D229" s="13"/>
      <c r="E229" s="13"/>
      <c r="F229" s="45"/>
      <c r="G229" s="42"/>
      <c r="H229" s="42"/>
      <c r="I229" s="42"/>
      <c r="J229" s="22"/>
      <c r="K229" s="42"/>
    </row>
    <row r="230" ht="39.75" hidden="1" customHeight="1">
      <c r="A230" s="1">
        <v>229.0</v>
      </c>
      <c r="B230" s="2" t="s">
        <v>30</v>
      </c>
      <c r="C230" s="2" t="s">
        <v>13</v>
      </c>
      <c r="D230" s="13"/>
      <c r="E230" s="13"/>
      <c r="F230" s="45"/>
      <c r="G230" s="42"/>
      <c r="H230" s="42"/>
      <c r="I230" s="42"/>
      <c r="J230" s="22"/>
      <c r="K230" s="42"/>
    </row>
    <row r="231" ht="39.75" customHeight="1">
      <c r="A231" s="1">
        <v>230.0</v>
      </c>
      <c r="B231" s="2" t="s">
        <v>31</v>
      </c>
      <c r="C231" s="2" t="s">
        <v>44</v>
      </c>
      <c r="D231" s="13"/>
      <c r="E231" s="13"/>
      <c r="F231" s="45"/>
      <c r="G231" s="42"/>
      <c r="H231" s="42"/>
      <c r="I231" s="42"/>
      <c r="J231" s="22"/>
      <c r="K231" s="42"/>
    </row>
    <row r="232" ht="39.75" hidden="1" customHeight="1">
      <c r="A232" s="1">
        <v>231.0</v>
      </c>
      <c r="B232" s="2" t="s">
        <v>32</v>
      </c>
      <c r="C232" s="2" t="s">
        <v>13</v>
      </c>
      <c r="D232" s="13"/>
      <c r="E232" s="13"/>
      <c r="F232" s="45"/>
      <c r="G232" s="42"/>
      <c r="H232" s="42"/>
      <c r="I232" s="42"/>
      <c r="J232" s="22"/>
      <c r="K232" s="42"/>
    </row>
    <row r="233" ht="39.75" hidden="1" customHeight="1">
      <c r="A233" s="1">
        <v>232.0</v>
      </c>
      <c r="B233" s="2" t="s">
        <v>67</v>
      </c>
      <c r="C233" s="2" t="s">
        <v>13</v>
      </c>
      <c r="D233" s="13"/>
      <c r="E233" s="13"/>
      <c r="F233" s="45"/>
      <c r="G233" s="42"/>
      <c r="H233" s="42"/>
      <c r="I233" s="42"/>
      <c r="J233" s="22"/>
      <c r="K233" s="42"/>
    </row>
    <row r="234" ht="39.75" hidden="1" customHeight="1">
      <c r="A234" s="1">
        <v>233.0</v>
      </c>
      <c r="B234" s="2" t="s">
        <v>35</v>
      </c>
      <c r="C234" s="2" t="s">
        <v>13</v>
      </c>
      <c r="D234" s="13"/>
      <c r="E234" s="13"/>
      <c r="F234" s="45"/>
      <c r="G234" s="42"/>
      <c r="H234" s="42"/>
      <c r="I234" s="42"/>
      <c r="J234" s="22"/>
      <c r="K234" s="42"/>
    </row>
    <row r="235" ht="39.75" hidden="1" customHeight="1">
      <c r="A235" s="1">
        <v>234.0</v>
      </c>
      <c r="B235" s="2" t="s">
        <v>36</v>
      </c>
      <c r="C235" s="2" t="s">
        <v>13</v>
      </c>
      <c r="D235" s="13"/>
      <c r="E235" s="13"/>
      <c r="F235" s="45"/>
      <c r="G235" s="42"/>
      <c r="H235" s="42"/>
      <c r="I235" s="42"/>
      <c r="J235" s="22"/>
      <c r="K235" s="42"/>
    </row>
    <row r="236" ht="39.75" customHeight="1">
      <c r="A236" s="1">
        <v>235.0</v>
      </c>
      <c r="B236" s="2" t="s">
        <v>38</v>
      </c>
      <c r="C236" s="2"/>
      <c r="D236" s="40">
        <v>0.375</v>
      </c>
      <c r="E236" s="13"/>
      <c r="F236" s="44" t="s">
        <v>3031</v>
      </c>
      <c r="G236" s="43">
        <v>2.0</v>
      </c>
      <c r="H236" s="42"/>
      <c r="I236" s="43">
        <v>1.0</v>
      </c>
      <c r="J236" s="22"/>
      <c r="K236" s="42"/>
    </row>
    <row r="237" ht="39.75" hidden="1" customHeight="1">
      <c r="A237" s="1">
        <v>236.0</v>
      </c>
      <c r="B237" s="2" t="s">
        <v>41</v>
      </c>
      <c r="C237" s="2" t="s">
        <v>13</v>
      </c>
      <c r="D237" s="13"/>
      <c r="E237" s="13"/>
      <c r="F237" s="45"/>
      <c r="G237" s="42"/>
      <c r="H237" s="42"/>
      <c r="I237" s="42"/>
      <c r="J237" s="22"/>
      <c r="K237" s="42"/>
    </row>
    <row r="238" ht="39.75" hidden="1" customHeight="1">
      <c r="A238" s="1">
        <v>237.0</v>
      </c>
      <c r="B238" s="2" t="s">
        <v>42</v>
      </c>
      <c r="C238" s="2" t="s">
        <v>13</v>
      </c>
      <c r="D238" s="13"/>
      <c r="E238" s="13"/>
      <c r="F238" s="45"/>
      <c r="G238" s="42"/>
      <c r="H238" s="42"/>
      <c r="I238" s="42"/>
      <c r="J238" s="22"/>
      <c r="K238" s="42"/>
    </row>
    <row r="239" ht="39.75" hidden="1" customHeight="1">
      <c r="A239" s="1">
        <v>238.0</v>
      </c>
      <c r="B239" s="2" t="s">
        <v>43</v>
      </c>
      <c r="C239" s="2" t="s">
        <v>13</v>
      </c>
      <c r="D239" s="40"/>
      <c r="E239" s="13"/>
      <c r="F239" s="45"/>
      <c r="G239" s="42"/>
      <c r="H239" s="42"/>
      <c r="I239" s="42"/>
      <c r="J239" s="22"/>
      <c r="K239" s="42"/>
    </row>
    <row r="240" ht="39.75" customHeight="1">
      <c r="A240" s="1">
        <v>239.0</v>
      </c>
      <c r="B240" s="2" t="s">
        <v>45</v>
      </c>
      <c r="C240" s="2"/>
      <c r="D240" s="40">
        <v>0.375</v>
      </c>
      <c r="E240" s="13"/>
      <c r="F240" s="44" t="s">
        <v>3032</v>
      </c>
      <c r="G240" s="43">
        <v>1.0</v>
      </c>
      <c r="H240" s="42"/>
      <c r="I240" s="43"/>
      <c r="J240" s="22"/>
      <c r="K240" s="42"/>
    </row>
    <row r="241" ht="39.75" customHeight="1">
      <c r="A241" s="1">
        <v>240.0</v>
      </c>
      <c r="B241" s="2" t="s">
        <v>46</v>
      </c>
      <c r="C241" s="2" t="s">
        <v>49</v>
      </c>
      <c r="D241" s="13"/>
      <c r="E241" s="13"/>
      <c r="F241" s="44" t="s">
        <v>3033</v>
      </c>
      <c r="G241" s="43">
        <v>1.0</v>
      </c>
      <c r="H241" s="42"/>
      <c r="I241" s="43">
        <v>1.0</v>
      </c>
      <c r="J241" s="22"/>
      <c r="K241" s="42"/>
    </row>
    <row r="242" ht="39.75" hidden="1" customHeight="1">
      <c r="A242" s="1">
        <v>241.0</v>
      </c>
      <c r="B242" s="2" t="s">
        <v>47</v>
      </c>
      <c r="C242" s="2" t="s">
        <v>13</v>
      </c>
      <c r="D242" s="13"/>
      <c r="E242" s="13"/>
      <c r="F242" s="45"/>
      <c r="G242" s="42"/>
      <c r="H242" s="42"/>
      <c r="I242" s="42"/>
      <c r="J242" s="22"/>
      <c r="K242" s="42"/>
    </row>
    <row r="243" ht="39.75" hidden="1" customHeight="1">
      <c r="A243" s="1">
        <v>242.0</v>
      </c>
      <c r="B243" s="2" t="s">
        <v>48</v>
      </c>
      <c r="C243" s="2" t="s">
        <v>13</v>
      </c>
      <c r="D243" s="13"/>
      <c r="E243" s="13"/>
      <c r="F243" s="45"/>
      <c r="G243" s="42"/>
      <c r="H243" s="42"/>
      <c r="I243" s="42"/>
      <c r="J243" s="22"/>
      <c r="K243" s="42"/>
    </row>
    <row r="244" ht="39.75" customHeight="1">
      <c r="A244" s="1">
        <v>243.0</v>
      </c>
      <c r="B244" s="21"/>
      <c r="C244" s="21"/>
      <c r="D244" s="21"/>
      <c r="E244" s="21"/>
      <c r="F244" s="46"/>
      <c r="G244" s="47"/>
      <c r="H244" s="47"/>
      <c r="I244" s="47"/>
      <c r="J244" s="48"/>
      <c r="K244" s="47"/>
      <c r="L244" s="49"/>
      <c r="M244" s="49"/>
      <c r="N244" s="49"/>
    </row>
    <row r="245" ht="39.75" hidden="1" customHeight="1">
      <c r="A245" s="1">
        <v>244.0</v>
      </c>
      <c r="B245" s="2" t="s">
        <v>12</v>
      </c>
      <c r="C245" s="2" t="s">
        <v>13</v>
      </c>
      <c r="D245" s="13"/>
      <c r="E245" s="13"/>
      <c r="F245" s="45"/>
      <c r="G245" s="42"/>
      <c r="H245" s="42"/>
      <c r="I245" s="42"/>
      <c r="J245" s="27" t="s">
        <v>2945</v>
      </c>
      <c r="K245" s="42"/>
      <c r="L245" s="15" t="s">
        <v>192</v>
      </c>
    </row>
    <row r="246" ht="39.75" hidden="1" customHeight="1">
      <c r="A246" s="1">
        <v>245.0</v>
      </c>
      <c r="B246" s="2" t="s">
        <v>16</v>
      </c>
      <c r="C246" s="2" t="s">
        <v>13</v>
      </c>
      <c r="D246" s="13"/>
      <c r="E246" s="13"/>
      <c r="F246" s="45"/>
      <c r="G246" s="42"/>
      <c r="H246" s="42"/>
      <c r="I246" s="42"/>
      <c r="J246" s="27" t="s">
        <v>192</v>
      </c>
      <c r="K246" s="43"/>
    </row>
    <row r="247" ht="39.75" customHeight="1">
      <c r="A247" s="1">
        <v>246.0</v>
      </c>
      <c r="B247" s="2" t="s">
        <v>116</v>
      </c>
      <c r="C247" s="2" t="s">
        <v>49</v>
      </c>
      <c r="D247" s="13"/>
      <c r="E247" s="13"/>
      <c r="F247" s="44" t="s">
        <v>3034</v>
      </c>
      <c r="G247" s="43">
        <v>2.0</v>
      </c>
      <c r="H247" s="42"/>
      <c r="I247" s="42"/>
      <c r="J247" s="27" t="s">
        <v>19</v>
      </c>
      <c r="K247" s="42"/>
    </row>
    <row r="248" ht="39.75" hidden="1" customHeight="1">
      <c r="A248" s="1">
        <v>247.0</v>
      </c>
      <c r="B248" s="2" t="s">
        <v>17</v>
      </c>
      <c r="C248" s="2" t="s">
        <v>13</v>
      </c>
      <c r="D248" s="13"/>
      <c r="E248" s="13"/>
      <c r="F248" s="44"/>
      <c r="G248" s="42"/>
      <c r="H248" s="42"/>
      <c r="I248" s="42"/>
      <c r="J248" s="27" t="s">
        <v>410</v>
      </c>
      <c r="K248" s="42"/>
    </row>
    <row r="249" ht="39.75" hidden="1" customHeight="1">
      <c r="A249" s="1">
        <v>248.0</v>
      </c>
      <c r="B249" s="2" t="s">
        <v>331</v>
      </c>
      <c r="C249" s="2" t="s">
        <v>13</v>
      </c>
      <c r="D249" s="13"/>
      <c r="E249" s="13"/>
      <c r="F249" s="45"/>
      <c r="G249" s="42"/>
      <c r="H249" s="42"/>
      <c r="I249" s="42"/>
      <c r="J249" s="27" t="s">
        <v>412</v>
      </c>
      <c r="K249" s="42"/>
    </row>
    <row r="250" ht="39.75" customHeight="1">
      <c r="A250" s="1">
        <v>249.0</v>
      </c>
      <c r="B250" s="2" t="s">
        <v>21</v>
      </c>
      <c r="C250" s="2" t="s">
        <v>63</v>
      </c>
      <c r="D250" s="13"/>
      <c r="E250" s="13"/>
      <c r="F250" s="45"/>
      <c r="G250" s="42"/>
      <c r="H250" s="42"/>
      <c r="I250" s="42"/>
      <c r="J250" s="27" t="s">
        <v>413</v>
      </c>
      <c r="K250" s="42"/>
    </row>
    <row r="251" ht="39.75" hidden="1" customHeight="1">
      <c r="A251" s="1">
        <v>250.0</v>
      </c>
      <c r="B251" s="2" t="s">
        <v>22</v>
      </c>
      <c r="C251" s="2" t="s">
        <v>13</v>
      </c>
      <c r="D251" s="13"/>
      <c r="E251" s="13"/>
      <c r="F251" s="45"/>
      <c r="G251" s="42"/>
      <c r="H251" s="42"/>
      <c r="I251" s="42"/>
      <c r="J251" s="22"/>
      <c r="K251" s="42"/>
    </row>
    <row r="252" ht="39.75" hidden="1" customHeight="1">
      <c r="A252" s="1">
        <v>251.0</v>
      </c>
      <c r="B252" s="2" t="s">
        <v>23</v>
      </c>
      <c r="C252" s="2" t="s">
        <v>13</v>
      </c>
      <c r="D252" s="13"/>
      <c r="E252" s="13"/>
      <c r="F252" s="45"/>
      <c r="G252" s="42"/>
      <c r="H252" s="42"/>
      <c r="I252" s="42"/>
      <c r="J252" s="22"/>
      <c r="K252" s="42"/>
    </row>
    <row r="253" ht="39.75" hidden="1" customHeight="1">
      <c r="A253" s="1">
        <v>252.0</v>
      </c>
      <c r="B253" s="2" t="s">
        <v>24</v>
      </c>
      <c r="C253" s="2" t="s">
        <v>13</v>
      </c>
      <c r="D253" s="13"/>
      <c r="E253" s="13"/>
      <c r="F253" s="45"/>
      <c r="G253" s="42"/>
      <c r="H253" s="42"/>
      <c r="I253" s="42"/>
      <c r="J253" s="22"/>
      <c r="K253" s="42"/>
    </row>
    <row r="254" ht="39.75" hidden="1" customHeight="1">
      <c r="A254" s="1">
        <v>253.0</v>
      </c>
      <c r="B254" s="2" t="s">
        <v>25</v>
      </c>
      <c r="C254" s="2" t="s">
        <v>13</v>
      </c>
      <c r="D254" s="13"/>
      <c r="E254" s="13"/>
      <c r="F254" s="45"/>
      <c r="G254" s="42"/>
      <c r="H254" s="42"/>
      <c r="I254" s="42"/>
      <c r="J254" s="22"/>
      <c r="K254" s="42"/>
    </row>
    <row r="255" ht="39.75" customHeight="1">
      <c r="A255" s="1">
        <v>254.0</v>
      </c>
      <c r="B255" s="2" t="s">
        <v>26</v>
      </c>
      <c r="C255" s="2" t="s">
        <v>44</v>
      </c>
      <c r="D255" s="13"/>
      <c r="E255" s="13"/>
      <c r="F255" s="45"/>
      <c r="G255" s="42"/>
      <c r="H255" s="42"/>
      <c r="I255" s="42"/>
      <c r="J255" s="22"/>
      <c r="K255" s="42"/>
    </row>
    <row r="256" ht="39.75" customHeight="1">
      <c r="A256" s="1">
        <v>255.0</v>
      </c>
      <c r="B256" s="2" t="s">
        <v>29</v>
      </c>
      <c r="C256" s="2"/>
      <c r="D256" s="40">
        <v>0.375</v>
      </c>
      <c r="E256" s="13"/>
      <c r="F256" s="44" t="s">
        <v>3035</v>
      </c>
      <c r="G256" s="43">
        <v>2.0</v>
      </c>
      <c r="H256" s="42"/>
      <c r="I256" s="43">
        <v>2.0</v>
      </c>
      <c r="J256" s="22"/>
      <c r="K256" s="42"/>
    </row>
    <row r="257" ht="39.75" hidden="1" customHeight="1">
      <c r="A257" s="1">
        <v>256.0</v>
      </c>
      <c r="B257" s="2" t="s">
        <v>30</v>
      </c>
      <c r="C257" s="2" t="s">
        <v>13</v>
      </c>
      <c r="D257" s="13"/>
      <c r="E257" s="13"/>
      <c r="F257" s="45"/>
      <c r="G257" s="42"/>
      <c r="H257" s="42"/>
      <c r="I257" s="42"/>
      <c r="J257" s="22"/>
      <c r="K257" s="42"/>
    </row>
    <row r="258" ht="39.75" customHeight="1">
      <c r="A258" s="1">
        <v>257.0</v>
      </c>
      <c r="B258" s="2" t="s">
        <v>34</v>
      </c>
      <c r="C258" s="2" t="s">
        <v>272</v>
      </c>
      <c r="D258" s="13"/>
      <c r="E258" s="13"/>
      <c r="F258" s="44" t="s">
        <v>1186</v>
      </c>
      <c r="G258" s="43">
        <v>1.0</v>
      </c>
      <c r="H258" s="42"/>
      <c r="I258" s="43">
        <v>1.0</v>
      </c>
      <c r="J258" s="22"/>
      <c r="K258" s="42"/>
    </row>
    <row r="259" ht="39.75" hidden="1" customHeight="1">
      <c r="A259" s="1">
        <v>258.0</v>
      </c>
      <c r="B259" s="2" t="s">
        <v>32</v>
      </c>
      <c r="C259" s="2" t="s">
        <v>13</v>
      </c>
      <c r="D259" s="13"/>
      <c r="E259" s="13"/>
      <c r="F259" s="45"/>
      <c r="G259" s="42"/>
      <c r="H259" s="42"/>
      <c r="I259" s="42"/>
      <c r="J259" s="22"/>
      <c r="K259" s="42"/>
    </row>
    <row r="260" ht="39.75" hidden="1" customHeight="1">
      <c r="A260" s="1">
        <v>259.0</v>
      </c>
      <c r="B260" s="2" t="s">
        <v>67</v>
      </c>
      <c r="C260" s="2" t="s">
        <v>13</v>
      </c>
      <c r="D260" s="13"/>
      <c r="E260" s="13"/>
      <c r="F260" s="45"/>
      <c r="G260" s="42"/>
      <c r="H260" s="42"/>
      <c r="I260" s="42"/>
      <c r="J260" s="22"/>
      <c r="K260" s="42"/>
    </row>
    <row r="261" ht="39.75" hidden="1" customHeight="1">
      <c r="A261" s="1">
        <v>260.0</v>
      </c>
      <c r="B261" s="2" t="s">
        <v>35</v>
      </c>
      <c r="C261" s="2" t="s">
        <v>13</v>
      </c>
      <c r="D261" s="13"/>
      <c r="E261" s="13"/>
      <c r="F261" s="45"/>
      <c r="G261" s="42"/>
      <c r="H261" s="42"/>
      <c r="I261" s="42"/>
      <c r="J261" s="22"/>
      <c r="K261" s="42"/>
    </row>
    <row r="262" ht="39.75" customHeight="1">
      <c r="A262" s="1">
        <v>261.0</v>
      </c>
      <c r="B262" s="2" t="s">
        <v>36</v>
      </c>
      <c r="C262" s="2"/>
      <c r="D262" s="40">
        <v>0.375</v>
      </c>
      <c r="E262" s="13"/>
      <c r="F262" s="44" t="s">
        <v>3036</v>
      </c>
      <c r="G262" s="43">
        <v>1.0</v>
      </c>
      <c r="H262" s="42"/>
      <c r="I262" s="43">
        <v>1.0</v>
      </c>
      <c r="J262" s="22"/>
      <c r="K262" s="42"/>
    </row>
    <row r="263" ht="39.75" hidden="1" customHeight="1">
      <c r="A263" s="1">
        <v>262.0</v>
      </c>
      <c r="B263" s="2" t="s">
        <v>38</v>
      </c>
      <c r="C263" s="2" t="s">
        <v>13</v>
      </c>
      <c r="D263" s="13"/>
      <c r="E263" s="13"/>
      <c r="F263" s="45"/>
      <c r="G263" s="42"/>
      <c r="H263" s="42"/>
      <c r="I263" s="42"/>
      <c r="J263" s="22"/>
      <c r="K263" s="42"/>
    </row>
    <row r="264" ht="39.75" hidden="1" customHeight="1">
      <c r="A264" s="1">
        <v>263.0</v>
      </c>
      <c r="B264" s="2" t="s">
        <v>41</v>
      </c>
      <c r="C264" s="2" t="s">
        <v>13</v>
      </c>
      <c r="D264" s="13"/>
      <c r="E264" s="13"/>
      <c r="F264" s="45"/>
      <c r="G264" s="42"/>
      <c r="H264" s="42"/>
      <c r="I264" s="42"/>
      <c r="J264" s="22"/>
      <c r="K264" s="42"/>
    </row>
    <row r="265" ht="39.75" hidden="1" customHeight="1">
      <c r="A265" s="1">
        <v>264.0</v>
      </c>
      <c r="B265" s="2" t="s">
        <v>42</v>
      </c>
      <c r="C265" s="2" t="s">
        <v>13</v>
      </c>
      <c r="D265" s="13"/>
      <c r="E265" s="13"/>
      <c r="F265" s="45"/>
      <c r="G265" s="42"/>
      <c r="H265" s="42"/>
      <c r="I265" s="42"/>
      <c r="J265" s="22"/>
      <c r="K265" s="42"/>
    </row>
    <row r="266" ht="39.75" customHeight="1">
      <c r="A266" s="1">
        <v>265.0</v>
      </c>
      <c r="B266" s="2" t="s">
        <v>43</v>
      </c>
      <c r="C266" s="2" t="s">
        <v>39</v>
      </c>
      <c r="D266" s="53">
        <v>0.3472222222222222</v>
      </c>
      <c r="E266" s="13"/>
      <c r="F266" s="44" t="s">
        <v>3037</v>
      </c>
      <c r="G266" s="43">
        <v>1.0</v>
      </c>
      <c r="H266" s="42"/>
      <c r="I266" s="43">
        <v>1.0</v>
      </c>
      <c r="J266" s="22"/>
      <c r="K266" s="42"/>
    </row>
    <row r="267" ht="39.75" hidden="1" customHeight="1">
      <c r="A267" s="1">
        <v>266.0</v>
      </c>
      <c r="B267" s="2" t="s">
        <v>45</v>
      </c>
      <c r="C267" s="2" t="s">
        <v>13</v>
      </c>
      <c r="D267" s="13"/>
      <c r="E267" s="13"/>
      <c r="F267" s="45"/>
      <c r="G267" s="42"/>
      <c r="H267" s="42"/>
      <c r="I267" s="42"/>
      <c r="J267" s="22"/>
      <c r="K267" s="42"/>
    </row>
    <row r="268" ht="39.75" hidden="1" customHeight="1">
      <c r="A268" s="1">
        <v>267.0</v>
      </c>
      <c r="B268" s="2" t="s">
        <v>46</v>
      </c>
      <c r="C268" s="2" t="s">
        <v>13</v>
      </c>
      <c r="D268" s="13"/>
      <c r="E268" s="13"/>
      <c r="F268" s="45"/>
      <c r="G268" s="42"/>
      <c r="H268" s="42"/>
      <c r="I268" s="42"/>
      <c r="J268" s="22"/>
      <c r="K268" s="42"/>
    </row>
    <row r="269" ht="39.75" customHeight="1">
      <c r="A269" s="1">
        <v>268.0</v>
      </c>
      <c r="B269" s="2" t="s">
        <v>47</v>
      </c>
      <c r="C269" s="2" t="s">
        <v>27</v>
      </c>
      <c r="D269" s="13"/>
      <c r="E269" s="13"/>
      <c r="F269" s="44" t="s">
        <v>3038</v>
      </c>
      <c r="G269" s="43">
        <v>1.0</v>
      </c>
      <c r="H269" s="42"/>
      <c r="I269" s="42"/>
      <c r="J269" s="22"/>
      <c r="K269" s="42"/>
    </row>
    <row r="270" ht="39.75" hidden="1" customHeight="1">
      <c r="A270" s="1">
        <v>269.0</v>
      </c>
      <c r="B270" s="2" t="s">
        <v>48</v>
      </c>
      <c r="C270" s="2" t="s">
        <v>13</v>
      </c>
      <c r="D270" s="13"/>
      <c r="E270" s="13"/>
      <c r="F270" s="45"/>
      <c r="G270" s="42"/>
      <c r="H270" s="42"/>
      <c r="I270" s="42"/>
      <c r="J270" s="22"/>
      <c r="K270" s="42"/>
    </row>
    <row r="271" ht="39.75" customHeight="1">
      <c r="A271" s="1">
        <v>270.0</v>
      </c>
      <c r="B271" s="21"/>
      <c r="C271" s="21"/>
      <c r="D271" s="21"/>
      <c r="E271" s="21"/>
      <c r="F271" s="46"/>
      <c r="G271" s="47"/>
      <c r="H271" s="47"/>
      <c r="I271" s="47"/>
      <c r="J271" s="48"/>
      <c r="K271" s="47"/>
      <c r="L271" s="49"/>
      <c r="M271" s="49"/>
      <c r="N271" s="49"/>
    </row>
    <row r="272" ht="39.75" customHeight="1">
      <c r="A272" s="1">
        <v>271.0</v>
      </c>
      <c r="B272" s="2" t="s">
        <v>12</v>
      </c>
      <c r="C272" s="2" t="s">
        <v>62</v>
      </c>
      <c r="D272" s="13"/>
      <c r="E272" s="13"/>
      <c r="F272" s="44" t="s">
        <v>1543</v>
      </c>
      <c r="G272" s="43">
        <v>1.0</v>
      </c>
      <c r="H272" s="42"/>
      <c r="I272" s="43">
        <v>1.0</v>
      </c>
      <c r="J272" s="27" t="s">
        <v>2945</v>
      </c>
      <c r="K272" s="42"/>
      <c r="L272" s="15" t="s">
        <v>209</v>
      </c>
    </row>
    <row r="273" ht="39.75" customHeight="1">
      <c r="A273" s="1">
        <v>272.0</v>
      </c>
      <c r="B273" s="2" t="s">
        <v>16</v>
      </c>
      <c r="C273" s="2"/>
      <c r="D273" s="13"/>
      <c r="E273" s="13"/>
      <c r="F273" s="44" t="s">
        <v>3039</v>
      </c>
      <c r="G273" s="43">
        <v>1.0</v>
      </c>
      <c r="H273" s="42"/>
      <c r="I273" s="43">
        <v>1.0</v>
      </c>
      <c r="J273" s="27" t="s">
        <v>209</v>
      </c>
      <c r="K273" s="43"/>
    </row>
    <row r="274" ht="39.75" customHeight="1">
      <c r="A274" s="1">
        <v>273.0</v>
      </c>
      <c r="B274" s="2" t="s">
        <v>116</v>
      </c>
      <c r="C274" s="2"/>
      <c r="D274" s="13"/>
      <c r="E274" s="13"/>
      <c r="F274" s="45"/>
      <c r="G274" s="42"/>
      <c r="H274" s="42"/>
      <c r="I274" s="42"/>
      <c r="J274" s="27" t="s">
        <v>56</v>
      </c>
      <c r="K274" s="42"/>
    </row>
    <row r="275" ht="39.75" customHeight="1">
      <c r="A275" s="1">
        <v>274.0</v>
      </c>
      <c r="B275" s="2" t="s">
        <v>17</v>
      </c>
      <c r="C275" s="2"/>
      <c r="D275" s="13"/>
      <c r="E275" s="13"/>
      <c r="F275" s="44" t="s">
        <v>3040</v>
      </c>
      <c r="G275" s="43">
        <v>1.0</v>
      </c>
      <c r="H275" s="42"/>
      <c r="I275" s="42"/>
      <c r="J275" s="22"/>
      <c r="K275" s="42"/>
    </row>
    <row r="276" ht="39.75" customHeight="1">
      <c r="A276" s="1">
        <v>275.0</v>
      </c>
      <c r="B276" s="2" t="s">
        <v>331</v>
      </c>
      <c r="C276" s="2" t="s">
        <v>542</v>
      </c>
      <c r="D276" s="13"/>
      <c r="E276" s="13"/>
      <c r="F276" s="45"/>
      <c r="G276" s="42"/>
      <c r="H276" s="42"/>
      <c r="I276" s="42"/>
      <c r="J276" s="22"/>
      <c r="K276" s="42"/>
    </row>
    <row r="277" ht="39.75" customHeight="1">
      <c r="A277" s="1">
        <v>276.0</v>
      </c>
      <c r="B277" s="2" t="s">
        <v>21</v>
      </c>
      <c r="C277" s="2"/>
      <c r="D277" s="13"/>
      <c r="E277" s="13"/>
      <c r="F277" s="45"/>
      <c r="G277" s="42"/>
      <c r="H277" s="42"/>
      <c r="I277" s="42"/>
      <c r="J277" s="22"/>
      <c r="K277" s="42"/>
    </row>
    <row r="278" ht="39.75" customHeight="1">
      <c r="A278" s="1">
        <v>277.0</v>
      </c>
      <c r="B278" s="2" t="s">
        <v>22</v>
      </c>
      <c r="C278" s="2" t="s">
        <v>69</v>
      </c>
      <c r="D278" s="13"/>
      <c r="E278" s="13"/>
      <c r="F278" s="44" t="s">
        <v>3041</v>
      </c>
      <c r="G278" s="43">
        <v>1.0</v>
      </c>
      <c r="H278" s="42"/>
      <c r="I278" s="42"/>
      <c r="J278" s="22"/>
      <c r="K278" s="42"/>
    </row>
    <row r="279" ht="39.75" customHeight="1">
      <c r="A279" s="1">
        <v>278.0</v>
      </c>
      <c r="B279" s="2" t="s">
        <v>23</v>
      </c>
      <c r="C279" s="2" t="s">
        <v>39</v>
      </c>
      <c r="D279" s="13"/>
      <c r="E279" s="13"/>
      <c r="F279" s="44" t="s">
        <v>3042</v>
      </c>
      <c r="G279" s="43">
        <v>1.0</v>
      </c>
      <c r="H279" s="42"/>
      <c r="I279" s="43">
        <v>1.0</v>
      </c>
      <c r="J279" s="22"/>
      <c r="K279" s="42"/>
    </row>
    <row r="280" ht="39.75" customHeight="1">
      <c r="A280" s="1">
        <v>279.0</v>
      </c>
      <c r="B280" s="2" t="s">
        <v>24</v>
      </c>
      <c r="C280" s="2" t="s">
        <v>63</v>
      </c>
      <c r="D280" s="13"/>
      <c r="E280" s="13"/>
      <c r="F280" s="45"/>
      <c r="G280" s="42"/>
      <c r="H280" s="42"/>
      <c r="I280" s="42"/>
      <c r="J280" s="22"/>
      <c r="K280" s="42"/>
    </row>
    <row r="281" ht="39.75" customHeight="1">
      <c r="A281" s="1">
        <v>280.0</v>
      </c>
      <c r="B281" s="2" t="s">
        <v>25</v>
      </c>
      <c r="C281" s="2" t="s">
        <v>54</v>
      </c>
      <c r="D281" s="13"/>
      <c r="E281" s="13"/>
      <c r="F281" s="44" t="s">
        <v>3043</v>
      </c>
      <c r="G281" s="43">
        <v>1.0</v>
      </c>
      <c r="H281" s="42"/>
      <c r="I281" s="42"/>
      <c r="J281" s="22"/>
      <c r="K281" s="42"/>
    </row>
    <row r="282" ht="39.75" customHeight="1">
      <c r="A282" s="1">
        <v>281.0</v>
      </c>
      <c r="B282" s="2" t="s">
        <v>26</v>
      </c>
      <c r="C282" s="2" t="s">
        <v>69</v>
      </c>
      <c r="D282" s="13"/>
      <c r="E282" s="13"/>
      <c r="F282" s="44" t="s">
        <v>3044</v>
      </c>
      <c r="G282" s="43">
        <v>1.0</v>
      </c>
      <c r="H282" s="42"/>
      <c r="I282" s="43">
        <v>1.0</v>
      </c>
      <c r="J282" s="22"/>
      <c r="K282" s="42"/>
    </row>
    <row r="283" ht="39.75" customHeight="1">
      <c r="A283" s="1">
        <v>282.0</v>
      </c>
      <c r="B283" s="2" t="s">
        <v>29</v>
      </c>
      <c r="C283" s="2" t="s">
        <v>27</v>
      </c>
      <c r="D283" s="13"/>
      <c r="E283" s="13"/>
      <c r="F283" s="44" t="s">
        <v>3045</v>
      </c>
      <c r="G283" s="43">
        <v>1.0</v>
      </c>
      <c r="H283" s="42"/>
      <c r="I283" s="42"/>
      <c r="J283" s="22"/>
      <c r="K283" s="42"/>
    </row>
    <row r="284" ht="39.75" customHeight="1">
      <c r="A284" s="1">
        <v>283.0</v>
      </c>
      <c r="B284" s="2" t="s">
        <v>30</v>
      </c>
      <c r="C284" s="2" t="s">
        <v>64</v>
      </c>
      <c r="D284" s="13"/>
      <c r="E284" s="13"/>
      <c r="F284" s="44" t="s">
        <v>2592</v>
      </c>
      <c r="G284" s="43">
        <v>1.0</v>
      </c>
      <c r="H284" s="42"/>
      <c r="I284" s="43">
        <v>1.0</v>
      </c>
      <c r="J284" s="22"/>
      <c r="K284" s="42"/>
    </row>
    <row r="285" ht="39.75" customHeight="1">
      <c r="A285" s="1">
        <v>284.0</v>
      </c>
      <c r="B285" s="2" t="s">
        <v>31</v>
      </c>
      <c r="C285" s="2" t="s">
        <v>69</v>
      </c>
      <c r="D285" s="13"/>
      <c r="E285" s="13"/>
      <c r="F285" s="44" t="s">
        <v>472</v>
      </c>
      <c r="G285" s="42"/>
      <c r="H285" s="42"/>
      <c r="I285" s="42"/>
      <c r="J285" s="22"/>
      <c r="K285" s="42"/>
    </row>
    <row r="286" ht="39.75" customHeight="1">
      <c r="A286" s="1">
        <v>285.0</v>
      </c>
      <c r="B286" s="2" t="s">
        <v>32</v>
      </c>
      <c r="C286" s="2"/>
      <c r="D286" s="13"/>
      <c r="E286" s="13"/>
      <c r="F286" s="44" t="s">
        <v>3046</v>
      </c>
      <c r="G286" s="43">
        <v>1.0</v>
      </c>
      <c r="H286" s="42"/>
      <c r="I286" s="42"/>
      <c r="J286" s="22"/>
      <c r="K286" s="42"/>
    </row>
    <row r="287" ht="39.75" hidden="1" customHeight="1">
      <c r="A287" s="1">
        <v>286.0</v>
      </c>
      <c r="B287" s="2" t="s">
        <v>67</v>
      </c>
      <c r="C287" s="2" t="s">
        <v>58</v>
      </c>
      <c r="D287" s="13"/>
      <c r="E287" s="13"/>
      <c r="F287" s="45"/>
      <c r="G287" s="42"/>
      <c r="H287" s="42"/>
      <c r="I287" s="42"/>
      <c r="J287" s="22"/>
      <c r="K287" s="42"/>
    </row>
    <row r="288" ht="39.75" hidden="1" customHeight="1">
      <c r="A288" s="1">
        <v>287.0</v>
      </c>
      <c r="B288" s="2" t="s">
        <v>35</v>
      </c>
      <c r="C288" s="2" t="s">
        <v>58</v>
      </c>
      <c r="D288" s="13"/>
      <c r="E288" s="13"/>
      <c r="F288" s="45"/>
      <c r="G288" s="42"/>
      <c r="H288" s="42"/>
      <c r="I288" s="42"/>
      <c r="J288" s="22"/>
      <c r="K288" s="42"/>
    </row>
    <row r="289" ht="39.75" customHeight="1">
      <c r="A289" s="1">
        <v>288.0</v>
      </c>
      <c r="B289" s="2" t="s">
        <v>36</v>
      </c>
      <c r="C289" s="2" t="s">
        <v>54</v>
      </c>
      <c r="D289" s="13"/>
      <c r="E289" s="13"/>
      <c r="F289" s="45"/>
      <c r="G289" s="42"/>
      <c r="H289" s="42"/>
      <c r="I289" s="42"/>
      <c r="J289" s="22"/>
      <c r="K289" s="42"/>
    </row>
    <row r="290" ht="39.75" customHeight="1">
      <c r="A290" s="1">
        <v>289.0</v>
      </c>
      <c r="B290" s="2" t="s">
        <v>38</v>
      </c>
      <c r="C290" s="2" t="s">
        <v>54</v>
      </c>
      <c r="D290" s="13"/>
      <c r="E290" s="13"/>
      <c r="F290" s="44" t="s">
        <v>3047</v>
      </c>
      <c r="G290" s="43">
        <v>1.0</v>
      </c>
      <c r="H290" s="42"/>
      <c r="I290" s="42"/>
      <c r="J290" s="22"/>
      <c r="K290" s="42"/>
    </row>
    <row r="291" ht="39.75" hidden="1" customHeight="1">
      <c r="A291" s="1">
        <v>290.0</v>
      </c>
      <c r="B291" s="2" t="s">
        <v>41</v>
      </c>
      <c r="C291" s="2" t="s">
        <v>58</v>
      </c>
      <c r="D291" s="13"/>
      <c r="E291" s="13"/>
      <c r="F291" s="45"/>
      <c r="G291" s="42"/>
      <c r="H291" s="42"/>
      <c r="I291" s="42"/>
      <c r="J291" s="22"/>
      <c r="K291" s="42"/>
    </row>
    <row r="292" ht="39.75" hidden="1" customHeight="1">
      <c r="A292" s="1">
        <v>291.0</v>
      </c>
      <c r="B292" s="2" t="s">
        <v>42</v>
      </c>
      <c r="C292" s="2" t="s">
        <v>58</v>
      </c>
      <c r="D292" s="13"/>
      <c r="E292" s="13"/>
      <c r="F292" s="45"/>
      <c r="G292" s="42"/>
      <c r="H292" s="42"/>
      <c r="I292" s="42"/>
      <c r="J292" s="22"/>
      <c r="K292" s="42"/>
    </row>
    <row r="293" ht="39.75" customHeight="1">
      <c r="A293" s="1">
        <v>292.0</v>
      </c>
      <c r="B293" s="2" t="s">
        <v>43</v>
      </c>
      <c r="C293" s="2" t="s">
        <v>39</v>
      </c>
      <c r="D293" s="13"/>
      <c r="E293" s="13"/>
      <c r="F293" s="44" t="s">
        <v>2691</v>
      </c>
      <c r="G293" s="43">
        <v>1.0</v>
      </c>
      <c r="H293" s="42"/>
      <c r="I293" s="43">
        <v>1.0</v>
      </c>
      <c r="J293" s="22"/>
      <c r="K293" s="42"/>
    </row>
    <row r="294" ht="39.75" customHeight="1">
      <c r="A294" s="1">
        <v>293.0</v>
      </c>
      <c r="B294" s="2" t="s">
        <v>45</v>
      </c>
      <c r="C294" s="2" t="s">
        <v>54</v>
      </c>
      <c r="D294" s="13"/>
      <c r="E294" s="13"/>
      <c r="F294" s="44" t="s">
        <v>2741</v>
      </c>
      <c r="G294" s="43">
        <v>1.0</v>
      </c>
      <c r="H294" s="42"/>
      <c r="I294" s="43">
        <v>1.0</v>
      </c>
      <c r="J294" s="22"/>
      <c r="K294" s="42"/>
    </row>
    <row r="295" ht="39.75" customHeight="1">
      <c r="A295" s="1">
        <v>294.0</v>
      </c>
      <c r="B295" s="2" t="s">
        <v>46</v>
      </c>
      <c r="C295" s="2"/>
      <c r="D295" s="13"/>
      <c r="E295" s="13"/>
      <c r="F295" s="44" t="s">
        <v>3048</v>
      </c>
      <c r="G295" s="43">
        <v>2.0</v>
      </c>
      <c r="H295" s="42"/>
      <c r="I295" s="43">
        <v>1.0</v>
      </c>
      <c r="J295" s="22"/>
      <c r="K295" s="42"/>
    </row>
    <row r="296" ht="39.75" customHeight="1">
      <c r="A296" s="1">
        <v>295.0</v>
      </c>
      <c r="B296" s="2" t="s">
        <v>47</v>
      </c>
      <c r="C296" s="2" t="s">
        <v>44</v>
      </c>
      <c r="D296" s="13"/>
      <c r="E296" s="13"/>
      <c r="F296" s="45"/>
      <c r="G296" s="42"/>
      <c r="H296" s="42"/>
      <c r="I296" s="42"/>
      <c r="J296" s="22"/>
      <c r="K296" s="42"/>
    </row>
    <row r="297" ht="39.75" hidden="1" customHeight="1">
      <c r="A297" s="1">
        <v>296.0</v>
      </c>
      <c r="B297" s="2" t="s">
        <v>48</v>
      </c>
      <c r="C297" s="2" t="s">
        <v>58</v>
      </c>
      <c r="D297" s="13"/>
      <c r="E297" s="13"/>
      <c r="F297" s="45"/>
      <c r="G297" s="42"/>
      <c r="H297" s="42"/>
      <c r="I297" s="42"/>
      <c r="J297" s="22"/>
      <c r="K297" s="42"/>
    </row>
    <row r="298" ht="39.75" customHeight="1">
      <c r="A298" s="1">
        <v>297.0</v>
      </c>
      <c r="B298" s="21"/>
      <c r="C298" s="21"/>
      <c r="D298" s="21"/>
      <c r="E298" s="21"/>
      <c r="F298" s="46"/>
      <c r="G298" s="47"/>
      <c r="H298" s="47"/>
      <c r="I298" s="47"/>
      <c r="J298" s="48"/>
      <c r="K298" s="47"/>
      <c r="L298" s="49"/>
      <c r="M298" s="49"/>
      <c r="N298" s="49"/>
    </row>
    <row r="299" ht="39.75" customHeight="1">
      <c r="A299" s="1">
        <v>298.0</v>
      </c>
      <c r="B299" s="2" t="s">
        <v>12</v>
      </c>
      <c r="C299" s="2" t="s">
        <v>62</v>
      </c>
      <c r="D299" s="13"/>
      <c r="E299" s="13"/>
      <c r="F299" s="44" t="s">
        <v>1543</v>
      </c>
      <c r="G299" s="43">
        <v>1.0</v>
      </c>
      <c r="H299" s="42"/>
      <c r="I299" s="43">
        <v>1.0</v>
      </c>
      <c r="J299" s="27" t="s">
        <v>2945</v>
      </c>
      <c r="K299" s="42"/>
      <c r="L299" s="15" t="s">
        <v>228</v>
      </c>
    </row>
    <row r="300" ht="39.75" customHeight="1">
      <c r="A300" s="1">
        <v>299.0</v>
      </c>
      <c r="B300" s="2" t="s">
        <v>16</v>
      </c>
      <c r="C300" s="2" t="s">
        <v>69</v>
      </c>
      <c r="D300" s="13"/>
      <c r="E300" s="13"/>
      <c r="F300" s="44" t="s">
        <v>3049</v>
      </c>
      <c r="G300" s="43">
        <v>1.0</v>
      </c>
      <c r="H300" s="42"/>
      <c r="I300" s="43"/>
      <c r="J300" s="27" t="s">
        <v>228</v>
      </c>
      <c r="K300" s="43"/>
    </row>
    <row r="301" ht="39.75" customHeight="1">
      <c r="A301" s="1">
        <v>300.0</v>
      </c>
      <c r="B301" s="2" t="s">
        <v>116</v>
      </c>
      <c r="C301" s="2" t="s">
        <v>27</v>
      </c>
      <c r="D301" s="13"/>
      <c r="E301" s="13"/>
      <c r="F301" s="85" t="s">
        <v>3050</v>
      </c>
      <c r="G301" s="43">
        <v>2.0</v>
      </c>
      <c r="H301" s="42"/>
      <c r="I301" s="43">
        <v>1.0</v>
      </c>
      <c r="J301" s="27" t="s">
        <v>77</v>
      </c>
      <c r="K301" s="42"/>
    </row>
    <row r="302" ht="81.75" customHeight="1">
      <c r="A302" s="1">
        <v>301.0</v>
      </c>
      <c r="B302" s="2" t="s">
        <v>17</v>
      </c>
      <c r="C302" s="2"/>
      <c r="D302" s="53">
        <v>0.3333333333333333</v>
      </c>
      <c r="E302" s="13"/>
      <c r="F302" s="44" t="s">
        <v>3051</v>
      </c>
      <c r="G302" s="43">
        <v>2.0</v>
      </c>
      <c r="H302" s="42"/>
      <c r="I302" s="43">
        <v>2.0</v>
      </c>
      <c r="J302" s="22"/>
      <c r="K302" s="42"/>
    </row>
    <row r="303" ht="39.75" customHeight="1">
      <c r="A303" s="1">
        <v>302.0</v>
      </c>
      <c r="B303" s="2" t="s">
        <v>331</v>
      </c>
      <c r="C303" s="2" t="s">
        <v>542</v>
      </c>
      <c r="D303" s="13"/>
      <c r="E303" s="13"/>
      <c r="F303" s="44" t="s">
        <v>3052</v>
      </c>
      <c r="G303" s="43">
        <v>1.0</v>
      </c>
      <c r="H303" s="42"/>
      <c r="I303" s="43">
        <v>1.0</v>
      </c>
      <c r="J303" s="22"/>
      <c r="K303" s="42"/>
    </row>
    <row r="304" ht="39.75" hidden="1" customHeight="1">
      <c r="A304" s="1">
        <v>303.0</v>
      </c>
      <c r="B304" s="2" t="s">
        <v>21</v>
      </c>
      <c r="C304" s="2" t="s">
        <v>58</v>
      </c>
      <c r="D304" s="13"/>
      <c r="E304" s="13"/>
      <c r="F304" s="45"/>
      <c r="G304" s="42"/>
      <c r="H304" s="42"/>
      <c r="I304" s="42"/>
      <c r="J304" s="22"/>
      <c r="K304" s="42"/>
    </row>
    <row r="305" ht="39.75" customHeight="1">
      <c r="A305" s="1">
        <v>304.0</v>
      </c>
      <c r="B305" s="2" t="s">
        <v>22</v>
      </c>
      <c r="C305" s="2" t="s">
        <v>69</v>
      </c>
      <c r="D305" s="13"/>
      <c r="E305" s="13"/>
      <c r="F305" s="44" t="s">
        <v>3053</v>
      </c>
      <c r="G305" s="43">
        <v>2.0</v>
      </c>
      <c r="H305" s="42"/>
      <c r="I305" s="43">
        <v>1.0</v>
      </c>
      <c r="J305" s="22"/>
      <c r="K305" s="42"/>
    </row>
    <row r="306" ht="39.75" customHeight="1">
      <c r="A306" s="1">
        <v>305.0</v>
      </c>
      <c r="B306" s="2" t="s">
        <v>23</v>
      </c>
      <c r="C306" s="2" t="s">
        <v>54</v>
      </c>
      <c r="D306" s="13"/>
      <c r="E306" s="13"/>
      <c r="F306" s="44" t="s">
        <v>3054</v>
      </c>
      <c r="G306" s="43">
        <v>2.0</v>
      </c>
      <c r="H306" s="42"/>
      <c r="I306" s="42"/>
      <c r="J306" s="22"/>
      <c r="K306" s="42"/>
    </row>
    <row r="307" ht="39.75" customHeight="1">
      <c r="A307" s="1">
        <v>306.0</v>
      </c>
      <c r="B307" s="2" t="s">
        <v>24</v>
      </c>
      <c r="C307" s="2" t="s">
        <v>63</v>
      </c>
      <c r="D307" s="13"/>
      <c r="E307" s="13"/>
      <c r="F307" s="45"/>
      <c r="G307" s="42"/>
      <c r="H307" s="42"/>
      <c r="I307" s="42"/>
      <c r="J307" s="22"/>
      <c r="K307" s="42"/>
    </row>
    <row r="308" ht="39.75" customHeight="1">
      <c r="A308" s="1">
        <v>307.0</v>
      </c>
      <c r="B308" s="2" t="s">
        <v>25</v>
      </c>
      <c r="C308" s="2" t="s">
        <v>54</v>
      </c>
      <c r="D308" s="53">
        <v>0.3125</v>
      </c>
      <c r="E308" s="13"/>
      <c r="F308" s="44" t="s">
        <v>2755</v>
      </c>
      <c r="G308" s="43">
        <v>1.0</v>
      </c>
      <c r="H308" s="42"/>
      <c r="I308" s="43">
        <v>1.0</v>
      </c>
      <c r="J308" s="22"/>
      <c r="K308" s="42"/>
    </row>
    <row r="309" ht="39.75" customHeight="1">
      <c r="A309" s="1">
        <v>308.0</v>
      </c>
      <c r="B309" s="2" t="s">
        <v>26</v>
      </c>
      <c r="C309" s="2" t="s">
        <v>39</v>
      </c>
      <c r="D309" s="13"/>
      <c r="E309" s="13"/>
      <c r="F309" s="44" t="s">
        <v>3055</v>
      </c>
      <c r="G309" s="43">
        <v>1.0</v>
      </c>
      <c r="H309" s="42"/>
      <c r="I309" s="42"/>
      <c r="J309" s="22"/>
      <c r="K309" s="42"/>
    </row>
    <row r="310" ht="39.75" customHeight="1">
      <c r="A310" s="1">
        <v>309.0</v>
      </c>
      <c r="B310" s="2" t="s">
        <v>29</v>
      </c>
      <c r="C310" s="2" t="s">
        <v>44</v>
      </c>
      <c r="D310" s="13"/>
      <c r="E310" s="55">
        <v>0.4375</v>
      </c>
      <c r="F310" s="52" t="s">
        <v>3056</v>
      </c>
      <c r="G310" s="56">
        <v>1.0</v>
      </c>
      <c r="H310" s="42"/>
      <c r="I310" s="42"/>
      <c r="J310" s="22"/>
      <c r="K310" s="42"/>
    </row>
    <row r="311" ht="39.75" customHeight="1">
      <c r="A311" s="1">
        <v>310.0</v>
      </c>
      <c r="B311" s="2" t="s">
        <v>30</v>
      </c>
      <c r="C311" s="2" t="s">
        <v>64</v>
      </c>
      <c r="D311" s="13"/>
      <c r="E311" s="13"/>
      <c r="F311" s="44" t="s">
        <v>2592</v>
      </c>
      <c r="G311" s="43">
        <v>1.0</v>
      </c>
      <c r="H311" s="42"/>
      <c r="I311" s="42"/>
      <c r="J311" s="22"/>
      <c r="K311" s="42"/>
    </row>
    <row r="312" ht="39.75" hidden="1" customHeight="1">
      <c r="A312" s="1">
        <v>311.0</v>
      </c>
      <c r="B312" s="2" t="s">
        <v>31</v>
      </c>
      <c r="C312" s="2" t="s">
        <v>66</v>
      </c>
      <c r="D312" s="13"/>
      <c r="E312" s="13"/>
      <c r="F312" s="45"/>
      <c r="G312" s="42"/>
      <c r="H312" s="42"/>
      <c r="I312" s="42"/>
      <c r="J312" s="22"/>
      <c r="K312" s="42"/>
    </row>
    <row r="313" ht="39.75" customHeight="1">
      <c r="A313" s="1">
        <v>312.0</v>
      </c>
      <c r="B313" s="2" t="s">
        <v>32</v>
      </c>
      <c r="C313" s="2"/>
      <c r="D313" s="13"/>
      <c r="E313" s="13"/>
      <c r="F313" s="44" t="s">
        <v>3057</v>
      </c>
      <c r="G313" s="43">
        <v>1.0</v>
      </c>
      <c r="H313" s="42"/>
      <c r="I313" s="42"/>
      <c r="J313" s="22"/>
      <c r="K313" s="42"/>
    </row>
    <row r="314" ht="39.75" hidden="1" customHeight="1">
      <c r="A314" s="1">
        <v>313.0</v>
      </c>
      <c r="B314" s="2" t="s">
        <v>67</v>
      </c>
      <c r="C314" s="2" t="s">
        <v>58</v>
      </c>
      <c r="D314" s="13"/>
      <c r="E314" s="13"/>
      <c r="F314" s="45"/>
      <c r="G314" s="42"/>
      <c r="H314" s="42"/>
      <c r="I314" s="42"/>
      <c r="J314" s="22"/>
      <c r="K314" s="42"/>
    </row>
    <row r="315" ht="39.75" customHeight="1">
      <c r="A315" s="1">
        <v>314.0</v>
      </c>
      <c r="B315" s="2" t="s">
        <v>35</v>
      </c>
      <c r="C315" s="2" t="s">
        <v>69</v>
      </c>
      <c r="D315" s="13"/>
      <c r="E315" s="13"/>
      <c r="F315" s="44" t="s">
        <v>3058</v>
      </c>
      <c r="G315" s="43">
        <v>2.0</v>
      </c>
      <c r="H315" s="42"/>
      <c r="I315" s="43">
        <v>1.0</v>
      </c>
      <c r="J315" s="22"/>
      <c r="K315" s="42"/>
    </row>
    <row r="316" ht="39.75" customHeight="1">
      <c r="A316" s="1">
        <v>315.0</v>
      </c>
      <c r="B316" s="2" t="s">
        <v>36</v>
      </c>
      <c r="C316" s="2"/>
      <c r="D316" s="53">
        <v>0.3541666666666667</v>
      </c>
      <c r="E316" s="13"/>
      <c r="F316" s="44" t="s">
        <v>3059</v>
      </c>
      <c r="G316" s="43">
        <v>1.0</v>
      </c>
      <c r="H316" s="42"/>
      <c r="I316" s="42"/>
      <c r="J316" s="22"/>
      <c r="K316" s="42"/>
    </row>
    <row r="317" ht="39.75" customHeight="1">
      <c r="A317" s="1">
        <v>316.0</v>
      </c>
      <c r="B317" s="2" t="s">
        <v>38</v>
      </c>
      <c r="C317" s="2" t="s">
        <v>54</v>
      </c>
      <c r="D317" s="53">
        <v>0.3333333333333333</v>
      </c>
      <c r="E317" s="13"/>
      <c r="F317" s="44" t="s">
        <v>3060</v>
      </c>
      <c r="G317" s="43">
        <v>1.0</v>
      </c>
      <c r="H317" s="43">
        <v>1.0</v>
      </c>
      <c r="I317" s="42"/>
      <c r="J317" s="22"/>
      <c r="K317" s="42"/>
    </row>
    <row r="318" ht="39.75" hidden="1" customHeight="1">
      <c r="A318" s="1">
        <v>317.0</v>
      </c>
      <c r="B318" s="2" t="s">
        <v>41</v>
      </c>
      <c r="C318" s="2" t="s">
        <v>58</v>
      </c>
      <c r="D318" s="13"/>
      <c r="E318" s="13"/>
      <c r="F318" s="45"/>
      <c r="G318" s="42"/>
      <c r="H318" s="42"/>
      <c r="I318" s="42"/>
      <c r="J318" s="22"/>
      <c r="K318" s="42"/>
    </row>
    <row r="319" ht="39.75" hidden="1" customHeight="1">
      <c r="A319" s="1">
        <v>318.0</v>
      </c>
      <c r="B319" s="2" t="s">
        <v>42</v>
      </c>
      <c r="C319" s="2" t="s">
        <v>58</v>
      </c>
      <c r="D319" s="13"/>
      <c r="E319" s="13"/>
      <c r="F319" s="45"/>
      <c r="G319" s="42"/>
      <c r="H319" s="42"/>
      <c r="I319" s="42"/>
      <c r="J319" s="22"/>
      <c r="K319" s="42"/>
    </row>
    <row r="320" ht="39.75" customHeight="1">
      <c r="A320" s="1">
        <v>319.0</v>
      </c>
      <c r="B320" s="2" t="s">
        <v>43</v>
      </c>
      <c r="C320" s="2" t="s">
        <v>39</v>
      </c>
      <c r="D320" s="13"/>
      <c r="E320" s="13"/>
      <c r="F320" s="44" t="s">
        <v>3061</v>
      </c>
      <c r="G320" s="43">
        <v>1.0</v>
      </c>
      <c r="H320" s="42"/>
      <c r="I320" s="43">
        <v>1.0</v>
      </c>
      <c r="J320" s="22"/>
      <c r="K320" s="42"/>
    </row>
    <row r="321" ht="39.75" customHeight="1">
      <c r="A321" s="1">
        <v>320.0</v>
      </c>
      <c r="B321" s="2" t="s">
        <v>45</v>
      </c>
      <c r="C321" s="2" t="s">
        <v>54</v>
      </c>
      <c r="D321" s="53">
        <v>0.3333333333333333</v>
      </c>
      <c r="E321" s="13"/>
      <c r="F321" s="44" t="s">
        <v>3062</v>
      </c>
      <c r="G321" s="43">
        <v>1.0</v>
      </c>
      <c r="H321" s="42"/>
      <c r="I321" s="42"/>
      <c r="J321" s="22"/>
      <c r="K321" s="42"/>
    </row>
    <row r="322" ht="39.75" customHeight="1">
      <c r="A322" s="1">
        <v>321.0</v>
      </c>
      <c r="B322" s="2" t="s">
        <v>46</v>
      </c>
      <c r="C322" s="2"/>
      <c r="D322" s="13"/>
      <c r="E322" s="51">
        <v>0.8194444444444444</v>
      </c>
      <c r="F322" s="44" t="s">
        <v>3063</v>
      </c>
      <c r="G322" s="43">
        <v>3.0</v>
      </c>
      <c r="H322" s="42"/>
      <c r="I322" s="43">
        <v>2.0</v>
      </c>
      <c r="J322" s="22"/>
      <c r="K322" s="42"/>
    </row>
    <row r="323" ht="39.75" hidden="1" customHeight="1">
      <c r="A323" s="1">
        <v>322.0</v>
      </c>
      <c r="B323" s="2" t="s">
        <v>47</v>
      </c>
      <c r="C323" s="2" t="s">
        <v>58</v>
      </c>
      <c r="D323" s="13"/>
      <c r="E323" s="13"/>
      <c r="F323" s="45"/>
      <c r="G323" s="42"/>
      <c r="H323" s="42"/>
      <c r="I323" s="42"/>
      <c r="J323" s="22"/>
      <c r="K323" s="42"/>
    </row>
    <row r="324" ht="39.75" hidden="1" customHeight="1">
      <c r="A324" s="1">
        <v>323.0</v>
      </c>
      <c r="B324" s="2" t="s">
        <v>48</v>
      </c>
      <c r="C324" s="2" t="s">
        <v>58</v>
      </c>
      <c r="D324" s="13"/>
      <c r="E324" s="13"/>
      <c r="F324" s="45"/>
      <c r="G324" s="42"/>
      <c r="H324" s="42"/>
      <c r="I324" s="42"/>
      <c r="J324" s="22"/>
      <c r="K324" s="42"/>
    </row>
    <row r="325" ht="39.75" customHeight="1">
      <c r="A325" s="1">
        <v>324.0</v>
      </c>
      <c r="B325" s="21"/>
      <c r="C325" s="21"/>
      <c r="D325" s="21"/>
      <c r="E325" s="21"/>
      <c r="F325" s="46"/>
      <c r="G325" s="47"/>
      <c r="H325" s="47"/>
      <c r="I325" s="47"/>
      <c r="J325" s="48"/>
      <c r="K325" s="47"/>
      <c r="L325" s="49"/>
      <c r="M325" s="49"/>
      <c r="N325" s="49"/>
    </row>
    <row r="326" ht="39.75" customHeight="1">
      <c r="A326" s="1">
        <v>325.0</v>
      </c>
      <c r="B326" s="2" t="s">
        <v>12</v>
      </c>
      <c r="C326" s="2" t="s">
        <v>62</v>
      </c>
      <c r="D326" s="13"/>
      <c r="E326" s="13"/>
      <c r="F326" s="45"/>
      <c r="G326" s="42"/>
      <c r="H326" s="42"/>
      <c r="I326" s="42"/>
      <c r="J326" s="27" t="s">
        <v>2945</v>
      </c>
      <c r="K326" s="42"/>
      <c r="L326" s="15" t="s">
        <v>244</v>
      </c>
    </row>
    <row r="327" ht="39.75" customHeight="1">
      <c r="A327" s="1">
        <v>326.0</v>
      </c>
      <c r="B327" s="2" t="s">
        <v>16</v>
      </c>
      <c r="C327" s="2" t="s">
        <v>27</v>
      </c>
      <c r="D327" s="13"/>
      <c r="E327" s="13"/>
      <c r="F327" s="45"/>
      <c r="G327" s="42"/>
      <c r="H327" s="42"/>
      <c r="I327" s="42"/>
      <c r="J327" s="27" t="s">
        <v>244</v>
      </c>
      <c r="K327" s="43"/>
    </row>
    <row r="328" ht="39.75" customHeight="1">
      <c r="A328" s="1">
        <v>327.0</v>
      </c>
      <c r="B328" s="2" t="s">
        <v>116</v>
      </c>
      <c r="C328" s="2" t="s">
        <v>44</v>
      </c>
      <c r="D328" s="13"/>
      <c r="E328" s="13"/>
      <c r="F328" s="44"/>
      <c r="G328" s="42"/>
      <c r="H328" s="42"/>
      <c r="I328" s="42"/>
      <c r="J328" s="27" t="s">
        <v>95</v>
      </c>
      <c r="K328" s="42"/>
    </row>
    <row r="329" ht="39.75" hidden="1" customHeight="1">
      <c r="A329" s="1">
        <v>328.0</v>
      </c>
      <c r="B329" s="2" t="s">
        <v>17</v>
      </c>
      <c r="C329" s="2" t="s">
        <v>58</v>
      </c>
      <c r="D329" s="13"/>
      <c r="E329" s="13"/>
      <c r="F329" s="44"/>
      <c r="G329" s="42"/>
      <c r="H329" s="42"/>
      <c r="I329" s="42"/>
      <c r="J329" s="22"/>
      <c r="K329" s="42"/>
    </row>
    <row r="330" ht="39.75" customHeight="1">
      <c r="A330" s="1">
        <v>329.0</v>
      </c>
      <c r="B330" s="2" t="s">
        <v>331</v>
      </c>
      <c r="C330" s="2" t="s">
        <v>542</v>
      </c>
      <c r="D330" s="13"/>
      <c r="E330" s="13"/>
      <c r="F330" s="44" t="s">
        <v>3064</v>
      </c>
      <c r="G330" s="43">
        <v>1.0</v>
      </c>
      <c r="H330" s="42"/>
      <c r="I330" s="42"/>
      <c r="J330" s="22"/>
      <c r="K330" s="42"/>
    </row>
    <row r="331" ht="39.75" customHeight="1">
      <c r="A331" s="1">
        <v>330.0</v>
      </c>
      <c r="B331" s="2" t="s">
        <v>21</v>
      </c>
      <c r="C331" s="2"/>
      <c r="D331" s="13"/>
      <c r="E331" s="13"/>
      <c r="F331" s="44" t="s">
        <v>1204</v>
      </c>
      <c r="G331" s="43">
        <v>1.0</v>
      </c>
      <c r="H331" s="42"/>
      <c r="I331" s="43">
        <v>1.0</v>
      </c>
      <c r="J331" s="22"/>
      <c r="K331" s="42"/>
    </row>
    <row r="332" ht="39.75" customHeight="1">
      <c r="A332" s="1">
        <v>331.0</v>
      </c>
      <c r="B332" s="2" t="s">
        <v>22</v>
      </c>
      <c r="C332" s="2"/>
      <c r="D332" s="59">
        <v>0.3819444444444444</v>
      </c>
      <c r="E332" s="13"/>
      <c r="F332" s="44" t="s">
        <v>3065</v>
      </c>
      <c r="G332" s="43">
        <v>1.0</v>
      </c>
      <c r="H332" s="42"/>
      <c r="I332" s="43">
        <v>1.0</v>
      </c>
      <c r="J332" s="22"/>
      <c r="K332" s="42"/>
    </row>
    <row r="333" ht="39.75" customHeight="1">
      <c r="A333" s="1">
        <v>332.0</v>
      </c>
      <c r="B333" s="2" t="s">
        <v>23</v>
      </c>
      <c r="C333" s="2" t="s">
        <v>39</v>
      </c>
      <c r="D333" s="13"/>
      <c r="E333" s="13"/>
      <c r="F333" s="44" t="s">
        <v>3066</v>
      </c>
      <c r="G333" s="43">
        <v>2.0</v>
      </c>
      <c r="H333" s="42"/>
      <c r="I333" s="43">
        <v>2.0</v>
      </c>
      <c r="J333" s="22"/>
      <c r="K333" s="42"/>
    </row>
    <row r="334" ht="39.75" customHeight="1">
      <c r="A334" s="1">
        <v>333.0</v>
      </c>
      <c r="B334" s="2" t="s">
        <v>24</v>
      </c>
      <c r="C334" s="2" t="s">
        <v>63</v>
      </c>
      <c r="D334" s="13"/>
      <c r="E334" s="13"/>
      <c r="F334" s="45"/>
      <c r="G334" s="42"/>
      <c r="H334" s="42"/>
      <c r="I334" s="42"/>
      <c r="J334" s="22"/>
      <c r="K334" s="42"/>
    </row>
    <row r="335" ht="39.75" customHeight="1">
      <c r="A335" s="1">
        <v>334.0</v>
      </c>
      <c r="B335" s="2" t="s">
        <v>25</v>
      </c>
      <c r="C335" s="2" t="s">
        <v>54</v>
      </c>
      <c r="D335" s="13"/>
      <c r="E335" s="13"/>
      <c r="F335" s="44" t="s">
        <v>3067</v>
      </c>
      <c r="G335" s="43">
        <v>1.0</v>
      </c>
      <c r="H335" s="42"/>
      <c r="I335" s="43">
        <v>1.0</v>
      </c>
      <c r="J335" s="22"/>
      <c r="K335" s="42"/>
    </row>
    <row r="336" ht="39.75" customHeight="1">
      <c r="A336" s="1">
        <v>335.0</v>
      </c>
      <c r="B336" s="2" t="s">
        <v>26</v>
      </c>
      <c r="C336" s="2" t="s">
        <v>69</v>
      </c>
      <c r="D336" s="13"/>
      <c r="E336" s="13"/>
      <c r="F336" s="44" t="s">
        <v>2770</v>
      </c>
      <c r="G336" s="43">
        <v>1.0</v>
      </c>
      <c r="H336" s="42"/>
      <c r="I336" s="43">
        <v>1.0</v>
      </c>
      <c r="J336" s="22"/>
      <c r="K336" s="42"/>
    </row>
    <row r="337" ht="39.75" customHeight="1">
      <c r="A337" s="1">
        <v>336.0</v>
      </c>
      <c r="B337" s="2" t="s">
        <v>29</v>
      </c>
      <c r="C337" s="2"/>
      <c r="D337" s="13"/>
      <c r="E337" s="13"/>
      <c r="F337" s="44" t="s">
        <v>3068</v>
      </c>
      <c r="G337" s="43">
        <v>2.0</v>
      </c>
      <c r="H337" s="42"/>
      <c r="I337" s="43">
        <v>1.0</v>
      </c>
      <c r="J337" s="22"/>
      <c r="K337" s="42"/>
    </row>
    <row r="338" ht="39.75" customHeight="1">
      <c r="A338" s="1">
        <v>337.0</v>
      </c>
      <c r="B338" s="2" t="s">
        <v>30</v>
      </c>
      <c r="C338" s="2" t="s">
        <v>64</v>
      </c>
      <c r="D338" s="13"/>
      <c r="E338" s="13"/>
      <c r="F338" s="44" t="s">
        <v>2592</v>
      </c>
      <c r="G338" s="43">
        <v>1.0</v>
      </c>
      <c r="H338" s="42"/>
      <c r="I338" s="43">
        <v>1.0</v>
      </c>
      <c r="J338" s="22"/>
      <c r="K338" s="42"/>
    </row>
    <row r="339" ht="39.75" customHeight="1">
      <c r="A339" s="1">
        <v>338.0</v>
      </c>
      <c r="B339" s="2" t="s">
        <v>31</v>
      </c>
      <c r="C339" s="13"/>
      <c r="D339" s="13"/>
      <c r="E339" s="13"/>
      <c r="F339" s="44" t="s">
        <v>3069</v>
      </c>
      <c r="G339" s="43">
        <v>2.0</v>
      </c>
      <c r="H339" s="42"/>
      <c r="I339" s="43">
        <v>1.0</v>
      </c>
      <c r="J339" s="22"/>
      <c r="K339" s="42"/>
    </row>
    <row r="340" ht="39.75" hidden="1" customHeight="1">
      <c r="A340" s="1">
        <v>339.0</v>
      </c>
      <c r="B340" s="2" t="s">
        <v>32</v>
      </c>
      <c r="C340" s="2" t="s">
        <v>66</v>
      </c>
      <c r="D340" s="13"/>
      <c r="E340" s="13"/>
      <c r="F340" s="45"/>
      <c r="G340" s="42"/>
      <c r="H340" s="42"/>
      <c r="I340" s="42"/>
      <c r="J340" s="22"/>
      <c r="K340" s="42"/>
    </row>
    <row r="341" ht="39.75" hidden="1" customHeight="1">
      <c r="A341" s="1">
        <v>340.0</v>
      </c>
      <c r="B341" s="2" t="s">
        <v>67</v>
      </c>
      <c r="C341" s="2" t="s">
        <v>58</v>
      </c>
      <c r="D341" s="13"/>
      <c r="E341" s="13"/>
      <c r="F341" s="45"/>
      <c r="G341" s="42"/>
      <c r="H341" s="42"/>
      <c r="I341" s="42"/>
      <c r="J341" s="22"/>
      <c r="K341" s="42"/>
    </row>
    <row r="342" ht="39.75" customHeight="1">
      <c r="A342" s="1">
        <v>341.0</v>
      </c>
      <c r="B342" s="2" t="s">
        <v>35</v>
      </c>
      <c r="C342" s="2" t="s">
        <v>39</v>
      </c>
      <c r="D342" s="13"/>
      <c r="E342" s="13"/>
      <c r="F342" s="44" t="s">
        <v>3070</v>
      </c>
      <c r="G342" s="43">
        <v>2.0</v>
      </c>
      <c r="H342" s="42"/>
      <c r="I342" s="43">
        <v>2.0</v>
      </c>
      <c r="J342" s="22"/>
      <c r="K342" s="42"/>
    </row>
    <row r="343" ht="39.75" customHeight="1">
      <c r="A343" s="1">
        <v>342.0</v>
      </c>
      <c r="B343" s="2" t="s">
        <v>36</v>
      </c>
      <c r="C343" s="2" t="s">
        <v>54</v>
      </c>
      <c r="D343" s="13"/>
      <c r="E343" s="51">
        <v>0.8541666666666666</v>
      </c>
      <c r="F343" s="44" t="s">
        <v>3071</v>
      </c>
      <c r="G343" s="43">
        <v>1.0</v>
      </c>
      <c r="H343" s="42"/>
      <c r="I343" s="42"/>
      <c r="J343" s="22"/>
      <c r="K343" s="42"/>
    </row>
    <row r="344" ht="39.75" customHeight="1">
      <c r="A344" s="1">
        <v>343.0</v>
      </c>
      <c r="B344" s="2" t="s">
        <v>38</v>
      </c>
      <c r="C344" s="2" t="s">
        <v>54</v>
      </c>
      <c r="D344" s="13"/>
      <c r="E344" s="13"/>
      <c r="F344" s="44" t="s">
        <v>3060</v>
      </c>
      <c r="G344" s="43">
        <v>1.0</v>
      </c>
      <c r="H344" s="43">
        <v>1.0</v>
      </c>
      <c r="I344" s="42"/>
      <c r="J344" s="22"/>
      <c r="K344" s="42"/>
    </row>
    <row r="345" ht="39.75" hidden="1" customHeight="1">
      <c r="A345" s="1">
        <v>344.0</v>
      </c>
      <c r="B345" s="2" t="s">
        <v>41</v>
      </c>
      <c r="C345" s="2" t="s">
        <v>58</v>
      </c>
      <c r="D345" s="13"/>
      <c r="E345" s="13"/>
      <c r="F345" s="45"/>
      <c r="G345" s="42"/>
      <c r="H345" s="42"/>
      <c r="I345" s="42"/>
      <c r="J345" s="22"/>
      <c r="K345" s="42"/>
    </row>
    <row r="346" ht="39.75" hidden="1" customHeight="1">
      <c r="A346" s="1">
        <v>345.0</v>
      </c>
      <c r="B346" s="2" t="s">
        <v>42</v>
      </c>
      <c r="C346" s="2" t="s">
        <v>58</v>
      </c>
      <c r="D346" s="13"/>
      <c r="E346" s="13"/>
      <c r="F346" s="45"/>
      <c r="G346" s="42"/>
      <c r="H346" s="42"/>
      <c r="I346" s="42"/>
      <c r="J346" s="22"/>
      <c r="K346" s="42"/>
    </row>
    <row r="347" ht="39.75" customHeight="1">
      <c r="A347" s="1">
        <v>346.0</v>
      </c>
      <c r="B347" s="2" t="s">
        <v>43</v>
      </c>
      <c r="C347" s="2" t="s">
        <v>69</v>
      </c>
      <c r="D347" s="13"/>
      <c r="E347" s="13"/>
      <c r="F347" s="44" t="s">
        <v>3072</v>
      </c>
      <c r="G347" s="43">
        <v>1.0</v>
      </c>
      <c r="H347" s="42"/>
      <c r="I347" s="42"/>
      <c r="J347" s="22"/>
      <c r="K347" s="42"/>
    </row>
    <row r="348" ht="39.75" customHeight="1">
      <c r="A348" s="1">
        <v>347.0</v>
      </c>
      <c r="B348" s="2" t="s">
        <v>45</v>
      </c>
      <c r="C348" s="2" t="s">
        <v>54</v>
      </c>
      <c r="D348" s="53">
        <v>0.3333333333333333</v>
      </c>
      <c r="E348" s="13"/>
      <c r="F348" s="44" t="s">
        <v>3073</v>
      </c>
      <c r="G348" s="43">
        <v>1.0</v>
      </c>
      <c r="H348" s="43">
        <v>1.0</v>
      </c>
      <c r="I348" s="42"/>
      <c r="J348" s="22"/>
      <c r="K348" s="42"/>
    </row>
    <row r="349" ht="39.75" customHeight="1">
      <c r="A349" s="1">
        <v>348.0</v>
      </c>
      <c r="B349" s="2" t="s">
        <v>46</v>
      </c>
      <c r="C349" s="2"/>
      <c r="D349" s="13"/>
      <c r="E349" s="13"/>
      <c r="F349" s="44" t="s">
        <v>3074</v>
      </c>
      <c r="G349" s="43">
        <v>1.0</v>
      </c>
      <c r="H349" s="42"/>
      <c r="I349" s="42"/>
      <c r="J349" s="22"/>
      <c r="K349" s="42"/>
    </row>
    <row r="350" ht="39.75" customHeight="1">
      <c r="A350" s="1">
        <v>349.0</v>
      </c>
      <c r="B350" s="2" t="s">
        <v>47</v>
      </c>
      <c r="C350" s="2" t="s">
        <v>69</v>
      </c>
      <c r="D350" s="13"/>
      <c r="E350" s="40">
        <v>0.8541666666666666</v>
      </c>
      <c r="F350" s="44" t="s">
        <v>3075</v>
      </c>
      <c r="G350" s="43">
        <v>2.0</v>
      </c>
      <c r="H350" s="42"/>
      <c r="I350" s="43">
        <v>1.0</v>
      </c>
      <c r="J350" s="22"/>
      <c r="K350" s="42"/>
    </row>
    <row r="351" ht="39.75" hidden="1" customHeight="1">
      <c r="A351" s="1">
        <v>350.0</v>
      </c>
      <c r="B351" s="2" t="s">
        <v>48</v>
      </c>
      <c r="C351" s="2" t="s">
        <v>58</v>
      </c>
      <c r="D351" s="13"/>
      <c r="E351" s="13"/>
      <c r="F351" s="45"/>
      <c r="G351" s="42"/>
      <c r="H351" s="42"/>
      <c r="I351" s="42"/>
      <c r="J351" s="22"/>
      <c r="K351" s="42"/>
    </row>
    <row r="352" ht="39.75" customHeight="1">
      <c r="A352" s="1">
        <v>351.0</v>
      </c>
      <c r="B352" s="21"/>
      <c r="C352" s="21"/>
      <c r="D352" s="21"/>
      <c r="E352" s="21"/>
      <c r="F352" s="46"/>
      <c r="G352" s="47"/>
      <c r="H352" s="47"/>
      <c r="I352" s="47"/>
      <c r="J352" s="48"/>
      <c r="K352" s="47"/>
      <c r="L352" s="49"/>
      <c r="M352" s="49"/>
      <c r="N352" s="49"/>
    </row>
    <row r="353" ht="39.75" customHeight="1">
      <c r="A353" s="1">
        <v>352.0</v>
      </c>
      <c r="B353" s="2" t="s">
        <v>12</v>
      </c>
      <c r="C353" s="2" t="s">
        <v>62</v>
      </c>
      <c r="D353" s="13"/>
      <c r="E353" s="13"/>
      <c r="F353" s="44" t="s">
        <v>1543</v>
      </c>
      <c r="G353" s="43">
        <v>1.0</v>
      </c>
      <c r="H353" s="43"/>
      <c r="I353" s="43">
        <v>1.0</v>
      </c>
      <c r="J353" s="27" t="s">
        <v>2945</v>
      </c>
      <c r="K353" s="42"/>
      <c r="L353" s="15" t="s">
        <v>260</v>
      </c>
    </row>
    <row r="354" ht="39.75" customHeight="1">
      <c r="A354" s="1">
        <v>353.0</v>
      </c>
      <c r="B354" s="2" t="s">
        <v>16</v>
      </c>
      <c r="C354" s="2" t="s">
        <v>44</v>
      </c>
      <c r="D354" s="13"/>
      <c r="E354" s="13"/>
      <c r="F354" s="52" t="s">
        <v>3076</v>
      </c>
      <c r="G354" s="42"/>
      <c r="H354" s="42"/>
      <c r="I354" s="42"/>
      <c r="J354" s="27" t="s">
        <v>260</v>
      </c>
      <c r="K354" s="43"/>
    </row>
    <row r="355" ht="39.75" customHeight="1">
      <c r="A355" s="1">
        <v>354.0</v>
      </c>
      <c r="B355" s="2" t="s">
        <v>116</v>
      </c>
      <c r="C355" s="2"/>
      <c r="D355" s="13"/>
      <c r="E355" s="13"/>
      <c r="F355" s="44" t="s">
        <v>3077</v>
      </c>
      <c r="G355" s="43">
        <v>1.0</v>
      </c>
      <c r="H355" s="42"/>
      <c r="I355" s="43">
        <v>1.0</v>
      </c>
      <c r="J355" s="27" t="s">
        <v>111</v>
      </c>
      <c r="K355" s="42"/>
    </row>
    <row r="356" ht="39.75" customHeight="1">
      <c r="A356" s="1">
        <v>355.0</v>
      </c>
      <c r="B356" s="2" t="s">
        <v>17</v>
      </c>
      <c r="C356" s="2" t="s">
        <v>39</v>
      </c>
      <c r="D356" s="53">
        <v>0.2708333333333333</v>
      </c>
      <c r="E356" s="13"/>
      <c r="F356" s="44" t="s">
        <v>3078</v>
      </c>
      <c r="G356" s="43">
        <v>1.0</v>
      </c>
      <c r="H356" s="42"/>
      <c r="I356" s="42"/>
      <c r="J356" s="22"/>
      <c r="K356" s="42"/>
    </row>
    <row r="357" ht="39.75" hidden="1" customHeight="1">
      <c r="A357" s="1">
        <v>356.0</v>
      </c>
      <c r="B357" s="2" t="s">
        <v>331</v>
      </c>
      <c r="C357" s="2" t="s">
        <v>58</v>
      </c>
      <c r="D357" s="13"/>
      <c r="E357" s="13"/>
      <c r="F357" s="45"/>
      <c r="G357" s="42"/>
      <c r="H357" s="42"/>
      <c r="I357" s="42"/>
      <c r="J357" s="22"/>
      <c r="K357" s="42"/>
    </row>
    <row r="358" ht="39.75" customHeight="1">
      <c r="A358" s="1">
        <v>357.0</v>
      </c>
      <c r="B358" s="2" t="s">
        <v>21</v>
      </c>
      <c r="C358" s="2"/>
      <c r="D358" s="13"/>
      <c r="E358" s="13"/>
      <c r="F358" s="44" t="s">
        <v>3079</v>
      </c>
      <c r="G358" s="42"/>
      <c r="H358" s="42"/>
      <c r="I358" s="42"/>
      <c r="J358" s="22"/>
      <c r="K358" s="42"/>
    </row>
    <row r="359" ht="39.75" customHeight="1">
      <c r="A359" s="1">
        <v>358.0</v>
      </c>
      <c r="B359" s="2" t="s">
        <v>22</v>
      </c>
      <c r="C359" s="2" t="s">
        <v>27</v>
      </c>
      <c r="D359" s="13"/>
      <c r="E359" s="13"/>
      <c r="F359" s="44" t="s">
        <v>3080</v>
      </c>
      <c r="G359" s="43">
        <v>2.0</v>
      </c>
      <c r="H359" s="42"/>
      <c r="I359" s="43">
        <v>2.0</v>
      </c>
      <c r="J359" s="22"/>
      <c r="K359" s="42"/>
    </row>
    <row r="360" ht="39.75" customHeight="1">
      <c r="A360" s="1">
        <v>359.0</v>
      </c>
      <c r="B360" s="2" t="s">
        <v>23</v>
      </c>
      <c r="C360" s="13"/>
      <c r="D360" s="53">
        <v>0.2708333333333333</v>
      </c>
      <c r="E360" s="13"/>
      <c r="F360" s="44" t="s">
        <v>3081</v>
      </c>
      <c r="G360" s="42"/>
      <c r="H360" s="42"/>
      <c r="I360" s="42"/>
      <c r="J360" s="22"/>
      <c r="K360" s="42"/>
    </row>
    <row r="361" ht="39.75" customHeight="1">
      <c r="A361" s="1">
        <v>360.0</v>
      </c>
      <c r="B361" s="2" t="s">
        <v>24</v>
      </c>
      <c r="C361" s="2" t="s">
        <v>63</v>
      </c>
      <c r="D361" s="13"/>
      <c r="E361" s="13"/>
      <c r="F361" s="45"/>
      <c r="G361" s="42"/>
      <c r="H361" s="42"/>
      <c r="I361" s="42"/>
      <c r="J361" s="22"/>
      <c r="K361" s="42"/>
    </row>
    <row r="362" ht="39.75" customHeight="1">
      <c r="A362" s="1">
        <v>361.0</v>
      </c>
      <c r="B362" s="2" t="s">
        <v>25</v>
      </c>
      <c r="C362" s="2" t="s">
        <v>54</v>
      </c>
      <c r="D362" s="13"/>
      <c r="E362" s="13"/>
      <c r="F362" s="44" t="s">
        <v>3082</v>
      </c>
      <c r="G362" s="43">
        <v>1.0</v>
      </c>
      <c r="H362" s="42"/>
      <c r="I362" s="42"/>
      <c r="J362" s="22"/>
      <c r="K362" s="42"/>
    </row>
    <row r="363" ht="39.75" hidden="1" customHeight="1">
      <c r="A363" s="1">
        <v>362.0</v>
      </c>
      <c r="B363" s="2" t="s">
        <v>26</v>
      </c>
      <c r="C363" s="2" t="s">
        <v>58</v>
      </c>
      <c r="D363" s="13"/>
      <c r="E363" s="13"/>
      <c r="F363" s="45"/>
      <c r="G363" s="42"/>
      <c r="H363" s="42"/>
      <c r="I363" s="42"/>
      <c r="J363" s="22"/>
      <c r="K363" s="42"/>
    </row>
    <row r="364" ht="39.75" customHeight="1">
      <c r="A364" s="1">
        <v>363.0</v>
      </c>
      <c r="B364" s="2" t="s">
        <v>29</v>
      </c>
      <c r="C364" s="2"/>
      <c r="D364" s="13"/>
      <c r="E364" s="13"/>
      <c r="F364" s="44" t="s">
        <v>3083</v>
      </c>
      <c r="G364" s="42"/>
      <c r="H364" s="42"/>
      <c r="I364" s="42"/>
      <c r="J364" s="22"/>
      <c r="K364" s="42"/>
    </row>
    <row r="365" ht="39.75" customHeight="1">
      <c r="A365" s="1">
        <v>364.0</v>
      </c>
      <c r="B365" s="2" t="s">
        <v>30</v>
      </c>
      <c r="C365" s="2" t="s">
        <v>64</v>
      </c>
      <c r="D365" s="13"/>
      <c r="E365" s="13"/>
      <c r="F365" s="44" t="s">
        <v>3084</v>
      </c>
      <c r="G365" s="42"/>
      <c r="H365" s="42"/>
      <c r="I365" s="42"/>
      <c r="J365" s="22"/>
      <c r="K365" s="42"/>
    </row>
    <row r="366" ht="39.75" customHeight="1">
      <c r="A366" s="1">
        <v>365.0</v>
      </c>
      <c r="B366" s="2" t="s">
        <v>31</v>
      </c>
      <c r="C366" s="2" t="s">
        <v>39</v>
      </c>
      <c r="D366" s="13"/>
      <c r="E366" s="13"/>
      <c r="F366" s="44" t="s">
        <v>3085</v>
      </c>
      <c r="G366" s="43">
        <v>1.0</v>
      </c>
      <c r="H366" s="42"/>
      <c r="I366" s="43">
        <v>1.0</v>
      </c>
      <c r="J366" s="22"/>
      <c r="K366" s="42"/>
    </row>
    <row r="367" ht="39.75" customHeight="1">
      <c r="A367" s="1">
        <v>366.0</v>
      </c>
      <c r="B367" s="2" t="s">
        <v>32</v>
      </c>
      <c r="C367" s="2" t="s">
        <v>69</v>
      </c>
      <c r="D367" s="13"/>
      <c r="E367" s="40">
        <v>0.8125</v>
      </c>
      <c r="F367" s="44" t="s">
        <v>3086</v>
      </c>
      <c r="G367" s="43">
        <v>2.0</v>
      </c>
      <c r="H367" s="42"/>
      <c r="I367" s="42"/>
      <c r="J367" s="22"/>
      <c r="K367" s="42"/>
    </row>
    <row r="368" ht="39.75" hidden="1" customHeight="1">
      <c r="A368" s="1">
        <v>367.0</v>
      </c>
      <c r="B368" s="2" t="s">
        <v>67</v>
      </c>
      <c r="C368" s="2" t="s">
        <v>58</v>
      </c>
      <c r="D368" s="13"/>
      <c r="E368" s="13"/>
      <c r="F368" s="45"/>
      <c r="G368" s="42"/>
      <c r="H368" s="42"/>
      <c r="I368" s="42"/>
      <c r="J368" s="22"/>
      <c r="K368" s="42"/>
    </row>
    <row r="369" ht="39.75" customHeight="1">
      <c r="A369" s="1">
        <v>368.0</v>
      </c>
      <c r="B369" s="2" t="s">
        <v>35</v>
      </c>
      <c r="C369" s="2" t="s">
        <v>69</v>
      </c>
      <c r="D369" s="13"/>
      <c r="E369" s="13"/>
      <c r="F369" s="83" t="s">
        <v>3087</v>
      </c>
      <c r="G369" s="43">
        <v>1.0</v>
      </c>
      <c r="H369" s="42"/>
      <c r="I369" s="43">
        <v>1.0</v>
      </c>
      <c r="J369" s="22"/>
      <c r="K369" s="42"/>
    </row>
    <row r="370" ht="39.75" customHeight="1">
      <c r="A370" s="1">
        <v>369.0</v>
      </c>
      <c r="B370" s="2" t="s">
        <v>36</v>
      </c>
      <c r="C370" s="2" t="s">
        <v>54</v>
      </c>
      <c r="D370" s="53">
        <v>0.375</v>
      </c>
      <c r="E370" s="13"/>
      <c r="F370" s="75" t="s">
        <v>3088</v>
      </c>
      <c r="G370" s="43">
        <v>1.0</v>
      </c>
      <c r="H370" s="42"/>
      <c r="I370" s="42"/>
      <c r="J370" s="22"/>
      <c r="K370" s="42"/>
    </row>
    <row r="371" ht="39.75" customHeight="1">
      <c r="A371" s="1">
        <v>370.0</v>
      </c>
      <c r="B371" s="2" t="s">
        <v>38</v>
      </c>
      <c r="C371" s="2" t="s">
        <v>54</v>
      </c>
      <c r="D371" s="53">
        <v>0.3333333333333333</v>
      </c>
      <c r="E371" s="13"/>
      <c r="F371" s="44" t="s">
        <v>3089</v>
      </c>
      <c r="G371" s="43">
        <v>2.0</v>
      </c>
      <c r="H371" s="42"/>
      <c r="I371" s="43">
        <v>1.0</v>
      </c>
      <c r="J371" s="22"/>
      <c r="K371" s="42"/>
    </row>
    <row r="372" ht="39.75" hidden="1" customHeight="1">
      <c r="A372" s="1">
        <v>371.0</v>
      </c>
      <c r="B372" s="2" t="s">
        <v>41</v>
      </c>
      <c r="C372" s="2" t="s">
        <v>58</v>
      </c>
      <c r="D372" s="13"/>
      <c r="E372" s="13"/>
      <c r="F372" s="45"/>
      <c r="G372" s="42"/>
      <c r="H372" s="42"/>
      <c r="I372" s="42"/>
      <c r="J372" s="22"/>
      <c r="K372" s="42"/>
    </row>
    <row r="373" ht="39.75" hidden="1" customHeight="1">
      <c r="A373" s="1">
        <v>372.0</v>
      </c>
      <c r="B373" s="2" t="s">
        <v>42</v>
      </c>
      <c r="C373" s="2" t="s">
        <v>58</v>
      </c>
      <c r="D373" s="13"/>
      <c r="E373" s="13"/>
      <c r="F373" s="45"/>
      <c r="G373" s="42"/>
      <c r="H373" s="42"/>
      <c r="I373" s="42"/>
      <c r="J373" s="22"/>
      <c r="K373" s="42"/>
    </row>
    <row r="374" ht="39.75" customHeight="1">
      <c r="A374" s="1">
        <v>373.0</v>
      </c>
      <c r="B374" s="2" t="s">
        <v>43</v>
      </c>
      <c r="C374" s="2" t="s">
        <v>69</v>
      </c>
      <c r="D374" s="13"/>
      <c r="E374" s="13"/>
      <c r="F374" s="44" t="s">
        <v>3090</v>
      </c>
      <c r="G374" s="43">
        <v>2.0</v>
      </c>
      <c r="H374" s="42"/>
      <c r="I374" s="43">
        <v>2.0</v>
      </c>
      <c r="J374" s="22"/>
      <c r="K374" s="42"/>
    </row>
    <row r="375" ht="39.75" customHeight="1">
      <c r="A375" s="1">
        <v>374.0</v>
      </c>
      <c r="B375" s="2" t="s">
        <v>45</v>
      </c>
      <c r="C375" s="2" t="s">
        <v>54</v>
      </c>
      <c r="D375" s="13"/>
      <c r="E375" s="51">
        <v>0.8541666666666666</v>
      </c>
      <c r="F375" s="44" t="s">
        <v>3091</v>
      </c>
      <c r="G375" s="43">
        <v>1.0</v>
      </c>
      <c r="H375" s="43">
        <v>1.0</v>
      </c>
      <c r="I375" s="43">
        <v>1.0</v>
      </c>
      <c r="J375" s="22"/>
      <c r="K375" s="42"/>
    </row>
    <row r="376" ht="39.75" customHeight="1">
      <c r="A376" s="1">
        <v>375.0</v>
      </c>
      <c r="B376" s="2" t="s">
        <v>46</v>
      </c>
      <c r="C376" s="2" t="s">
        <v>3092</v>
      </c>
      <c r="D376" s="13"/>
      <c r="E376" s="40">
        <v>0.5833333333333334</v>
      </c>
      <c r="F376" s="44" t="s">
        <v>3093</v>
      </c>
      <c r="G376" s="43">
        <v>1.0</v>
      </c>
      <c r="H376" s="42"/>
      <c r="I376" s="42"/>
      <c r="J376" s="22"/>
      <c r="K376" s="42"/>
    </row>
    <row r="377" ht="39.75" hidden="1" customHeight="1">
      <c r="A377" s="1">
        <v>376.0</v>
      </c>
      <c r="B377" s="2" t="s">
        <v>47</v>
      </c>
      <c r="C377" s="2" t="s">
        <v>58</v>
      </c>
      <c r="D377" s="13"/>
      <c r="E377" s="13"/>
      <c r="F377" s="45"/>
      <c r="G377" s="42"/>
      <c r="H377" s="42"/>
      <c r="I377" s="42"/>
      <c r="J377" s="22"/>
      <c r="K377" s="42"/>
    </row>
    <row r="378" ht="39.75" hidden="1" customHeight="1">
      <c r="A378" s="1">
        <v>377.0</v>
      </c>
      <c r="B378" s="2" t="s">
        <v>48</v>
      </c>
      <c r="C378" s="2" t="s">
        <v>66</v>
      </c>
      <c r="D378" s="13"/>
      <c r="E378" s="13"/>
      <c r="F378" s="45"/>
      <c r="G378" s="42"/>
      <c r="H378" s="42"/>
      <c r="I378" s="42"/>
      <c r="J378" s="22"/>
      <c r="K378" s="42"/>
    </row>
    <row r="379" ht="39.75" customHeight="1">
      <c r="A379" s="1">
        <v>378.0</v>
      </c>
      <c r="B379" s="21"/>
      <c r="C379" s="21"/>
      <c r="D379" s="21"/>
      <c r="E379" s="21"/>
      <c r="F379" s="46"/>
      <c r="G379" s="47"/>
      <c r="H379" s="47"/>
      <c r="I379" s="47"/>
      <c r="J379" s="48"/>
      <c r="K379" s="47"/>
      <c r="L379" s="49"/>
      <c r="M379" s="49"/>
      <c r="N379" s="49"/>
    </row>
    <row r="380" ht="39.75" customHeight="1">
      <c r="A380" s="1">
        <v>379.0</v>
      </c>
      <c r="B380" s="2" t="s">
        <v>12</v>
      </c>
      <c r="C380" s="2" t="s">
        <v>39</v>
      </c>
      <c r="D380" s="13"/>
      <c r="E380" s="13"/>
      <c r="F380" s="44" t="s">
        <v>3094</v>
      </c>
      <c r="G380" s="43">
        <v>1.0</v>
      </c>
      <c r="H380" s="42"/>
      <c r="I380" s="42"/>
      <c r="J380" s="27" t="s">
        <v>2945</v>
      </c>
      <c r="K380" s="42"/>
      <c r="L380" s="15" t="s">
        <v>269</v>
      </c>
    </row>
    <row r="381" ht="39.75" hidden="1" customHeight="1">
      <c r="A381" s="1">
        <v>380.0</v>
      </c>
      <c r="B381" s="2" t="s">
        <v>16</v>
      </c>
      <c r="C381" s="2" t="s">
        <v>13</v>
      </c>
      <c r="D381" s="13"/>
      <c r="E381" s="13"/>
      <c r="F381" s="45"/>
      <c r="G381" s="42"/>
      <c r="H381" s="42"/>
      <c r="I381" s="42"/>
      <c r="J381" s="27" t="s">
        <v>269</v>
      </c>
      <c r="K381" s="43"/>
    </row>
    <row r="382" ht="39.75" hidden="1" customHeight="1">
      <c r="A382" s="1">
        <v>381.0</v>
      </c>
      <c r="B382" s="2" t="s">
        <v>116</v>
      </c>
      <c r="C382" s="2" t="s">
        <v>13</v>
      </c>
      <c r="D382" s="13"/>
      <c r="E382" s="13"/>
      <c r="F382" s="45"/>
      <c r="G382" s="42"/>
      <c r="H382" s="42"/>
      <c r="I382" s="42"/>
      <c r="J382" s="27" t="s">
        <v>131</v>
      </c>
      <c r="K382" s="42"/>
    </row>
    <row r="383" ht="39.75" customHeight="1">
      <c r="A383" s="1">
        <v>382.0</v>
      </c>
      <c r="B383" s="2" t="s">
        <v>17</v>
      </c>
      <c r="C383" s="2" t="s">
        <v>69</v>
      </c>
      <c r="D383" s="40"/>
      <c r="E383" s="13"/>
      <c r="F383" s="44"/>
      <c r="G383" s="42"/>
      <c r="H383" s="42"/>
      <c r="I383" s="42"/>
      <c r="J383" s="27" t="s">
        <v>165</v>
      </c>
      <c r="K383" s="42"/>
    </row>
    <row r="384" ht="39.75" hidden="1" customHeight="1">
      <c r="A384" s="1">
        <v>383.0</v>
      </c>
      <c r="B384" s="2" t="s">
        <v>331</v>
      </c>
      <c r="C384" s="2" t="s">
        <v>13</v>
      </c>
      <c r="D384" s="40"/>
      <c r="E384" s="13"/>
      <c r="F384" s="44"/>
      <c r="G384" s="42"/>
      <c r="H384" s="42"/>
      <c r="I384" s="42"/>
      <c r="J384" s="27" t="s">
        <v>166</v>
      </c>
      <c r="K384" s="42"/>
    </row>
    <row r="385" ht="39.75" hidden="1" customHeight="1">
      <c r="A385" s="1">
        <v>384.0</v>
      </c>
      <c r="B385" s="2" t="s">
        <v>21</v>
      </c>
      <c r="C385" s="2" t="s">
        <v>13</v>
      </c>
      <c r="D385" s="13"/>
      <c r="E385" s="13"/>
      <c r="F385" s="45"/>
      <c r="G385" s="42"/>
      <c r="H385" s="42"/>
      <c r="I385" s="42"/>
      <c r="J385" s="27" t="s">
        <v>167</v>
      </c>
      <c r="K385" s="42"/>
    </row>
    <row r="386" ht="39.75" customHeight="1">
      <c r="A386" s="1">
        <v>385.0</v>
      </c>
      <c r="B386" s="2" t="s">
        <v>22</v>
      </c>
      <c r="C386" s="2" t="s">
        <v>44</v>
      </c>
      <c r="D386" s="13"/>
      <c r="E386" s="13"/>
      <c r="F386" s="52" t="s">
        <v>3095</v>
      </c>
      <c r="G386" s="42"/>
      <c r="H386" s="42"/>
      <c r="I386" s="42"/>
      <c r="J386" s="27"/>
      <c r="K386" s="42"/>
    </row>
    <row r="387" ht="39.75" customHeight="1">
      <c r="A387" s="1">
        <v>386.0</v>
      </c>
      <c r="B387" s="2" t="s">
        <v>23</v>
      </c>
      <c r="C387" s="13"/>
      <c r="D387" s="40">
        <v>0.375</v>
      </c>
      <c r="E387" s="13"/>
      <c r="F387" s="44" t="s">
        <v>3096</v>
      </c>
      <c r="G387" s="43">
        <v>1.0</v>
      </c>
      <c r="H387" s="42"/>
      <c r="I387" s="42"/>
      <c r="J387" s="27"/>
      <c r="K387" s="42"/>
    </row>
    <row r="388" ht="39.75" customHeight="1">
      <c r="A388" s="1">
        <v>387.0</v>
      </c>
      <c r="B388" s="2" t="s">
        <v>24</v>
      </c>
      <c r="C388" s="2" t="s">
        <v>63</v>
      </c>
      <c r="D388" s="13"/>
      <c r="E388" s="13"/>
      <c r="F388" s="45"/>
      <c r="G388" s="42"/>
      <c r="H388" s="42"/>
      <c r="I388" s="42"/>
      <c r="J388" s="22"/>
      <c r="K388" s="42"/>
    </row>
    <row r="389" ht="39.75" customHeight="1">
      <c r="A389" s="1">
        <v>388.0</v>
      </c>
      <c r="B389" s="2" t="s">
        <v>25</v>
      </c>
      <c r="C389" s="2"/>
      <c r="D389" s="40">
        <v>0.375</v>
      </c>
      <c r="E389" s="13"/>
      <c r="F389" s="44" t="s">
        <v>3097</v>
      </c>
      <c r="G389" s="43">
        <v>1.0</v>
      </c>
      <c r="H389" s="42"/>
      <c r="I389" s="42"/>
      <c r="J389" s="22"/>
      <c r="K389" s="42"/>
    </row>
    <row r="390" ht="39.75" hidden="1" customHeight="1">
      <c r="A390" s="1">
        <v>389.0</v>
      </c>
      <c r="B390" s="2" t="s">
        <v>26</v>
      </c>
      <c r="C390" s="2" t="s">
        <v>13</v>
      </c>
      <c r="D390" s="13"/>
      <c r="E390" s="13"/>
      <c r="F390" s="45"/>
      <c r="G390" s="42"/>
      <c r="H390" s="42"/>
      <c r="I390" s="42"/>
      <c r="J390" s="22"/>
      <c r="K390" s="42"/>
    </row>
    <row r="391" ht="39.75" customHeight="1">
      <c r="A391" s="1">
        <v>390.0</v>
      </c>
      <c r="B391" s="2" t="s">
        <v>29</v>
      </c>
      <c r="C391" s="2" t="s">
        <v>69</v>
      </c>
      <c r="D391" s="13"/>
      <c r="E391" s="13"/>
      <c r="F391" s="44" t="s">
        <v>3098</v>
      </c>
      <c r="G391" s="43">
        <v>1.0</v>
      </c>
      <c r="H391" s="42"/>
      <c r="I391" s="42"/>
      <c r="J391" s="22"/>
      <c r="K391" s="42"/>
    </row>
    <row r="392" ht="39.75" hidden="1" customHeight="1">
      <c r="A392" s="1">
        <v>391.0</v>
      </c>
      <c r="B392" s="2" t="s">
        <v>30</v>
      </c>
      <c r="C392" s="2" t="s">
        <v>13</v>
      </c>
      <c r="D392" s="13"/>
      <c r="E392" s="13"/>
      <c r="F392" s="45"/>
      <c r="G392" s="42"/>
      <c r="H392" s="42"/>
      <c r="I392" s="42"/>
      <c r="J392" s="22"/>
      <c r="K392" s="42"/>
    </row>
    <row r="393" ht="39.75" customHeight="1">
      <c r="A393" s="1">
        <v>392.0</v>
      </c>
      <c r="B393" s="2" t="s">
        <v>31</v>
      </c>
      <c r="C393" s="2" t="s">
        <v>27</v>
      </c>
      <c r="D393" s="13"/>
      <c r="E393" s="13"/>
      <c r="F393" s="44" t="s">
        <v>3099</v>
      </c>
      <c r="G393" s="43">
        <v>2.0</v>
      </c>
      <c r="H393" s="42"/>
      <c r="I393" s="43">
        <v>1.0</v>
      </c>
      <c r="J393" s="22"/>
      <c r="K393" s="42"/>
    </row>
    <row r="394" ht="39.75" customHeight="1">
      <c r="A394" s="1">
        <v>393.0</v>
      </c>
      <c r="B394" s="2" t="s">
        <v>32</v>
      </c>
      <c r="C394" s="2" t="s">
        <v>54</v>
      </c>
      <c r="D394" s="13"/>
      <c r="E394" s="13"/>
      <c r="F394" s="44" t="s">
        <v>3100</v>
      </c>
      <c r="G394" s="43">
        <v>1.0</v>
      </c>
      <c r="H394" s="42"/>
      <c r="I394" s="43">
        <v>1.0</v>
      </c>
      <c r="J394" s="22"/>
      <c r="K394" s="42"/>
    </row>
    <row r="395" ht="39.75" hidden="1" customHeight="1">
      <c r="A395" s="1">
        <v>394.0</v>
      </c>
      <c r="B395" s="2" t="s">
        <v>67</v>
      </c>
      <c r="C395" s="2" t="s">
        <v>13</v>
      </c>
      <c r="D395" s="13"/>
      <c r="E395" s="13"/>
      <c r="F395" s="45"/>
      <c r="G395" s="42"/>
      <c r="H395" s="42"/>
      <c r="I395" s="42"/>
      <c r="J395" s="22"/>
      <c r="K395" s="42"/>
    </row>
    <row r="396" ht="39.75" customHeight="1">
      <c r="A396" s="1">
        <v>395.0</v>
      </c>
      <c r="B396" s="2" t="s">
        <v>35</v>
      </c>
      <c r="C396" s="2"/>
      <c r="D396" s="40">
        <v>0.375</v>
      </c>
      <c r="E396" s="13"/>
      <c r="F396" s="44" t="s">
        <v>3101</v>
      </c>
      <c r="G396" s="43">
        <v>1.0</v>
      </c>
      <c r="H396" s="42"/>
      <c r="I396" s="42"/>
      <c r="J396" s="22"/>
      <c r="K396" s="42"/>
    </row>
    <row r="397" ht="39.75" customHeight="1">
      <c r="A397" s="1">
        <v>396.0</v>
      </c>
      <c r="B397" s="2" t="s">
        <v>36</v>
      </c>
      <c r="C397" s="2" t="s">
        <v>54</v>
      </c>
      <c r="D397" s="13"/>
      <c r="E397" s="13"/>
      <c r="F397" s="44" t="s">
        <v>3102</v>
      </c>
      <c r="G397" s="43">
        <v>1.0</v>
      </c>
      <c r="H397" s="42"/>
      <c r="I397" s="43">
        <v>1.0</v>
      </c>
      <c r="J397" s="22"/>
      <c r="K397" s="42"/>
    </row>
    <row r="398" ht="39.75" hidden="1" customHeight="1">
      <c r="A398" s="1">
        <v>397.0</v>
      </c>
      <c r="B398" s="2" t="s">
        <v>38</v>
      </c>
      <c r="C398" s="2" t="s">
        <v>13</v>
      </c>
      <c r="D398" s="13"/>
      <c r="E398" s="13"/>
      <c r="F398" s="45"/>
      <c r="G398" s="42"/>
      <c r="H398" s="42"/>
      <c r="I398" s="42"/>
      <c r="J398" s="22"/>
      <c r="K398" s="42"/>
    </row>
    <row r="399" ht="39.75" hidden="1" customHeight="1">
      <c r="A399" s="1">
        <v>398.0</v>
      </c>
      <c r="B399" s="2" t="s">
        <v>41</v>
      </c>
      <c r="C399" s="2" t="s">
        <v>13</v>
      </c>
      <c r="D399" s="13"/>
      <c r="E399" s="13"/>
      <c r="F399" s="45"/>
      <c r="G399" s="42"/>
      <c r="H399" s="42"/>
      <c r="I399" s="42"/>
      <c r="J399" s="22"/>
      <c r="K399" s="42"/>
    </row>
    <row r="400" ht="39.75" hidden="1" customHeight="1">
      <c r="A400" s="1">
        <v>399.0</v>
      </c>
      <c r="B400" s="2" t="s">
        <v>42</v>
      </c>
      <c r="C400" s="2" t="s">
        <v>13</v>
      </c>
      <c r="D400" s="13"/>
      <c r="E400" s="13"/>
      <c r="F400" s="45"/>
      <c r="G400" s="42"/>
      <c r="H400" s="42"/>
      <c r="I400" s="42"/>
      <c r="J400" s="22"/>
      <c r="K400" s="42"/>
    </row>
    <row r="401" ht="39.75" customHeight="1">
      <c r="A401" s="1">
        <v>400.0</v>
      </c>
      <c r="B401" s="2" t="s">
        <v>43</v>
      </c>
      <c r="C401" s="2" t="s">
        <v>54</v>
      </c>
      <c r="D401" s="13"/>
      <c r="E401" s="13"/>
      <c r="F401" s="44" t="s">
        <v>3103</v>
      </c>
      <c r="G401" s="43">
        <v>1.0</v>
      </c>
      <c r="H401" s="42"/>
      <c r="I401" s="42"/>
      <c r="J401" s="22"/>
      <c r="K401" s="42"/>
    </row>
    <row r="402" ht="39.75" customHeight="1">
      <c r="A402" s="1">
        <v>401.0</v>
      </c>
      <c r="B402" s="2" t="s">
        <v>45</v>
      </c>
      <c r="C402" s="2" t="s">
        <v>69</v>
      </c>
      <c r="D402" s="13"/>
      <c r="E402" s="13"/>
      <c r="F402" s="45"/>
      <c r="G402" s="42"/>
      <c r="H402" s="42"/>
      <c r="I402" s="42"/>
      <c r="J402" s="22"/>
      <c r="K402" s="42"/>
    </row>
    <row r="403" ht="39.75" hidden="1" customHeight="1">
      <c r="A403" s="1">
        <v>402.0</v>
      </c>
      <c r="B403" s="2" t="s">
        <v>46</v>
      </c>
      <c r="C403" s="2" t="s">
        <v>13</v>
      </c>
      <c r="D403" s="13"/>
      <c r="E403" s="13"/>
      <c r="F403" s="45"/>
      <c r="G403" s="42"/>
      <c r="H403" s="42"/>
      <c r="I403" s="42"/>
      <c r="J403" s="22"/>
      <c r="K403" s="42"/>
    </row>
    <row r="404" ht="39.75" hidden="1" customHeight="1">
      <c r="A404" s="1">
        <v>403.0</v>
      </c>
      <c r="B404" s="2" t="s">
        <v>47</v>
      </c>
      <c r="C404" s="2" t="s">
        <v>13</v>
      </c>
      <c r="D404" s="13"/>
      <c r="E404" s="13"/>
      <c r="F404" s="45"/>
      <c r="G404" s="42"/>
      <c r="H404" s="42"/>
      <c r="I404" s="42"/>
      <c r="J404" s="22"/>
      <c r="K404" s="42"/>
    </row>
    <row r="405" ht="39.75" customHeight="1">
      <c r="A405" s="1">
        <v>404.0</v>
      </c>
      <c r="B405" s="2" t="s">
        <v>48</v>
      </c>
      <c r="C405" s="2"/>
      <c r="D405" s="40">
        <v>0.375</v>
      </c>
      <c r="E405" s="13"/>
      <c r="F405" s="44" t="s">
        <v>3104</v>
      </c>
      <c r="G405" s="43">
        <v>1.0</v>
      </c>
      <c r="H405" s="42"/>
      <c r="I405" s="43">
        <v>1.0</v>
      </c>
      <c r="J405" s="22"/>
      <c r="K405" s="42"/>
    </row>
    <row r="406" ht="39.75" customHeight="1">
      <c r="A406" s="1">
        <v>405.0</v>
      </c>
      <c r="B406" s="21"/>
      <c r="C406" s="21"/>
      <c r="D406" s="21"/>
      <c r="E406" s="21"/>
      <c r="F406" s="46"/>
      <c r="G406" s="47"/>
      <c r="H406" s="47"/>
      <c r="I406" s="47"/>
      <c r="J406" s="48"/>
      <c r="K406" s="47"/>
      <c r="L406" s="49"/>
      <c r="M406" s="49"/>
      <c r="N406" s="49"/>
    </row>
    <row r="407" ht="39.75" customHeight="1">
      <c r="A407" s="1">
        <v>406.0</v>
      </c>
      <c r="B407" s="2" t="s">
        <v>268</v>
      </c>
      <c r="C407" s="2" t="s">
        <v>63</v>
      </c>
      <c r="D407" s="40"/>
      <c r="E407" s="40"/>
      <c r="F407" s="45"/>
      <c r="G407" s="42"/>
      <c r="H407" s="42"/>
      <c r="I407" s="42"/>
      <c r="J407" s="27" t="s">
        <v>2945</v>
      </c>
      <c r="K407" s="42"/>
      <c r="L407" s="15" t="s">
        <v>274</v>
      </c>
    </row>
    <row r="408" ht="39.75" customHeight="1">
      <c r="A408" s="1">
        <v>407.0</v>
      </c>
      <c r="B408" s="2" t="s">
        <v>16</v>
      </c>
      <c r="C408" s="2" t="s">
        <v>49</v>
      </c>
      <c r="D408" s="13"/>
      <c r="E408" s="51">
        <v>0.9791666666666666</v>
      </c>
      <c r="F408" s="44" t="s">
        <v>3105</v>
      </c>
      <c r="G408" s="43">
        <v>1.0</v>
      </c>
      <c r="H408" s="42"/>
      <c r="I408" s="43">
        <v>1.0</v>
      </c>
      <c r="J408" s="27" t="s">
        <v>274</v>
      </c>
      <c r="K408" s="43"/>
    </row>
    <row r="409" ht="39.75" hidden="1" customHeight="1">
      <c r="A409" s="1">
        <v>408.0</v>
      </c>
      <c r="B409" s="2" t="s">
        <v>116</v>
      </c>
      <c r="C409" s="2" t="s">
        <v>13</v>
      </c>
      <c r="D409" s="13"/>
      <c r="E409" s="13"/>
      <c r="F409" s="44"/>
      <c r="G409" s="42"/>
      <c r="H409" s="42"/>
      <c r="I409" s="42"/>
      <c r="J409" s="27" t="s">
        <v>149</v>
      </c>
      <c r="K409" s="42"/>
    </row>
    <row r="410" ht="39.75" customHeight="1">
      <c r="A410" s="1">
        <v>409.0</v>
      </c>
      <c r="B410" s="2" t="s">
        <v>17</v>
      </c>
      <c r="C410" s="2"/>
      <c r="D410" s="40">
        <v>0.375</v>
      </c>
      <c r="E410" s="13"/>
      <c r="F410" s="44" t="s">
        <v>3106</v>
      </c>
      <c r="G410" s="43">
        <v>1.0</v>
      </c>
      <c r="H410" s="42"/>
      <c r="I410" s="43">
        <v>1.0</v>
      </c>
      <c r="J410" s="27" t="s">
        <v>165</v>
      </c>
      <c r="K410" s="42"/>
    </row>
    <row r="411" ht="39.75" hidden="1" customHeight="1">
      <c r="A411" s="1">
        <v>410.0</v>
      </c>
      <c r="B411" s="2" t="s">
        <v>331</v>
      </c>
      <c r="C411" s="2" t="s">
        <v>13</v>
      </c>
      <c r="D411" s="13"/>
      <c r="E411" s="13"/>
      <c r="F411" s="45"/>
      <c r="G411" s="42"/>
      <c r="H411" s="42"/>
      <c r="I411" s="42"/>
      <c r="J411" s="27" t="s">
        <v>166</v>
      </c>
      <c r="K411" s="42"/>
    </row>
    <row r="412" ht="39.75" hidden="1" customHeight="1">
      <c r="A412" s="1">
        <v>411.0</v>
      </c>
      <c r="B412" s="2" t="s">
        <v>21</v>
      </c>
      <c r="C412" s="2" t="s">
        <v>13</v>
      </c>
      <c r="D412" s="13"/>
      <c r="E412" s="13"/>
      <c r="F412" s="45"/>
      <c r="G412" s="42"/>
      <c r="H412" s="42"/>
      <c r="I412" s="42"/>
      <c r="J412" s="27" t="s">
        <v>167</v>
      </c>
      <c r="K412" s="42"/>
    </row>
    <row r="413" ht="39.75" hidden="1" customHeight="1">
      <c r="A413" s="1">
        <v>412.0</v>
      </c>
      <c r="B413" s="2" t="s">
        <v>22</v>
      </c>
      <c r="C413" s="2" t="s">
        <v>13</v>
      </c>
      <c r="D413" s="13"/>
      <c r="E413" s="13"/>
      <c r="F413" s="44"/>
      <c r="G413" s="42"/>
      <c r="H413" s="42"/>
      <c r="I413" s="42"/>
      <c r="J413" s="22"/>
      <c r="K413" s="42"/>
    </row>
    <row r="414" ht="39.75" customHeight="1">
      <c r="A414" s="1">
        <v>413.0</v>
      </c>
      <c r="B414" s="2" t="s">
        <v>23</v>
      </c>
      <c r="C414" s="13"/>
      <c r="D414" s="40">
        <v>0.375</v>
      </c>
      <c r="E414" s="13"/>
      <c r="F414" s="44" t="s">
        <v>3107</v>
      </c>
      <c r="G414" s="43">
        <v>1.0</v>
      </c>
      <c r="H414" s="42"/>
      <c r="I414" s="43">
        <v>1.0</v>
      </c>
      <c r="J414" s="22"/>
      <c r="K414" s="42"/>
    </row>
    <row r="415" ht="39.75" hidden="1" customHeight="1">
      <c r="A415" s="1">
        <v>414.0</v>
      </c>
      <c r="B415" s="2" t="s">
        <v>24</v>
      </c>
      <c r="C415" s="2" t="s">
        <v>13</v>
      </c>
      <c r="D415" s="13"/>
      <c r="E415" s="13"/>
      <c r="F415" s="44"/>
      <c r="G415" s="42"/>
      <c r="H415" s="43"/>
      <c r="I415" s="43"/>
      <c r="J415" s="22"/>
      <c r="K415" s="42"/>
    </row>
    <row r="416" ht="39.75" hidden="1" customHeight="1">
      <c r="A416" s="1">
        <v>415.0</v>
      </c>
      <c r="B416" s="2" t="s">
        <v>25</v>
      </c>
      <c r="C416" s="2" t="s">
        <v>13</v>
      </c>
      <c r="D416" s="13"/>
      <c r="E416" s="13"/>
      <c r="F416" s="45"/>
      <c r="G416" s="42"/>
      <c r="H416" s="42"/>
      <c r="I416" s="42"/>
      <c r="J416" s="22"/>
      <c r="K416" s="42"/>
    </row>
    <row r="417" ht="39.75" hidden="1" customHeight="1">
      <c r="A417" s="1">
        <v>416.0</v>
      </c>
      <c r="B417" s="2" t="s">
        <v>26</v>
      </c>
      <c r="C417" s="2" t="s">
        <v>13</v>
      </c>
      <c r="D417" s="13"/>
      <c r="E417" s="13"/>
      <c r="F417" s="44"/>
      <c r="G417" s="42"/>
      <c r="H417" s="42"/>
      <c r="I417" s="42"/>
      <c r="J417" s="22"/>
      <c r="K417" s="42"/>
    </row>
    <row r="418" ht="39.75" hidden="1" customHeight="1">
      <c r="A418" s="1">
        <v>417.0</v>
      </c>
      <c r="B418" s="2" t="s">
        <v>29</v>
      </c>
      <c r="C418" s="2" t="s">
        <v>13</v>
      </c>
      <c r="D418" s="13"/>
      <c r="E418" s="13"/>
      <c r="F418" s="44"/>
      <c r="G418" s="42"/>
      <c r="H418" s="42"/>
      <c r="I418" s="42"/>
      <c r="J418" s="22"/>
      <c r="K418" s="42"/>
    </row>
    <row r="419" ht="39.75" hidden="1" customHeight="1">
      <c r="A419" s="1">
        <v>418.0</v>
      </c>
      <c r="B419" s="2" t="s">
        <v>30</v>
      </c>
      <c r="C419" s="2" t="s">
        <v>13</v>
      </c>
      <c r="D419" s="13"/>
      <c r="E419" s="13"/>
      <c r="F419" s="44"/>
      <c r="G419" s="42"/>
      <c r="H419" s="42"/>
      <c r="I419" s="42"/>
      <c r="J419" s="22"/>
      <c r="K419" s="42"/>
    </row>
    <row r="420" ht="39.75" customHeight="1">
      <c r="A420" s="1">
        <v>419.0</v>
      </c>
      <c r="B420" s="2" t="s">
        <v>31</v>
      </c>
      <c r="C420" s="2" t="s">
        <v>44</v>
      </c>
      <c r="D420" s="13"/>
      <c r="E420" s="13"/>
      <c r="F420" s="45"/>
      <c r="G420" s="42"/>
      <c r="H420" s="42"/>
      <c r="I420" s="42"/>
      <c r="J420" s="22"/>
      <c r="K420" s="42"/>
    </row>
    <row r="421" ht="39.75" customHeight="1">
      <c r="A421" s="1">
        <v>420.0</v>
      </c>
      <c r="B421" s="2" t="s">
        <v>34</v>
      </c>
      <c r="C421" s="2" t="s">
        <v>272</v>
      </c>
      <c r="D421" s="13"/>
      <c r="E421" s="13"/>
      <c r="F421" s="44" t="s">
        <v>1186</v>
      </c>
      <c r="G421" s="43">
        <v>1.0</v>
      </c>
      <c r="H421" s="42"/>
      <c r="I421" s="43">
        <v>1.0</v>
      </c>
      <c r="J421" s="22"/>
      <c r="K421" s="42"/>
    </row>
    <row r="422" ht="39.75" hidden="1" customHeight="1">
      <c r="A422" s="1">
        <v>421.0</v>
      </c>
      <c r="B422" s="2" t="s">
        <v>67</v>
      </c>
      <c r="C422" s="2" t="s">
        <v>13</v>
      </c>
      <c r="D422" s="13"/>
      <c r="E422" s="13"/>
      <c r="F422" s="44"/>
      <c r="G422" s="42"/>
      <c r="H422" s="43"/>
      <c r="I422" s="43"/>
      <c r="J422" s="22"/>
      <c r="K422" s="42"/>
    </row>
    <row r="423" ht="39.75" customHeight="1">
      <c r="A423" s="1">
        <v>422.0</v>
      </c>
      <c r="B423" s="2" t="s">
        <v>35</v>
      </c>
      <c r="C423" s="2" t="s">
        <v>39</v>
      </c>
      <c r="D423" s="53">
        <v>0.3333333333333333</v>
      </c>
      <c r="E423" s="13"/>
      <c r="F423" s="44" t="s">
        <v>3108</v>
      </c>
      <c r="G423" s="43">
        <v>1.0</v>
      </c>
      <c r="H423" s="42"/>
      <c r="I423" s="43">
        <v>1.0</v>
      </c>
      <c r="J423" s="22"/>
      <c r="K423" s="42"/>
    </row>
    <row r="424" ht="39.75" hidden="1" customHeight="1">
      <c r="A424" s="1">
        <v>423.0</v>
      </c>
      <c r="B424" s="2" t="s">
        <v>36</v>
      </c>
      <c r="C424" s="2" t="s">
        <v>13</v>
      </c>
      <c r="D424" s="13"/>
      <c r="E424" s="13"/>
      <c r="F424" s="44"/>
      <c r="G424" s="42"/>
      <c r="H424" s="42"/>
      <c r="I424" s="42"/>
      <c r="J424" s="22"/>
      <c r="K424" s="42"/>
    </row>
    <row r="425" ht="39.75" hidden="1" customHeight="1">
      <c r="A425" s="1">
        <v>424.0</v>
      </c>
      <c r="B425" s="2" t="s">
        <v>38</v>
      </c>
      <c r="C425" s="2" t="s">
        <v>13</v>
      </c>
      <c r="D425" s="13"/>
      <c r="E425" s="13"/>
      <c r="F425" s="44"/>
      <c r="G425" s="42"/>
      <c r="H425" s="42"/>
      <c r="I425" s="42"/>
      <c r="J425" s="22"/>
      <c r="K425" s="42"/>
    </row>
    <row r="426" ht="39.75" hidden="1" customHeight="1">
      <c r="A426" s="1">
        <v>425.0</v>
      </c>
      <c r="B426" s="2" t="s">
        <v>41</v>
      </c>
      <c r="C426" s="2" t="s">
        <v>13</v>
      </c>
      <c r="D426" s="13"/>
      <c r="E426" s="13"/>
      <c r="F426" s="44"/>
      <c r="G426" s="42"/>
      <c r="H426" s="42"/>
      <c r="I426" s="42"/>
      <c r="J426" s="22"/>
      <c r="K426" s="42"/>
    </row>
    <row r="427" ht="39.75" hidden="1" customHeight="1">
      <c r="A427" s="1">
        <v>426.0</v>
      </c>
      <c r="B427" s="2" t="s">
        <v>42</v>
      </c>
      <c r="C427" s="2" t="s">
        <v>13</v>
      </c>
      <c r="D427" s="13"/>
      <c r="E427" s="13"/>
      <c r="F427" s="45"/>
      <c r="G427" s="42"/>
      <c r="H427" s="42"/>
      <c r="I427" s="42"/>
      <c r="J427" s="22"/>
      <c r="K427" s="42"/>
    </row>
    <row r="428" ht="39.75" hidden="1" customHeight="1">
      <c r="A428" s="1">
        <v>427.0</v>
      </c>
      <c r="B428" s="2" t="s">
        <v>43</v>
      </c>
      <c r="C428" s="2" t="s">
        <v>13</v>
      </c>
      <c r="D428" s="13"/>
      <c r="E428" s="13"/>
      <c r="F428" s="45"/>
      <c r="G428" s="42"/>
      <c r="H428" s="42"/>
      <c r="I428" s="42"/>
      <c r="J428" s="22"/>
      <c r="K428" s="42"/>
    </row>
    <row r="429" ht="39.75" customHeight="1">
      <c r="A429" s="1">
        <v>428.0</v>
      </c>
      <c r="B429" s="2" t="s">
        <v>45</v>
      </c>
      <c r="C429" s="2" t="s">
        <v>27</v>
      </c>
      <c r="D429" s="13"/>
      <c r="E429" s="13"/>
      <c r="F429" s="45"/>
      <c r="G429" s="42"/>
      <c r="H429" s="42"/>
      <c r="I429" s="42"/>
      <c r="J429" s="22"/>
      <c r="K429" s="42"/>
    </row>
    <row r="430" ht="39.75" hidden="1" customHeight="1">
      <c r="A430" s="1">
        <v>429.0</v>
      </c>
      <c r="B430" s="2" t="s">
        <v>46</v>
      </c>
      <c r="C430" s="2" t="s">
        <v>13</v>
      </c>
      <c r="D430" s="40"/>
      <c r="E430" s="13"/>
      <c r="F430" s="44"/>
      <c r="G430" s="42"/>
      <c r="H430" s="42"/>
      <c r="I430" s="42"/>
      <c r="J430" s="22"/>
      <c r="K430" s="42"/>
    </row>
    <row r="431" ht="39.75" hidden="1" customHeight="1">
      <c r="A431" s="1">
        <v>430.0</v>
      </c>
      <c r="B431" s="2" t="s">
        <v>47</v>
      </c>
      <c r="C431" s="2" t="s">
        <v>13</v>
      </c>
      <c r="D431" s="13"/>
      <c r="E431" s="13"/>
      <c r="F431" s="45"/>
      <c r="G431" s="42"/>
      <c r="H431" s="42"/>
      <c r="I431" s="42"/>
      <c r="J431" s="22"/>
      <c r="K431" s="42"/>
    </row>
    <row r="432" ht="39.75" hidden="1" customHeight="1">
      <c r="A432" s="1">
        <v>431.0</v>
      </c>
      <c r="B432" s="2" t="s">
        <v>48</v>
      </c>
      <c r="C432" s="2" t="s">
        <v>13</v>
      </c>
      <c r="D432" s="13"/>
      <c r="E432" s="13"/>
      <c r="F432" s="45"/>
      <c r="G432" s="42"/>
      <c r="H432" s="42"/>
      <c r="I432" s="42"/>
      <c r="J432" s="22"/>
      <c r="K432" s="42"/>
    </row>
    <row r="433" ht="39.75" customHeight="1">
      <c r="A433" s="1">
        <v>432.0</v>
      </c>
      <c r="B433" s="21"/>
      <c r="C433" s="21"/>
      <c r="D433" s="21"/>
      <c r="E433" s="21"/>
      <c r="F433" s="46"/>
      <c r="G433" s="47"/>
      <c r="H433" s="47"/>
      <c r="I433" s="47"/>
      <c r="J433" s="48"/>
      <c r="K433" s="47"/>
      <c r="L433" s="49"/>
      <c r="M433" s="49"/>
      <c r="N433" s="49"/>
    </row>
    <row r="434" ht="39.75" customHeight="1">
      <c r="A434" s="1">
        <v>433.0</v>
      </c>
      <c r="B434" s="2" t="s">
        <v>268</v>
      </c>
      <c r="C434" s="2" t="s">
        <v>63</v>
      </c>
      <c r="D434" s="13"/>
      <c r="E434" s="13"/>
      <c r="F434" s="45"/>
      <c r="G434" s="42"/>
      <c r="H434" s="42"/>
      <c r="I434" s="42"/>
      <c r="J434" s="27" t="s">
        <v>2945</v>
      </c>
      <c r="K434" s="42"/>
      <c r="L434" s="15" t="s">
        <v>294</v>
      </c>
    </row>
    <row r="435" ht="39.75" hidden="1" customHeight="1">
      <c r="A435" s="1">
        <v>434.0</v>
      </c>
      <c r="B435" s="2" t="s">
        <v>16</v>
      </c>
      <c r="C435" s="2" t="s">
        <v>13</v>
      </c>
      <c r="D435" s="13"/>
      <c r="E435" s="13"/>
      <c r="F435" s="45"/>
      <c r="G435" s="42"/>
      <c r="H435" s="42"/>
      <c r="I435" s="42"/>
      <c r="J435" s="27" t="s">
        <v>294</v>
      </c>
      <c r="K435" s="43"/>
    </row>
    <row r="436" ht="39.75" hidden="1" customHeight="1">
      <c r="A436" s="1">
        <v>435.0</v>
      </c>
      <c r="B436" s="2" t="s">
        <v>116</v>
      </c>
      <c r="C436" s="2" t="s">
        <v>13</v>
      </c>
      <c r="D436" s="13"/>
      <c r="E436" s="13"/>
      <c r="F436" s="45"/>
      <c r="G436" s="42"/>
      <c r="H436" s="42"/>
      <c r="I436" s="42"/>
      <c r="J436" s="27" t="s">
        <v>19</v>
      </c>
      <c r="K436" s="42"/>
    </row>
    <row r="437" ht="39.75" hidden="1" customHeight="1">
      <c r="A437" s="1">
        <v>436.0</v>
      </c>
      <c r="B437" s="2" t="s">
        <v>17</v>
      </c>
      <c r="C437" s="2" t="s">
        <v>13</v>
      </c>
      <c r="D437" s="13"/>
      <c r="E437" s="13"/>
      <c r="F437" s="45"/>
      <c r="G437" s="42"/>
      <c r="H437" s="42"/>
      <c r="I437" s="42"/>
      <c r="J437" s="27" t="s">
        <v>151</v>
      </c>
      <c r="K437" s="42"/>
    </row>
    <row r="438" ht="39.75" hidden="1" customHeight="1">
      <c r="A438" s="1">
        <v>437.0</v>
      </c>
      <c r="B438" s="2" t="s">
        <v>331</v>
      </c>
      <c r="C438" s="2" t="s">
        <v>13</v>
      </c>
      <c r="D438" s="13"/>
      <c r="E438" s="13"/>
      <c r="F438" s="45"/>
      <c r="G438" s="42"/>
      <c r="H438" s="42"/>
      <c r="I438" s="42"/>
      <c r="J438" s="27" t="s">
        <v>152</v>
      </c>
      <c r="K438" s="42"/>
    </row>
    <row r="439" ht="39.75" hidden="1" customHeight="1">
      <c r="A439" s="1">
        <v>438.0</v>
      </c>
      <c r="B439" s="2" t="s">
        <v>21</v>
      </c>
      <c r="C439" s="2" t="s">
        <v>13</v>
      </c>
      <c r="D439" s="13"/>
      <c r="E439" s="13"/>
      <c r="F439" s="45"/>
      <c r="G439" s="42"/>
      <c r="H439" s="42"/>
      <c r="I439" s="42"/>
      <c r="J439" s="27" t="s">
        <v>154</v>
      </c>
      <c r="K439" s="42"/>
    </row>
    <row r="440" ht="39.75" customHeight="1">
      <c r="A440" s="1">
        <v>439.0</v>
      </c>
      <c r="B440" s="2" t="s">
        <v>22</v>
      </c>
      <c r="C440" s="2" t="s">
        <v>27</v>
      </c>
      <c r="D440" s="13"/>
      <c r="E440" s="13"/>
      <c r="F440" s="45"/>
      <c r="G440" s="42"/>
      <c r="H440" s="42"/>
      <c r="I440" s="42"/>
      <c r="J440" s="22"/>
      <c r="K440" s="42"/>
    </row>
    <row r="441" ht="39.75" hidden="1" customHeight="1">
      <c r="A441" s="1">
        <v>440.0</v>
      </c>
      <c r="B441" s="2" t="s">
        <v>23</v>
      </c>
      <c r="C441" s="2" t="s">
        <v>13</v>
      </c>
      <c r="D441" s="13"/>
      <c r="E441" s="13"/>
      <c r="F441" s="45"/>
      <c r="G441" s="42"/>
      <c r="H441" s="42"/>
      <c r="I441" s="42"/>
      <c r="J441" s="22"/>
      <c r="K441" s="42"/>
    </row>
    <row r="442" ht="39.75" hidden="1" customHeight="1">
      <c r="A442" s="1">
        <v>441.0</v>
      </c>
      <c r="B442" s="2" t="s">
        <v>24</v>
      </c>
      <c r="C442" s="2" t="s">
        <v>13</v>
      </c>
      <c r="D442" s="13"/>
      <c r="E442" s="13"/>
      <c r="F442" s="45"/>
      <c r="G442" s="42"/>
      <c r="H442" s="42"/>
      <c r="I442" s="42"/>
      <c r="J442" s="22"/>
      <c r="K442" s="42"/>
    </row>
    <row r="443" ht="39.75" hidden="1" customHeight="1">
      <c r="A443" s="1">
        <v>442.0</v>
      </c>
      <c r="B443" s="2" t="s">
        <v>25</v>
      </c>
      <c r="C443" s="2" t="s">
        <v>13</v>
      </c>
      <c r="D443" s="13"/>
      <c r="E443" s="13"/>
      <c r="F443" s="45"/>
      <c r="G443" s="42"/>
      <c r="H443" s="42"/>
      <c r="I443" s="42"/>
      <c r="J443" s="22"/>
      <c r="K443" s="42"/>
    </row>
    <row r="444" ht="39.75" hidden="1" customHeight="1">
      <c r="A444" s="1">
        <v>443.0</v>
      </c>
      <c r="B444" s="2" t="s">
        <v>26</v>
      </c>
      <c r="C444" s="2" t="s">
        <v>13</v>
      </c>
      <c r="D444" s="13"/>
      <c r="E444" s="13"/>
      <c r="F444" s="45"/>
      <c r="G444" s="42"/>
      <c r="H444" s="42"/>
      <c r="I444" s="42"/>
      <c r="J444" s="22"/>
      <c r="K444" s="42"/>
    </row>
    <row r="445" ht="39.75" hidden="1" customHeight="1">
      <c r="A445" s="1">
        <v>444.0</v>
      </c>
      <c r="B445" s="2" t="s">
        <v>29</v>
      </c>
      <c r="C445" s="2" t="s">
        <v>13</v>
      </c>
      <c r="D445" s="13"/>
      <c r="E445" s="13"/>
      <c r="F445" s="45"/>
      <c r="G445" s="42"/>
      <c r="H445" s="42"/>
      <c r="I445" s="42"/>
      <c r="J445" s="22"/>
      <c r="K445" s="42"/>
    </row>
    <row r="446" ht="39.75" customHeight="1">
      <c r="A446" s="1">
        <v>445.0</v>
      </c>
      <c r="B446" s="2" t="s">
        <v>30</v>
      </c>
      <c r="C446" s="2" t="s">
        <v>49</v>
      </c>
      <c r="D446" s="13"/>
      <c r="E446" s="13"/>
      <c r="F446" s="44" t="s">
        <v>3109</v>
      </c>
      <c r="G446" s="42"/>
      <c r="H446" s="42"/>
      <c r="I446" s="42"/>
      <c r="J446" s="22"/>
      <c r="K446" s="42"/>
    </row>
    <row r="447" ht="39.75" hidden="1" customHeight="1">
      <c r="A447" s="1">
        <v>446.0</v>
      </c>
      <c r="B447" s="2" t="s">
        <v>31</v>
      </c>
      <c r="C447" s="2" t="s">
        <v>13</v>
      </c>
      <c r="D447" s="13"/>
      <c r="E447" s="13"/>
      <c r="F447" s="45"/>
      <c r="G447" s="42"/>
      <c r="H447" s="42"/>
      <c r="I447" s="42"/>
      <c r="J447" s="22"/>
      <c r="K447" s="42"/>
    </row>
    <row r="448" ht="39.75" hidden="1" customHeight="1">
      <c r="A448" s="1">
        <v>447.0</v>
      </c>
      <c r="B448" s="2" t="s">
        <v>32</v>
      </c>
      <c r="C448" s="2" t="s">
        <v>13</v>
      </c>
      <c r="D448" s="13"/>
      <c r="E448" s="13"/>
      <c r="F448" s="45"/>
      <c r="G448" s="42"/>
      <c r="H448" s="42"/>
      <c r="I448" s="42"/>
      <c r="J448" s="22"/>
      <c r="K448" s="42"/>
    </row>
    <row r="449" ht="39.75" customHeight="1">
      <c r="A449" s="1">
        <v>448.0</v>
      </c>
      <c r="B449" s="2" t="s">
        <v>67</v>
      </c>
      <c r="C449" s="2"/>
      <c r="D449" s="40">
        <v>0.375</v>
      </c>
      <c r="E449" s="13"/>
      <c r="F449" s="44" t="s">
        <v>3110</v>
      </c>
      <c r="G449" s="43">
        <v>1.0</v>
      </c>
      <c r="H449" s="42"/>
      <c r="I449" s="42"/>
      <c r="J449" s="22"/>
      <c r="K449" s="42"/>
    </row>
    <row r="450" ht="39.75" hidden="1" customHeight="1">
      <c r="A450" s="1">
        <v>449.0</v>
      </c>
      <c r="B450" s="2" t="s">
        <v>35</v>
      </c>
      <c r="C450" s="2" t="s">
        <v>13</v>
      </c>
      <c r="D450" s="13"/>
      <c r="E450" s="13"/>
      <c r="F450" s="45"/>
      <c r="G450" s="42"/>
      <c r="H450" s="42"/>
      <c r="I450" s="42"/>
      <c r="J450" s="22"/>
      <c r="K450" s="42"/>
    </row>
    <row r="451" ht="39.75" hidden="1" customHeight="1">
      <c r="A451" s="1">
        <v>450.0</v>
      </c>
      <c r="B451" s="2" t="s">
        <v>36</v>
      </c>
      <c r="C451" s="2" t="s">
        <v>13</v>
      </c>
      <c r="D451" s="13"/>
      <c r="E451" s="13"/>
      <c r="F451" s="45"/>
      <c r="G451" s="42"/>
      <c r="H451" s="42"/>
      <c r="I451" s="42"/>
      <c r="J451" s="22"/>
      <c r="K451" s="42"/>
    </row>
    <row r="452" ht="39.75" hidden="1" customHeight="1">
      <c r="A452" s="1">
        <v>451.0</v>
      </c>
      <c r="B452" s="2" t="s">
        <v>38</v>
      </c>
      <c r="C452" s="2" t="s">
        <v>13</v>
      </c>
      <c r="D452" s="13"/>
      <c r="E452" s="13"/>
      <c r="F452" s="45"/>
      <c r="G452" s="42"/>
      <c r="H452" s="42"/>
      <c r="I452" s="42"/>
      <c r="J452" s="22"/>
      <c r="K452" s="42"/>
    </row>
    <row r="453" ht="39.75" hidden="1" customHeight="1">
      <c r="A453" s="1">
        <v>452.0</v>
      </c>
      <c r="B453" s="2" t="s">
        <v>41</v>
      </c>
      <c r="C453" s="2" t="s">
        <v>13</v>
      </c>
      <c r="D453" s="13"/>
      <c r="E453" s="13"/>
      <c r="F453" s="45"/>
      <c r="G453" s="42"/>
      <c r="H453" s="42"/>
      <c r="I453" s="42"/>
      <c r="J453" s="22"/>
      <c r="K453" s="42"/>
    </row>
    <row r="454" ht="39.75" customHeight="1">
      <c r="A454" s="1">
        <v>453.0</v>
      </c>
      <c r="B454" s="2" t="s">
        <v>42</v>
      </c>
      <c r="C454" s="2"/>
      <c r="D454" s="40">
        <v>0.375</v>
      </c>
      <c r="E454" s="13"/>
      <c r="F454" s="44" t="s">
        <v>3111</v>
      </c>
      <c r="G454" s="43">
        <v>2.0</v>
      </c>
      <c r="H454" s="42"/>
      <c r="I454" s="42"/>
      <c r="J454" s="22"/>
      <c r="K454" s="42"/>
    </row>
    <row r="455" ht="39.75" customHeight="1">
      <c r="A455" s="1">
        <v>454.0</v>
      </c>
      <c r="B455" s="2" t="s">
        <v>43</v>
      </c>
      <c r="C455" s="2" t="s">
        <v>39</v>
      </c>
      <c r="D455" s="40">
        <v>0.375</v>
      </c>
      <c r="E455" s="13"/>
      <c r="F455" s="44" t="s">
        <v>3112</v>
      </c>
      <c r="G455" s="43">
        <v>1.0</v>
      </c>
      <c r="H455" s="42"/>
      <c r="I455" s="42"/>
      <c r="J455" s="22"/>
      <c r="K455" s="42"/>
    </row>
    <row r="456" ht="39.75" customHeight="1">
      <c r="A456" s="1">
        <v>455.0</v>
      </c>
      <c r="B456" s="2" t="s">
        <v>45</v>
      </c>
      <c r="C456" s="2" t="s">
        <v>44</v>
      </c>
      <c r="D456" s="13"/>
      <c r="E456" s="13"/>
      <c r="F456" s="45"/>
      <c r="G456" s="42"/>
      <c r="H456" s="42"/>
      <c r="I456" s="42"/>
      <c r="J456" s="22"/>
      <c r="K456" s="42"/>
    </row>
    <row r="457" ht="39.75" customHeight="1">
      <c r="A457" s="1">
        <v>456.0</v>
      </c>
      <c r="B457" s="2" t="s">
        <v>267</v>
      </c>
      <c r="C457" s="2" t="s">
        <v>272</v>
      </c>
      <c r="D457" s="13"/>
      <c r="E457" s="13"/>
      <c r="F457" s="45"/>
      <c r="G457" s="42"/>
      <c r="H457" s="42"/>
      <c r="I457" s="42"/>
      <c r="J457" s="22"/>
      <c r="K457" s="42"/>
    </row>
    <row r="458" ht="39.75" hidden="1" customHeight="1">
      <c r="A458" s="1">
        <v>457.0</v>
      </c>
      <c r="B458" s="2" t="s">
        <v>47</v>
      </c>
      <c r="C458" s="2" t="s">
        <v>13</v>
      </c>
      <c r="D458" s="13"/>
      <c r="E458" s="13"/>
      <c r="F458" s="45"/>
      <c r="G458" s="42"/>
      <c r="H458" s="42"/>
      <c r="I458" s="42"/>
      <c r="J458" s="22"/>
      <c r="K458" s="42"/>
    </row>
    <row r="459" ht="39.75" hidden="1" customHeight="1">
      <c r="A459" s="1">
        <v>458.0</v>
      </c>
      <c r="B459" s="2" t="s">
        <v>48</v>
      </c>
      <c r="C459" s="2" t="s">
        <v>13</v>
      </c>
      <c r="D459" s="13"/>
      <c r="E459" s="13"/>
      <c r="F459" s="45"/>
      <c r="G459" s="42"/>
      <c r="H459" s="42"/>
      <c r="I459" s="42"/>
      <c r="J459" s="22"/>
      <c r="K459" s="42"/>
    </row>
    <row r="460" ht="39.75" customHeight="1">
      <c r="A460" s="1">
        <v>459.0</v>
      </c>
      <c r="B460" s="21"/>
      <c r="C460" s="21"/>
      <c r="D460" s="21"/>
      <c r="E460" s="21"/>
      <c r="F460" s="46"/>
      <c r="G460" s="47"/>
      <c r="H460" s="47"/>
      <c r="I460" s="47"/>
      <c r="J460" s="48"/>
      <c r="K460" s="47"/>
      <c r="L460" s="49"/>
      <c r="M460" s="49"/>
      <c r="N460" s="49"/>
    </row>
    <row r="461" ht="39.75" customHeight="1">
      <c r="A461" s="1">
        <v>460.0</v>
      </c>
      <c r="B461" s="2" t="s">
        <v>12</v>
      </c>
      <c r="C461" s="2" t="s">
        <v>62</v>
      </c>
      <c r="D461" s="13"/>
      <c r="E461" s="13"/>
      <c r="F461" s="44" t="s">
        <v>1543</v>
      </c>
      <c r="G461" s="43">
        <v>1.0</v>
      </c>
      <c r="H461" s="42"/>
      <c r="I461" s="43">
        <v>1.0</v>
      </c>
      <c r="J461" s="27" t="s">
        <v>2945</v>
      </c>
      <c r="K461" s="42"/>
      <c r="L461" s="15" t="s">
        <v>309</v>
      </c>
    </row>
    <row r="462" ht="39.75" customHeight="1">
      <c r="A462" s="1">
        <v>461.0</v>
      </c>
      <c r="B462" s="2" t="s">
        <v>16</v>
      </c>
      <c r="C462" s="2"/>
      <c r="D462" s="53">
        <v>0.3333333333333333</v>
      </c>
      <c r="E462" s="13"/>
      <c r="F462" s="44" t="s">
        <v>3113</v>
      </c>
      <c r="G462" s="43">
        <v>1.0</v>
      </c>
      <c r="H462" s="42"/>
      <c r="I462" s="43">
        <v>1.0</v>
      </c>
      <c r="J462" s="27" t="s">
        <v>309</v>
      </c>
      <c r="K462" s="43"/>
    </row>
    <row r="463" ht="39.75" hidden="1" customHeight="1">
      <c r="A463" s="1">
        <v>462.0</v>
      </c>
      <c r="B463" s="2" t="s">
        <v>116</v>
      </c>
      <c r="C463" s="2" t="s">
        <v>66</v>
      </c>
      <c r="D463" s="13"/>
      <c r="E463" s="13"/>
      <c r="F463" s="45"/>
      <c r="G463" s="42"/>
      <c r="H463" s="42"/>
      <c r="I463" s="42"/>
      <c r="J463" s="27" t="s">
        <v>56</v>
      </c>
      <c r="K463" s="42"/>
    </row>
    <row r="464" ht="39.75" hidden="1" customHeight="1">
      <c r="A464" s="1">
        <v>463.0</v>
      </c>
      <c r="B464" s="2" t="s">
        <v>17</v>
      </c>
      <c r="C464" s="2" t="s">
        <v>66</v>
      </c>
      <c r="D464" s="13"/>
      <c r="E464" s="13"/>
      <c r="F464" s="45"/>
      <c r="G464" s="42"/>
      <c r="H464" s="42"/>
      <c r="I464" s="42"/>
      <c r="J464" s="22"/>
      <c r="K464" s="42"/>
    </row>
    <row r="465" ht="39.75" customHeight="1">
      <c r="A465" s="1">
        <v>464.0</v>
      </c>
      <c r="B465" s="2" t="s">
        <v>331</v>
      </c>
      <c r="C465" s="2" t="s">
        <v>542</v>
      </c>
      <c r="D465" s="13"/>
      <c r="E465" s="13"/>
      <c r="F465" s="44" t="s">
        <v>3114</v>
      </c>
      <c r="G465" s="43">
        <v>1.0</v>
      </c>
      <c r="H465" s="42"/>
      <c r="I465" s="43">
        <v>1.0</v>
      </c>
      <c r="J465" s="22"/>
      <c r="K465" s="42"/>
    </row>
    <row r="466" ht="39.75" hidden="1" customHeight="1">
      <c r="A466" s="1">
        <v>465.0</v>
      </c>
      <c r="B466" s="2" t="s">
        <v>21</v>
      </c>
      <c r="C466" s="2" t="s">
        <v>58</v>
      </c>
      <c r="D466" s="13"/>
      <c r="E466" s="13"/>
      <c r="F466" s="45"/>
      <c r="G466" s="42"/>
      <c r="H466" s="42"/>
      <c r="I466" s="42"/>
      <c r="J466" s="22"/>
      <c r="K466" s="42"/>
    </row>
    <row r="467" ht="39.75" customHeight="1">
      <c r="A467" s="1">
        <v>466.0</v>
      </c>
      <c r="B467" s="2" t="s">
        <v>22</v>
      </c>
      <c r="C467" s="2" t="s">
        <v>44</v>
      </c>
      <c r="D467" s="13"/>
      <c r="E467" s="13"/>
      <c r="F467" s="45"/>
      <c r="G467" s="42"/>
      <c r="H467" s="42"/>
      <c r="I467" s="42"/>
      <c r="J467" s="22"/>
      <c r="K467" s="42"/>
    </row>
    <row r="468" ht="39.75" hidden="1" customHeight="1">
      <c r="A468" s="1">
        <v>467.0</v>
      </c>
      <c r="B468" s="2" t="s">
        <v>23</v>
      </c>
      <c r="C468" s="2" t="s">
        <v>58</v>
      </c>
      <c r="D468" s="13"/>
      <c r="E468" s="13"/>
      <c r="F468" s="45"/>
      <c r="G468" s="42"/>
      <c r="H468" s="42"/>
      <c r="I468" s="42"/>
      <c r="J468" s="22"/>
      <c r="K468" s="42"/>
    </row>
    <row r="469" ht="39.75" customHeight="1">
      <c r="A469" s="1">
        <v>468.0</v>
      </c>
      <c r="B469" s="2" t="s">
        <v>24</v>
      </c>
      <c r="C469" s="2" t="s">
        <v>63</v>
      </c>
      <c r="D469" s="13"/>
      <c r="E469" s="13"/>
      <c r="F469" s="45"/>
      <c r="G469" s="42"/>
      <c r="H469" s="42"/>
      <c r="I469" s="42"/>
      <c r="J469" s="22"/>
      <c r="K469" s="42"/>
    </row>
    <row r="470" ht="39.75" customHeight="1">
      <c r="A470" s="1">
        <v>469.0</v>
      </c>
      <c r="B470" s="2" t="s">
        <v>25</v>
      </c>
      <c r="C470" s="2" t="s">
        <v>39</v>
      </c>
      <c r="D470" s="13"/>
      <c r="E470" s="13"/>
      <c r="F470" s="44" t="s">
        <v>2664</v>
      </c>
      <c r="G470" s="43">
        <v>1.0</v>
      </c>
      <c r="H470" s="42"/>
      <c r="I470" s="43">
        <v>1.0</v>
      </c>
      <c r="J470" s="22"/>
      <c r="K470" s="42"/>
    </row>
    <row r="471" ht="39.75" customHeight="1">
      <c r="A471" s="1">
        <v>470.0</v>
      </c>
      <c r="B471" s="2" t="s">
        <v>26</v>
      </c>
      <c r="C471" s="2" t="s">
        <v>54</v>
      </c>
      <c r="D471" s="13"/>
      <c r="E471" s="51">
        <v>0.8125</v>
      </c>
      <c r="F471" s="44" t="s">
        <v>3115</v>
      </c>
      <c r="G471" s="43">
        <v>1.0</v>
      </c>
      <c r="H471" s="43">
        <v>1.0</v>
      </c>
      <c r="I471" s="42"/>
      <c r="J471" s="22"/>
      <c r="K471" s="42"/>
    </row>
    <row r="472" ht="39.75" hidden="1" customHeight="1">
      <c r="A472" s="1">
        <v>471.0</v>
      </c>
      <c r="B472" s="2" t="s">
        <v>29</v>
      </c>
      <c r="C472" s="2" t="s">
        <v>58</v>
      </c>
      <c r="D472" s="13"/>
      <c r="E472" s="13"/>
      <c r="F472" s="45"/>
      <c r="G472" s="42"/>
      <c r="H472" s="42"/>
      <c r="I472" s="42"/>
      <c r="J472" s="22"/>
      <c r="K472" s="42"/>
    </row>
    <row r="473" ht="39.75" customHeight="1">
      <c r="A473" s="1">
        <v>472.0</v>
      </c>
      <c r="B473" s="2" t="s">
        <v>30</v>
      </c>
      <c r="C473" s="2" t="s">
        <v>64</v>
      </c>
      <c r="D473" s="13"/>
      <c r="E473" s="13"/>
      <c r="F473" s="44" t="s">
        <v>2592</v>
      </c>
      <c r="G473" s="43">
        <v>1.0</v>
      </c>
      <c r="H473" s="42"/>
      <c r="I473" s="43">
        <v>1.0</v>
      </c>
      <c r="J473" s="22"/>
      <c r="K473" s="42"/>
    </row>
    <row r="474" ht="39.75" customHeight="1">
      <c r="A474" s="1">
        <v>473.0</v>
      </c>
      <c r="B474" s="2" t="s">
        <v>31</v>
      </c>
      <c r="C474" s="13"/>
      <c r="D474" s="13"/>
      <c r="E474" s="13"/>
      <c r="F474" s="44" t="s">
        <v>472</v>
      </c>
      <c r="G474" s="42"/>
      <c r="H474" s="42"/>
      <c r="I474" s="42"/>
      <c r="J474" s="22"/>
      <c r="K474" s="42"/>
    </row>
    <row r="475" ht="39.75" customHeight="1">
      <c r="A475" s="1">
        <v>474.0</v>
      </c>
      <c r="B475" s="2" t="s">
        <v>32</v>
      </c>
      <c r="C475" s="2" t="s">
        <v>54</v>
      </c>
      <c r="D475" s="53">
        <v>0.3194444444444444</v>
      </c>
      <c r="E475" s="13"/>
      <c r="F475" s="44" t="s">
        <v>3116</v>
      </c>
      <c r="G475" s="43">
        <v>1.0</v>
      </c>
      <c r="H475" s="42"/>
      <c r="I475" s="42"/>
      <c r="J475" s="22"/>
      <c r="K475" s="42"/>
    </row>
    <row r="476" ht="39.75" customHeight="1">
      <c r="A476" s="1">
        <v>475.0</v>
      </c>
      <c r="B476" s="2" t="s">
        <v>67</v>
      </c>
      <c r="C476" s="2" t="s">
        <v>54</v>
      </c>
      <c r="D476" s="13"/>
      <c r="E476" s="51">
        <v>0.8333333333333334</v>
      </c>
      <c r="F476" s="44" t="s">
        <v>3117</v>
      </c>
      <c r="G476" s="43">
        <v>1.0</v>
      </c>
      <c r="H476" s="43">
        <v>1.0</v>
      </c>
      <c r="I476" s="42"/>
      <c r="J476" s="22"/>
      <c r="K476" s="42"/>
    </row>
    <row r="477" ht="39.75" customHeight="1">
      <c r="A477" s="1">
        <v>476.0</v>
      </c>
      <c r="B477" s="2" t="s">
        <v>35</v>
      </c>
      <c r="C477" s="2" t="s">
        <v>27</v>
      </c>
      <c r="D477" s="13"/>
      <c r="E477" s="13"/>
      <c r="F477" s="44" t="s">
        <v>3118</v>
      </c>
      <c r="G477" s="43">
        <v>1.0</v>
      </c>
      <c r="H477" s="42"/>
      <c r="I477" s="43">
        <v>1.0</v>
      </c>
      <c r="J477" s="22"/>
      <c r="K477" s="42"/>
    </row>
    <row r="478" ht="39.75" customHeight="1">
      <c r="A478" s="1">
        <v>477.0</v>
      </c>
      <c r="B478" s="2" t="s">
        <v>36</v>
      </c>
      <c r="C478" s="2"/>
      <c r="D478" s="13"/>
      <c r="E478" s="13"/>
      <c r="F478" s="44" t="s">
        <v>3119</v>
      </c>
      <c r="G478" s="43">
        <v>1.0</v>
      </c>
      <c r="H478" s="42"/>
      <c r="I478" s="42"/>
      <c r="J478" s="22"/>
      <c r="K478" s="42"/>
    </row>
    <row r="479" ht="39.75" hidden="1" customHeight="1">
      <c r="A479" s="1">
        <v>478.0</v>
      </c>
      <c r="B479" s="2" t="s">
        <v>38</v>
      </c>
      <c r="C479" s="2" t="s">
        <v>58</v>
      </c>
      <c r="D479" s="13"/>
      <c r="E479" s="13"/>
      <c r="F479" s="45"/>
      <c r="G479" s="42"/>
      <c r="H479" s="42"/>
      <c r="I479" s="42"/>
      <c r="J479" s="22"/>
      <c r="K479" s="42"/>
    </row>
    <row r="480" ht="39.75" hidden="1" customHeight="1">
      <c r="A480" s="1">
        <v>479.0</v>
      </c>
      <c r="B480" s="2" t="s">
        <v>41</v>
      </c>
      <c r="C480" s="2" t="s">
        <v>58</v>
      </c>
      <c r="D480" s="13"/>
      <c r="E480" s="13"/>
      <c r="F480" s="45"/>
      <c r="G480" s="42"/>
      <c r="H480" s="42"/>
      <c r="I480" s="42"/>
      <c r="J480" s="22"/>
      <c r="K480" s="42"/>
    </row>
    <row r="481" ht="39.75" customHeight="1">
      <c r="A481" s="1">
        <v>480.0</v>
      </c>
      <c r="B481" s="2" t="s">
        <v>42</v>
      </c>
      <c r="C481" s="2" t="s">
        <v>69</v>
      </c>
      <c r="D481" s="13"/>
      <c r="E481" s="13"/>
      <c r="F481" s="44" t="s">
        <v>3120</v>
      </c>
      <c r="G481" s="43">
        <v>2.0</v>
      </c>
      <c r="H481" s="42"/>
      <c r="I481" s="43">
        <v>1.0</v>
      </c>
      <c r="J481" s="22"/>
      <c r="K481" s="42"/>
    </row>
    <row r="482" ht="39.75" customHeight="1">
      <c r="A482" s="1">
        <v>481.0</v>
      </c>
      <c r="B482" s="2" t="s">
        <v>43</v>
      </c>
      <c r="C482" s="2" t="s">
        <v>69</v>
      </c>
      <c r="D482" s="13"/>
      <c r="E482" s="13"/>
      <c r="F482" s="44" t="s">
        <v>3121</v>
      </c>
      <c r="G482" s="43">
        <v>1.0</v>
      </c>
      <c r="H482" s="42"/>
      <c r="I482" s="42"/>
      <c r="J482" s="22"/>
      <c r="K482" s="42"/>
    </row>
    <row r="483" ht="39.75" customHeight="1">
      <c r="A483" s="1">
        <v>482.0</v>
      </c>
      <c r="B483" s="2" t="s">
        <v>45</v>
      </c>
      <c r="C483" s="2" t="s">
        <v>69</v>
      </c>
      <c r="D483" s="13"/>
      <c r="E483" s="13"/>
      <c r="F483" s="45"/>
      <c r="G483" s="42"/>
      <c r="H483" s="42"/>
      <c r="I483" s="42"/>
      <c r="J483" s="22"/>
      <c r="K483" s="42"/>
    </row>
    <row r="484" ht="39.75" customHeight="1">
      <c r="A484" s="1">
        <v>483.0</v>
      </c>
      <c r="B484" s="2" t="s">
        <v>46</v>
      </c>
      <c r="C484" s="2" t="s">
        <v>54</v>
      </c>
      <c r="D484" s="13"/>
      <c r="E484" s="13"/>
      <c r="F484" s="44" t="s">
        <v>3122</v>
      </c>
      <c r="G484" s="43">
        <v>1.0</v>
      </c>
      <c r="H484" s="42"/>
      <c r="I484" s="42"/>
      <c r="J484" s="22"/>
      <c r="K484" s="42"/>
    </row>
    <row r="485" ht="39.75" hidden="1" customHeight="1">
      <c r="A485" s="1">
        <v>484.0</v>
      </c>
      <c r="B485" s="2" t="s">
        <v>47</v>
      </c>
      <c r="C485" s="2" t="s">
        <v>58</v>
      </c>
      <c r="D485" s="13"/>
      <c r="E485" s="13"/>
      <c r="F485" s="45"/>
      <c r="G485" s="42"/>
      <c r="H485" s="42"/>
      <c r="I485" s="42"/>
      <c r="J485" s="22"/>
      <c r="K485" s="42"/>
    </row>
    <row r="486" ht="39.75" customHeight="1">
      <c r="A486" s="1">
        <v>485.0</v>
      </c>
      <c r="B486" s="2" t="s">
        <v>48</v>
      </c>
      <c r="C486" s="2" t="s">
        <v>39</v>
      </c>
      <c r="D486" s="13"/>
      <c r="E486" s="13"/>
      <c r="F486" s="44" t="s">
        <v>3123</v>
      </c>
      <c r="G486" s="43">
        <v>2.0</v>
      </c>
      <c r="H486" s="42"/>
      <c r="I486" s="43">
        <v>1.0</v>
      </c>
      <c r="J486" s="22"/>
      <c r="K486" s="42"/>
    </row>
    <row r="487" ht="39.75" customHeight="1">
      <c r="A487" s="1">
        <v>486.0</v>
      </c>
      <c r="B487" s="21"/>
      <c r="C487" s="21"/>
      <c r="D487" s="21"/>
      <c r="E487" s="21"/>
      <c r="F487" s="46"/>
      <c r="G487" s="47"/>
      <c r="H487" s="47"/>
      <c r="I487" s="47"/>
      <c r="J487" s="48"/>
      <c r="K487" s="47"/>
      <c r="L487" s="49"/>
      <c r="M487" s="49"/>
      <c r="N487" s="49"/>
    </row>
    <row r="488" ht="39.75" customHeight="1">
      <c r="A488" s="1">
        <v>487.0</v>
      </c>
      <c r="B488" s="2" t="s">
        <v>12</v>
      </c>
      <c r="C488" s="2" t="s">
        <v>62</v>
      </c>
      <c r="D488" s="13"/>
      <c r="E488" s="13"/>
      <c r="F488" s="44" t="s">
        <v>1543</v>
      </c>
      <c r="G488" s="43">
        <v>1.0</v>
      </c>
      <c r="H488" s="42"/>
      <c r="I488" s="43">
        <v>1.0</v>
      </c>
      <c r="J488" s="27" t="s">
        <v>2945</v>
      </c>
      <c r="K488" s="42"/>
      <c r="L488" s="15" t="s">
        <v>328</v>
      </c>
    </row>
    <row r="489" ht="39.75" customHeight="1">
      <c r="A489" s="1">
        <v>488.0</v>
      </c>
      <c r="B489" s="2" t="s">
        <v>16</v>
      </c>
      <c r="C489" s="2"/>
      <c r="D489" s="13"/>
      <c r="E489" s="13"/>
      <c r="F489" s="44" t="s">
        <v>3124</v>
      </c>
      <c r="G489" s="43">
        <v>1.0</v>
      </c>
      <c r="H489" s="42"/>
      <c r="I489" s="42"/>
      <c r="J489" s="27" t="s">
        <v>328</v>
      </c>
      <c r="K489" s="43"/>
    </row>
    <row r="490" ht="39.75" customHeight="1">
      <c r="A490" s="1">
        <v>489.0</v>
      </c>
      <c r="B490" s="2" t="s">
        <v>116</v>
      </c>
      <c r="C490" s="2"/>
      <c r="D490" s="53">
        <v>0.3541666666666667</v>
      </c>
      <c r="E490" s="13"/>
      <c r="F490" s="44" t="s">
        <v>3125</v>
      </c>
      <c r="G490" s="43">
        <v>1.0</v>
      </c>
      <c r="H490" s="42"/>
      <c r="I490" s="42"/>
      <c r="J490" s="27" t="s">
        <v>77</v>
      </c>
      <c r="K490" s="42"/>
    </row>
    <row r="491" ht="63.75" customHeight="1">
      <c r="A491" s="1">
        <v>490.0</v>
      </c>
      <c r="B491" s="2" t="s">
        <v>17</v>
      </c>
      <c r="C491" s="2" t="s">
        <v>69</v>
      </c>
      <c r="D491" s="13"/>
      <c r="E491" s="13"/>
      <c r="F491" s="44" t="s">
        <v>3126</v>
      </c>
      <c r="G491" s="43">
        <v>1.0</v>
      </c>
      <c r="H491" s="42"/>
      <c r="I491" s="42"/>
      <c r="J491" s="22"/>
      <c r="K491" s="42"/>
    </row>
    <row r="492" ht="39.75" hidden="1" customHeight="1">
      <c r="A492" s="1">
        <v>491.0</v>
      </c>
      <c r="B492" s="2" t="s">
        <v>331</v>
      </c>
      <c r="C492" s="2" t="s">
        <v>58</v>
      </c>
      <c r="D492" s="13"/>
      <c r="E492" s="13"/>
      <c r="F492" s="45"/>
      <c r="G492" s="42"/>
      <c r="H492" s="42"/>
      <c r="I492" s="42"/>
      <c r="J492" s="22"/>
      <c r="K492" s="42"/>
    </row>
    <row r="493" ht="39.75" customHeight="1">
      <c r="A493" s="1">
        <v>492.0</v>
      </c>
      <c r="B493" s="2" t="s">
        <v>21</v>
      </c>
      <c r="C493" s="2" t="s">
        <v>63</v>
      </c>
      <c r="D493" s="13"/>
      <c r="E493" s="13"/>
      <c r="F493" s="45"/>
      <c r="G493" s="42"/>
      <c r="H493" s="42"/>
      <c r="I493" s="42"/>
      <c r="J493" s="22"/>
      <c r="K493" s="42"/>
    </row>
    <row r="494" ht="39.75" customHeight="1">
      <c r="A494" s="1">
        <v>493.0</v>
      </c>
      <c r="B494" s="2" t="s">
        <v>22</v>
      </c>
      <c r="C494" s="2"/>
      <c r="D494" s="13"/>
      <c r="E494" s="13"/>
      <c r="F494" s="44" t="s">
        <v>3127</v>
      </c>
      <c r="G494" s="43">
        <v>2.0</v>
      </c>
      <c r="H494" s="42"/>
      <c r="I494" s="42"/>
      <c r="J494" s="22"/>
      <c r="K494" s="42"/>
    </row>
    <row r="495" ht="39.75" customHeight="1">
      <c r="A495" s="1">
        <v>494.0</v>
      </c>
      <c r="B495" s="2" t="s">
        <v>23</v>
      </c>
      <c r="C495" s="2" t="s">
        <v>69</v>
      </c>
      <c r="D495" s="13"/>
      <c r="E495" s="13"/>
      <c r="F495" s="45"/>
      <c r="G495" s="42"/>
      <c r="H495" s="42"/>
      <c r="I495" s="42"/>
      <c r="J495" s="22"/>
      <c r="K495" s="42"/>
    </row>
    <row r="496" ht="39.75" hidden="1" customHeight="1">
      <c r="A496" s="1">
        <v>495.0</v>
      </c>
      <c r="B496" s="2" t="s">
        <v>24</v>
      </c>
      <c r="C496" s="2" t="s">
        <v>58</v>
      </c>
      <c r="D496" s="13"/>
      <c r="E496" s="13"/>
      <c r="F496" s="45"/>
      <c r="G496" s="42"/>
      <c r="H496" s="42"/>
      <c r="I496" s="42"/>
      <c r="J496" s="22"/>
      <c r="K496" s="42"/>
    </row>
    <row r="497" ht="39.75" hidden="1" customHeight="1">
      <c r="A497" s="1">
        <v>496.0</v>
      </c>
      <c r="B497" s="2" t="s">
        <v>25</v>
      </c>
      <c r="C497" s="2" t="s">
        <v>58</v>
      </c>
      <c r="D497" s="13"/>
      <c r="E497" s="13"/>
      <c r="F497" s="45"/>
      <c r="G497" s="42"/>
      <c r="H497" s="42"/>
      <c r="I497" s="42"/>
      <c r="J497" s="22"/>
      <c r="K497" s="42"/>
    </row>
    <row r="498" ht="39.75" customHeight="1">
      <c r="A498" s="1">
        <v>497.0</v>
      </c>
      <c r="B498" s="2" t="s">
        <v>26</v>
      </c>
      <c r="C498" s="2" t="s">
        <v>54</v>
      </c>
      <c r="D498" s="13"/>
      <c r="E498" s="13"/>
      <c r="F498" s="44" t="s">
        <v>3128</v>
      </c>
      <c r="G498" s="43">
        <v>1.0</v>
      </c>
      <c r="H498" s="42"/>
      <c r="I498" s="42"/>
      <c r="J498" s="22"/>
      <c r="K498" s="42"/>
    </row>
    <row r="499" ht="60.0" customHeight="1">
      <c r="A499" s="1">
        <v>498.0</v>
      </c>
      <c r="B499" s="2" t="s">
        <v>29</v>
      </c>
      <c r="C499" s="2"/>
      <c r="D499" s="13"/>
      <c r="E499" s="13"/>
      <c r="F499" s="44" t="s">
        <v>3129</v>
      </c>
      <c r="G499" s="43">
        <v>1.0</v>
      </c>
      <c r="H499" s="42"/>
      <c r="I499" s="42"/>
      <c r="J499" s="22"/>
      <c r="K499" s="42"/>
    </row>
    <row r="500" ht="39.75" customHeight="1">
      <c r="A500" s="1">
        <v>499.0</v>
      </c>
      <c r="B500" s="2" t="s">
        <v>30</v>
      </c>
      <c r="C500" s="2" t="s">
        <v>64</v>
      </c>
      <c r="D500" s="13"/>
      <c r="E500" s="13"/>
      <c r="F500" s="44" t="s">
        <v>2592</v>
      </c>
      <c r="G500" s="43">
        <v>1.0</v>
      </c>
      <c r="H500" s="42"/>
      <c r="I500" s="43">
        <v>1.0</v>
      </c>
      <c r="J500" s="22"/>
      <c r="K500" s="42"/>
    </row>
    <row r="501" ht="39.75" hidden="1" customHeight="1">
      <c r="A501" s="1">
        <v>500.0</v>
      </c>
      <c r="B501" s="2" t="s">
        <v>31</v>
      </c>
      <c r="C501" s="2" t="s">
        <v>58</v>
      </c>
      <c r="D501" s="13"/>
      <c r="E501" s="13"/>
      <c r="F501" s="45"/>
      <c r="G501" s="42"/>
      <c r="H501" s="42"/>
      <c r="I501" s="42"/>
      <c r="J501" s="22"/>
      <c r="K501" s="42"/>
    </row>
    <row r="502" ht="39.75" customHeight="1">
      <c r="A502" s="1">
        <v>501.0</v>
      </c>
      <c r="B502" s="2" t="s">
        <v>32</v>
      </c>
      <c r="C502" s="2" t="s">
        <v>54</v>
      </c>
      <c r="D502" s="53">
        <v>0.3125</v>
      </c>
      <c r="E502" s="40">
        <v>0.7569444444444444</v>
      </c>
      <c r="F502" s="44" t="s">
        <v>3130</v>
      </c>
      <c r="G502" s="43">
        <v>1.0</v>
      </c>
      <c r="H502" s="43">
        <v>1.0</v>
      </c>
      <c r="I502" s="42"/>
      <c r="J502" s="22"/>
      <c r="K502" s="42"/>
    </row>
    <row r="503" ht="39.75" customHeight="1">
      <c r="A503" s="1">
        <v>502.0</v>
      </c>
      <c r="B503" s="2" t="s">
        <v>67</v>
      </c>
      <c r="C503" s="2" t="s">
        <v>54</v>
      </c>
      <c r="D503" s="13"/>
      <c r="E503" s="40">
        <v>0.7916666666666666</v>
      </c>
      <c r="F503" s="44" t="s">
        <v>3131</v>
      </c>
      <c r="G503" s="43">
        <v>1.0</v>
      </c>
      <c r="H503" s="43">
        <v>1.0</v>
      </c>
      <c r="I503" s="42"/>
      <c r="J503" s="22"/>
      <c r="K503" s="42"/>
    </row>
    <row r="504" ht="39.75" customHeight="1">
      <c r="A504" s="1">
        <v>503.0</v>
      </c>
      <c r="B504" s="2" t="s">
        <v>35</v>
      </c>
      <c r="C504" s="2" t="s">
        <v>44</v>
      </c>
      <c r="D504" s="13"/>
      <c r="E504" s="13"/>
      <c r="F504" s="45"/>
      <c r="G504" s="42"/>
      <c r="H504" s="42"/>
      <c r="I504" s="42"/>
      <c r="J504" s="22"/>
      <c r="K504" s="42"/>
    </row>
    <row r="505" ht="39.75" customHeight="1">
      <c r="A505" s="1">
        <v>504.0</v>
      </c>
      <c r="B505" s="2" t="s">
        <v>36</v>
      </c>
      <c r="C505" s="2"/>
      <c r="D505" s="13"/>
      <c r="E505" s="13"/>
      <c r="F505" s="45"/>
      <c r="G505" s="42"/>
      <c r="H505" s="42"/>
      <c r="I505" s="42"/>
      <c r="J505" s="22"/>
      <c r="K505" s="42"/>
    </row>
    <row r="506" ht="39.75" customHeight="1">
      <c r="A506" s="1">
        <v>505.0</v>
      </c>
      <c r="B506" s="2" t="s">
        <v>38</v>
      </c>
      <c r="C506" s="2" t="s">
        <v>69</v>
      </c>
      <c r="D506" s="13"/>
      <c r="E506" s="13"/>
      <c r="F506" s="44" t="s">
        <v>2770</v>
      </c>
      <c r="G506" s="43">
        <v>1.0</v>
      </c>
      <c r="H506" s="42"/>
      <c r="I506" s="43">
        <v>1.0</v>
      </c>
      <c r="J506" s="22"/>
      <c r="K506" s="42"/>
    </row>
    <row r="507" ht="39.75" hidden="1" customHeight="1">
      <c r="A507" s="1">
        <v>506.0</v>
      </c>
      <c r="B507" s="2" t="s">
        <v>41</v>
      </c>
      <c r="C507" s="2" t="s">
        <v>58</v>
      </c>
      <c r="D507" s="13"/>
      <c r="E507" s="13"/>
      <c r="F507" s="45"/>
      <c r="G507" s="42"/>
      <c r="H507" s="42"/>
      <c r="I507" s="42"/>
      <c r="J507" s="22"/>
      <c r="K507" s="42"/>
    </row>
    <row r="508" ht="39.75" customHeight="1">
      <c r="A508" s="1">
        <v>507.0</v>
      </c>
      <c r="B508" s="2" t="s">
        <v>42</v>
      </c>
      <c r="C508" s="2" t="s">
        <v>54</v>
      </c>
      <c r="D508" s="13"/>
      <c r="E508" s="13"/>
      <c r="F508" s="44" t="s">
        <v>3132</v>
      </c>
      <c r="G508" s="43">
        <v>1.0</v>
      </c>
      <c r="H508" s="42"/>
      <c r="I508" s="42"/>
      <c r="J508" s="22"/>
      <c r="K508" s="42"/>
    </row>
    <row r="509" ht="39.75" hidden="1" customHeight="1">
      <c r="A509" s="1">
        <v>508.0</v>
      </c>
      <c r="B509" s="2" t="s">
        <v>43</v>
      </c>
      <c r="C509" s="2" t="s">
        <v>66</v>
      </c>
      <c r="D509" s="13"/>
      <c r="E509" s="13"/>
      <c r="F509" s="45"/>
      <c r="G509" s="42"/>
      <c r="H509" s="42"/>
      <c r="I509" s="42"/>
      <c r="J509" s="22"/>
      <c r="K509" s="42"/>
    </row>
    <row r="510" ht="39.75" customHeight="1">
      <c r="A510" s="1">
        <v>509.0</v>
      </c>
      <c r="B510" s="2" t="s">
        <v>45</v>
      </c>
      <c r="C510" s="2" t="s">
        <v>3092</v>
      </c>
      <c r="D510" s="13"/>
      <c r="E510" s="40">
        <v>0.5833333333333334</v>
      </c>
      <c r="F510" s="44" t="s">
        <v>3133</v>
      </c>
      <c r="G510" s="43">
        <v>1.0</v>
      </c>
      <c r="H510" s="42"/>
      <c r="I510" s="43">
        <v>1.0</v>
      </c>
      <c r="J510" s="22"/>
      <c r="K510" s="42"/>
    </row>
    <row r="511" ht="39.75" customHeight="1">
      <c r="A511" s="1">
        <v>510.0</v>
      </c>
      <c r="B511" s="2" t="s">
        <v>46</v>
      </c>
      <c r="C511" s="2" t="s">
        <v>39</v>
      </c>
      <c r="D511" s="13"/>
      <c r="E511" s="13"/>
      <c r="F511" s="44" t="s">
        <v>2664</v>
      </c>
      <c r="G511" s="43">
        <v>1.0</v>
      </c>
      <c r="H511" s="42"/>
      <c r="I511" s="43">
        <v>1.0</v>
      </c>
      <c r="J511" s="22"/>
      <c r="K511" s="42"/>
    </row>
    <row r="512" ht="39.75" customHeight="1">
      <c r="A512" s="1">
        <v>511.0</v>
      </c>
      <c r="B512" s="2" t="s">
        <v>47</v>
      </c>
      <c r="C512" s="2" t="s">
        <v>39</v>
      </c>
      <c r="D512" s="13"/>
      <c r="E512" s="13"/>
      <c r="F512" s="44" t="s">
        <v>3134</v>
      </c>
      <c r="G512" s="43">
        <v>1.0</v>
      </c>
      <c r="H512" s="42"/>
      <c r="I512" s="42"/>
      <c r="J512" s="22"/>
      <c r="K512" s="42"/>
    </row>
    <row r="513" ht="39.75" customHeight="1">
      <c r="A513" s="1">
        <v>512.0</v>
      </c>
      <c r="B513" s="2" t="s">
        <v>48</v>
      </c>
      <c r="C513" s="2" t="s">
        <v>27</v>
      </c>
      <c r="D513" s="13"/>
      <c r="E513" s="13"/>
      <c r="F513" s="44" t="s">
        <v>3135</v>
      </c>
      <c r="G513" s="43">
        <v>2.0</v>
      </c>
      <c r="H513" s="42"/>
      <c r="I513" s="43">
        <v>2.0</v>
      </c>
      <c r="J513" s="22"/>
      <c r="K513" s="42"/>
    </row>
    <row r="514" ht="39.75" customHeight="1">
      <c r="A514" s="1">
        <v>513.0</v>
      </c>
      <c r="B514" s="21"/>
      <c r="C514" s="21"/>
      <c r="D514" s="21"/>
      <c r="E514" s="21"/>
      <c r="F514" s="46"/>
      <c r="G514" s="47"/>
      <c r="H514" s="47"/>
      <c r="I514" s="47"/>
      <c r="J514" s="48"/>
      <c r="K514" s="47"/>
      <c r="L514" s="49"/>
      <c r="M514" s="49"/>
      <c r="N514" s="49"/>
    </row>
    <row r="515" ht="39.75" customHeight="1">
      <c r="A515" s="1">
        <v>514.0</v>
      </c>
      <c r="B515" s="2" t="s">
        <v>12</v>
      </c>
      <c r="C515" s="2" t="s">
        <v>62</v>
      </c>
      <c r="D515" s="13"/>
      <c r="E515" s="13"/>
      <c r="F515" s="44"/>
      <c r="G515" s="42"/>
      <c r="H515" s="42"/>
      <c r="I515" s="42"/>
      <c r="J515" s="27" t="s">
        <v>2945</v>
      </c>
      <c r="K515" s="42"/>
      <c r="L515" s="15" t="s">
        <v>347</v>
      </c>
    </row>
    <row r="516" ht="39.75" customHeight="1">
      <c r="A516" s="1">
        <v>515.0</v>
      </c>
      <c r="B516" s="2" t="s">
        <v>16</v>
      </c>
      <c r="C516" s="2"/>
      <c r="D516" s="13"/>
      <c r="E516" s="13"/>
      <c r="F516" s="44" t="s">
        <v>3136</v>
      </c>
      <c r="G516" s="43">
        <v>1.0</v>
      </c>
      <c r="H516" s="42"/>
      <c r="I516" s="42"/>
      <c r="J516" s="27" t="s">
        <v>347</v>
      </c>
      <c r="K516" s="43"/>
    </row>
    <row r="517" ht="39.75" customHeight="1">
      <c r="A517" s="1">
        <v>516.0</v>
      </c>
      <c r="B517" s="2" t="s">
        <v>116</v>
      </c>
      <c r="C517" s="2"/>
      <c r="D517" s="13"/>
      <c r="E517" s="13"/>
      <c r="F517" s="44" t="s">
        <v>3137</v>
      </c>
      <c r="G517" s="43">
        <v>1.0</v>
      </c>
      <c r="H517" s="42"/>
      <c r="I517" s="43">
        <v>1.0</v>
      </c>
      <c r="J517" s="27" t="s">
        <v>95</v>
      </c>
      <c r="K517" s="42"/>
    </row>
    <row r="518" ht="39.75" customHeight="1">
      <c r="A518" s="1">
        <v>517.0</v>
      </c>
      <c r="B518" s="2" t="s">
        <v>17</v>
      </c>
      <c r="C518" s="2" t="s">
        <v>69</v>
      </c>
      <c r="D518" s="13"/>
      <c r="E518" s="13"/>
      <c r="F518" s="44" t="s">
        <v>3138</v>
      </c>
      <c r="G518" s="42"/>
      <c r="H518" s="42"/>
      <c r="I518" s="42"/>
      <c r="J518" s="22"/>
      <c r="K518" s="42"/>
    </row>
    <row r="519" ht="39.75" customHeight="1">
      <c r="A519" s="1">
        <v>518.0</v>
      </c>
      <c r="B519" s="2" t="s">
        <v>331</v>
      </c>
      <c r="C519" s="2" t="s">
        <v>542</v>
      </c>
      <c r="D519" s="13"/>
      <c r="E519" s="13"/>
      <c r="F519" s="44" t="s">
        <v>3139</v>
      </c>
      <c r="G519" s="43">
        <v>1.0</v>
      </c>
      <c r="H519" s="42"/>
      <c r="I519" s="42"/>
      <c r="J519" s="22"/>
      <c r="K519" s="42"/>
    </row>
    <row r="520" ht="39.75" customHeight="1">
      <c r="A520" s="1">
        <v>519.0</v>
      </c>
      <c r="B520" s="2" t="s">
        <v>21</v>
      </c>
      <c r="C520" s="2" t="s">
        <v>63</v>
      </c>
      <c r="D520" s="13"/>
      <c r="E520" s="13"/>
      <c r="F520" s="45"/>
      <c r="G520" s="42"/>
      <c r="H520" s="42"/>
      <c r="I520" s="42"/>
      <c r="J520" s="22"/>
      <c r="K520" s="42"/>
    </row>
    <row r="521" ht="39.75" hidden="1" customHeight="1">
      <c r="A521" s="1">
        <v>520.0</v>
      </c>
      <c r="B521" s="2" t="s">
        <v>22</v>
      </c>
      <c r="C521" s="2" t="s">
        <v>58</v>
      </c>
      <c r="D521" s="13"/>
      <c r="E521" s="13"/>
      <c r="F521" s="45"/>
      <c r="G521" s="42"/>
      <c r="H521" s="42"/>
      <c r="I521" s="42"/>
      <c r="J521" s="22"/>
      <c r="K521" s="42"/>
    </row>
    <row r="522" ht="39.75" customHeight="1">
      <c r="A522" s="1">
        <v>521.0</v>
      </c>
      <c r="B522" s="2" t="s">
        <v>23</v>
      </c>
      <c r="C522" s="2" t="s">
        <v>3092</v>
      </c>
      <c r="D522" s="13"/>
      <c r="E522" s="40">
        <v>0.5833333333333334</v>
      </c>
      <c r="F522" s="44" t="s">
        <v>3140</v>
      </c>
      <c r="G522" s="43">
        <v>1.0</v>
      </c>
      <c r="H522" s="42"/>
      <c r="I522" s="42"/>
      <c r="J522" s="22"/>
      <c r="K522" s="42"/>
    </row>
    <row r="523" ht="39.75" hidden="1" customHeight="1">
      <c r="A523" s="1">
        <v>522.0</v>
      </c>
      <c r="B523" s="2" t="s">
        <v>24</v>
      </c>
      <c r="C523" s="2" t="s">
        <v>58</v>
      </c>
      <c r="D523" s="13"/>
      <c r="E523" s="13"/>
      <c r="F523" s="45"/>
      <c r="G523" s="42"/>
      <c r="H523" s="42"/>
      <c r="I523" s="42"/>
      <c r="J523" s="22"/>
      <c r="K523" s="42"/>
    </row>
    <row r="524" ht="39.75" customHeight="1">
      <c r="A524" s="1">
        <v>523.0</v>
      </c>
      <c r="B524" s="2" t="s">
        <v>25</v>
      </c>
      <c r="C524" s="2" t="s">
        <v>39</v>
      </c>
      <c r="D524" s="13"/>
      <c r="E524" s="13"/>
      <c r="F524" s="44" t="s">
        <v>2691</v>
      </c>
      <c r="G524" s="43">
        <v>1.0</v>
      </c>
      <c r="H524" s="42"/>
      <c r="I524" s="43">
        <v>1.0</v>
      </c>
      <c r="J524" s="22"/>
      <c r="K524" s="42"/>
    </row>
    <row r="525" ht="39.75" customHeight="1">
      <c r="A525" s="1">
        <v>524.0</v>
      </c>
      <c r="B525" s="2" t="s">
        <v>26</v>
      </c>
      <c r="C525" s="2" t="s">
        <v>54</v>
      </c>
      <c r="D525" s="13"/>
      <c r="E525" s="51">
        <v>0.8854166666666666</v>
      </c>
      <c r="F525" s="44" t="s">
        <v>3141</v>
      </c>
      <c r="G525" s="43">
        <v>1.0</v>
      </c>
      <c r="H525" s="42"/>
      <c r="I525" s="42"/>
      <c r="J525" s="22"/>
      <c r="K525" s="42"/>
    </row>
    <row r="526" ht="39.75" customHeight="1">
      <c r="A526" s="1">
        <v>525.0</v>
      </c>
      <c r="B526" s="2" t="s">
        <v>29</v>
      </c>
      <c r="C526" s="2" t="s">
        <v>39</v>
      </c>
      <c r="D526" s="13"/>
      <c r="E526" s="13"/>
      <c r="F526" s="44" t="s">
        <v>3142</v>
      </c>
      <c r="G526" s="43">
        <v>1.0</v>
      </c>
      <c r="H526" s="42"/>
      <c r="I526" s="43">
        <v>1.0</v>
      </c>
      <c r="J526" s="22"/>
      <c r="K526" s="42"/>
    </row>
    <row r="527" ht="39.75" customHeight="1">
      <c r="A527" s="1">
        <v>526.0</v>
      </c>
      <c r="B527" s="2" t="s">
        <v>30</v>
      </c>
      <c r="C527" s="2" t="s">
        <v>64</v>
      </c>
      <c r="D527" s="13"/>
      <c r="E527" s="13"/>
      <c r="F527" s="44" t="s">
        <v>2592</v>
      </c>
      <c r="G527" s="43">
        <v>1.0</v>
      </c>
      <c r="H527" s="42"/>
      <c r="I527" s="43">
        <v>1.0</v>
      </c>
      <c r="J527" s="22"/>
      <c r="K527" s="42"/>
    </row>
    <row r="528" ht="39.75" customHeight="1">
      <c r="A528" s="1">
        <v>527.0</v>
      </c>
      <c r="B528" s="2" t="s">
        <v>31</v>
      </c>
      <c r="C528" s="13"/>
      <c r="D528" s="13"/>
      <c r="E528" s="13"/>
      <c r="F528" s="44" t="s">
        <v>3143</v>
      </c>
      <c r="G528" s="43">
        <v>1.0</v>
      </c>
      <c r="H528" s="42"/>
      <c r="I528" s="43">
        <v>1.0</v>
      </c>
      <c r="J528" s="22"/>
      <c r="K528" s="42"/>
    </row>
    <row r="529" ht="39.75" customHeight="1">
      <c r="A529" s="1">
        <v>528.0</v>
      </c>
      <c r="B529" s="2" t="s">
        <v>32</v>
      </c>
      <c r="C529" s="2" t="s">
        <v>54</v>
      </c>
      <c r="D529" s="13"/>
      <c r="E529" s="13"/>
      <c r="F529" s="44" t="s">
        <v>3130</v>
      </c>
      <c r="G529" s="43">
        <v>1.0</v>
      </c>
      <c r="H529" s="43">
        <v>1.0</v>
      </c>
      <c r="I529" s="42"/>
      <c r="J529" s="22"/>
      <c r="K529" s="42"/>
    </row>
    <row r="530" ht="39.75" customHeight="1">
      <c r="A530" s="1">
        <v>529.0</v>
      </c>
      <c r="B530" s="2" t="s">
        <v>67</v>
      </c>
      <c r="C530" s="2" t="s">
        <v>54</v>
      </c>
      <c r="D530" s="13"/>
      <c r="E530" s="13"/>
      <c r="F530" s="44" t="s">
        <v>3144</v>
      </c>
      <c r="G530" s="43">
        <v>1.0</v>
      </c>
      <c r="H530" s="42"/>
      <c r="I530" s="43">
        <v>1.0</v>
      </c>
      <c r="J530" s="22"/>
      <c r="K530" s="42"/>
    </row>
    <row r="531" ht="39.75" customHeight="1">
      <c r="A531" s="1">
        <v>530.0</v>
      </c>
      <c r="B531" s="2" t="s">
        <v>35</v>
      </c>
      <c r="C531" s="2"/>
      <c r="D531" s="13"/>
      <c r="E531" s="13"/>
      <c r="F531" s="44" t="s">
        <v>3145</v>
      </c>
      <c r="G531" s="43">
        <v>1.0</v>
      </c>
      <c r="H531" s="42"/>
      <c r="I531" s="42"/>
      <c r="J531" s="22"/>
      <c r="K531" s="42"/>
    </row>
    <row r="532" ht="39.75" hidden="1" customHeight="1">
      <c r="A532" s="1">
        <v>531.0</v>
      </c>
      <c r="B532" s="2" t="s">
        <v>36</v>
      </c>
      <c r="C532" s="2" t="s">
        <v>58</v>
      </c>
      <c r="D532" s="13"/>
      <c r="E532" s="13"/>
      <c r="F532" s="45"/>
      <c r="G532" s="42"/>
      <c r="H532" s="42"/>
      <c r="I532" s="42"/>
      <c r="J532" s="22"/>
      <c r="K532" s="42"/>
    </row>
    <row r="533" ht="39.75" customHeight="1">
      <c r="A533" s="1">
        <v>532.0</v>
      </c>
      <c r="B533" s="2" t="s">
        <v>38</v>
      </c>
      <c r="C533" s="2" t="s">
        <v>69</v>
      </c>
      <c r="D533" s="13"/>
      <c r="E533" s="13"/>
      <c r="F533" s="45"/>
      <c r="G533" s="42"/>
      <c r="H533" s="42"/>
      <c r="I533" s="42"/>
      <c r="J533" s="22"/>
      <c r="K533" s="42"/>
    </row>
    <row r="534" ht="39.75" hidden="1" customHeight="1">
      <c r="A534" s="1">
        <v>533.0</v>
      </c>
      <c r="B534" s="2" t="s">
        <v>41</v>
      </c>
      <c r="C534" s="2" t="s">
        <v>58</v>
      </c>
      <c r="D534" s="13"/>
      <c r="E534" s="13"/>
      <c r="F534" s="45"/>
      <c r="G534" s="42"/>
      <c r="H534" s="42"/>
      <c r="I534" s="42"/>
      <c r="J534" s="22"/>
      <c r="K534" s="42"/>
    </row>
    <row r="535" ht="39.75" customHeight="1">
      <c r="A535" s="1">
        <v>534.0</v>
      </c>
      <c r="B535" s="2" t="s">
        <v>42</v>
      </c>
      <c r="C535" s="2" t="s">
        <v>69</v>
      </c>
      <c r="D535" s="13"/>
      <c r="E535" s="13"/>
      <c r="F535" s="44" t="s">
        <v>2741</v>
      </c>
      <c r="G535" s="43">
        <v>1.0</v>
      </c>
      <c r="H535" s="42"/>
      <c r="I535" s="43">
        <v>1.0</v>
      </c>
      <c r="J535" s="22"/>
      <c r="K535" s="42"/>
    </row>
    <row r="536" ht="39.75" customHeight="1">
      <c r="A536" s="1">
        <v>535.0</v>
      </c>
      <c r="B536" s="2" t="s">
        <v>43</v>
      </c>
      <c r="C536" s="2"/>
      <c r="D536" s="13"/>
      <c r="E536" s="13"/>
      <c r="F536" s="44" t="s">
        <v>1331</v>
      </c>
      <c r="G536" s="43">
        <v>1.0</v>
      </c>
      <c r="H536" s="42"/>
      <c r="I536" s="43">
        <v>1.0</v>
      </c>
      <c r="J536" s="22"/>
      <c r="K536" s="42"/>
    </row>
    <row r="537" ht="39.75" customHeight="1">
      <c r="A537" s="1">
        <v>536.0</v>
      </c>
      <c r="B537" s="2" t="s">
        <v>45</v>
      </c>
      <c r="C537" s="2"/>
      <c r="D537" s="13"/>
      <c r="E537" s="13"/>
      <c r="F537" s="44" t="s">
        <v>3146</v>
      </c>
      <c r="G537" s="43">
        <v>2.0</v>
      </c>
      <c r="H537" s="42"/>
      <c r="I537" s="43">
        <v>1.0</v>
      </c>
      <c r="J537" s="22"/>
      <c r="K537" s="42"/>
    </row>
    <row r="538" ht="39.75" customHeight="1">
      <c r="A538" s="1">
        <v>537.0</v>
      </c>
      <c r="B538" s="2" t="s">
        <v>46</v>
      </c>
      <c r="C538" s="2" t="s">
        <v>54</v>
      </c>
      <c r="D538" s="53">
        <v>0.3125</v>
      </c>
      <c r="E538" s="58" t="s">
        <v>3147</v>
      </c>
      <c r="F538" s="44" t="s">
        <v>3148</v>
      </c>
      <c r="G538" s="43">
        <v>1.0</v>
      </c>
      <c r="H538" s="43">
        <v>1.0</v>
      </c>
      <c r="I538" s="42"/>
      <c r="J538" s="22"/>
      <c r="K538" s="42"/>
    </row>
    <row r="539" ht="39.75" customHeight="1">
      <c r="A539" s="1">
        <v>538.0</v>
      </c>
      <c r="B539" s="2" t="s">
        <v>47</v>
      </c>
      <c r="C539" s="2" t="s">
        <v>27</v>
      </c>
      <c r="D539" s="13"/>
      <c r="E539" s="13"/>
      <c r="F539" s="45"/>
      <c r="G539" s="42"/>
      <c r="H539" s="42"/>
      <c r="I539" s="42"/>
      <c r="J539" s="22"/>
      <c r="K539" s="42"/>
    </row>
    <row r="540" ht="39.75" customHeight="1">
      <c r="A540" s="1">
        <v>539.0</v>
      </c>
      <c r="B540" s="2" t="s">
        <v>48</v>
      </c>
      <c r="C540" s="2" t="s">
        <v>44</v>
      </c>
      <c r="D540" s="13"/>
      <c r="E540" s="13"/>
      <c r="F540" s="52" t="s">
        <v>3149</v>
      </c>
      <c r="G540" s="42"/>
      <c r="H540" s="42"/>
      <c r="I540" s="42"/>
      <c r="J540" s="22"/>
      <c r="K540" s="42"/>
    </row>
    <row r="541" ht="39.75" customHeight="1">
      <c r="A541" s="1">
        <v>540.0</v>
      </c>
      <c r="B541" s="21"/>
      <c r="C541" s="21"/>
      <c r="D541" s="21"/>
      <c r="E541" s="21"/>
      <c r="F541" s="46"/>
      <c r="G541" s="47"/>
      <c r="H541" s="47"/>
      <c r="I541" s="47"/>
      <c r="J541" s="48"/>
      <c r="K541" s="47"/>
      <c r="L541" s="49"/>
      <c r="M541" s="49"/>
      <c r="N541" s="49"/>
    </row>
    <row r="542" ht="39.75" customHeight="1">
      <c r="A542" s="1">
        <v>541.0</v>
      </c>
      <c r="B542" s="2" t="s">
        <v>12</v>
      </c>
      <c r="C542" s="2" t="s">
        <v>62</v>
      </c>
      <c r="D542" s="13"/>
      <c r="E542" s="13"/>
      <c r="F542" s="44" t="s">
        <v>1543</v>
      </c>
      <c r="G542" s="43">
        <v>1.0</v>
      </c>
      <c r="H542" s="42"/>
      <c r="I542" s="43">
        <v>1.0</v>
      </c>
      <c r="J542" s="27" t="s">
        <v>2945</v>
      </c>
      <c r="K542" s="42"/>
      <c r="L542" s="15" t="s">
        <v>362</v>
      </c>
    </row>
    <row r="543" ht="39.75" hidden="1" customHeight="1">
      <c r="A543" s="1">
        <v>542.0</v>
      </c>
      <c r="B543" s="2" t="s">
        <v>16</v>
      </c>
      <c r="C543" s="2" t="s">
        <v>58</v>
      </c>
      <c r="D543" s="13"/>
      <c r="E543" s="13"/>
      <c r="F543" s="45"/>
      <c r="G543" s="42"/>
      <c r="H543" s="42"/>
      <c r="I543" s="42"/>
      <c r="J543" s="27" t="s">
        <v>362</v>
      </c>
      <c r="K543" s="43"/>
    </row>
    <row r="544" ht="39.75" customHeight="1">
      <c r="A544" s="1">
        <v>543.0</v>
      </c>
      <c r="B544" s="2" t="s">
        <v>116</v>
      </c>
      <c r="C544" s="2"/>
      <c r="D544" s="53">
        <v>0.2708333333333333</v>
      </c>
      <c r="E544" s="13"/>
      <c r="F544" s="44" t="s">
        <v>3150</v>
      </c>
      <c r="G544" s="43">
        <v>2.0</v>
      </c>
      <c r="H544" s="42"/>
      <c r="I544" s="43">
        <v>2.0</v>
      </c>
      <c r="J544" s="27" t="s">
        <v>111</v>
      </c>
      <c r="K544" s="42"/>
    </row>
    <row r="545" ht="39.75" customHeight="1">
      <c r="A545" s="1">
        <v>544.0</v>
      </c>
      <c r="B545" s="2" t="s">
        <v>17</v>
      </c>
      <c r="C545" s="2" t="s">
        <v>39</v>
      </c>
      <c r="D545" s="53">
        <v>0.20833333333333334</v>
      </c>
      <c r="E545" s="13"/>
      <c r="F545" s="44" t="s">
        <v>3151</v>
      </c>
      <c r="G545" s="43">
        <v>1.0</v>
      </c>
      <c r="H545" s="42"/>
      <c r="I545" s="43">
        <v>1.0</v>
      </c>
      <c r="J545" s="22"/>
      <c r="K545" s="42"/>
    </row>
    <row r="546" ht="39.75" customHeight="1">
      <c r="A546" s="1">
        <v>545.0</v>
      </c>
      <c r="B546" s="2" t="s">
        <v>331</v>
      </c>
      <c r="C546" s="2" t="s">
        <v>542</v>
      </c>
      <c r="D546" s="13"/>
      <c r="E546" s="51">
        <v>0.8541666666666666</v>
      </c>
      <c r="F546" s="44" t="s">
        <v>3152</v>
      </c>
      <c r="G546" s="43">
        <v>2.0</v>
      </c>
      <c r="H546" s="42"/>
      <c r="I546" s="43">
        <v>1.0</v>
      </c>
      <c r="J546" s="22"/>
      <c r="K546" s="42"/>
    </row>
    <row r="547" ht="39.75" customHeight="1">
      <c r="A547" s="1">
        <v>546.0</v>
      </c>
      <c r="B547" s="2" t="s">
        <v>21</v>
      </c>
      <c r="C547" s="2" t="s">
        <v>63</v>
      </c>
      <c r="D547" s="13"/>
      <c r="E547" s="13"/>
      <c r="F547" s="45"/>
      <c r="G547" s="42"/>
      <c r="H547" s="42"/>
      <c r="I547" s="42"/>
      <c r="J547" s="22"/>
      <c r="K547" s="42"/>
    </row>
    <row r="548" ht="39.75" customHeight="1">
      <c r="A548" s="1">
        <v>547.0</v>
      </c>
      <c r="B548" s="2" t="s">
        <v>22</v>
      </c>
      <c r="C548" s="2" t="s">
        <v>69</v>
      </c>
      <c r="D548" s="13"/>
      <c r="E548" s="40">
        <v>0.8125</v>
      </c>
      <c r="F548" s="44" t="s">
        <v>3153</v>
      </c>
      <c r="G548" s="43">
        <v>1.0</v>
      </c>
      <c r="H548" s="42"/>
      <c r="I548" s="42"/>
      <c r="J548" s="22"/>
      <c r="K548" s="42"/>
    </row>
    <row r="549" ht="39.75" customHeight="1">
      <c r="A549" s="1">
        <v>548.0</v>
      </c>
      <c r="B549" s="2" t="s">
        <v>23</v>
      </c>
      <c r="C549" s="13"/>
      <c r="D549" s="13"/>
      <c r="E549" s="13"/>
      <c r="F549" s="44" t="s">
        <v>3154</v>
      </c>
      <c r="G549" s="43">
        <v>1.0</v>
      </c>
      <c r="H549" s="42"/>
      <c r="I549" s="43">
        <v>1.0</v>
      </c>
      <c r="J549" s="22"/>
      <c r="K549" s="42"/>
    </row>
    <row r="550" ht="39.75" hidden="1" customHeight="1">
      <c r="A550" s="1">
        <v>549.0</v>
      </c>
      <c r="B550" s="2" t="s">
        <v>24</v>
      </c>
      <c r="C550" s="2" t="s">
        <v>66</v>
      </c>
      <c r="D550" s="13"/>
      <c r="E550" s="13"/>
      <c r="F550" s="45"/>
      <c r="G550" s="42"/>
      <c r="H550" s="42"/>
      <c r="I550" s="42"/>
      <c r="J550" s="22"/>
      <c r="K550" s="42"/>
    </row>
    <row r="551" ht="39.75" customHeight="1">
      <c r="A551" s="1">
        <v>550.0</v>
      </c>
      <c r="B551" s="2" t="s">
        <v>25</v>
      </c>
      <c r="C551" s="2"/>
      <c r="D551" s="53">
        <v>0.3472222222222222</v>
      </c>
      <c r="E551" s="13"/>
      <c r="F551" s="44" t="s">
        <v>3155</v>
      </c>
      <c r="G551" s="43">
        <v>2.0</v>
      </c>
      <c r="H551" s="42"/>
      <c r="I551" s="43">
        <v>2.0</v>
      </c>
      <c r="J551" s="22"/>
      <c r="K551" s="42"/>
    </row>
    <row r="552" ht="39.75" customHeight="1">
      <c r="A552" s="1">
        <v>551.0</v>
      </c>
      <c r="B552" s="2" t="s">
        <v>26</v>
      </c>
      <c r="C552" s="2" t="s">
        <v>54</v>
      </c>
      <c r="D552" s="53">
        <v>0.3229166666666667</v>
      </c>
      <c r="E552" s="13"/>
      <c r="F552" s="44" t="s">
        <v>3141</v>
      </c>
      <c r="G552" s="43">
        <v>1.0</v>
      </c>
      <c r="H552" s="42"/>
      <c r="I552" s="43"/>
      <c r="J552" s="22"/>
      <c r="K552" s="42"/>
    </row>
    <row r="553" ht="39.75" hidden="1" customHeight="1">
      <c r="A553" s="1">
        <v>552.0</v>
      </c>
      <c r="B553" s="2" t="s">
        <v>29</v>
      </c>
      <c r="C553" s="2" t="s">
        <v>66</v>
      </c>
      <c r="D553" s="13"/>
      <c r="E553" s="13"/>
      <c r="F553" s="45"/>
      <c r="G553" s="42"/>
      <c r="H553" s="42"/>
      <c r="I553" s="42"/>
      <c r="J553" s="22"/>
      <c r="K553" s="42"/>
    </row>
    <row r="554" ht="39.75" customHeight="1">
      <c r="A554" s="1">
        <v>553.0</v>
      </c>
      <c r="B554" s="2" t="s">
        <v>30</v>
      </c>
      <c r="C554" s="2" t="s">
        <v>64</v>
      </c>
      <c r="D554" s="13"/>
      <c r="E554" s="13"/>
      <c r="F554" s="44" t="s">
        <v>2592</v>
      </c>
      <c r="G554" s="43">
        <v>1.0</v>
      </c>
      <c r="H554" s="42"/>
      <c r="I554" s="43">
        <v>1.0</v>
      </c>
      <c r="J554" s="22"/>
      <c r="K554" s="42"/>
    </row>
    <row r="555" ht="39.75" customHeight="1">
      <c r="A555" s="1">
        <v>554.0</v>
      </c>
      <c r="B555" s="2" t="s">
        <v>31</v>
      </c>
      <c r="C555" s="2" t="s">
        <v>69</v>
      </c>
      <c r="D555" s="13"/>
      <c r="E555" s="13"/>
      <c r="F555" s="44" t="s">
        <v>3156</v>
      </c>
      <c r="G555" s="43">
        <v>1.0</v>
      </c>
      <c r="H555" s="42"/>
      <c r="I555" s="42"/>
      <c r="J555" s="22"/>
      <c r="K555" s="42"/>
    </row>
    <row r="556" ht="39.75" customHeight="1">
      <c r="A556" s="1">
        <v>555.0</v>
      </c>
      <c r="B556" s="2" t="s">
        <v>32</v>
      </c>
      <c r="C556" s="2" t="s">
        <v>54</v>
      </c>
      <c r="D556" s="13"/>
      <c r="E556" s="13"/>
      <c r="F556" s="44" t="s">
        <v>3157</v>
      </c>
      <c r="G556" s="43">
        <v>3.0</v>
      </c>
      <c r="H556" s="42"/>
      <c r="I556" s="43">
        <v>1.0</v>
      </c>
      <c r="J556" s="22"/>
      <c r="K556" s="42"/>
    </row>
    <row r="557" ht="39.75" customHeight="1">
      <c r="A557" s="1">
        <v>556.0</v>
      </c>
      <c r="B557" s="2" t="s">
        <v>67</v>
      </c>
      <c r="C557" s="2" t="s">
        <v>54</v>
      </c>
      <c r="D557" s="53">
        <v>0.3541666666666667</v>
      </c>
      <c r="E557" s="13"/>
      <c r="F557" s="44" t="s">
        <v>3158</v>
      </c>
      <c r="G557" s="43">
        <v>2.0</v>
      </c>
      <c r="H557" s="42"/>
      <c r="I557" s="42"/>
      <c r="J557" s="22"/>
      <c r="K557" s="42"/>
    </row>
    <row r="558" ht="39.75" customHeight="1">
      <c r="A558" s="1">
        <v>557.0</v>
      </c>
      <c r="B558" s="2" t="s">
        <v>35</v>
      </c>
      <c r="C558" s="2" t="s">
        <v>39</v>
      </c>
      <c r="D558" s="13"/>
      <c r="E558" s="13"/>
      <c r="F558" s="44" t="s">
        <v>2755</v>
      </c>
      <c r="G558" s="43">
        <v>1.0</v>
      </c>
      <c r="H558" s="42"/>
      <c r="I558" s="43">
        <v>1.0</v>
      </c>
      <c r="J558" s="22"/>
      <c r="K558" s="42"/>
    </row>
    <row r="559" ht="39.75" customHeight="1">
      <c r="A559" s="1">
        <v>558.0</v>
      </c>
      <c r="B559" s="2" t="s">
        <v>36</v>
      </c>
      <c r="C559" s="2" t="s">
        <v>27</v>
      </c>
      <c r="D559" s="13"/>
      <c r="E559" s="13"/>
      <c r="F559" s="44" t="s">
        <v>3159</v>
      </c>
      <c r="G559" s="43">
        <v>1.0</v>
      </c>
      <c r="H559" s="42"/>
      <c r="I559" s="42"/>
      <c r="J559" s="22"/>
      <c r="K559" s="42"/>
    </row>
    <row r="560" ht="39.75" hidden="1" customHeight="1">
      <c r="A560" s="1">
        <v>559.0</v>
      </c>
      <c r="B560" s="2" t="s">
        <v>38</v>
      </c>
      <c r="C560" s="2" t="s">
        <v>58</v>
      </c>
      <c r="D560" s="13"/>
      <c r="E560" s="13"/>
      <c r="F560" s="45"/>
      <c r="G560" s="42"/>
      <c r="H560" s="42"/>
      <c r="I560" s="42"/>
      <c r="J560" s="22"/>
      <c r="K560" s="42"/>
    </row>
    <row r="561" ht="39.75" hidden="1" customHeight="1">
      <c r="A561" s="1">
        <v>560.0</v>
      </c>
      <c r="B561" s="2" t="s">
        <v>41</v>
      </c>
      <c r="C561" s="2" t="s">
        <v>58</v>
      </c>
      <c r="D561" s="13"/>
      <c r="E561" s="13"/>
      <c r="F561" s="45"/>
      <c r="G561" s="42"/>
      <c r="H561" s="42"/>
      <c r="I561" s="42"/>
      <c r="J561" s="22"/>
      <c r="K561" s="42"/>
    </row>
    <row r="562" ht="39.75" customHeight="1">
      <c r="A562" s="1">
        <v>561.0</v>
      </c>
      <c r="B562" s="2" t="s">
        <v>42</v>
      </c>
      <c r="C562" s="2"/>
      <c r="D562" s="13"/>
      <c r="E562" s="13"/>
      <c r="F562" s="44" t="s">
        <v>3160</v>
      </c>
      <c r="G562" s="43">
        <v>1.0</v>
      </c>
      <c r="H562" s="42"/>
      <c r="I562" s="42"/>
      <c r="J562" s="22"/>
      <c r="K562" s="42"/>
    </row>
    <row r="563" ht="39.75" hidden="1" customHeight="1">
      <c r="A563" s="1">
        <v>562.0</v>
      </c>
      <c r="B563" s="2" t="s">
        <v>43</v>
      </c>
      <c r="C563" s="2" t="s">
        <v>58</v>
      </c>
      <c r="D563" s="13"/>
      <c r="E563" s="13"/>
      <c r="F563" s="45"/>
      <c r="G563" s="42"/>
      <c r="H563" s="42"/>
      <c r="I563" s="42"/>
      <c r="J563" s="22"/>
      <c r="K563" s="42"/>
    </row>
    <row r="564" ht="39.75" customHeight="1">
      <c r="A564" s="1">
        <v>563.0</v>
      </c>
      <c r="B564" s="2" t="s">
        <v>45</v>
      </c>
      <c r="C564" s="2" t="s">
        <v>69</v>
      </c>
      <c r="D564" s="13"/>
      <c r="E564" s="13"/>
      <c r="F564" s="44" t="s">
        <v>2755</v>
      </c>
      <c r="G564" s="43">
        <v>1.0</v>
      </c>
      <c r="H564" s="42"/>
      <c r="I564" s="43">
        <v>1.0</v>
      </c>
      <c r="J564" s="22"/>
      <c r="K564" s="42"/>
    </row>
    <row r="565" ht="39.75" customHeight="1">
      <c r="A565" s="1">
        <v>564.0</v>
      </c>
      <c r="B565" s="2" t="s">
        <v>46</v>
      </c>
      <c r="C565" s="2" t="s">
        <v>54</v>
      </c>
      <c r="D565" s="53">
        <v>0.20833333333333334</v>
      </c>
      <c r="E565" s="13"/>
      <c r="F565" s="44" t="s">
        <v>3148</v>
      </c>
      <c r="G565" s="43">
        <v>1.0</v>
      </c>
      <c r="H565" s="43">
        <v>1.0</v>
      </c>
      <c r="I565" s="42"/>
      <c r="J565" s="22"/>
      <c r="K565" s="42"/>
    </row>
    <row r="566" ht="39.75" customHeight="1">
      <c r="A566" s="1">
        <v>565.0</v>
      </c>
      <c r="B566" s="2" t="s">
        <v>47</v>
      </c>
      <c r="C566" s="2" t="s">
        <v>44</v>
      </c>
      <c r="D566" s="13"/>
      <c r="E566" s="13"/>
      <c r="F566" s="45"/>
      <c r="G566" s="42"/>
      <c r="H566" s="42"/>
      <c r="I566" s="42"/>
      <c r="J566" s="22"/>
      <c r="K566" s="42"/>
    </row>
    <row r="567" ht="39.75" customHeight="1">
      <c r="A567" s="1">
        <v>566.0</v>
      </c>
      <c r="B567" s="2" t="s">
        <v>48</v>
      </c>
      <c r="C567" s="2"/>
      <c r="D567" s="13"/>
      <c r="E567" s="13"/>
      <c r="F567" s="44" t="s">
        <v>3161</v>
      </c>
      <c r="G567" s="43">
        <v>2.0</v>
      </c>
      <c r="H567" s="42"/>
      <c r="I567" s="42"/>
      <c r="J567" s="22"/>
      <c r="K567" s="42"/>
    </row>
    <row r="568" ht="39.75" customHeight="1">
      <c r="A568" s="1">
        <v>567.0</v>
      </c>
      <c r="B568" s="21"/>
      <c r="C568" s="21"/>
      <c r="D568" s="21"/>
      <c r="E568" s="21"/>
      <c r="F568" s="46"/>
      <c r="G568" s="47"/>
      <c r="H568" s="47"/>
      <c r="I568" s="47"/>
      <c r="J568" s="48"/>
      <c r="K568" s="47"/>
      <c r="L568" s="49"/>
      <c r="M568" s="49"/>
      <c r="N568" s="49"/>
    </row>
    <row r="569" ht="39.75" customHeight="1">
      <c r="A569" s="1">
        <v>568.0</v>
      </c>
      <c r="B569" s="2" t="s">
        <v>12</v>
      </c>
      <c r="C569" s="2" t="s">
        <v>62</v>
      </c>
      <c r="D569" s="13"/>
      <c r="E569" s="13"/>
      <c r="F569" s="45"/>
      <c r="G569" s="42"/>
      <c r="H569" s="42"/>
      <c r="I569" s="42"/>
      <c r="J569" s="27" t="s">
        <v>2945</v>
      </c>
      <c r="K569" s="42"/>
      <c r="L569" s="15" t="s">
        <v>369</v>
      </c>
    </row>
    <row r="570" ht="39.75" hidden="1" customHeight="1">
      <c r="A570" s="1">
        <v>569.0</v>
      </c>
      <c r="B570" s="2" t="s">
        <v>16</v>
      </c>
      <c r="C570" s="2" t="s">
        <v>58</v>
      </c>
      <c r="D570" s="13"/>
      <c r="E570" s="13"/>
      <c r="F570" s="45"/>
      <c r="G570" s="42"/>
      <c r="H570" s="42"/>
      <c r="I570" s="42"/>
      <c r="J570" s="27" t="s">
        <v>369</v>
      </c>
      <c r="K570" s="43"/>
    </row>
    <row r="571" ht="39.75" customHeight="1">
      <c r="A571" s="1">
        <v>570.0</v>
      </c>
      <c r="B571" s="2" t="s">
        <v>116</v>
      </c>
      <c r="C571" s="2"/>
      <c r="D571" s="13"/>
      <c r="E571" s="13"/>
      <c r="F571" s="44" t="s">
        <v>3160</v>
      </c>
      <c r="G571" s="43">
        <v>1.0</v>
      </c>
      <c r="H571" s="42"/>
      <c r="I571" s="42"/>
      <c r="J571" s="27" t="s">
        <v>131</v>
      </c>
      <c r="K571" s="42"/>
    </row>
    <row r="572" ht="39.75" customHeight="1">
      <c r="A572" s="1">
        <v>571.0</v>
      </c>
      <c r="B572" s="2" t="s">
        <v>17</v>
      </c>
      <c r="C572" s="2" t="s">
        <v>69</v>
      </c>
      <c r="D572" s="13"/>
      <c r="E572" s="13"/>
      <c r="F572" s="44" t="s">
        <v>3162</v>
      </c>
      <c r="G572" s="43">
        <v>1.0</v>
      </c>
      <c r="H572" s="42"/>
      <c r="I572" s="43">
        <v>1.0</v>
      </c>
      <c r="J572" s="22"/>
      <c r="K572" s="42"/>
    </row>
    <row r="573" ht="39.75" customHeight="1">
      <c r="A573" s="1">
        <v>572.0</v>
      </c>
      <c r="B573" s="2" t="s">
        <v>331</v>
      </c>
      <c r="C573" s="2" t="s">
        <v>542</v>
      </c>
      <c r="D573" s="13"/>
      <c r="E573" s="13"/>
      <c r="F573" s="44" t="s">
        <v>3163</v>
      </c>
      <c r="G573" s="43">
        <v>1.0</v>
      </c>
      <c r="H573" s="42"/>
      <c r="I573" s="42"/>
      <c r="J573" s="22"/>
      <c r="K573" s="42"/>
    </row>
    <row r="574" ht="39.75" customHeight="1">
      <c r="A574" s="1">
        <v>573.0</v>
      </c>
      <c r="B574" s="2" t="s">
        <v>21</v>
      </c>
      <c r="C574" s="2" t="s">
        <v>63</v>
      </c>
      <c r="D574" s="13"/>
      <c r="E574" s="13"/>
      <c r="F574" s="45"/>
      <c r="G574" s="42"/>
      <c r="H574" s="42"/>
      <c r="I574" s="42"/>
      <c r="J574" s="22"/>
      <c r="K574" s="42"/>
    </row>
    <row r="575" ht="39.75" customHeight="1">
      <c r="A575" s="1">
        <v>574.0</v>
      </c>
      <c r="B575" s="2" t="s">
        <v>22</v>
      </c>
      <c r="C575" s="2" t="s">
        <v>39</v>
      </c>
      <c r="D575" s="13"/>
      <c r="E575" s="13"/>
      <c r="F575" s="44" t="s">
        <v>3153</v>
      </c>
      <c r="G575" s="43">
        <v>1.0</v>
      </c>
      <c r="H575" s="42"/>
      <c r="I575" s="42"/>
      <c r="J575" s="22"/>
      <c r="K575" s="42"/>
    </row>
    <row r="576" ht="70.5" customHeight="1">
      <c r="A576" s="1">
        <v>575.0</v>
      </c>
      <c r="B576" s="2" t="s">
        <v>23</v>
      </c>
      <c r="C576" s="2" t="s">
        <v>27</v>
      </c>
      <c r="D576" s="13"/>
      <c r="E576" s="13"/>
      <c r="F576" s="44" t="s">
        <v>3164</v>
      </c>
      <c r="G576" s="43">
        <v>2.0</v>
      </c>
      <c r="H576" s="42"/>
      <c r="I576" s="42"/>
      <c r="J576" s="22"/>
      <c r="K576" s="42"/>
    </row>
    <row r="577" ht="39.75" customHeight="1">
      <c r="A577" s="1">
        <v>576.0</v>
      </c>
      <c r="B577" s="2" t="s">
        <v>24</v>
      </c>
      <c r="C577" s="2" t="s">
        <v>3165</v>
      </c>
      <c r="D577" s="13"/>
      <c r="E577" s="13"/>
      <c r="F577" s="44" t="s">
        <v>3166</v>
      </c>
      <c r="G577" s="42"/>
      <c r="H577" s="42"/>
      <c r="I577" s="42"/>
      <c r="J577" s="22"/>
      <c r="K577" s="42"/>
    </row>
    <row r="578" ht="73.5" customHeight="1">
      <c r="A578" s="1">
        <v>577.0</v>
      </c>
      <c r="B578" s="2" t="s">
        <v>25</v>
      </c>
      <c r="C578" s="2" t="s">
        <v>69</v>
      </c>
      <c r="D578" s="13"/>
      <c r="E578" s="13"/>
      <c r="F578" s="44" t="s">
        <v>3167</v>
      </c>
      <c r="G578" s="43">
        <v>1.0</v>
      </c>
      <c r="H578" s="42"/>
      <c r="I578" s="42"/>
      <c r="J578" s="22"/>
      <c r="K578" s="42"/>
    </row>
    <row r="579" ht="39.75" customHeight="1">
      <c r="A579" s="1">
        <v>578.0</v>
      </c>
      <c r="B579" s="2" t="s">
        <v>26</v>
      </c>
      <c r="C579" s="2" t="s">
        <v>54</v>
      </c>
      <c r="D579" s="53">
        <v>0.3541666666666667</v>
      </c>
      <c r="E579" s="13"/>
      <c r="F579" s="44" t="s">
        <v>3168</v>
      </c>
      <c r="G579" s="43">
        <v>1.0</v>
      </c>
      <c r="H579" s="42"/>
      <c r="I579" s="42"/>
      <c r="J579" s="22"/>
      <c r="K579" s="42"/>
    </row>
    <row r="580" ht="39.75" hidden="1" customHeight="1">
      <c r="A580" s="1">
        <v>579.0</v>
      </c>
      <c r="B580" s="2" t="s">
        <v>29</v>
      </c>
      <c r="C580" s="2" t="s">
        <v>58</v>
      </c>
      <c r="D580" s="13"/>
      <c r="E580" s="13"/>
      <c r="F580" s="45"/>
      <c r="G580" s="42"/>
      <c r="H580" s="42"/>
      <c r="I580" s="42"/>
      <c r="J580" s="22"/>
      <c r="K580" s="42"/>
    </row>
    <row r="581" ht="39.75" hidden="1" customHeight="1">
      <c r="A581" s="1">
        <v>580.0</v>
      </c>
      <c r="B581" s="2" t="s">
        <v>30</v>
      </c>
      <c r="C581" s="2" t="s">
        <v>58</v>
      </c>
      <c r="D581" s="13"/>
      <c r="E581" s="13"/>
      <c r="F581" s="45"/>
      <c r="G581" s="42"/>
      <c r="H581" s="42"/>
      <c r="I581" s="42"/>
      <c r="J581" s="22"/>
      <c r="K581" s="42"/>
    </row>
    <row r="582" ht="39.75" customHeight="1">
      <c r="A582" s="1">
        <v>581.0</v>
      </c>
      <c r="B582" s="2" t="s">
        <v>31</v>
      </c>
      <c r="C582" s="13"/>
      <c r="D582" s="13"/>
      <c r="E582" s="13"/>
      <c r="F582" s="44" t="s">
        <v>3169</v>
      </c>
      <c r="G582" s="43">
        <v>1.0</v>
      </c>
      <c r="H582" s="42"/>
      <c r="I582" s="43">
        <v>1.0</v>
      </c>
      <c r="J582" s="22"/>
      <c r="K582" s="42"/>
    </row>
    <row r="583" ht="39.75" customHeight="1">
      <c r="A583" s="1">
        <v>582.0</v>
      </c>
      <c r="B583" s="2" t="s">
        <v>32</v>
      </c>
      <c r="C583" s="2"/>
      <c r="D583" s="13"/>
      <c r="E583" s="13"/>
      <c r="F583" s="44" t="s">
        <v>3170</v>
      </c>
      <c r="G583" s="43">
        <v>1.0</v>
      </c>
      <c r="H583" s="42"/>
      <c r="I583" s="43">
        <v>1.0</v>
      </c>
      <c r="J583" s="22"/>
      <c r="K583" s="42"/>
    </row>
    <row r="584" ht="39.75" customHeight="1">
      <c r="A584" s="1">
        <v>583.0</v>
      </c>
      <c r="B584" s="2" t="s">
        <v>67</v>
      </c>
      <c r="C584" s="2" t="s">
        <v>54</v>
      </c>
      <c r="D584" s="13"/>
      <c r="E584" s="13"/>
      <c r="F584" s="44" t="s">
        <v>3171</v>
      </c>
      <c r="G584" s="43">
        <v>1.0</v>
      </c>
      <c r="H584" s="42"/>
      <c r="I584" s="42"/>
      <c r="J584" s="22"/>
      <c r="K584" s="42"/>
    </row>
    <row r="585" ht="39.75" customHeight="1">
      <c r="A585" s="1">
        <v>584.0</v>
      </c>
      <c r="B585" s="2" t="s">
        <v>35</v>
      </c>
      <c r="C585" s="2" t="s">
        <v>69</v>
      </c>
      <c r="D585" s="13"/>
      <c r="E585" s="13"/>
      <c r="F585" s="44" t="s">
        <v>3172</v>
      </c>
      <c r="G585" s="43">
        <v>1.0</v>
      </c>
      <c r="H585" s="42"/>
      <c r="I585" s="42"/>
      <c r="J585" s="22"/>
      <c r="K585" s="42"/>
    </row>
    <row r="586" ht="39.75" customHeight="1">
      <c r="A586" s="1">
        <v>585.0</v>
      </c>
      <c r="B586" s="2" t="s">
        <v>36</v>
      </c>
      <c r="C586" s="2" t="s">
        <v>44</v>
      </c>
      <c r="D586" s="13"/>
      <c r="E586" s="13"/>
      <c r="F586" s="45"/>
      <c r="G586" s="42"/>
      <c r="H586" s="42"/>
      <c r="I586" s="42"/>
      <c r="J586" s="22"/>
      <c r="K586" s="42"/>
    </row>
    <row r="587" ht="39.75" customHeight="1">
      <c r="A587" s="1">
        <v>586.0</v>
      </c>
      <c r="B587" s="2" t="s">
        <v>38</v>
      </c>
      <c r="C587" s="2"/>
      <c r="D587" s="53">
        <v>0.3333333333333333</v>
      </c>
      <c r="E587" s="13"/>
      <c r="F587" s="44" t="s">
        <v>3173</v>
      </c>
      <c r="G587" s="43">
        <v>2.0</v>
      </c>
      <c r="H587" s="42"/>
      <c r="I587" s="42"/>
      <c r="J587" s="22"/>
      <c r="K587" s="42"/>
    </row>
    <row r="588" ht="39.75" hidden="1" customHeight="1">
      <c r="A588" s="1">
        <v>587.0</v>
      </c>
      <c r="B588" s="2" t="s">
        <v>41</v>
      </c>
      <c r="C588" s="2" t="s">
        <v>58</v>
      </c>
      <c r="D588" s="13"/>
      <c r="E588" s="13"/>
      <c r="F588" s="45"/>
      <c r="G588" s="42"/>
      <c r="H588" s="42"/>
      <c r="I588" s="42"/>
      <c r="J588" s="22"/>
      <c r="K588" s="42"/>
    </row>
    <row r="589" ht="39.75" customHeight="1">
      <c r="A589" s="1">
        <v>588.0</v>
      </c>
      <c r="B589" s="2" t="s">
        <v>42</v>
      </c>
      <c r="C589" s="2"/>
      <c r="D589" s="13"/>
      <c r="E589" s="13"/>
      <c r="F589" s="44" t="s">
        <v>1285</v>
      </c>
      <c r="G589" s="43">
        <v>1.0</v>
      </c>
      <c r="H589" s="42"/>
      <c r="I589" s="43">
        <v>1.0</v>
      </c>
      <c r="J589" s="22"/>
      <c r="K589" s="42"/>
    </row>
    <row r="590" ht="39.75" customHeight="1">
      <c r="A590" s="1">
        <v>589.0</v>
      </c>
      <c r="B590" s="2" t="s">
        <v>43</v>
      </c>
      <c r="C590" s="2" t="s">
        <v>54</v>
      </c>
      <c r="D590" s="53">
        <v>0.3125</v>
      </c>
      <c r="E590" s="13"/>
      <c r="F590" s="44" t="s">
        <v>3174</v>
      </c>
      <c r="G590" s="43">
        <v>1.0</v>
      </c>
      <c r="H590" s="42"/>
      <c r="I590" s="43">
        <v>1.0</v>
      </c>
      <c r="J590" s="22"/>
      <c r="K590" s="42"/>
    </row>
    <row r="591" ht="39.75" customHeight="1">
      <c r="A591" s="1">
        <v>590.0</v>
      </c>
      <c r="B591" s="2" t="s">
        <v>45</v>
      </c>
      <c r="C591" s="2" t="s">
        <v>39</v>
      </c>
      <c r="D591" s="13"/>
      <c r="E591" s="13"/>
      <c r="F591" s="44" t="s">
        <v>2691</v>
      </c>
      <c r="G591" s="43">
        <v>1.0</v>
      </c>
      <c r="H591" s="42"/>
      <c r="I591" s="43">
        <v>1.0</v>
      </c>
      <c r="J591" s="22"/>
      <c r="K591" s="42"/>
    </row>
    <row r="592" ht="39.75" customHeight="1">
      <c r="A592" s="1">
        <v>591.0</v>
      </c>
      <c r="B592" s="2" t="s">
        <v>46</v>
      </c>
      <c r="C592" s="2" t="s">
        <v>54</v>
      </c>
      <c r="D592" s="13"/>
      <c r="E592" s="13"/>
      <c r="F592" s="44" t="s">
        <v>3175</v>
      </c>
      <c r="G592" s="43">
        <v>2.0</v>
      </c>
      <c r="H592" s="42"/>
      <c r="I592" s="43">
        <v>1.0</v>
      </c>
      <c r="J592" s="22"/>
      <c r="K592" s="42"/>
    </row>
    <row r="593" ht="39.75" hidden="1" customHeight="1">
      <c r="A593" s="1">
        <v>592.0</v>
      </c>
      <c r="B593" s="2" t="s">
        <v>47</v>
      </c>
      <c r="C593" s="2" t="s">
        <v>66</v>
      </c>
      <c r="D593" s="13"/>
      <c r="E593" s="13"/>
      <c r="F593" s="45"/>
      <c r="G593" s="42"/>
      <c r="H593" s="42"/>
      <c r="I593" s="42"/>
      <c r="J593" s="22"/>
      <c r="K593" s="42"/>
    </row>
    <row r="594" ht="39.75" customHeight="1">
      <c r="A594" s="1">
        <v>593.0</v>
      </c>
      <c r="B594" s="2" t="s">
        <v>48</v>
      </c>
      <c r="C594" s="2"/>
      <c r="D594" s="13"/>
      <c r="E594" s="13"/>
      <c r="F594" s="90" t="s">
        <v>3176</v>
      </c>
      <c r="G594" s="43">
        <v>2.0</v>
      </c>
      <c r="H594" s="42"/>
      <c r="I594" s="43">
        <v>1.0</v>
      </c>
      <c r="J594" s="22"/>
      <c r="K594" s="42"/>
    </row>
    <row r="595" ht="39.75" customHeight="1">
      <c r="A595" s="1">
        <v>594.0</v>
      </c>
      <c r="B595" s="21"/>
      <c r="C595" s="21"/>
      <c r="D595" s="21"/>
      <c r="E595" s="21"/>
      <c r="F595" s="46"/>
      <c r="G595" s="47"/>
      <c r="H595" s="47"/>
      <c r="I595" s="47"/>
      <c r="J595" s="48"/>
      <c r="K595" s="47"/>
      <c r="L595" s="49"/>
      <c r="M595" s="49"/>
      <c r="N595" s="49"/>
    </row>
    <row r="596" ht="39.75" hidden="1" customHeight="1">
      <c r="A596" s="1">
        <v>595.0</v>
      </c>
      <c r="B596" s="2" t="s">
        <v>12</v>
      </c>
      <c r="C596" s="2" t="s">
        <v>13</v>
      </c>
      <c r="D596" s="13"/>
      <c r="E596" s="13"/>
      <c r="F596" s="45"/>
      <c r="G596" s="42"/>
      <c r="H596" s="42"/>
      <c r="I596" s="42"/>
      <c r="J596" s="27" t="s">
        <v>2945</v>
      </c>
      <c r="K596" s="42"/>
      <c r="L596" s="15" t="s">
        <v>376</v>
      </c>
    </row>
    <row r="597" ht="39.75" hidden="1" customHeight="1">
      <c r="A597" s="1">
        <v>596.0</v>
      </c>
      <c r="B597" s="2" t="s">
        <v>16</v>
      </c>
      <c r="C597" s="2" t="s">
        <v>13</v>
      </c>
      <c r="D597" s="13"/>
      <c r="E597" s="13"/>
      <c r="F597" s="45"/>
      <c r="G597" s="42"/>
      <c r="H597" s="42"/>
      <c r="I597" s="42"/>
      <c r="J597" s="27" t="s">
        <v>376</v>
      </c>
      <c r="K597" s="43"/>
    </row>
    <row r="598" ht="39.75" customHeight="1">
      <c r="A598" s="1">
        <v>597.0</v>
      </c>
      <c r="B598" s="2" t="s">
        <v>263</v>
      </c>
      <c r="C598" s="2" t="s">
        <v>272</v>
      </c>
      <c r="D598" s="13"/>
      <c r="E598" s="13"/>
      <c r="F598" s="44" t="s">
        <v>1186</v>
      </c>
      <c r="G598" s="43">
        <v>1.0</v>
      </c>
      <c r="H598" s="42"/>
      <c r="I598" s="43">
        <v>1.0</v>
      </c>
      <c r="J598" s="27" t="s">
        <v>149</v>
      </c>
      <c r="K598" s="42"/>
    </row>
    <row r="599" ht="39.75" customHeight="1">
      <c r="A599" s="1">
        <v>598.0</v>
      </c>
      <c r="B599" s="2" t="s">
        <v>17</v>
      </c>
      <c r="C599" s="2" t="s">
        <v>49</v>
      </c>
      <c r="D599" s="13"/>
      <c r="E599" s="13"/>
      <c r="F599" s="44" t="s">
        <v>3177</v>
      </c>
      <c r="G599" s="43">
        <v>1.0</v>
      </c>
      <c r="H599" s="42"/>
      <c r="I599" s="43">
        <v>1.0</v>
      </c>
      <c r="J599" s="27" t="s">
        <v>410</v>
      </c>
      <c r="K599" s="42"/>
    </row>
    <row r="600" ht="39.75" hidden="1" customHeight="1">
      <c r="A600" s="1">
        <v>599.0</v>
      </c>
      <c r="B600" s="2" t="s">
        <v>331</v>
      </c>
      <c r="C600" s="2" t="s">
        <v>13</v>
      </c>
      <c r="D600" s="13"/>
      <c r="E600" s="13"/>
      <c r="F600" s="45"/>
      <c r="G600" s="42"/>
      <c r="H600" s="42"/>
      <c r="I600" s="42"/>
      <c r="J600" s="27" t="s">
        <v>412</v>
      </c>
      <c r="K600" s="42"/>
    </row>
    <row r="601" ht="39.75" customHeight="1">
      <c r="A601" s="1">
        <v>600.0</v>
      </c>
      <c r="B601" s="2" t="s">
        <v>21</v>
      </c>
      <c r="C601" s="2" t="s">
        <v>63</v>
      </c>
      <c r="D601" s="13"/>
      <c r="E601" s="13"/>
      <c r="F601" s="45"/>
      <c r="G601" s="42"/>
      <c r="H601" s="42"/>
      <c r="I601" s="42"/>
      <c r="J601" s="27" t="s">
        <v>413</v>
      </c>
      <c r="K601" s="42"/>
    </row>
    <row r="602" ht="39.75" customHeight="1">
      <c r="A602" s="1">
        <v>601.0</v>
      </c>
      <c r="B602" s="2" t="s">
        <v>22</v>
      </c>
      <c r="C602" s="2"/>
      <c r="D602" s="40">
        <v>0.375</v>
      </c>
      <c r="E602" s="13"/>
      <c r="F602" s="44" t="s">
        <v>3178</v>
      </c>
      <c r="G602" s="43">
        <v>1.0</v>
      </c>
      <c r="H602" s="42"/>
      <c r="I602" s="42"/>
      <c r="J602" s="22"/>
      <c r="K602" s="42"/>
    </row>
    <row r="603" ht="39.75" customHeight="1">
      <c r="A603" s="1">
        <v>602.0</v>
      </c>
      <c r="B603" s="2" t="s">
        <v>23</v>
      </c>
      <c r="C603" s="2" t="s">
        <v>44</v>
      </c>
      <c r="D603" s="13"/>
      <c r="E603" s="13"/>
      <c r="F603" s="45"/>
      <c r="G603" s="42"/>
      <c r="H603" s="42"/>
      <c r="I603" s="42"/>
      <c r="J603" s="22"/>
      <c r="K603" s="42"/>
    </row>
    <row r="604" ht="39.75" customHeight="1">
      <c r="A604" s="1">
        <v>603.0</v>
      </c>
      <c r="B604" s="2" t="s">
        <v>24</v>
      </c>
      <c r="C604" s="2" t="s">
        <v>63</v>
      </c>
      <c r="D604" s="13"/>
      <c r="E604" s="13"/>
      <c r="F604" s="44" t="s">
        <v>3179</v>
      </c>
      <c r="G604" s="43">
        <v>1.0</v>
      </c>
      <c r="H604" s="43">
        <v>1.0</v>
      </c>
      <c r="I604" s="42"/>
      <c r="J604" s="22"/>
      <c r="K604" s="42"/>
    </row>
    <row r="605" ht="39.75" hidden="1" customHeight="1">
      <c r="A605" s="1">
        <v>604.0</v>
      </c>
      <c r="B605" s="2" t="s">
        <v>25</v>
      </c>
      <c r="C605" s="2" t="s">
        <v>13</v>
      </c>
      <c r="D605" s="13"/>
      <c r="E605" s="13"/>
      <c r="F605" s="45"/>
      <c r="G605" s="42"/>
      <c r="H605" s="42"/>
      <c r="I605" s="42"/>
      <c r="J605" s="22"/>
      <c r="K605" s="42"/>
    </row>
    <row r="606" ht="39.75" hidden="1" customHeight="1">
      <c r="A606" s="1">
        <v>605.0</v>
      </c>
      <c r="B606" s="2" t="s">
        <v>26</v>
      </c>
      <c r="C606" s="2" t="s">
        <v>13</v>
      </c>
      <c r="D606" s="13"/>
      <c r="E606" s="13"/>
      <c r="F606" s="45"/>
      <c r="G606" s="42"/>
      <c r="H606" s="42"/>
      <c r="I606" s="42"/>
      <c r="J606" s="22"/>
      <c r="K606" s="42"/>
    </row>
    <row r="607" ht="39.75" hidden="1" customHeight="1">
      <c r="A607" s="1">
        <v>606.0</v>
      </c>
      <c r="B607" s="2" t="s">
        <v>29</v>
      </c>
      <c r="C607" s="2" t="s">
        <v>13</v>
      </c>
      <c r="D607" s="13"/>
      <c r="E607" s="13"/>
      <c r="F607" s="45"/>
      <c r="G607" s="42"/>
      <c r="H607" s="42"/>
      <c r="I607" s="42"/>
      <c r="J607" s="22"/>
      <c r="K607" s="42"/>
    </row>
    <row r="608" ht="39.75" hidden="1" customHeight="1">
      <c r="A608" s="1">
        <v>607.0</v>
      </c>
      <c r="B608" s="2" t="s">
        <v>30</v>
      </c>
      <c r="C608" s="2" t="s">
        <v>13</v>
      </c>
      <c r="D608" s="13"/>
      <c r="E608" s="13"/>
      <c r="F608" s="45"/>
      <c r="G608" s="42"/>
      <c r="H608" s="42"/>
      <c r="I608" s="42"/>
      <c r="J608" s="22"/>
      <c r="K608" s="42"/>
    </row>
    <row r="609" ht="39.75" customHeight="1">
      <c r="A609" s="1">
        <v>608.0</v>
      </c>
      <c r="B609" s="2" t="s">
        <v>33</v>
      </c>
      <c r="C609" s="2" t="s">
        <v>272</v>
      </c>
      <c r="D609" s="13"/>
      <c r="E609" s="13"/>
      <c r="F609" s="44" t="s">
        <v>3180</v>
      </c>
      <c r="G609" s="43">
        <v>1.0</v>
      </c>
      <c r="H609" s="43">
        <v>1.0</v>
      </c>
      <c r="I609" s="43">
        <v>1.0</v>
      </c>
      <c r="J609" s="22"/>
      <c r="K609" s="42"/>
    </row>
    <row r="610" ht="39.75" customHeight="1">
      <c r="A610" s="1">
        <v>609.0</v>
      </c>
      <c r="B610" s="2" t="s">
        <v>32</v>
      </c>
      <c r="C610" s="2"/>
      <c r="D610" s="40">
        <v>0.375</v>
      </c>
      <c r="E610" s="13"/>
      <c r="F610" s="44" t="s">
        <v>3181</v>
      </c>
      <c r="G610" s="43">
        <v>1.0</v>
      </c>
      <c r="H610" s="42"/>
      <c r="I610" s="42"/>
      <c r="J610" s="22"/>
      <c r="K610" s="42"/>
    </row>
    <row r="611" ht="39.75" hidden="1" customHeight="1">
      <c r="A611" s="1">
        <v>610.0</v>
      </c>
      <c r="B611" s="2" t="s">
        <v>67</v>
      </c>
      <c r="C611" s="2" t="s">
        <v>13</v>
      </c>
      <c r="D611" s="13"/>
      <c r="E611" s="13"/>
      <c r="F611" s="45"/>
      <c r="G611" s="42"/>
      <c r="H611" s="42"/>
      <c r="I611" s="42"/>
      <c r="J611" s="22"/>
      <c r="K611" s="42"/>
    </row>
    <row r="612" ht="39.75" customHeight="1">
      <c r="A612" s="1">
        <v>611.0</v>
      </c>
      <c r="B612" s="2" t="s">
        <v>35</v>
      </c>
      <c r="C612" s="2" t="s">
        <v>27</v>
      </c>
      <c r="D612" s="13"/>
      <c r="E612" s="13"/>
      <c r="F612" s="44" t="s">
        <v>3182</v>
      </c>
      <c r="G612" s="43">
        <v>1.0</v>
      </c>
      <c r="H612" s="42"/>
      <c r="I612" s="43">
        <v>1.0</v>
      </c>
      <c r="J612" s="22"/>
      <c r="K612" s="42"/>
    </row>
    <row r="613" ht="39.75" hidden="1" customHeight="1">
      <c r="A613" s="1">
        <v>612.0</v>
      </c>
      <c r="B613" s="2" t="s">
        <v>36</v>
      </c>
      <c r="C613" s="2" t="s">
        <v>13</v>
      </c>
      <c r="D613" s="13"/>
      <c r="E613" s="13"/>
      <c r="F613" s="45"/>
      <c r="G613" s="42"/>
      <c r="H613" s="42"/>
      <c r="I613" s="42"/>
      <c r="J613" s="22"/>
      <c r="K613" s="42"/>
    </row>
    <row r="614" ht="39.75" hidden="1" customHeight="1">
      <c r="A614" s="1">
        <v>613.0</v>
      </c>
      <c r="B614" s="2" t="s">
        <v>38</v>
      </c>
      <c r="C614" s="2" t="s">
        <v>13</v>
      </c>
      <c r="D614" s="13"/>
      <c r="E614" s="13"/>
      <c r="F614" s="45"/>
      <c r="G614" s="42"/>
      <c r="H614" s="42"/>
      <c r="I614" s="42"/>
      <c r="J614" s="22"/>
      <c r="K614" s="42"/>
    </row>
    <row r="615" ht="39.75" hidden="1" customHeight="1">
      <c r="A615" s="1">
        <v>614.0</v>
      </c>
      <c r="B615" s="2" t="s">
        <v>41</v>
      </c>
      <c r="C615" s="2" t="s">
        <v>13</v>
      </c>
      <c r="D615" s="13"/>
      <c r="E615" s="13"/>
      <c r="F615" s="45"/>
      <c r="G615" s="42"/>
      <c r="H615" s="42"/>
      <c r="I615" s="42"/>
      <c r="J615" s="22"/>
      <c r="K615" s="42"/>
    </row>
    <row r="616" ht="39.75" hidden="1" customHeight="1">
      <c r="A616" s="1">
        <v>615.0</v>
      </c>
      <c r="B616" s="2" t="s">
        <v>42</v>
      </c>
      <c r="C616" s="2" t="s">
        <v>13</v>
      </c>
      <c r="D616" s="13"/>
      <c r="E616" s="13"/>
      <c r="F616" s="45"/>
      <c r="G616" s="42"/>
      <c r="H616" s="42"/>
      <c r="I616" s="42"/>
      <c r="J616" s="22"/>
      <c r="K616" s="42"/>
    </row>
    <row r="617" ht="39.75" hidden="1" customHeight="1">
      <c r="A617" s="1">
        <v>616.0</v>
      </c>
      <c r="B617" s="2" t="s">
        <v>43</v>
      </c>
      <c r="C617" s="2" t="s">
        <v>13</v>
      </c>
      <c r="D617" s="13"/>
      <c r="E617" s="13"/>
      <c r="F617" s="45"/>
      <c r="G617" s="42"/>
      <c r="H617" s="42"/>
      <c r="I617" s="42"/>
      <c r="J617" s="22"/>
      <c r="K617" s="42"/>
    </row>
    <row r="618" ht="39.75" hidden="1" customHeight="1">
      <c r="A618" s="1">
        <v>617.0</v>
      </c>
      <c r="B618" s="2" t="s">
        <v>45</v>
      </c>
      <c r="C618" s="2" t="s">
        <v>13</v>
      </c>
      <c r="D618" s="13"/>
      <c r="E618" s="13"/>
      <c r="F618" s="45"/>
      <c r="G618" s="42"/>
      <c r="H618" s="42"/>
      <c r="I618" s="42"/>
      <c r="J618" s="22"/>
      <c r="K618" s="42"/>
    </row>
    <row r="619" ht="39.75" hidden="1" customHeight="1">
      <c r="A619" s="1">
        <v>618.0</v>
      </c>
      <c r="B619" s="2" t="s">
        <v>46</v>
      </c>
      <c r="C619" s="2" t="s">
        <v>13</v>
      </c>
      <c r="D619" s="13"/>
      <c r="E619" s="13"/>
      <c r="F619" s="45"/>
      <c r="G619" s="42"/>
      <c r="H619" s="42"/>
      <c r="I619" s="42"/>
      <c r="J619" s="22"/>
      <c r="K619" s="42"/>
    </row>
    <row r="620" ht="39.75" hidden="1" customHeight="1">
      <c r="A620" s="1">
        <v>619.0</v>
      </c>
      <c r="B620" s="2" t="s">
        <v>47</v>
      </c>
      <c r="C620" s="2" t="s">
        <v>13</v>
      </c>
      <c r="D620" s="13"/>
      <c r="E620" s="13"/>
      <c r="F620" s="45"/>
      <c r="G620" s="42"/>
      <c r="H620" s="42"/>
      <c r="I620" s="42"/>
      <c r="J620" s="22"/>
      <c r="K620" s="42"/>
    </row>
    <row r="621" ht="39.75" customHeight="1">
      <c r="A621" s="1">
        <v>620.0</v>
      </c>
      <c r="B621" s="2" t="s">
        <v>48</v>
      </c>
      <c r="C621" s="2" t="s">
        <v>39</v>
      </c>
      <c r="D621" s="13"/>
      <c r="E621" s="13"/>
      <c r="F621" s="44" t="s">
        <v>3183</v>
      </c>
      <c r="G621" s="43">
        <v>2.0</v>
      </c>
      <c r="H621" s="42"/>
      <c r="I621" s="42"/>
      <c r="J621" s="22"/>
      <c r="K621" s="42"/>
    </row>
    <row r="622" ht="39.75" customHeight="1">
      <c r="A622" s="1">
        <v>621.0</v>
      </c>
      <c r="B622" s="21"/>
      <c r="C622" s="21"/>
      <c r="D622" s="21"/>
      <c r="E622" s="21"/>
      <c r="F622" s="46"/>
      <c r="G622" s="47"/>
      <c r="H622" s="47"/>
      <c r="I622" s="47"/>
      <c r="J622" s="48"/>
      <c r="K622" s="47"/>
      <c r="L622" s="49"/>
      <c r="M622" s="49"/>
      <c r="N622" s="49"/>
    </row>
    <row r="623" ht="39.75" hidden="1" customHeight="1">
      <c r="A623" s="1">
        <v>622.0</v>
      </c>
      <c r="B623" s="2" t="s">
        <v>12</v>
      </c>
      <c r="C623" s="2" t="s">
        <v>13</v>
      </c>
      <c r="D623" s="13"/>
      <c r="E623" s="13"/>
      <c r="F623" s="45"/>
      <c r="G623" s="42"/>
      <c r="H623" s="42"/>
      <c r="I623" s="42"/>
      <c r="J623" s="27" t="s">
        <v>2945</v>
      </c>
      <c r="K623" s="42"/>
      <c r="L623" s="15" t="s">
        <v>389</v>
      </c>
    </row>
    <row r="624" ht="39.75" hidden="1" customHeight="1">
      <c r="A624" s="1">
        <v>623.0</v>
      </c>
      <c r="B624" s="2" t="s">
        <v>16</v>
      </c>
      <c r="C624" s="2" t="s">
        <v>13</v>
      </c>
      <c r="D624" s="13"/>
      <c r="E624" s="13"/>
      <c r="F624" s="45"/>
      <c r="G624" s="42"/>
      <c r="H624" s="42"/>
      <c r="I624" s="42"/>
      <c r="J624" s="27" t="s">
        <v>389</v>
      </c>
      <c r="K624" s="43"/>
    </row>
    <row r="625" ht="39.75" hidden="1" customHeight="1">
      <c r="A625" s="1">
        <v>624.0</v>
      </c>
      <c r="B625" s="2" t="s">
        <v>116</v>
      </c>
      <c r="C625" s="2" t="s">
        <v>13</v>
      </c>
      <c r="D625" s="13"/>
      <c r="E625" s="13"/>
      <c r="F625" s="45"/>
      <c r="G625" s="42"/>
      <c r="H625" s="42"/>
      <c r="I625" s="42"/>
      <c r="J625" s="27" t="s">
        <v>19</v>
      </c>
      <c r="K625" s="42"/>
    </row>
    <row r="626" ht="39.75" hidden="1" customHeight="1">
      <c r="A626" s="1">
        <v>625.0</v>
      </c>
      <c r="B626" s="2" t="s">
        <v>17</v>
      </c>
      <c r="C626" s="2" t="s">
        <v>13</v>
      </c>
      <c r="D626" s="13"/>
      <c r="E626" s="13"/>
      <c r="F626" s="44"/>
      <c r="G626" s="42"/>
      <c r="H626" s="42"/>
      <c r="I626" s="42"/>
      <c r="J626" s="27" t="s">
        <v>165</v>
      </c>
      <c r="K626" s="42"/>
    </row>
    <row r="627" ht="39.75" hidden="1" customHeight="1">
      <c r="A627" s="1">
        <v>626.0</v>
      </c>
      <c r="B627" s="2" t="s">
        <v>331</v>
      </c>
      <c r="C627" s="2" t="s">
        <v>13</v>
      </c>
      <c r="D627" s="13"/>
      <c r="E627" s="13"/>
      <c r="F627" s="45"/>
      <c r="G627" s="42"/>
      <c r="H627" s="42"/>
      <c r="I627" s="42"/>
      <c r="J627" s="27" t="s">
        <v>2637</v>
      </c>
      <c r="K627" s="42"/>
    </row>
    <row r="628" ht="39.75" customHeight="1">
      <c r="A628" s="1">
        <v>627.0</v>
      </c>
      <c r="B628" s="2" t="s">
        <v>21</v>
      </c>
      <c r="C628" s="2" t="s">
        <v>63</v>
      </c>
      <c r="D628" s="13"/>
      <c r="E628" s="13"/>
      <c r="F628" s="44" t="s">
        <v>3184</v>
      </c>
      <c r="G628" s="43">
        <v>1.0</v>
      </c>
      <c r="H628" s="42"/>
      <c r="I628" s="43">
        <v>1.0</v>
      </c>
      <c r="J628" s="27" t="s">
        <v>2638</v>
      </c>
      <c r="K628" s="42"/>
    </row>
    <row r="629" ht="39.75" hidden="1" customHeight="1">
      <c r="A629" s="1">
        <v>628.0</v>
      </c>
      <c r="B629" s="2" t="s">
        <v>22</v>
      </c>
      <c r="C629" s="2" t="s">
        <v>13</v>
      </c>
      <c r="D629" s="13"/>
      <c r="E629" s="13"/>
      <c r="F629" s="45"/>
      <c r="G629" s="42"/>
      <c r="H629" s="42"/>
      <c r="I629" s="42"/>
      <c r="J629" s="22"/>
      <c r="K629" s="42"/>
    </row>
    <row r="630" ht="39.75" hidden="1" customHeight="1">
      <c r="A630" s="1">
        <v>629.0</v>
      </c>
      <c r="B630" s="2" t="s">
        <v>23</v>
      </c>
      <c r="C630" s="2" t="s">
        <v>13</v>
      </c>
      <c r="D630" s="13"/>
      <c r="E630" s="13"/>
      <c r="F630" s="45"/>
      <c r="G630" s="42"/>
      <c r="H630" s="42"/>
      <c r="I630" s="42"/>
      <c r="J630" s="22"/>
      <c r="K630" s="42"/>
    </row>
    <row r="631" ht="39.75" customHeight="1">
      <c r="A631" s="1">
        <v>630.0</v>
      </c>
      <c r="B631" s="2" t="s">
        <v>24</v>
      </c>
      <c r="C631" s="2" t="s">
        <v>63</v>
      </c>
      <c r="D631" s="13"/>
      <c r="E631" s="13"/>
      <c r="F631" s="44" t="s">
        <v>3179</v>
      </c>
      <c r="G631" s="43">
        <v>1.0</v>
      </c>
      <c r="H631" s="43">
        <v>1.0</v>
      </c>
      <c r="I631" s="42"/>
      <c r="J631" s="22"/>
      <c r="K631" s="42"/>
    </row>
    <row r="632" ht="39.75" customHeight="1">
      <c r="A632" s="1">
        <v>631.0</v>
      </c>
      <c r="B632" s="2" t="s">
        <v>25</v>
      </c>
      <c r="C632" s="2" t="s">
        <v>27</v>
      </c>
      <c r="D632" s="13"/>
      <c r="E632" s="13"/>
      <c r="F632" s="44" t="s">
        <v>3185</v>
      </c>
      <c r="G632" s="43">
        <v>1.0</v>
      </c>
      <c r="H632" s="42"/>
      <c r="I632" s="42"/>
      <c r="J632" s="22"/>
      <c r="K632" s="42"/>
    </row>
    <row r="633" ht="39.75" customHeight="1">
      <c r="A633" s="1">
        <v>632.0</v>
      </c>
      <c r="B633" s="2" t="s">
        <v>26</v>
      </c>
      <c r="C633" s="2" t="s">
        <v>49</v>
      </c>
      <c r="D633" s="13"/>
      <c r="E633" s="13"/>
      <c r="F633" s="44" t="s">
        <v>3186</v>
      </c>
      <c r="G633" s="43">
        <v>1.0</v>
      </c>
      <c r="H633" s="42"/>
      <c r="I633" s="43">
        <v>1.0</v>
      </c>
      <c r="J633" s="22"/>
      <c r="K633" s="42"/>
    </row>
    <row r="634" ht="39.75" customHeight="1">
      <c r="A634" s="1">
        <v>633.0</v>
      </c>
      <c r="B634" s="2" t="s">
        <v>29</v>
      </c>
      <c r="C634" s="2"/>
      <c r="D634" s="40"/>
      <c r="E634" s="13"/>
      <c r="F634" s="44" t="s">
        <v>3187</v>
      </c>
      <c r="G634" s="43">
        <v>2.0</v>
      </c>
      <c r="H634" s="42"/>
      <c r="I634" s="43">
        <v>2.0</v>
      </c>
      <c r="J634" s="22"/>
      <c r="K634" s="42"/>
    </row>
    <row r="635" ht="39.75" hidden="1" customHeight="1">
      <c r="A635" s="1">
        <v>634.0</v>
      </c>
      <c r="B635" s="2" t="s">
        <v>30</v>
      </c>
      <c r="C635" s="2" t="s">
        <v>13</v>
      </c>
      <c r="D635" s="13"/>
      <c r="E635" s="13"/>
      <c r="F635" s="45"/>
      <c r="G635" s="42"/>
      <c r="H635" s="42"/>
      <c r="I635" s="42"/>
      <c r="J635" s="22"/>
      <c r="K635" s="42"/>
    </row>
    <row r="636" ht="39.75" customHeight="1">
      <c r="A636" s="1">
        <v>635.0</v>
      </c>
      <c r="B636" s="2" t="s">
        <v>33</v>
      </c>
      <c r="C636" s="2" t="s">
        <v>272</v>
      </c>
      <c r="D636" s="13"/>
      <c r="E636" s="13"/>
      <c r="F636" s="44" t="s">
        <v>3188</v>
      </c>
      <c r="G636" s="43">
        <v>1.0</v>
      </c>
      <c r="H636" s="43">
        <v>1.0</v>
      </c>
      <c r="I636" s="43">
        <v>1.0</v>
      </c>
      <c r="J636" s="22"/>
      <c r="K636" s="42"/>
    </row>
    <row r="637" ht="39.75" hidden="1" customHeight="1">
      <c r="A637" s="1">
        <v>636.0</v>
      </c>
      <c r="B637" s="2" t="s">
        <v>32</v>
      </c>
      <c r="C637" s="2" t="s">
        <v>13</v>
      </c>
      <c r="D637" s="13"/>
      <c r="E637" s="13"/>
      <c r="F637" s="45"/>
      <c r="G637" s="42"/>
      <c r="H637" s="42"/>
      <c r="I637" s="42"/>
      <c r="J637" s="22"/>
      <c r="K637" s="42"/>
    </row>
    <row r="638" ht="39.75" hidden="1" customHeight="1">
      <c r="A638" s="1">
        <v>637.0</v>
      </c>
      <c r="B638" s="2" t="s">
        <v>67</v>
      </c>
      <c r="C638" s="2" t="s">
        <v>13</v>
      </c>
      <c r="D638" s="13"/>
      <c r="E638" s="13"/>
      <c r="F638" s="45"/>
      <c r="G638" s="42"/>
      <c r="H638" s="42"/>
      <c r="I638" s="42"/>
      <c r="J638" s="22"/>
      <c r="K638" s="42"/>
    </row>
    <row r="639" ht="39.75" customHeight="1">
      <c r="A639" s="1">
        <v>638.0</v>
      </c>
      <c r="B639" s="2" t="s">
        <v>35</v>
      </c>
      <c r="C639" s="2" t="s">
        <v>44</v>
      </c>
      <c r="D639" s="13"/>
      <c r="E639" s="13"/>
      <c r="F639" s="45"/>
      <c r="G639" s="42"/>
      <c r="H639" s="42"/>
      <c r="I639" s="42"/>
      <c r="J639" s="22"/>
      <c r="K639" s="42"/>
    </row>
    <row r="640" ht="39.75" hidden="1" customHeight="1">
      <c r="A640" s="1">
        <v>639.0</v>
      </c>
      <c r="B640" s="2" t="s">
        <v>36</v>
      </c>
      <c r="C640" s="2" t="s">
        <v>13</v>
      </c>
      <c r="D640" s="13"/>
      <c r="E640" s="13"/>
      <c r="F640" s="45"/>
      <c r="G640" s="42"/>
      <c r="H640" s="42"/>
      <c r="I640" s="42"/>
      <c r="J640" s="22"/>
      <c r="K640" s="42"/>
    </row>
    <row r="641" ht="39.75" hidden="1" customHeight="1">
      <c r="A641" s="1">
        <v>640.0</v>
      </c>
      <c r="B641" s="2" t="s">
        <v>38</v>
      </c>
      <c r="C641" s="2" t="s">
        <v>13</v>
      </c>
      <c r="D641" s="13"/>
      <c r="E641" s="13"/>
      <c r="F641" s="45"/>
      <c r="G641" s="42"/>
      <c r="H641" s="42"/>
      <c r="I641" s="42"/>
      <c r="J641" s="22"/>
      <c r="K641" s="42"/>
    </row>
    <row r="642" ht="39.75" hidden="1" customHeight="1">
      <c r="A642" s="1">
        <v>641.0</v>
      </c>
      <c r="B642" s="2" t="s">
        <v>41</v>
      </c>
      <c r="C642" s="2" t="s">
        <v>13</v>
      </c>
      <c r="D642" s="13"/>
      <c r="E642" s="13"/>
      <c r="F642" s="45"/>
      <c r="G642" s="42"/>
      <c r="H642" s="42"/>
      <c r="I642" s="42"/>
      <c r="J642" s="22"/>
      <c r="K642" s="42"/>
    </row>
    <row r="643" ht="39.75" hidden="1" customHeight="1">
      <c r="A643" s="1">
        <v>642.0</v>
      </c>
      <c r="B643" s="2" t="s">
        <v>42</v>
      </c>
      <c r="C643" s="2" t="s">
        <v>13</v>
      </c>
      <c r="D643" s="13"/>
      <c r="E643" s="13"/>
      <c r="F643" s="45"/>
      <c r="G643" s="42"/>
      <c r="H643" s="42"/>
      <c r="I643" s="42"/>
      <c r="J643" s="22"/>
      <c r="K643" s="42"/>
    </row>
    <row r="644" ht="39.75" customHeight="1">
      <c r="A644" s="1">
        <v>643.0</v>
      </c>
      <c r="B644" s="2" t="s">
        <v>43</v>
      </c>
      <c r="C644" s="2" t="s">
        <v>39</v>
      </c>
      <c r="D644" s="13"/>
      <c r="E644" s="13"/>
      <c r="F644" s="44" t="s">
        <v>3189</v>
      </c>
      <c r="G644" s="43">
        <v>1.0</v>
      </c>
      <c r="H644" s="42"/>
      <c r="I644" s="43">
        <v>1.0</v>
      </c>
      <c r="J644" s="22"/>
      <c r="K644" s="42"/>
    </row>
    <row r="645" ht="39.75" hidden="1" customHeight="1">
      <c r="A645" s="1">
        <v>644.0</v>
      </c>
      <c r="B645" s="2" t="s">
        <v>45</v>
      </c>
      <c r="C645" s="2" t="s">
        <v>13</v>
      </c>
      <c r="D645" s="13"/>
      <c r="E645" s="13"/>
      <c r="F645" s="45"/>
      <c r="G645" s="42"/>
      <c r="H645" s="42"/>
      <c r="I645" s="42"/>
      <c r="J645" s="22"/>
      <c r="K645" s="42"/>
    </row>
    <row r="646" ht="39.75" hidden="1" customHeight="1">
      <c r="A646" s="1">
        <v>645.0</v>
      </c>
      <c r="B646" s="2" t="s">
        <v>46</v>
      </c>
      <c r="C646" s="2" t="s">
        <v>13</v>
      </c>
      <c r="D646" s="13"/>
      <c r="E646" s="13"/>
      <c r="F646" s="45"/>
      <c r="G646" s="42"/>
      <c r="H646" s="42"/>
      <c r="I646" s="42"/>
      <c r="J646" s="22"/>
      <c r="K646" s="42"/>
    </row>
    <row r="647" ht="39.75" customHeight="1">
      <c r="A647" s="1">
        <v>646.0</v>
      </c>
      <c r="B647" s="2" t="s">
        <v>47</v>
      </c>
      <c r="C647" s="2"/>
      <c r="D647" s="40"/>
      <c r="E647" s="13"/>
      <c r="F647" s="44" t="s">
        <v>3190</v>
      </c>
      <c r="G647" s="43">
        <v>1.0</v>
      </c>
      <c r="H647" s="42"/>
      <c r="I647" s="43">
        <v>1.0</v>
      </c>
      <c r="J647" s="22"/>
      <c r="K647" s="42"/>
    </row>
    <row r="648" ht="39.75" hidden="1" customHeight="1">
      <c r="A648" s="1">
        <v>647.0</v>
      </c>
      <c r="B648" s="2" t="s">
        <v>48</v>
      </c>
      <c r="C648" s="2" t="s">
        <v>13</v>
      </c>
      <c r="D648" s="13"/>
      <c r="E648" s="13"/>
      <c r="F648" s="45"/>
      <c r="G648" s="42"/>
      <c r="H648" s="42"/>
      <c r="I648" s="42"/>
      <c r="J648" s="22"/>
      <c r="K648" s="42"/>
    </row>
    <row r="649" ht="39.75" customHeight="1">
      <c r="A649" s="1">
        <v>648.0</v>
      </c>
      <c r="B649" s="21"/>
      <c r="C649" s="21"/>
      <c r="D649" s="21"/>
      <c r="E649" s="21"/>
      <c r="F649" s="46"/>
      <c r="G649" s="47"/>
      <c r="H649" s="47"/>
      <c r="I649" s="47"/>
      <c r="J649" s="48"/>
      <c r="K649" s="47"/>
      <c r="L649" s="49"/>
      <c r="M649" s="49"/>
      <c r="N649" s="49"/>
    </row>
    <row r="650" ht="39.75" hidden="1" customHeight="1">
      <c r="A650" s="1">
        <v>649.0</v>
      </c>
      <c r="B650" s="2" t="s">
        <v>12</v>
      </c>
      <c r="C650" s="2" t="s">
        <v>58</v>
      </c>
      <c r="D650" s="13"/>
      <c r="E650" s="13"/>
      <c r="F650" s="45"/>
      <c r="G650" s="42"/>
      <c r="H650" s="42"/>
      <c r="I650" s="42"/>
      <c r="J650" s="27" t="s">
        <v>2945</v>
      </c>
      <c r="K650" s="42"/>
      <c r="L650" s="15" t="s">
        <v>406</v>
      </c>
    </row>
    <row r="651" ht="39.75" customHeight="1">
      <c r="A651" s="1">
        <v>650.0</v>
      </c>
      <c r="B651" s="2" t="s">
        <v>16</v>
      </c>
      <c r="C651" s="2" t="s">
        <v>39</v>
      </c>
      <c r="D651" s="13"/>
      <c r="E651" s="13"/>
      <c r="F651" s="44" t="s">
        <v>3191</v>
      </c>
      <c r="G651" s="43">
        <v>1.0</v>
      </c>
      <c r="H651" s="42"/>
      <c r="I651" s="43">
        <v>1.0</v>
      </c>
      <c r="J651" s="27" t="s">
        <v>406</v>
      </c>
      <c r="K651" s="43"/>
    </row>
    <row r="652" ht="39.75" customHeight="1">
      <c r="A652" s="1">
        <v>651.0</v>
      </c>
      <c r="B652" s="2" t="s">
        <v>116</v>
      </c>
      <c r="C652" s="2"/>
      <c r="D652" s="13"/>
      <c r="E652" s="13"/>
      <c r="F652" s="44" t="s">
        <v>3192</v>
      </c>
      <c r="G652" s="43">
        <v>1.0</v>
      </c>
      <c r="H652" s="42"/>
      <c r="I652" s="42"/>
      <c r="J652" s="27" t="s">
        <v>56</v>
      </c>
      <c r="K652" s="42"/>
    </row>
    <row r="653" ht="39.75" customHeight="1">
      <c r="A653" s="1">
        <v>652.0</v>
      </c>
      <c r="B653" s="2" t="s">
        <v>17</v>
      </c>
      <c r="C653" s="2"/>
      <c r="D653" s="13"/>
      <c r="E653" s="13"/>
      <c r="F653" s="44" t="s">
        <v>3193</v>
      </c>
      <c r="G653" s="43">
        <v>1.0</v>
      </c>
      <c r="H653" s="42"/>
      <c r="I653" s="42"/>
      <c r="J653" s="22"/>
      <c r="K653" s="42"/>
    </row>
    <row r="654" ht="39.75" customHeight="1">
      <c r="A654" s="1">
        <v>653.0</v>
      </c>
      <c r="B654" s="2" t="s">
        <v>331</v>
      </c>
      <c r="C654" s="2" t="s">
        <v>542</v>
      </c>
      <c r="D654" s="13"/>
      <c r="E654" s="13"/>
      <c r="F654" s="45"/>
      <c r="G654" s="42"/>
      <c r="H654" s="42"/>
      <c r="I654" s="42"/>
      <c r="J654" s="22"/>
      <c r="K654" s="42"/>
    </row>
    <row r="655" ht="39.75" customHeight="1">
      <c r="A655" s="1">
        <v>654.0</v>
      </c>
      <c r="B655" s="2" t="s">
        <v>21</v>
      </c>
      <c r="C655" s="2" t="s">
        <v>63</v>
      </c>
      <c r="D655" s="13"/>
      <c r="E655" s="13"/>
      <c r="F655" s="44" t="s">
        <v>3184</v>
      </c>
      <c r="G655" s="43">
        <v>1.0</v>
      </c>
      <c r="H655" s="42"/>
      <c r="I655" s="43">
        <v>1.0</v>
      </c>
      <c r="J655" s="22"/>
      <c r="K655" s="42"/>
    </row>
    <row r="656" ht="39.75" customHeight="1">
      <c r="A656" s="1">
        <v>655.0</v>
      </c>
      <c r="B656" s="2" t="s">
        <v>22</v>
      </c>
      <c r="C656" s="2" t="s">
        <v>54</v>
      </c>
      <c r="D656" s="13"/>
      <c r="E656" s="13"/>
      <c r="F656" s="44" t="s">
        <v>3194</v>
      </c>
      <c r="G656" s="43">
        <v>1.0</v>
      </c>
      <c r="H656" s="42"/>
      <c r="I656" s="42"/>
      <c r="J656" s="22"/>
      <c r="K656" s="42"/>
    </row>
    <row r="657" ht="39.75" customHeight="1">
      <c r="A657" s="1">
        <v>656.0</v>
      </c>
      <c r="B657" s="2" t="s">
        <v>23</v>
      </c>
      <c r="C657" s="2" t="s">
        <v>69</v>
      </c>
      <c r="D657" s="13"/>
      <c r="E657" s="13"/>
      <c r="F657" s="44" t="s">
        <v>3195</v>
      </c>
      <c r="G657" s="43">
        <v>1.0</v>
      </c>
      <c r="H657" s="42"/>
      <c r="I657" s="43">
        <v>1.0</v>
      </c>
      <c r="J657" s="22"/>
      <c r="K657" s="42"/>
    </row>
    <row r="658" ht="39.75" customHeight="1">
      <c r="A658" s="1">
        <v>657.0</v>
      </c>
      <c r="B658" s="2" t="s">
        <v>24</v>
      </c>
      <c r="C658" s="2" t="s">
        <v>63</v>
      </c>
      <c r="D658" s="13"/>
      <c r="E658" s="13"/>
      <c r="F658" s="44" t="s">
        <v>3179</v>
      </c>
      <c r="G658" s="43">
        <v>1.0</v>
      </c>
      <c r="H658" s="43">
        <v>1.0</v>
      </c>
      <c r="I658" s="42"/>
      <c r="J658" s="22"/>
      <c r="K658" s="42"/>
    </row>
    <row r="659" ht="39.75" customHeight="1">
      <c r="A659" s="1">
        <v>658.0</v>
      </c>
      <c r="B659" s="2" t="s">
        <v>25</v>
      </c>
      <c r="C659" s="2" t="s">
        <v>44</v>
      </c>
      <c r="D659" s="13"/>
      <c r="E659" s="13"/>
      <c r="F659" s="45"/>
      <c r="G659" s="42"/>
      <c r="H659" s="42"/>
      <c r="I659" s="42"/>
      <c r="J659" s="22"/>
      <c r="K659" s="42"/>
    </row>
    <row r="660" ht="39.75" hidden="1" customHeight="1">
      <c r="A660" s="1">
        <v>659.0</v>
      </c>
      <c r="B660" s="2" t="s">
        <v>26</v>
      </c>
      <c r="C660" s="2" t="s">
        <v>66</v>
      </c>
      <c r="D660" s="13"/>
      <c r="E660" s="13"/>
      <c r="F660" s="45"/>
      <c r="G660" s="42"/>
      <c r="H660" s="42"/>
      <c r="I660" s="42"/>
      <c r="J660" s="22"/>
      <c r="K660" s="42"/>
    </row>
    <row r="661" ht="39.75" customHeight="1">
      <c r="A661" s="1">
        <v>660.0</v>
      </c>
      <c r="B661" s="2" t="s">
        <v>29</v>
      </c>
      <c r="C661" s="2" t="s">
        <v>54</v>
      </c>
      <c r="D661" s="13"/>
      <c r="E661" s="13"/>
      <c r="F661" s="45"/>
      <c r="G661" s="42"/>
      <c r="H661" s="42"/>
      <c r="I661" s="42"/>
      <c r="J661" s="22"/>
      <c r="K661" s="42"/>
    </row>
    <row r="662" ht="39.75" customHeight="1">
      <c r="A662" s="1">
        <v>661.0</v>
      </c>
      <c r="B662" s="2" t="s">
        <v>30</v>
      </c>
      <c r="C662" s="2" t="s">
        <v>64</v>
      </c>
      <c r="D662" s="13"/>
      <c r="E662" s="13"/>
      <c r="F662" s="44" t="s">
        <v>3196</v>
      </c>
      <c r="G662" s="43">
        <v>1.0</v>
      </c>
      <c r="H662" s="42"/>
      <c r="I662" s="43">
        <v>1.0</v>
      </c>
      <c r="J662" s="22"/>
      <c r="K662" s="42"/>
    </row>
    <row r="663" ht="39.75" customHeight="1">
      <c r="A663" s="1">
        <v>662.0</v>
      </c>
      <c r="B663" s="2" t="s">
        <v>31</v>
      </c>
      <c r="C663" s="2" t="s">
        <v>27</v>
      </c>
      <c r="D663" s="13"/>
      <c r="E663" s="13"/>
      <c r="F663" s="45"/>
      <c r="G663" s="42"/>
      <c r="H663" s="42"/>
      <c r="I663" s="42"/>
      <c r="J663" s="22"/>
      <c r="K663" s="42"/>
    </row>
    <row r="664" ht="39.75" customHeight="1">
      <c r="A664" s="1">
        <v>663.0</v>
      </c>
      <c r="B664" s="2" t="s">
        <v>32</v>
      </c>
      <c r="C664" s="2" t="s">
        <v>54</v>
      </c>
      <c r="D664" s="13"/>
      <c r="E664" s="13"/>
      <c r="F664" s="45"/>
      <c r="G664" s="42"/>
      <c r="H664" s="42"/>
      <c r="I664" s="42"/>
      <c r="J664" s="22"/>
      <c r="K664" s="42"/>
    </row>
    <row r="665" ht="39.75" customHeight="1">
      <c r="A665" s="1">
        <v>664.0</v>
      </c>
      <c r="B665" s="2" t="s">
        <v>67</v>
      </c>
      <c r="C665" s="2"/>
      <c r="D665" s="13"/>
      <c r="E665" s="13"/>
      <c r="F665" s="44" t="s">
        <v>3197</v>
      </c>
      <c r="G665" s="43">
        <v>2.0</v>
      </c>
      <c r="H665" s="42"/>
      <c r="I665" s="43">
        <v>2.0</v>
      </c>
      <c r="J665" s="22"/>
      <c r="K665" s="42"/>
    </row>
    <row r="666" ht="39.75" hidden="1" customHeight="1">
      <c r="A666" s="1">
        <v>665.0</v>
      </c>
      <c r="B666" s="2" t="s">
        <v>35</v>
      </c>
      <c r="C666" s="2" t="s">
        <v>58</v>
      </c>
      <c r="D666" s="13"/>
      <c r="E666" s="13"/>
      <c r="F666" s="45"/>
      <c r="G666" s="42"/>
      <c r="H666" s="42"/>
      <c r="I666" s="42"/>
      <c r="J666" s="22"/>
      <c r="K666" s="42"/>
    </row>
    <row r="667" ht="39.75" hidden="1" customHeight="1">
      <c r="A667" s="1">
        <v>666.0</v>
      </c>
      <c r="B667" s="2" t="s">
        <v>36</v>
      </c>
      <c r="C667" s="2" t="s">
        <v>58</v>
      </c>
      <c r="D667" s="13"/>
      <c r="E667" s="13"/>
      <c r="F667" s="45"/>
      <c r="G667" s="42"/>
      <c r="H667" s="42"/>
      <c r="I667" s="42"/>
      <c r="J667" s="22"/>
      <c r="K667" s="42"/>
    </row>
    <row r="668" ht="39.75" customHeight="1">
      <c r="A668" s="1">
        <v>667.0</v>
      </c>
      <c r="B668" s="2" t="s">
        <v>38</v>
      </c>
      <c r="C668" s="2" t="s">
        <v>39</v>
      </c>
      <c r="D668" s="13"/>
      <c r="E668" s="13"/>
      <c r="F668" s="44" t="s">
        <v>3198</v>
      </c>
      <c r="G668" s="43">
        <v>1.0</v>
      </c>
      <c r="H668" s="42"/>
      <c r="I668" s="43">
        <v>1.0</v>
      </c>
      <c r="J668" s="22"/>
      <c r="K668" s="42"/>
    </row>
    <row r="669" ht="39.75" hidden="1" customHeight="1">
      <c r="A669" s="1">
        <v>668.0</v>
      </c>
      <c r="B669" s="2" t="s">
        <v>41</v>
      </c>
      <c r="C669" s="2" t="s">
        <v>58</v>
      </c>
      <c r="D669" s="13"/>
      <c r="E669" s="13"/>
      <c r="F669" s="45"/>
      <c r="G669" s="42"/>
      <c r="H669" s="42"/>
      <c r="I669" s="42"/>
      <c r="J669" s="22"/>
      <c r="K669" s="42"/>
    </row>
    <row r="670" ht="39.75" customHeight="1">
      <c r="A670" s="1">
        <v>669.0</v>
      </c>
      <c r="B670" s="2" t="s">
        <v>42</v>
      </c>
      <c r="C670" s="2" t="s">
        <v>54</v>
      </c>
      <c r="D670" s="13"/>
      <c r="E670" s="13"/>
      <c r="F670" s="44" t="s">
        <v>3199</v>
      </c>
      <c r="G670" s="43">
        <v>1.0</v>
      </c>
      <c r="H670" s="42"/>
      <c r="I670" s="42"/>
      <c r="J670" s="22"/>
      <c r="K670" s="42"/>
    </row>
    <row r="671" ht="39.75" hidden="1" customHeight="1">
      <c r="A671" s="1">
        <v>670.0</v>
      </c>
      <c r="B671" s="2" t="s">
        <v>43</v>
      </c>
      <c r="C671" s="2" t="s">
        <v>58</v>
      </c>
      <c r="D671" s="13"/>
      <c r="E671" s="13"/>
      <c r="F671" s="45"/>
      <c r="G671" s="42"/>
      <c r="H671" s="42"/>
      <c r="I671" s="42"/>
      <c r="J671" s="22"/>
      <c r="K671" s="42"/>
    </row>
    <row r="672" ht="39.75" customHeight="1">
      <c r="A672" s="1">
        <v>671.0</v>
      </c>
      <c r="B672" s="2" t="s">
        <v>45</v>
      </c>
      <c r="C672" s="2"/>
      <c r="D672" s="13"/>
      <c r="E672" s="13"/>
      <c r="F672" s="44" t="s">
        <v>3200</v>
      </c>
      <c r="G672" s="43">
        <v>1.0</v>
      </c>
      <c r="H672" s="42"/>
      <c r="I672" s="42"/>
      <c r="J672" s="22"/>
      <c r="K672" s="42"/>
    </row>
    <row r="673" ht="39.75" hidden="1" customHeight="1">
      <c r="A673" s="1">
        <v>672.0</v>
      </c>
      <c r="B673" s="2" t="s">
        <v>46</v>
      </c>
      <c r="C673" s="2" t="s">
        <v>58</v>
      </c>
      <c r="D673" s="13"/>
      <c r="E673" s="13"/>
      <c r="F673" s="45"/>
      <c r="G673" s="42"/>
      <c r="H673" s="42"/>
      <c r="I673" s="42"/>
      <c r="J673" s="22"/>
      <c r="K673" s="42"/>
    </row>
    <row r="674" ht="39.75" customHeight="1">
      <c r="A674" s="1">
        <v>673.0</v>
      </c>
      <c r="B674" s="2" t="s">
        <v>47</v>
      </c>
      <c r="C674" s="2" t="s">
        <v>69</v>
      </c>
      <c r="D674" s="13"/>
      <c r="E674" s="40">
        <v>0.8472222222222222</v>
      </c>
      <c r="F674" s="44" t="s">
        <v>3201</v>
      </c>
      <c r="G674" s="43">
        <v>1.0</v>
      </c>
      <c r="H674" s="42"/>
      <c r="I674" s="42"/>
      <c r="J674" s="22"/>
      <c r="K674" s="42"/>
    </row>
    <row r="675" ht="39.75" customHeight="1">
      <c r="A675" s="1">
        <v>674.0</v>
      </c>
      <c r="B675" s="2" t="s">
        <v>48</v>
      </c>
      <c r="C675" s="2" t="s">
        <v>69</v>
      </c>
      <c r="D675" s="13"/>
      <c r="E675" s="13"/>
      <c r="F675" s="45"/>
      <c r="G675" s="42"/>
      <c r="H675" s="42"/>
      <c r="I675" s="42"/>
      <c r="J675" s="22"/>
      <c r="K675" s="42"/>
    </row>
    <row r="676" ht="39.75" customHeight="1">
      <c r="A676" s="1">
        <v>675.0</v>
      </c>
      <c r="B676" s="21"/>
      <c r="C676" s="21"/>
      <c r="D676" s="21"/>
      <c r="E676" s="21"/>
      <c r="F676" s="46"/>
      <c r="G676" s="47"/>
      <c r="H676" s="47"/>
      <c r="I676" s="47"/>
      <c r="J676" s="48"/>
      <c r="K676" s="47"/>
      <c r="L676" s="49"/>
      <c r="M676" s="49"/>
      <c r="N676" s="49"/>
    </row>
    <row r="677" ht="39.75" customHeight="1">
      <c r="A677" s="1">
        <v>676.0</v>
      </c>
      <c r="B677" s="2" t="s">
        <v>12</v>
      </c>
      <c r="C677" s="2" t="s">
        <v>62</v>
      </c>
      <c r="D677" s="13"/>
      <c r="E677" s="13"/>
      <c r="F677" s="44" t="s">
        <v>1543</v>
      </c>
      <c r="G677" s="43">
        <v>1.0</v>
      </c>
      <c r="H677" s="42"/>
      <c r="I677" s="43">
        <v>1.0</v>
      </c>
      <c r="J677" s="27" t="s">
        <v>2945</v>
      </c>
      <c r="K677" s="42"/>
      <c r="L677" s="15" t="s">
        <v>423</v>
      </c>
    </row>
    <row r="678" ht="39.75" customHeight="1">
      <c r="A678" s="1">
        <v>677.0</v>
      </c>
      <c r="B678" s="2" t="s">
        <v>16</v>
      </c>
      <c r="C678" s="2"/>
      <c r="D678" s="13"/>
      <c r="E678" s="13"/>
      <c r="F678" s="44" t="s">
        <v>3202</v>
      </c>
      <c r="G678" s="43">
        <v>1.0</v>
      </c>
      <c r="H678" s="42"/>
      <c r="I678" s="42"/>
      <c r="J678" s="27" t="s">
        <v>423</v>
      </c>
      <c r="K678" s="43"/>
    </row>
    <row r="679" ht="39.75" customHeight="1">
      <c r="A679" s="1">
        <v>678.0</v>
      </c>
      <c r="B679" s="2" t="s">
        <v>116</v>
      </c>
      <c r="C679" s="2" t="s">
        <v>69</v>
      </c>
      <c r="D679" s="13"/>
      <c r="E679" s="13"/>
      <c r="F679" s="45"/>
      <c r="G679" s="42"/>
      <c r="H679" s="42"/>
      <c r="I679" s="42"/>
      <c r="J679" s="27" t="s">
        <v>77</v>
      </c>
      <c r="K679" s="42"/>
    </row>
    <row r="680" ht="39.75" customHeight="1">
      <c r="A680" s="1">
        <v>679.0</v>
      </c>
      <c r="B680" s="2" t="s">
        <v>17</v>
      </c>
      <c r="C680" s="2"/>
      <c r="D680" s="13"/>
      <c r="E680" s="13"/>
      <c r="F680" s="44" t="s">
        <v>3203</v>
      </c>
      <c r="G680" s="43">
        <v>1.0</v>
      </c>
      <c r="H680" s="42"/>
      <c r="I680" s="42"/>
      <c r="J680" s="22"/>
      <c r="K680" s="42"/>
    </row>
    <row r="681" ht="39.75" customHeight="1">
      <c r="A681" s="1">
        <v>680.0</v>
      </c>
      <c r="B681" s="2" t="s">
        <v>331</v>
      </c>
      <c r="C681" s="2" t="s">
        <v>542</v>
      </c>
      <c r="D681" s="13"/>
      <c r="E681" s="13"/>
      <c r="F681" s="45"/>
      <c r="G681" s="42"/>
      <c r="H681" s="42"/>
      <c r="I681" s="42"/>
      <c r="J681" s="22"/>
      <c r="K681" s="42"/>
    </row>
    <row r="682" ht="39.75" customHeight="1">
      <c r="A682" s="1">
        <v>681.0</v>
      </c>
      <c r="B682" s="2" t="s">
        <v>21</v>
      </c>
      <c r="C682" s="2" t="s">
        <v>63</v>
      </c>
      <c r="D682" s="13"/>
      <c r="E682" s="13"/>
      <c r="F682" s="45"/>
      <c r="G682" s="42"/>
      <c r="H682" s="42"/>
      <c r="I682" s="42"/>
      <c r="J682" s="22"/>
      <c r="K682" s="42"/>
    </row>
    <row r="683" ht="39.75" customHeight="1">
      <c r="A683" s="1">
        <v>682.0</v>
      </c>
      <c r="B683" s="2" t="s">
        <v>22</v>
      </c>
      <c r="C683" s="2" t="s">
        <v>54</v>
      </c>
      <c r="D683" s="13"/>
      <c r="E683" s="13"/>
      <c r="F683" s="45"/>
      <c r="G683" s="42"/>
      <c r="H683" s="42"/>
      <c r="I683" s="42"/>
      <c r="J683" s="22"/>
      <c r="K683" s="42"/>
    </row>
    <row r="684" ht="39.75" customHeight="1">
      <c r="A684" s="1">
        <v>683.0</v>
      </c>
      <c r="B684" s="2" t="s">
        <v>23</v>
      </c>
      <c r="C684" s="2" t="s">
        <v>69</v>
      </c>
      <c r="D684" s="13"/>
      <c r="E684" s="13"/>
      <c r="F684" s="44" t="s">
        <v>3204</v>
      </c>
      <c r="G684" s="43">
        <v>1.0</v>
      </c>
      <c r="H684" s="42"/>
      <c r="I684" s="42"/>
      <c r="J684" s="22"/>
      <c r="K684" s="42"/>
    </row>
    <row r="685" ht="39.75" customHeight="1">
      <c r="A685" s="1">
        <v>684.0</v>
      </c>
      <c r="B685" s="2" t="s">
        <v>24</v>
      </c>
      <c r="C685" s="2" t="s">
        <v>63</v>
      </c>
      <c r="D685" s="13"/>
      <c r="E685" s="13"/>
      <c r="F685" s="44" t="s">
        <v>3179</v>
      </c>
      <c r="G685" s="43">
        <v>1.0</v>
      </c>
      <c r="H685" s="43">
        <v>1.0</v>
      </c>
      <c r="I685" s="42"/>
      <c r="J685" s="22"/>
      <c r="K685" s="42"/>
    </row>
    <row r="686" ht="39.75" customHeight="1">
      <c r="A686" s="1">
        <v>685.0</v>
      </c>
      <c r="B686" s="2" t="s">
        <v>25</v>
      </c>
      <c r="C686" s="2"/>
      <c r="D686" s="13"/>
      <c r="E686" s="13"/>
      <c r="F686" s="44" t="s">
        <v>3205</v>
      </c>
      <c r="G686" s="43">
        <v>1.0</v>
      </c>
      <c r="H686" s="42"/>
      <c r="I686" s="42"/>
      <c r="J686" s="22"/>
      <c r="K686" s="42"/>
    </row>
    <row r="687" ht="39.75" hidden="1" customHeight="1">
      <c r="A687" s="1">
        <v>686.0</v>
      </c>
      <c r="B687" s="2" t="s">
        <v>26</v>
      </c>
      <c r="C687" s="2" t="s">
        <v>58</v>
      </c>
      <c r="D687" s="13"/>
      <c r="E687" s="13"/>
      <c r="F687" s="45"/>
      <c r="G687" s="42"/>
      <c r="H687" s="42"/>
      <c r="I687" s="42"/>
      <c r="J687" s="22"/>
      <c r="K687" s="42"/>
    </row>
    <row r="688" ht="39.75" customHeight="1">
      <c r="A688" s="1">
        <v>687.0</v>
      </c>
      <c r="B688" s="2" t="s">
        <v>29</v>
      </c>
      <c r="C688" s="2" t="s">
        <v>54</v>
      </c>
      <c r="D688" s="53">
        <v>0.375</v>
      </c>
      <c r="E688" s="51">
        <v>0.8402777777777778</v>
      </c>
      <c r="F688" s="44" t="s">
        <v>3206</v>
      </c>
      <c r="G688" s="43">
        <v>1.0</v>
      </c>
      <c r="H688" s="42"/>
      <c r="I688" s="42"/>
      <c r="J688" s="22"/>
      <c r="K688" s="42"/>
    </row>
    <row r="689" ht="39.75" customHeight="1">
      <c r="A689" s="1">
        <v>688.0</v>
      </c>
      <c r="B689" s="2" t="s">
        <v>30</v>
      </c>
      <c r="C689" s="2" t="s">
        <v>64</v>
      </c>
      <c r="D689" s="13"/>
      <c r="E689" s="13"/>
      <c r="F689" s="44" t="s">
        <v>2592</v>
      </c>
      <c r="G689" s="43">
        <v>1.0</v>
      </c>
      <c r="H689" s="42"/>
      <c r="I689" s="43">
        <v>1.0</v>
      </c>
      <c r="J689" s="22"/>
      <c r="K689" s="42"/>
    </row>
    <row r="690" ht="39.75" customHeight="1">
      <c r="A690" s="1">
        <v>689.0</v>
      </c>
      <c r="B690" s="2" t="s">
        <v>31</v>
      </c>
      <c r="C690" s="2" t="s">
        <v>44</v>
      </c>
      <c r="D690" s="13"/>
      <c r="E690" s="13"/>
      <c r="F690" s="52" t="s">
        <v>535</v>
      </c>
      <c r="G690" s="56">
        <v>1.0</v>
      </c>
      <c r="H690" s="42"/>
      <c r="I690" s="56">
        <v>1.0</v>
      </c>
      <c r="J690" s="22"/>
      <c r="K690" s="42"/>
    </row>
    <row r="691" ht="39.75" customHeight="1">
      <c r="A691" s="1">
        <v>690.0</v>
      </c>
      <c r="B691" s="2" t="s">
        <v>32</v>
      </c>
      <c r="C691" s="2"/>
      <c r="D691" s="13"/>
      <c r="E691" s="13"/>
      <c r="F691" s="44" t="s">
        <v>3207</v>
      </c>
      <c r="G691" s="43">
        <v>1.0</v>
      </c>
      <c r="H691" s="42"/>
      <c r="I691" s="43">
        <v>1.0</v>
      </c>
      <c r="J691" s="22"/>
      <c r="K691" s="42"/>
    </row>
    <row r="692" ht="39.75" customHeight="1">
      <c r="A692" s="1">
        <v>691.0</v>
      </c>
      <c r="B692" s="2" t="s">
        <v>67</v>
      </c>
      <c r="C692" s="2" t="s">
        <v>27</v>
      </c>
      <c r="D692" s="13"/>
      <c r="E692" s="13"/>
      <c r="F692" s="45"/>
      <c r="G692" s="42"/>
      <c r="H692" s="42"/>
      <c r="I692" s="42"/>
      <c r="J692" s="22"/>
      <c r="K692" s="42"/>
    </row>
    <row r="693" ht="39.75" hidden="1" customHeight="1">
      <c r="A693" s="1">
        <v>692.0</v>
      </c>
      <c r="B693" s="2" t="s">
        <v>35</v>
      </c>
      <c r="C693" s="2" t="s">
        <v>58</v>
      </c>
      <c r="D693" s="13"/>
      <c r="E693" s="13"/>
      <c r="F693" s="45"/>
      <c r="G693" s="42"/>
      <c r="H693" s="42"/>
      <c r="I693" s="42"/>
      <c r="J693" s="22"/>
      <c r="K693" s="42"/>
    </row>
    <row r="694" ht="39.75" customHeight="1">
      <c r="A694" s="1">
        <v>693.0</v>
      </c>
      <c r="B694" s="2" t="s">
        <v>36</v>
      </c>
      <c r="C694" s="2" t="s">
        <v>69</v>
      </c>
      <c r="D694" s="13"/>
      <c r="E694" s="40">
        <v>0.8055555555555556</v>
      </c>
      <c r="F694" s="44" t="s">
        <v>2741</v>
      </c>
      <c r="G694" s="43">
        <v>1.0</v>
      </c>
      <c r="H694" s="42"/>
      <c r="I694" s="43">
        <v>1.0</v>
      </c>
      <c r="J694" s="22"/>
      <c r="K694" s="42"/>
    </row>
    <row r="695" ht="39.75" customHeight="1">
      <c r="A695" s="1">
        <v>694.0</v>
      </c>
      <c r="B695" s="2" t="s">
        <v>38</v>
      </c>
      <c r="C695" s="2" t="s">
        <v>39</v>
      </c>
      <c r="D695" s="40">
        <v>0.2916666666666667</v>
      </c>
      <c r="E695" s="13"/>
      <c r="F695" s="44" t="s">
        <v>2691</v>
      </c>
      <c r="G695" s="43">
        <v>1.0</v>
      </c>
      <c r="H695" s="42"/>
      <c r="I695" s="43">
        <v>1.0</v>
      </c>
      <c r="J695" s="22"/>
      <c r="K695" s="42"/>
    </row>
    <row r="696" ht="39.75" hidden="1" customHeight="1">
      <c r="A696" s="1">
        <v>695.0</v>
      </c>
      <c r="B696" s="2" t="s">
        <v>41</v>
      </c>
      <c r="C696" s="2" t="s">
        <v>58</v>
      </c>
      <c r="D696" s="13"/>
      <c r="E696" s="13"/>
      <c r="F696" s="45"/>
      <c r="G696" s="42"/>
      <c r="H696" s="42"/>
      <c r="I696" s="42"/>
      <c r="J696" s="22"/>
      <c r="K696" s="42"/>
    </row>
    <row r="697" ht="39.75" hidden="1" customHeight="1">
      <c r="A697" s="1">
        <v>696.0</v>
      </c>
      <c r="B697" s="2" t="s">
        <v>42</v>
      </c>
      <c r="C697" s="2" t="s">
        <v>66</v>
      </c>
      <c r="D697" s="13"/>
      <c r="E697" s="13"/>
      <c r="F697" s="45"/>
      <c r="G697" s="42"/>
      <c r="H697" s="42"/>
      <c r="I697" s="42"/>
      <c r="J697" s="22"/>
      <c r="K697" s="42"/>
    </row>
    <row r="698" ht="39.75" customHeight="1">
      <c r="A698" s="1">
        <v>697.0</v>
      </c>
      <c r="B698" s="2" t="s">
        <v>43</v>
      </c>
      <c r="C698" s="2" t="s">
        <v>54</v>
      </c>
      <c r="D698" s="13"/>
      <c r="E698" s="13"/>
      <c r="F698" s="44" t="s">
        <v>3208</v>
      </c>
      <c r="G698" s="43">
        <v>1.0</v>
      </c>
      <c r="H698" s="42"/>
      <c r="I698" s="43">
        <v>1.0</v>
      </c>
      <c r="J698" s="22"/>
      <c r="K698" s="42"/>
    </row>
    <row r="699" ht="39.75" customHeight="1">
      <c r="A699" s="1">
        <v>698.0</v>
      </c>
      <c r="B699" s="2" t="s">
        <v>45</v>
      </c>
      <c r="C699" s="2" t="s">
        <v>39</v>
      </c>
      <c r="D699" s="53">
        <v>0.25</v>
      </c>
      <c r="E699" s="13"/>
      <c r="F699" s="44" t="s">
        <v>3209</v>
      </c>
      <c r="G699" s="43">
        <v>1.0</v>
      </c>
      <c r="H699" s="42"/>
      <c r="I699" s="42"/>
      <c r="J699" s="22"/>
      <c r="K699" s="42"/>
    </row>
    <row r="700" ht="39.75" hidden="1" customHeight="1">
      <c r="A700" s="1">
        <v>699.0</v>
      </c>
      <c r="B700" s="2" t="s">
        <v>46</v>
      </c>
      <c r="C700" s="2" t="s">
        <v>58</v>
      </c>
      <c r="D700" s="13"/>
      <c r="E700" s="13"/>
      <c r="F700" s="45"/>
      <c r="G700" s="42"/>
      <c r="H700" s="42"/>
      <c r="I700" s="42"/>
      <c r="J700" s="22"/>
      <c r="K700" s="42"/>
    </row>
    <row r="701" ht="39.75" hidden="1" customHeight="1">
      <c r="A701" s="1">
        <v>700.0</v>
      </c>
      <c r="B701" s="2" t="s">
        <v>47</v>
      </c>
      <c r="C701" s="2" t="s">
        <v>58</v>
      </c>
      <c r="D701" s="13"/>
      <c r="E701" s="13"/>
      <c r="F701" s="45"/>
      <c r="G701" s="42"/>
      <c r="H701" s="42"/>
      <c r="I701" s="42"/>
      <c r="J701" s="22"/>
      <c r="K701" s="42"/>
    </row>
    <row r="702" ht="39.75" customHeight="1">
      <c r="A702" s="1">
        <v>701.0</v>
      </c>
      <c r="B702" s="2" t="s">
        <v>48</v>
      </c>
      <c r="C702" s="2" t="s">
        <v>54</v>
      </c>
      <c r="D702" s="13"/>
      <c r="E702" s="13"/>
      <c r="F702" s="45"/>
      <c r="G702" s="42"/>
      <c r="H702" s="42"/>
      <c r="I702" s="42"/>
      <c r="J702" s="22"/>
      <c r="K702" s="42"/>
    </row>
    <row r="703" ht="39.75" customHeight="1">
      <c r="A703" s="1">
        <v>702.0</v>
      </c>
      <c r="B703" s="21"/>
      <c r="C703" s="21"/>
      <c r="D703" s="21"/>
      <c r="E703" s="21"/>
      <c r="F703" s="46"/>
      <c r="G703" s="47"/>
      <c r="H703" s="47"/>
      <c r="I703" s="47"/>
      <c r="J703" s="48"/>
      <c r="K703" s="47"/>
      <c r="L703" s="49"/>
      <c r="M703" s="49"/>
      <c r="N703" s="49"/>
    </row>
    <row r="704" ht="39.75" hidden="1" customHeight="1">
      <c r="A704" s="1">
        <v>703.0</v>
      </c>
      <c r="B704" s="2" t="s">
        <v>12</v>
      </c>
      <c r="C704" s="2" t="s">
        <v>58</v>
      </c>
      <c r="D704" s="13"/>
      <c r="E704" s="13"/>
      <c r="F704" s="45"/>
      <c r="G704" s="42"/>
      <c r="H704" s="42"/>
      <c r="I704" s="42"/>
      <c r="J704" s="27" t="s">
        <v>2945</v>
      </c>
      <c r="K704" s="42"/>
      <c r="L704" s="15" t="s">
        <v>438</v>
      </c>
    </row>
    <row r="705" ht="39.75" customHeight="1">
      <c r="A705" s="1">
        <v>704.0</v>
      </c>
      <c r="B705" s="2" t="s">
        <v>16</v>
      </c>
      <c r="C705" s="2"/>
      <c r="D705" s="53">
        <v>0.3611111111111111</v>
      </c>
      <c r="E705" s="13"/>
      <c r="F705" s="44" t="s">
        <v>3210</v>
      </c>
      <c r="G705" s="43">
        <v>1.0</v>
      </c>
      <c r="H705" s="42"/>
      <c r="I705" s="42"/>
      <c r="J705" s="27" t="s">
        <v>438</v>
      </c>
      <c r="K705" s="43"/>
    </row>
    <row r="706" ht="39.75" customHeight="1">
      <c r="A706" s="1">
        <v>705.0</v>
      </c>
      <c r="B706" s="2" t="s">
        <v>116</v>
      </c>
      <c r="C706" s="2"/>
      <c r="D706" s="13"/>
      <c r="E706" s="13"/>
      <c r="F706" s="44" t="s">
        <v>3211</v>
      </c>
      <c r="G706" s="43">
        <v>1.0</v>
      </c>
      <c r="H706" s="43">
        <v>1.0</v>
      </c>
      <c r="I706" s="42"/>
      <c r="J706" s="27" t="s">
        <v>95</v>
      </c>
      <c r="K706" s="42"/>
    </row>
    <row r="707" ht="39.75" customHeight="1">
      <c r="A707" s="1">
        <v>706.0</v>
      </c>
      <c r="B707" s="2" t="s">
        <v>17</v>
      </c>
      <c r="C707" s="2"/>
      <c r="D707" s="13"/>
      <c r="E707" s="13"/>
      <c r="F707" s="44" t="s">
        <v>2941</v>
      </c>
      <c r="G707" s="43">
        <v>1.0</v>
      </c>
      <c r="H707" s="42"/>
      <c r="I707" s="43">
        <v>1.0</v>
      </c>
      <c r="J707" s="22"/>
      <c r="K707" s="42"/>
    </row>
    <row r="708" ht="39.75" hidden="1" customHeight="1">
      <c r="A708" s="1">
        <v>707.0</v>
      </c>
      <c r="B708" s="2" t="s">
        <v>331</v>
      </c>
      <c r="C708" s="2" t="s">
        <v>58</v>
      </c>
      <c r="D708" s="13"/>
      <c r="E708" s="13"/>
      <c r="F708" s="45"/>
      <c r="G708" s="42"/>
      <c r="H708" s="42"/>
      <c r="I708" s="42"/>
      <c r="J708" s="22"/>
      <c r="K708" s="42"/>
    </row>
    <row r="709" ht="39.75" customHeight="1">
      <c r="A709" s="1">
        <v>708.0</v>
      </c>
      <c r="B709" s="2" t="s">
        <v>21</v>
      </c>
      <c r="C709" s="2" t="s">
        <v>63</v>
      </c>
      <c r="D709" s="13"/>
      <c r="E709" s="13"/>
      <c r="F709" s="45"/>
      <c r="G709" s="42"/>
      <c r="H709" s="42"/>
      <c r="I709" s="42"/>
      <c r="J709" s="22"/>
      <c r="K709" s="42"/>
    </row>
    <row r="710" ht="39.75" customHeight="1">
      <c r="A710" s="1">
        <v>709.0</v>
      </c>
      <c r="B710" s="2" t="s">
        <v>22</v>
      </c>
      <c r="C710" s="2" t="s">
        <v>54</v>
      </c>
      <c r="D710" s="13"/>
      <c r="E710" s="13"/>
      <c r="F710" s="44" t="s">
        <v>3212</v>
      </c>
      <c r="G710" s="43">
        <v>2.0</v>
      </c>
      <c r="H710" s="42"/>
      <c r="I710" s="43">
        <v>1.0</v>
      </c>
      <c r="J710" s="22"/>
      <c r="K710" s="42"/>
    </row>
    <row r="711" ht="39.75" customHeight="1">
      <c r="A711" s="1">
        <v>710.0</v>
      </c>
      <c r="B711" s="2" t="s">
        <v>23</v>
      </c>
      <c r="C711" s="2" t="s">
        <v>27</v>
      </c>
      <c r="D711" s="13"/>
      <c r="E711" s="13"/>
      <c r="F711" s="44" t="s">
        <v>3213</v>
      </c>
      <c r="G711" s="43">
        <v>1.0</v>
      </c>
      <c r="H711" s="42"/>
      <c r="I711" s="43">
        <v>1.0</v>
      </c>
      <c r="J711" s="22"/>
      <c r="K711" s="42"/>
    </row>
    <row r="712" ht="39.75" customHeight="1">
      <c r="A712" s="1">
        <v>711.0</v>
      </c>
      <c r="B712" s="2" t="s">
        <v>24</v>
      </c>
      <c r="C712" s="2" t="s">
        <v>63</v>
      </c>
      <c r="D712" s="13"/>
      <c r="E712" s="13"/>
      <c r="F712" s="44" t="s">
        <v>3179</v>
      </c>
      <c r="G712" s="43">
        <v>1.0</v>
      </c>
      <c r="H712" s="43">
        <v>1.0</v>
      </c>
      <c r="I712" s="42"/>
      <c r="J712" s="22"/>
      <c r="K712" s="42"/>
    </row>
    <row r="713" ht="39.75" customHeight="1">
      <c r="A713" s="1">
        <v>712.0</v>
      </c>
      <c r="B713" s="2" t="s">
        <v>25</v>
      </c>
      <c r="C713" s="2" t="s">
        <v>69</v>
      </c>
      <c r="D713" s="13"/>
      <c r="E713" s="13"/>
      <c r="F713" s="44" t="s">
        <v>3214</v>
      </c>
      <c r="G713" s="43">
        <v>1.0</v>
      </c>
      <c r="H713" s="42"/>
      <c r="I713" s="42"/>
      <c r="J713" s="22"/>
      <c r="K713" s="42"/>
    </row>
    <row r="714" ht="39.75" hidden="1" customHeight="1">
      <c r="A714" s="1">
        <v>713.0</v>
      </c>
      <c r="B714" s="2" t="s">
        <v>26</v>
      </c>
      <c r="C714" s="2" t="s">
        <v>58</v>
      </c>
      <c r="D714" s="13"/>
      <c r="E714" s="13"/>
      <c r="F714" s="45"/>
      <c r="G714" s="42"/>
      <c r="H714" s="42"/>
      <c r="I714" s="42"/>
      <c r="J714" s="22"/>
      <c r="K714" s="42"/>
    </row>
    <row r="715" ht="39.75" customHeight="1">
      <c r="A715" s="1">
        <v>714.0</v>
      </c>
      <c r="B715" s="2" t="s">
        <v>29</v>
      </c>
      <c r="C715" s="2" t="s">
        <v>54</v>
      </c>
      <c r="D715" s="13"/>
      <c r="E715" s="13"/>
      <c r="F715" s="44" t="s">
        <v>3215</v>
      </c>
      <c r="G715" s="43">
        <v>1.0</v>
      </c>
      <c r="H715" s="42"/>
      <c r="I715" s="42"/>
      <c r="J715" s="22"/>
      <c r="K715" s="42"/>
    </row>
    <row r="716" ht="39.75" hidden="1" customHeight="1">
      <c r="A716" s="1">
        <v>715.0</v>
      </c>
      <c r="B716" s="2" t="s">
        <v>30</v>
      </c>
      <c r="C716" s="2" t="s">
        <v>58</v>
      </c>
      <c r="D716" s="13"/>
      <c r="E716" s="13"/>
      <c r="F716" s="45"/>
      <c r="G716" s="42"/>
      <c r="H716" s="42"/>
      <c r="I716" s="42"/>
      <c r="J716" s="22"/>
      <c r="K716" s="42"/>
    </row>
    <row r="717" ht="39.75" customHeight="1">
      <c r="A717" s="1">
        <v>716.0</v>
      </c>
      <c r="B717" s="2" t="s">
        <v>31</v>
      </c>
      <c r="C717" s="2" t="s">
        <v>69</v>
      </c>
      <c r="D717" s="13"/>
      <c r="E717" s="13"/>
      <c r="F717" s="44" t="s">
        <v>3216</v>
      </c>
      <c r="G717" s="43">
        <v>2.0</v>
      </c>
      <c r="H717" s="42"/>
      <c r="I717" s="43">
        <v>2.0</v>
      </c>
      <c r="J717" s="22"/>
      <c r="K717" s="42"/>
    </row>
    <row r="718" ht="39.75" hidden="1" customHeight="1">
      <c r="A718" s="1">
        <v>717.0</v>
      </c>
      <c r="B718" s="2" t="s">
        <v>32</v>
      </c>
      <c r="C718" s="2" t="s">
        <v>58</v>
      </c>
      <c r="D718" s="13"/>
      <c r="E718" s="13"/>
      <c r="F718" s="45"/>
      <c r="G718" s="42"/>
      <c r="H718" s="42"/>
      <c r="I718" s="42"/>
      <c r="J718" s="22"/>
      <c r="K718" s="42"/>
    </row>
    <row r="719" ht="39.75" customHeight="1">
      <c r="A719" s="1">
        <v>718.0</v>
      </c>
      <c r="B719" s="2" t="s">
        <v>67</v>
      </c>
      <c r="C719" s="2" t="s">
        <v>44</v>
      </c>
      <c r="D719" s="13"/>
      <c r="E719" s="13"/>
      <c r="F719" s="45"/>
      <c r="G719" s="42"/>
      <c r="H719" s="42"/>
      <c r="I719" s="42"/>
      <c r="J719" s="22"/>
      <c r="K719" s="42"/>
    </row>
    <row r="720" ht="39.75" hidden="1" customHeight="1">
      <c r="A720" s="1">
        <v>719.0</v>
      </c>
      <c r="B720" s="2" t="s">
        <v>35</v>
      </c>
      <c r="C720" s="2" t="s">
        <v>66</v>
      </c>
      <c r="D720" s="13"/>
      <c r="E720" s="13"/>
      <c r="F720" s="45"/>
      <c r="G720" s="42"/>
      <c r="H720" s="42"/>
      <c r="I720" s="42"/>
      <c r="J720" s="22"/>
      <c r="K720" s="42"/>
    </row>
    <row r="721" ht="39.75" customHeight="1">
      <c r="A721" s="1">
        <v>720.0</v>
      </c>
      <c r="B721" s="2" t="s">
        <v>36</v>
      </c>
      <c r="C721" s="2"/>
      <c r="D721" s="13"/>
      <c r="E721" s="13"/>
      <c r="F721" s="44" t="s">
        <v>3217</v>
      </c>
      <c r="G721" s="43">
        <v>1.0</v>
      </c>
      <c r="H721" s="42"/>
      <c r="I721" s="43"/>
      <c r="J721" s="22"/>
      <c r="K721" s="42"/>
    </row>
    <row r="722" ht="39.75" customHeight="1">
      <c r="A722" s="1">
        <v>721.0</v>
      </c>
      <c r="B722" s="2" t="s">
        <v>38</v>
      </c>
      <c r="C722" s="2"/>
      <c r="D722" s="13"/>
      <c r="E722" s="13"/>
      <c r="F722" s="44" t="s">
        <v>3218</v>
      </c>
      <c r="G722" s="43">
        <v>2.0</v>
      </c>
      <c r="H722" s="42"/>
      <c r="I722" s="43">
        <v>1.0</v>
      </c>
      <c r="J722" s="22"/>
      <c r="K722" s="42"/>
    </row>
    <row r="723" ht="39.75" hidden="1" customHeight="1">
      <c r="A723" s="1">
        <v>722.0</v>
      </c>
      <c r="B723" s="2" t="s">
        <v>41</v>
      </c>
      <c r="C723" s="2" t="s">
        <v>58</v>
      </c>
      <c r="D723" s="13"/>
      <c r="E723" s="13"/>
      <c r="F723" s="45"/>
      <c r="G723" s="42"/>
      <c r="H723" s="42"/>
      <c r="I723" s="42"/>
      <c r="J723" s="22"/>
      <c r="K723" s="42"/>
    </row>
    <row r="724" ht="39.75" customHeight="1">
      <c r="A724" s="1">
        <v>723.0</v>
      </c>
      <c r="B724" s="2" t="s">
        <v>42</v>
      </c>
      <c r="C724" s="2" t="s">
        <v>54</v>
      </c>
      <c r="D724" s="13"/>
      <c r="E724" s="13"/>
      <c r="F724" s="44" t="s">
        <v>3219</v>
      </c>
      <c r="G724" s="43">
        <v>1.0</v>
      </c>
      <c r="H724" s="43">
        <v>1.0</v>
      </c>
      <c r="I724" s="42"/>
      <c r="J724" s="22"/>
      <c r="K724" s="42"/>
    </row>
    <row r="725" ht="39.75" customHeight="1">
      <c r="A725" s="1">
        <v>724.0</v>
      </c>
      <c r="B725" s="2" t="s">
        <v>43</v>
      </c>
      <c r="C725" s="2" t="s">
        <v>39</v>
      </c>
      <c r="D725" s="13"/>
      <c r="E725" s="13"/>
      <c r="F725" s="44" t="s">
        <v>2664</v>
      </c>
      <c r="G725" s="43">
        <v>1.0</v>
      </c>
      <c r="H725" s="42"/>
      <c r="I725" s="43">
        <v>1.0</v>
      </c>
      <c r="J725" s="22"/>
      <c r="K725" s="42"/>
    </row>
    <row r="726" ht="39.75" customHeight="1">
      <c r="A726" s="1">
        <v>725.0</v>
      </c>
      <c r="B726" s="2" t="s">
        <v>45</v>
      </c>
      <c r="C726" s="2"/>
      <c r="D726" s="13"/>
      <c r="E726" s="13"/>
      <c r="F726" s="44" t="s">
        <v>3220</v>
      </c>
      <c r="G726" s="43">
        <v>1.0</v>
      </c>
      <c r="H726" s="42"/>
      <c r="I726" s="42"/>
      <c r="J726" s="22"/>
      <c r="K726" s="42"/>
    </row>
    <row r="727" ht="39.75" customHeight="1">
      <c r="A727" s="1">
        <v>726.0</v>
      </c>
      <c r="B727" s="2" t="s">
        <v>46</v>
      </c>
      <c r="C727" s="2" t="s">
        <v>69</v>
      </c>
      <c r="D727" s="13"/>
      <c r="E727" s="13"/>
      <c r="F727" s="44" t="s">
        <v>3221</v>
      </c>
      <c r="G727" s="43">
        <v>2.0</v>
      </c>
      <c r="H727" s="42"/>
      <c r="I727" s="43">
        <v>1.0</v>
      </c>
      <c r="J727" s="22"/>
      <c r="K727" s="42"/>
    </row>
    <row r="728" ht="39.75" customHeight="1">
      <c r="A728" s="1">
        <v>727.0</v>
      </c>
      <c r="B728" s="2" t="s">
        <v>47</v>
      </c>
      <c r="C728" s="2" t="s">
        <v>39</v>
      </c>
      <c r="D728" s="13"/>
      <c r="E728" s="13"/>
      <c r="F728" s="44" t="s">
        <v>3222</v>
      </c>
      <c r="G728" s="43">
        <v>1.0</v>
      </c>
      <c r="H728" s="42"/>
      <c r="I728" s="42"/>
      <c r="J728" s="22"/>
      <c r="K728" s="42"/>
    </row>
    <row r="729" ht="39.75" customHeight="1">
      <c r="A729" s="1">
        <v>728.0</v>
      </c>
      <c r="B729" s="2" t="s">
        <v>48</v>
      </c>
      <c r="C729" s="2" t="s">
        <v>54</v>
      </c>
      <c r="D729" s="13"/>
      <c r="E729" s="13"/>
      <c r="F729" s="44" t="s">
        <v>3223</v>
      </c>
      <c r="G729" s="43">
        <v>3.0</v>
      </c>
      <c r="H729" s="42"/>
      <c r="I729" s="43">
        <v>2.0</v>
      </c>
      <c r="J729" s="22"/>
      <c r="K729" s="42"/>
    </row>
    <row r="730" ht="39.75" customHeight="1">
      <c r="A730" s="1">
        <v>729.0</v>
      </c>
      <c r="B730" s="21"/>
      <c r="C730" s="21"/>
      <c r="D730" s="21"/>
      <c r="E730" s="21"/>
      <c r="F730" s="46"/>
      <c r="G730" s="47"/>
      <c r="H730" s="47"/>
      <c r="I730" s="47"/>
      <c r="J730" s="48"/>
      <c r="K730" s="47"/>
      <c r="L730" s="49"/>
      <c r="M730" s="49"/>
      <c r="N730" s="49"/>
    </row>
    <row r="731" ht="39.75" customHeight="1">
      <c r="A731" s="1">
        <v>730.0</v>
      </c>
      <c r="B731" s="2" t="s">
        <v>12</v>
      </c>
      <c r="C731" s="2" t="s">
        <v>62</v>
      </c>
      <c r="D731" s="13"/>
      <c r="E731" s="13"/>
      <c r="F731" s="44" t="s">
        <v>1543</v>
      </c>
      <c r="G731" s="43">
        <v>1.0</v>
      </c>
      <c r="H731" s="42"/>
      <c r="I731" s="43">
        <v>1.0</v>
      </c>
      <c r="J731" s="27" t="s">
        <v>2945</v>
      </c>
      <c r="K731" s="42"/>
      <c r="L731" s="15" t="s">
        <v>452</v>
      </c>
    </row>
    <row r="732" ht="52.5" customHeight="1">
      <c r="A732" s="1">
        <v>731.0</v>
      </c>
      <c r="B732" s="2" t="s">
        <v>16</v>
      </c>
      <c r="C732" s="2"/>
      <c r="D732" s="13"/>
      <c r="E732" s="13"/>
      <c r="F732" s="44" t="s">
        <v>3224</v>
      </c>
      <c r="G732" s="43">
        <v>2.0</v>
      </c>
      <c r="H732" s="42"/>
      <c r="I732" s="43">
        <v>1.0</v>
      </c>
      <c r="J732" s="27" t="s">
        <v>452</v>
      </c>
      <c r="K732" s="43"/>
    </row>
    <row r="733" ht="39.75" customHeight="1">
      <c r="A733" s="1">
        <v>732.0</v>
      </c>
      <c r="B733" s="2" t="s">
        <v>116</v>
      </c>
      <c r="C733" s="2"/>
      <c r="D733" s="13"/>
      <c r="E733" s="13"/>
      <c r="F733" s="44" t="s">
        <v>3225</v>
      </c>
      <c r="G733" s="43">
        <v>1.0</v>
      </c>
      <c r="H733" s="43">
        <v>1.0</v>
      </c>
      <c r="I733" s="42"/>
      <c r="J733" s="27" t="s">
        <v>111</v>
      </c>
      <c r="K733" s="42"/>
    </row>
    <row r="734" ht="39.75" hidden="1" customHeight="1">
      <c r="A734" s="1">
        <v>733.0</v>
      </c>
      <c r="B734" s="2" t="s">
        <v>17</v>
      </c>
      <c r="C734" s="2" t="s">
        <v>58</v>
      </c>
      <c r="D734" s="13"/>
      <c r="E734" s="13"/>
      <c r="F734" s="44"/>
      <c r="G734" s="42"/>
      <c r="H734" s="42"/>
      <c r="I734" s="42"/>
      <c r="J734" s="22"/>
      <c r="K734" s="42"/>
    </row>
    <row r="735" ht="39.75" customHeight="1">
      <c r="A735" s="1">
        <v>734.0</v>
      </c>
      <c r="B735" s="2" t="s">
        <v>331</v>
      </c>
      <c r="C735" s="2" t="s">
        <v>542</v>
      </c>
      <c r="D735" s="13"/>
      <c r="E735" s="13"/>
      <c r="F735" s="44" t="s">
        <v>3226</v>
      </c>
      <c r="G735" s="43">
        <v>2.0</v>
      </c>
      <c r="H735" s="42"/>
      <c r="I735" s="42"/>
      <c r="J735" s="22"/>
      <c r="K735" s="42"/>
    </row>
    <row r="736" ht="39.75" customHeight="1">
      <c r="A736" s="1">
        <v>735.0</v>
      </c>
      <c r="B736" s="2" t="s">
        <v>21</v>
      </c>
      <c r="C736" s="2" t="s">
        <v>63</v>
      </c>
      <c r="D736" s="13"/>
      <c r="E736" s="13"/>
      <c r="F736" s="45"/>
      <c r="G736" s="42"/>
      <c r="H736" s="42"/>
      <c r="I736" s="42"/>
      <c r="J736" s="22"/>
      <c r="K736" s="42"/>
    </row>
    <row r="737" ht="39.75" customHeight="1">
      <c r="A737" s="1">
        <v>736.0</v>
      </c>
      <c r="B737" s="2" t="s">
        <v>22</v>
      </c>
      <c r="C737" s="2" t="s">
        <v>54</v>
      </c>
      <c r="D737" s="13"/>
      <c r="E737" s="13"/>
      <c r="F737" s="44" t="s">
        <v>3227</v>
      </c>
      <c r="G737" s="43">
        <v>2.0</v>
      </c>
      <c r="H737" s="42"/>
      <c r="I737" s="43">
        <v>2.0</v>
      </c>
      <c r="J737" s="22"/>
      <c r="K737" s="42"/>
    </row>
    <row r="738" ht="39.75" customHeight="1">
      <c r="A738" s="1">
        <v>737.0</v>
      </c>
      <c r="B738" s="2" t="s">
        <v>23</v>
      </c>
      <c r="C738" s="2" t="s">
        <v>44</v>
      </c>
      <c r="D738" s="13"/>
      <c r="E738" s="13"/>
      <c r="F738" s="45"/>
      <c r="G738" s="42"/>
      <c r="H738" s="42"/>
      <c r="I738" s="42"/>
      <c r="J738" s="22"/>
      <c r="K738" s="42"/>
    </row>
    <row r="739" ht="39.75" customHeight="1">
      <c r="A739" s="1">
        <v>738.0</v>
      </c>
      <c r="B739" s="2" t="s">
        <v>24</v>
      </c>
      <c r="C739" s="2" t="s">
        <v>63</v>
      </c>
      <c r="D739" s="13"/>
      <c r="E739" s="13"/>
      <c r="F739" s="44" t="s">
        <v>3228</v>
      </c>
      <c r="G739" s="42"/>
      <c r="H739" s="42"/>
      <c r="I739" s="42"/>
      <c r="J739" s="22"/>
      <c r="K739" s="42"/>
    </row>
    <row r="740" ht="39.75" hidden="1" customHeight="1">
      <c r="A740" s="1">
        <v>739.0</v>
      </c>
      <c r="B740" s="2" t="s">
        <v>25</v>
      </c>
      <c r="C740" s="2" t="s">
        <v>58</v>
      </c>
      <c r="D740" s="13"/>
      <c r="E740" s="13"/>
      <c r="F740" s="45"/>
      <c r="G740" s="42"/>
      <c r="H740" s="42"/>
      <c r="I740" s="42"/>
      <c r="J740" s="22"/>
      <c r="K740" s="42"/>
    </row>
    <row r="741" ht="39.75" customHeight="1">
      <c r="A741" s="1">
        <v>740.0</v>
      </c>
      <c r="B741" s="2" t="s">
        <v>26</v>
      </c>
      <c r="C741" s="2" t="s">
        <v>27</v>
      </c>
      <c r="D741" s="13"/>
      <c r="E741" s="13"/>
      <c r="F741" s="44" t="s">
        <v>3229</v>
      </c>
      <c r="G741" s="43">
        <v>1.0</v>
      </c>
      <c r="H741" s="42"/>
      <c r="I741" s="42"/>
      <c r="J741" s="22"/>
      <c r="K741" s="42"/>
    </row>
    <row r="742" ht="39.75" customHeight="1">
      <c r="A742" s="1">
        <v>741.0</v>
      </c>
      <c r="B742" s="2" t="s">
        <v>29</v>
      </c>
      <c r="C742" s="2" t="s">
        <v>54</v>
      </c>
      <c r="D742" s="13"/>
      <c r="E742" s="13"/>
      <c r="F742" s="44" t="s">
        <v>3230</v>
      </c>
      <c r="G742" s="43">
        <v>1.0</v>
      </c>
      <c r="H742" s="42"/>
      <c r="I742" s="42"/>
      <c r="J742" s="22"/>
      <c r="K742" s="42"/>
    </row>
    <row r="743" ht="39.75" hidden="1" customHeight="1">
      <c r="A743" s="1">
        <v>742.0</v>
      </c>
      <c r="B743" s="2" t="s">
        <v>30</v>
      </c>
      <c r="C743" s="2" t="s">
        <v>66</v>
      </c>
      <c r="D743" s="13"/>
      <c r="E743" s="13"/>
      <c r="F743" s="45"/>
      <c r="G743" s="42"/>
      <c r="H743" s="42"/>
      <c r="I743" s="42"/>
      <c r="J743" s="22"/>
      <c r="K743" s="42"/>
    </row>
    <row r="744" ht="39.75" customHeight="1">
      <c r="A744" s="1">
        <v>743.0</v>
      </c>
      <c r="B744" s="2" t="s">
        <v>31</v>
      </c>
      <c r="C744" s="2" t="s">
        <v>39</v>
      </c>
      <c r="D744" s="13"/>
      <c r="E744" s="13"/>
      <c r="F744" s="44" t="s">
        <v>2821</v>
      </c>
      <c r="G744" s="43">
        <v>1.0</v>
      </c>
      <c r="H744" s="42"/>
      <c r="I744" s="43">
        <v>1.0</v>
      </c>
      <c r="J744" s="22"/>
      <c r="K744" s="42"/>
    </row>
    <row r="745" ht="39.75" customHeight="1">
      <c r="A745" s="1">
        <v>744.0</v>
      </c>
      <c r="B745" s="2" t="s">
        <v>32</v>
      </c>
      <c r="C745" s="2"/>
      <c r="D745" s="13"/>
      <c r="E745" s="13"/>
      <c r="F745" s="44" t="s">
        <v>3231</v>
      </c>
      <c r="G745" s="43">
        <v>2.0</v>
      </c>
      <c r="H745" s="42"/>
      <c r="I745" s="43">
        <v>1.0</v>
      </c>
      <c r="J745" s="22"/>
      <c r="K745" s="42"/>
    </row>
    <row r="746" ht="39.75" customHeight="1">
      <c r="A746" s="1">
        <v>745.0</v>
      </c>
      <c r="B746" s="2" t="s">
        <v>67</v>
      </c>
      <c r="C746" s="2" t="s">
        <v>69</v>
      </c>
      <c r="D746" s="13"/>
      <c r="E746" s="40">
        <v>0.8263888888888888</v>
      </c>
      <c r="F746" s="44" t="s">
        <v>3232</v>
      </c>
      <c r="G746" s="43">
        <v>2.0</v>
      </c>
      <c r="H746" s="42"/>
      <c r="I746" s="43">
        <v>1.0</v>
      </c>
      <c r="J746" s="22"/>
      <c r="K746" s="42"/>
    </row>
    <row r="747" ht="39.75" customHeight="1">
      <c r="A747" s="1">
        <v>746.0</v>
      </c>
      <c r="B747" s="2" t="s">
        <v>35</v>
      </c>
      <c r="C747" s="2" t="s">
        <v>39</v>
      </c>
      <c r="D747" s="13"/>
      <c r="E747" s="13"/>
      <c r="F747" s="44" t="s">
        <v>3233</v>
      </c>
      <c r="G747" s="43">
        <v>2.0</v>
      </c>
      <c r="H747" s="42"/>
      <c r="I747" s="43">
        <v>1.0</v>
      </c>
      <c r="J747" s="22"/>
      <c r="K747" s="42"/>
    </row>
    <row r="748" ht="39.75" hidden="1" customHeight="1">
      <c r="A748" s="1">
        <v>747.0</v>
      </c>
      <c r="B748" s="2" t="s">
        <v>36</v>
      </c>
      <c r="C748" s="2" t="s">
        <v>58</v>
      </c>
      <c r="D748" s="13"/>
      <c r="E748" s="13"/>
      <c r="F748" s="45"/>
      <c r="G748" s="42"/>
      <c r="H748" s="42"/>
      <c r="I748" s="42"/>
      <c r="J748" s="22"/>
      <c r="K748" s="42"/>
    </row>
    <row r="749" ht="39.75" customHeight="1">
      <c r="A749" s="1">
        <v>748.0</v>
      </c>
      <c r="B749" s="2" t="s">
        <v>38</v>
      </c>
      <c r="C749" s="2"/>
      <c r="D749" s="13"/>
      <c r="E749" s="13"/>
      <c r="F749" s="44" t="s">
        <v>3234</v>
      </c>
      <c r="G749" s="43">
        <v>2.0</v>
      </c>
      <c r="H749" s="42"/>
      <c r="I749" s="43">
        <v>1.0</v>
      </c>
      <c r="J749" s="22"/>
      <c r="K749" s="42"/>
    </row>
    <row r="750" ht="39.75" hidden="1" customHeight="1">
      <c r="A750" s="1">
        <v>749.0</v>
      </c>
      <c r="B750" s="2" t="s">
        <v>41</v>
      </c>
      <c r="C750" s="2" t="s">
        <v>58</v>
      </c>
      <c r="D750" s="13"/>
      <c r="E750" s="13"/>
      <c r="F750" s="45"/>
      <c r="G750" s="42"/>
      <c r="H750" s="42"/>
      <c r="I750" s="42"/>
      <c r="J750" s="22"/>
      <c r="K750" s="42"/>
    </row>
    <row r="751" ht="39.75" customHeight="1">
      <c r="A751" s="1">
        <v>750.0</v>
      </c>
      <c r="B751" s="2" t="s">
        <v>42</v>
      </c>
      <c r="C751" s="2" t="s">
        <v>54</v>
      </c>
      <c r="D751" s="13"/>
      <c r="E751" s="13"/>
      <c r="F751" s="44" t="s">
        <v>3219</v>
      </c>
      <c r="G751" s="43">
        <v>1.0</v>
      </c>
      <c r="H751" s="43">
        <v>1.0</v>
      </c>
      <c r="I751" s="42"/>
      <c r="J751" s="22"/>
      <c r="K751" s="42"/>
    </row>
    <row r="752" ht="39.75" hidden="1" customHeight="1">
      <c r="A752" s="1">
        <v>751.0</v>
      </c>
      <c r="B752" s="2" t="s">
        <v>43</v>
      </c>
      <c r="C752" s="2" t="s">
        <v>58</v>
      </c>
      <c r="D752" s="13"/>
      <c r="E752" s="13"/>
      <c r="F752" s="45"/>
      <c r="G752" s="42"/>
      <c r="H752" s="42"/>
      <c r="I752" s="42"/>
      <c r="J752" s="22"/>
      <c r="K752" s="42"/>
    </row>
    <row r="753" ht="39.75" customHeight="1">
      <c r="A753" s="1">
        <v>752.0</v>
      </c>
      <c r="B753" s="2" t="s">
        <v>45</v>
      </c>
      <c r="C753" s="2" t="s">
        <v>69</v>
      </c>
      <c r="D753" s="13"/>
      <c r="E753" s="13"/>
      <c r="F753" s="44" t="s">
        <v>3235</v>
      </c>
      <c r="G753" s="43">
        <v>1.0</v>
      </c>
      <c r="H753" s="42"/>
      <c r="I753" s="43">
        <v>1.0</v>
      </c>
      <c r="J753" s="22"/>
      <c r="K753" s="42"/>
    </row>
    <row r="754" ht="39.75" customHeight="1">
      <c r="A754" s="1">
        <v>753.0</v>
      </c>
      <c r="B754" s="2" t="s">
        <v>46</v>
      </c>
      <c r="C754" s="2" t="s">
        <v>54</v>
      </c>
      <c r="D754" s="40">
        <v>0.5</v>
      </c>
      <c r="E754" s="51">
        <v>0.9166666666666666</v>
      </c>
      <c r="F754" s="44" t="s">
        <v>3236</v>
      </c>
      <c r="G754" s="43">
        <v>1.0</v>
      </c>
      <c r="H754" s="43">
        <v>1.0</v>
      </c>
      <c r="I754" s="42"/>
      <c r="J754" s="22"/>
      <c r="K754" s="42"/>
    </row>
    <row r="755" ht="39.75" customHeight="1">
      <c r="A755" s="1">
        <v>754.0</v>
      </c>
      <c r="B755" s="2" t="s">
        <v>47</v>
      </c>
      <c r="C755" s="2" t="s">
        <v>69</v>
      </c>
      <c r="D755" s="13"/>
      <c r="E755" s="13"/>
      <c r="F755" s="44" t="s">
        <v>3214</v>
      </c>
      <c r="G755" s="43">
        <v>1.0</v>
      </c>
      <c r="H755" s="42"/>
      <c r="I755" s="42"/>
      <c r="J755" s="22"/>
      <c r="K755" s="42"/>
    </row>
    <row r="756" ht="39.75" customHeight="1">
      <c r="A756" s="1">
        <v>755.0</v>
      </c>
      <c r="B756" s="2" t="s">
        <v>48</v>
      </c>
      <c r="C756" s="2"/>
      <c r="D756" s="13"/>
      <c r="E756" s="13"/>
      <c r="F756" s="44" t="s">
        <v>1285</v>
      </c>
      <c r="G756" s="43">
        <v>1.0</v>
      </c>
      <c r="H756" s="42"/>
      <c r="I756" s="43">
        <v>1.0</v>
      </c>
      <c r="J756" s="22"/>
      <c r="K756" s="42"/>
    </row>
    <row r="757" ht="39.75" customHeight="1">
      <c r="A757" s="1">
        <v>756.0</v>
      </c>
      <c r="B757" s="21"/>
      <c r="C757" s="21"/>
      <c r="D757" s="21"/>
      <c r="E757" s="21"/>
      <c r="F757" s="46"/>
      <c r="G757" s="47"/>
      <c r="H757" s="47"/>
      <c r="I757" s="47"/>
      <c r="J757" s="48"/>
      <c r="K757" s="47"/>
      <c r="L757" s="49"/>
      <c r="M757" s="49"/>
      <c r="N757" s="49"/>
    </row>
    <row r="758" ht="39.75" customHeight="1">
      <c r="A758" s="1">
        <v>757.0</v>
      </c>
      <c r="B758" s="2" t="s">
        <v>12</v>
      </c>
      <c r="C758" s="2" t="s">
        <v>62</v>
      </c>
      <c r="D758" s="13"/>
      <c r="E758" s="13"/>
      <c r="F758" s="45"/>
      <c r="G758" s="42"/>
      <c r="H758" s="42"/>
      <c r="I758" s="42"/>
      <c r="J758" s="27" t="s">
        <v>2945</v>
      </c>
      <c r="K758" s="42"/>
      <c r="L758" s="15" t="s">
        <v>460</v>
      </c>
    </row>
    <row r="759" ht="102.0" customHeight="1">
      <c r="A759" s="1">
        <v>758.0</v>
      </c>
      <c r="B759" s="2" t="s">
        <v>16</v>
      </c>
      <c r="C759" s="2"/>
      <c r="D759" s="13"/>
      <c r="E759" s="13"/>
      <c r="F759" s="44" t="s">
        <v>3237</v>
      </c>
      <c r="G759" s="43">
        <v>1.0</v>
      </c>
      <c r="H759" s="43">
        <v>1.0</v>
      </c>
      <c r="I759" s="42"/>
      <c r="J759" s="27" t="s">
        <v>460</v>
      </c>
      <c r="K759" s="43"/>
    </row>
    <row r="760" ht="39.75" customHeight="1">
      <c r="A760" s="1">
        <v>759.0</v>
      </c>
      <c r="B760" s="2" t="s">
        <v>116</v>
      </c>
      <c r="C760" s="2" t="s">
        <v>39</v>
      </c>
      <c r="D760" s="13"/>
      <c r="E760" s="13"/>
      <c r="F760" s="45"/>
      <c r="G760" s="42"/>
      <c r="H760" s="42"/>
      <c r="I760" s="42"/>
      <c r="J760" s="27" t="s">
        <v>131</v>
      </c>
      <c r="K760" s="42"/>
    </row>
    <row r="761" ht="39.75" hidden="1" customHeight="1">
      <c r="A761" s="1">
        <v>760.0</v>
      </c>
      <c r="B761" s="2" t="s">
        <v>17</v>
      </c>
      <c r="C761" s="2" t="s">
        <v>58</v>
      </c>
      <c r="D761" s="13"/>
      <c r="E761" s="13"/>
      <c r="F761" s="44"/>
      <c r="G761" s="42"/>
      <c r="H761" s="42"/>
      <c r="I761" s="42"/>
      <c r="J761" s="22"/>
      <c r="K761" s="42"/>
    </row>
    <row r="762" ht="39.75" customHeight="1">
      <c r="A762" s="1">
        <v>761.0</v>
      </c>
      <c r="B762" s="2" t="s">
        <v>331</v>
      </c>
      <c r="C762" s="2" t="s">
        <v>542</v>
      </c>
      <c r="D762" s="13"/>
      <c r="E762" s="13"/>
      <c r="F762" s="45"/>
      <c r="G762" s="42"/>
      <c r="H762" s="42"/>
      <c r="I762" s="42"/>
      <c r="J762" s="22"/>
      <c r="K762" s="42"/>
    </row>
    <row r="763" ht="39.75" customHeight="1">
      <c r="A763" s="1">
        <v>762.0</v>
      </c>
      <c r="B763" s="2" t="s">
        <v>21</v>
      </c>
      <c r="C763" s="2"/>
      <c r="D763" s="13"/>
      <c r="E763" s="13"/>
      <c r="F763" s="45"/>
      <c r="G763" s="42"/>
      <c r="H763" s="42"/>
      <c r="I763" s="42"/>
      <c r="J763" s="22"/>
      <c r="K763" s="42"/>
    </row>
    <row r="764" ht="75.75" customHeight="1">
      <c r="A764" s="1">
        <v>763.0</v>
      </c>
      <c r="B764" s="2" t="s">
        <v>22</v>
      </c>
      <c r="C764" s="2" t="s">
        <v>54</v>
      </c>
      <c r="D764" s="53">
        <v>0.2708333333333333</v>
      </c>
      <c r="E764" s="13"/>
      <c r="F764" s="44" t="s">
        <v>3238</v>
      </c>
      <c r="G764" s="43">
        <v>1.0</v>
      </c>
      <c r="H764" s="43">
        <v>1.0</v>
      </c>
      <c r="I764" s="42"/>
      <c r="J764" s="22"/>
      <c r="K764" s="42"/>
    </row>
    <row r="765" ht="39.75" hidden="1" customHeight="1">
      <c r="A765" s="1">
        <v>764.0</v>
      </c>
      <c r="B765" s="2" t="s">
        <v>23</v>
      </c>
      <c r="C765" s="2" t="s">
        <v>58</v>
      </c>
      <c r="D765" s="13"/>
      <c r="E765" s="13"/>
      <c r="F765" s="45"/>
      <c r="G765" s="42"/>
      <c r="H765" s="42"/>
      <c r="I765" s="42"/>
      <c r="J765" s="22"/>
      <c r="K765" s="42"/>
    </row>
    <row r="766" ht="39.75" customHeight="1">
      <c r="A766" s="1">
        <v>765.0</v>
      </c>
      <c r="B766" s="2" t="s">
        <v>24</v>
      </c>
      <c r="C766" s="2" t="s">
        <v>63</v>
      </c>
      <c r="D766" s="13"/>
      <c r="E766" s="13"/>
      <c r="F766" s="45"/>
      <c r="G766" s="42"/>
      <c r="H766" s="42"/>
      <c r="I766" s="42"/>
      <c r="J766" s="22"/>
      <c r="K766" s="42"/>
    </row>
    <row r="767" ht="39.75" hidden="1" customHeight="1">
      <c r="A767" s="1">
        <v>766.0</v>
      </c>
      <c r="B767" s="2" t="s">
        <v>25</v>
      </c>
      <c r="C767" s="2" t="s">
        <v>58</v>
      </c>
      <c r="D767" s="13"/>
      <c r="E767" s="13"/>
      <c r="F767" s="45"/>
      <c r="G767" s="42"/>
      <c r="H767" s="42"/>
      <c r="I767" s="42"/>
      <c r="J767" s="22"/>
      <c r="K767" s="42"/>
    </row>
    <row r="768" ht="39.75" customHeight="1">
      <c r="A768" s="1">
        <v>767.0</v>
      </c>
      <c r="B768" s="2" t="s">
        <v>26</v>
      </c>
      <c r="C768" s="2" t="s">
        <v>44</v>
      </c>
      <c r="D768" s="13"/>
      <c r="E768" s="13"/>
      <c r="F768" s="45"/>
      <c r="G768" s="42"/>
      <c r="H768" s="42"/>
      <c r="I768" s="42"/>
      <c r="J768" s="22"/>
      <c r="K768" s="42"/>
    </row>
    <row r="769" ht="54.0" customHeight="1">
      <c r="A769" s="1">
        <v>768.0</v>
      </c>
      <c r="B769" s="2" t="s">
        <v>29</v>
      </c>
      <c r="C769" s="2" t="s">
        <v>54</v>
      </c>
      <c r="D769" s="13"/>
      <c r="E769" s="13"/>
      <c r="F769" s="44" t="s">
        <v>3239</v>
      </c>
      <c r="G769" s="43">
        <v>1.0</v>
      </c>
      <c r="H769" s="42"/>
      <c r="I769" s="42"/>
      <c r="J769" s="22"/>
      <c r="K769" s="42"/>
    </row>
    <row r="770" ht="39.75" customHeight="1">
      <c r="A770" s="1">
        <v>769.0</v>
      </c>
      <c r="B770" s="2" t="s">
        <v>30</v>
      </c>
      <c r="C770" s="2" t="s">
        <v>64</v>
      </c>
      <c r="D770" s="13"/>
      <c r="E770" s="13"/>
      <c r="F770" s="44" t="s">
        <v>2592</v>
      </c>
      <c r="G770" s="43">
        <v>1.0</v>
      </c>
      <c r="H770" s="42"/>
      <c r="I770" s="43">
        <v>1.0</v>
      </c>
      <c r="J770" s="22"/>
      <c r="K770" s="42"/>
    </row>
    <row r="771" ht="39.75" customHeight="1">
      <c r="A771" s="1">
        <v>770.0</v>
      </c>
      <c r="B771" s="2" t="s">
        <v>31</v>
      </c>
      <c r="C771" s="13"/>
      <c r="D771" s="13"/>
      <c r="E771" s="13"/>
      <c r="F771" s="44" t="s">
        <v>2821</v>
      </c>
      <c r="G771" s="43">
        <v>1.0</v>
      </c>
      <c r="H771" s="42"/>
      <c r="I771" s="43">
        <v>1.0</v>
      </c>
      <c r="J771" s="22"/>
      <c r="K771" s="42"/>
    </row>
    <row r="772" ht="39.75" customHeight="1">
      <c r="A772" s="1">
        <v>771.0</v>
      </c>
      <c r="B772" s="2" t="s">
        <v>32</v>
      </c>
      <c r="C772" s="2" t="s">
        <v>69</v>
      </c>
      <c r="D772" s="13"/>
      <c r="E772" s="13"/>
      <c r="F772" s="45"/>
      <c r="G772" s="42"/>
      <c r="H772" s="42"/>
      <c r="I772" s="42"/>
      <c r="J772" s="22"/>
      <c r="K772" s="42"/>
    </row>
    <row r="773" ht="39.75" customHeight="1">
      <c r="A773" s="1">
        <v>772.0</v>
      </c>
      <c r="B773" s="2" t="s">
        <v>67</v>
      </c>
      <c r="C773" s="2" t="s">
        <v>69</v>
      </c>
      <c r="D773" s="13"/>
      <c r="E773" s="13"/>
      <c r="F773" s="44" t="s">
        <v>2770</v>
      </c>
      <c r="G773" s="43">
        <v>1.0</v>
      </c>
      <c r="H773" s="42"/>
      <c r="I773" s="43">
        <v>1.0</v>
      </c>
      <c r="J773" s="22"/>
      <c r="K773" s="42"/>
    </row>
    <row r="774" ht="39.75" customHeight="1">
      <c r="A774" s="1">
        <v>773.0</v>
      </c>
      <c r="B774" s="2" t="s">
        <v>35</v>
      </c>
      <c r="C774" s="2" t="s">
        <v>54</v>
      </c>
      <c r="D774" s="13"/>
      <c r="E774" s="13"/>
      <c r="F774" s="44" t="s">
        <v>3240</v>
      </c>
      <c r="G774" s="43">
        <v>1.0</v>
      </c>
      <c r="H774" s="42"/>
      <c r="I774" s="42"/>
      <c r="J774" s="22"/>
      <c r="K774" s="42"/>
    </row>
    <row r="775" ht="39.75" hidden="1" customHeight="1">
      <c r="A775" s="1">
        <v>774.0</v>
      </c>
      <c r="B775" s="2" t="s">
        <v>36</v>
      </c>
      <c r="C775" s="2" t="s">
        <v>66</v>
      </c>
      <c r="D775" s="13"/>
      <c r="E775" s="13"/>
      <c r="F775" s="45"/>
      <c r="G775" s="42"/>
      <c r="H775" s="42"/>
      <c r="I775" s="42"/>
      <c r="J775" s="22"/>
      <c r="K775" s="42"/>
    </row>
    <row r="776" ht="39.75" customHeight="1">
      <c r="A776" s="1">
        <v>775.0</v>
      </c>
      <c r="B776" s="2" t="s">
        <v>38</v>
      </c>
      <c r="C776" s="2"/>
      <c r="D776" s="13"/>
      <c r="E776" s="13"/>
      <c r="F776" s="45"/>
      <c r="G776" s="42"/>
      <c r="H776" s="42"/>
      <c r="I776" s="42"/>
      <c r="J776" s="22"/>
      <c r="K776" s="42"/>
    </row>
    <row r="777" ht="39.75" hidden="1" customHeight="1">
      <c r="A777" s="1">
        <v>776.0</v>
      </c>
      <c r="B777" s="2" t="s">
        <v>41</v>
      </c>
      <c r="C777" s="2" t="s">
        <v>58</v>
      </c>
      <c r="D777" s="13"/>
      <c r="E777" s="13"/>
      <c r="F777" s="45"/>
      <c r="G777" s="42"/>
      <c r="H777" s="42"/>
      <c r="I777" s="42"/>
      <c r="J777" s="22"/>
      <c r="K777" s="42"/>
    </row>
    <row r="778" ht="39.75" customHeight="1">
      <c r="A778" s="1">
        <v>777.0</v>
      </c>
      <c r="B778" s="2" t="s">
        <v>42</v>
      </c>
      <c r="C778" s="2" t="s">
        <v>54</v>
      </c>
      <c r="D778" s="13"/>
      <c r="E778" s="13"/>
      <c r="F778" s="44" t="s">
        <v>3241</v>
      </c>
      <c r="G778" s="43">
        <v>1.0</v>
      </c>
      <c r="H778" s="42"/>
      <c r="I778" s="42"/>
      <c r="J778" s="22"/>
      <c r="K778" s="42"/>
    </row>
    <row r="779" ht="39.75" customHeight="1">
      <c r="A779" s="1">
        <v>778.0</v>
      </c>
      <c r="B779" s="2" t="s">
        <v>43</v>
      </c>
      <c r="C779" s="2" t="s">
        <v>69</v>
      </c>
      <c r="D779" s="13"/>
      <c r="E779" s="13"/>
      <c r="F779" s="44" t="s">
        <v>3242</v>
      </c>
      <c r="G779" s="43">
        <v>1.0</v>
      </c>
      <c r="H779" s="42"/>
      <c r="I779" s="42"/>
      <c r="J779" s="22"/>
      <c r="K779" s="42"/>
    </row>
    <row r="780" ht="39.75" customHeight="1">
      <c r="A780" s="1">
        <v>779.0</v>
      </c>
      <c r="B780" s="2" t="s">
        <v>45</v>
      </c>
      <c r="C780" s="2" t="s">
        <v>27</v>
      </c>
      <c r="D780" s="13"/>
      <c r="E780" s="13"/>
      <c r="F780" s="44" t="s">
        <v>3243</v>
      </c>
      <c r="G780" s="43">
        <v>1.0</v>
      </c>
      <c r="H780" s="42"/>
      <c r="I780" s="42"/>
      <c r="J780" s="22"/>
      <c r="K780" s="42"/>
    </row>
    <row r="781" ht="39.75" customHeight="1">
      <c r="A781" s="1">
        <v>780.0</v>
      </c>
      <c r="B781" s="2" t="s">
        <v>46</v>
      </c>
      <c r="C781" s="2"/>
      <c r="D781" s="13"/>
      <c r="E781" s="13"/>
      <c r="F781" s="44" t="s">
        <v>3244</v>
      </c>
      <c r="G781" s="43">
        <v>1.0</v>
      </c>
      <c r="H781" s="42"/>
      <c r="I781" s="42"/>
      <c r="J781" s="22"/>
      <c r="K781" s="42"/>
    </row>
    <row r="782" ht="39.75" hidden="1" customHeight="1">
      <c r="A782" s="1">
        <v>781.0</v>
      </c>
      <c r="B782" s="2" t="s">
        <v>47</v>
      </c>
      <c r="C782" s="2" t="s">
        <v>58</v>
      </c>
      <c r="D782" s="13"/>
      <c r="E782" s="13"/>
      <c r="F782" s="45"/>
      <c r="G782" s="42"/>
      <c r="H782" s="42"/>
      <c r="I782" s="42"/>
      <c r="J782" s="22"/>
      <c r="K782" s="42"/>
    </row>
    <row r="783" ht="39.75" customHeight="1">
      <c r="A783" s="1">
        <v>782.0</v>
      </c>
      <c r="B783" s="2" t="s">
        <v>48</v>
      </c>
      <c r="C783" s="2" t="s">
        <v>39</v>
      </c>
      <c r="D783" s="13"/>
      <c r="E783" s="13"/>
      <c r="F783" s="44" t="s">
        <v>3245</v>
      </c>
      <c r="G783" s="43">
        <v>1.0</v>
      </c>
      <c r="H783" s="42"/>
      <c r="I783" s="42"/>
      <c r="J783" s="22"/>
      <c r="K783" s="42"/>
    </row>
    <row r="784" ht="39.75" customHeight="1">
      <c r="A784" s="1">
        <v>783.0</v>
      </c>
      <c r="B784" s="21"/>
      <c r="C784" s="21"/>
      <c r="D784" s="21"/>
      <c r="E784" s="21"/>
      <c r="F784" s="46"/>
      <c r="G784" s="47"/>
      <c r="H784" s="47"/>
      <c r="I784" s="47"/>
      <c r="J784" s="48"/>
      <c r="K784" s="47"/>
      <c r="L784" s="49"/>
      <c r="M784" s="49"/>
      <c r="N784" s="49"/>
    </row>
    <row r="785" ht="39.75" customHeight="1">
      <c r="A785" s="1">
        <v>784.0</v>
      </c>
      <c r="B785" s="2" t="s">
        <v>12</v>
      </c>
      <c r="C785" s="2" t="s">
        <v>49</v>
      </c>
      <c r="D785" s="13"/>
      <c r="E785" s="51">
        <v>0.875</v>
      </c>
      <c r="F785" s="44" t="s">
        <v>3246</v>
      </c>
      <c r="G785" s="43">
        <v>1.0</v>
      </c>
      <c r="H785" s="43">
        <v>1.0</v>
      </c>
      <c r="I785" s="42"/>
      <c r="J785" s="27" t="s">
        <v>2945</v>
      </c>
      <c r="K785" s="42"/>
      <c r="L785" s="15" t="s">
        <v>467</v>
      </c>
    </row>
    <row r="786" ht="39.75" hidden="1" customHeight="1">
      <c r="A786" s="1">
        <v>785.0</v>
      </c>
      <c r="B786" s="2" t="s">
        <v>16</v>
      </c>
      <c r="C786" s="2" t="s">
        <v>13</v>
      </c>
      <c r="D786" s="13"/>
      <c r="E786" s="13"/>
      <c r="F786" s="45"/>
      <c r="G786" s="42"/>
      <c r="H786" s="42"/>
      <c r="I786" s="42"/>
      <c r="J786" s="27" t="s">
        <v>467</v>
      </c>
      <c r="K786" s="43"/>
    </row>
    <row r="787" ht="39.75" hidden="1" customHeight="1">
      <c r="A787" s="1">
        <v>786.0</v>
      </c>
      <c r="B787" s="2" t="s">
        <v>116</v>
      </c>
      <c r="C787" s="2" t="s">
        <v>13</v>
      </c>
      <c r="D787" s="13"/>
      <c r="E787" s="13"/>
      <c r="F787" s="45"/>
      <c r="G787" s="42"/>
      <c r="H787" s="42"/>
      <c r="I787" s="42"/>
      <c r="J787" s="27" t="s">
        <v>149</v>
      </c>
      <c r="K787" s="42"/>
    </row>
    <row r="788" ht="39.75" hidden="1" customHeight="1">
      <c r="A788" s="1">
        <v>787.0</v>
      </c>
      <c r="B788" s="2" t="s">
        <v>17</v>
      </c>
      <c r="C788" s="2" t="s">
        <v>13</v>
      </c>
      <c r="D788" s="13"/>
      <c r="E788" s="13"/>
      <c r="F788" s="44"/>
      <c r="G788" s="42"/>
      <c r="H788" s="42"/>
      <c r="I788" s="42"/>
      <c r="J788" s="27" t="s">
        <v>151</v>
      </c>
      <c r="K788" s="42"/>
    </row>
    <row r="789" ht="39.75" hidden="1" customHeight="1">
      <c r="A789" s="1">
        <v>788.0</v>
      </c>
      <c r="B789" s="2" t="s">
        <v>331</v>
      </c>
      <c r="C789" s="2" t="s">
        <v>13</v>
      </c>
      <c r="D789" s="13"/>
      <c r="E789" s="13"/>
      <c r="F789" s="45"/>
      <c r="G789" s="42"/>
      <c r="H789" s="42"/>
      <c r="I789" s="42"/>
      <c r="J789" s="27" t="s">
        <v>152</v>
      </c>
      <c r="K789" s="42"/>
    </row>
    <row r="790" ht="39.75" hidden="1" customHeight="1">
      <c r="A790" s="1">
        <v>789.0</v>
      </c>
      <c r="B790" s="2" t="s">
        <v>21</v>
      </c>
      <c r="C790" s="2" t="s">
        <v>13</v>
      </c>
      <c r="D790" s="13"/>
      <c r="E790" s="13"/>
      <c r="F790" s="45"/>
      <c r="G790" s="42"/>
      <c r="H790" s="42"/>
      <c r="I790" s="42"/>
      <c r="J790" s="27" t="s">
        <v>154</v>
      </c>
      <c r="K790" s="42"/>
    </row>
    <row r="791" ht="39.75" hidden="1" customHeight="1">
      <c r="A791" s="1">
        <v>790.0</v>
      </c>
      <c r="B791" s="2" t="s">
        <v>22</v>
      </c>
      <c r="C791" s="2" t="s">
        <v>13</v>
      </c>
      <c r="D791" s="13"/>
      <c r="E791" s="13"/>
      <c r="F791" s="45"/>
      <c r="G791" s="42"/>
      <c r="H791" s="42"/>
      <c r="I791" s="42"/>
      <c r="J791" s="22"/>
      <c r="K791" s="42"/>
    </row>
    <row r="792" ht="39.75" hidden="1" customHeight="1">
      <c r="A792" s="1">
        <v>791.0</v>
      </c>
      <c r="B792" s="2" t="s">
        <v>23</v>
      </c>
      <c r="C792" s="2" t="s">
        <v>13</v>
      </c>
      <c r="D792" s="13"/>
      <c r="E792" s="13"/>
      <c r="F792" s="45"/>
      <c r="G792" s="42"/>
      <c r="H792" s="42"/>
      <c r="I792" s="42"/>
      <c r="J792" s="22"/>
      <c r="K792" s="42"/>
    </row>
    <row r="793" ht="39.75" customHeight="1">
      <c r="A793" s="1">
        <v>792.0</v>
      </c>
      <c r="B793" s="2" t="s">
        <v>24</v>
      </c>
      <c r="C793" s="2" t="s">
        <v>63</v>
      </c>
      <c r="D793" s="13"/>
      <c r="E793" s="13"/>
      <c r="F793" s="45"/>
      <c r="G793" s="42"/>
      <c r="H793" s="42"/>
      <c r="I793" s="42"/>
      <c r="J793" s="22"/>
      <c r="K793" s="42"/>
    </row>
    <row r="794" ht="39.75" hidden="1" customHeight="1">
      <c r="A794" s="1">
        <v>793.0</v>
      </c>
      <c r="B794" s="2" t="s">
        <v>25</v>
      </c>
      <c r="C794" s="2" t="s">
        <v>13</v>
      </c>
      <c r="D794" s="13"/>
      <c r="E794" s="13"/>
      <c r="F794" s="45"/>
      <c r="G794" s="42"/>
      <c r="H794" s="42"/>
      <c r="I794" s="42"/>
      <c r="J794" s="22"/>
      <c r="K794" s="42"/>
    </row>
    <row r="795" ht="39.75" hidden="1" customHeight="1">
      <c r="A795" s="1">
        <v>794.0</v>
      </c>
      <c r="B795" s="2" t="s">
        <v>26</v>
      </c>
      <c r="C795" s="2" t="s">
        <v>13</v>
      </c>
      <c r="D795" s="13"/>
      <c r="E795" s="13"/>
      <c r="F795" s="45"/>
      <c r="G795" s="42"/>
      <c r="H795" s="42"/>
      <c r="I795" s="42"/>
      <c r="J795" s="22"/>
      <c r="K795" s="42"/>
    </row>
    <row r="796" ht="39.75" customHeight="1">
      <c r="A796" s="1">
        <v>795.0</v>
      </c>
      <c r="B796" s="2" t="s">
        <v>29</v>
      </c>
      <c r="C796" s="2" t="s">
        <v>27</v>
      </c>
      <c r="D796" s="13"/>
      <c r="E796" s="13"/>
      <c r="F796" s="45"/>
      <c r="G796" s="42"/>
      <c r="H796" s="42"/>
      <c r="I796" s="42"/>
      <c r="J796" s="22"/>
      <c r="K796" s="42"/>
    </row>
    <row r="797" ht="39.75" hidden="1" customHeight="1">
      <c r="A797" s="1">
        <v>796.0</v>
      </c>
      <c r="B797" s="2" t="s">
        <v>30</v>
      </c>
      <c r="C797" s="2" t="s">
        <v>13</v>
      </c>
      <c r="D797" s="13"/>
      <c r="E797" s="13"/>
      <c r="F797" s="45"/>
      <c r="G797" s="42"/>
      <c r="H797" s="42"/>
      <c r="I797" s="42"/>
      <c r="J797" s="22"/>
      <c r="K797" s="42"/>
    </row>
    <row r="798" ht="39.75" hidden="1" customHeight="1">
      <c r="A798" s="1">
        <v>797.0</v>
      </c>
      <c r="B798" s="2" t="s">
        <v>31</v>
      </c>
      <c r="C798" s="2" t="s">
        <v>13</v>
      </c>
      <c r="D798" s="13"/>
      <c r="E798" s="13"/>
      <c r="F798" s="45"/>
      <c r="G798" s="42"/>
      <c r="H798" s="42"/>
      <c r="I798" s="42"/>
      <c r="J798" s="22"/>
      <c r="K798" s="42"/>
    </row>
    <row r="799" ht="39.75" hidden="1" customHeight="1">
      <c r="A799" s="1">
        <v>798.0</v>
      </c>
      <c r="B799" s="2" t="s">
        <v>32</v>
      </c>
      <c r="C799" s="2" t="s">
        <v>13</v>
      </c>
      <c r="D799" s="13"/>
      <c r="E799" s="13"/>
      <c r="F799" s="45"/>
      <c r="G799" s="42"/>
      <c r="H799" s="42"/>
      <c r="I799" s="42"/>
      <c r="J799" s="22"/>
      <c r="K799" s="42"/>
    </row>
    <row r="800" ht="39.75" hidden="1" customHeight="1">
      <c r="A800" s="1">
        <v>799.0</v>
      </c>
      <c r="B800" s="2" t="s">
        <v>67</v>
      </c>
      <c r="C800" s="2" t="s">
        <v>13</v>
      </c>
      <c r="D800" s="13"/>
      <c r="E800" s="13"/>
      <c r="F800" s="45"/>
      <c r="G800" s="42"/>
      <c r="H800" s="42"/>
      <c r="I800" s="42"/>
      <c r="J800" s="22"/>
      <c r="K800" s="42"/>
    </row>
    <row r="801" ht="39.75" hidden="1" customHeight="1">
      <c r="A801" s="1">
        <v>800.0</v>
      </c>
      <c r="B801" s="2" t="s">
        <v>35</v>
      </c>
      <c r="C801" s="2" t="s">
        <v>13</v>
      </c>
      <c r="D801" s="13"/>
      <c r="E801" s="13"/>
      <c r="F801" s="45"/>
      <c r="G801" s="42"/>
      <c r="H801" s="42"/>
      <c r="I801" s="42"/>
      <c r="J801" s="22"/>
      <c r="K801" s="42"/>
    </row>
    <row r="802" ht="39.75" customHeight="1">
      <c r="A802" s="1">
        <v>801.0</v>
      </c>
      <c r="B802" s="2" t="s">
        <v>36</v>
      </c>
      <c r="C802" s="2" t="s">
        <v>39</v>
      </c>
      <c r="D802" s="53">
        <v>0.3333333333333333</v>
      </c>
      <c r="E802" s="13"/>
      <c r="F802" s="44" t="s">
        <v>3247</v>
      </c>
      <c r="G802" s="43">
        <v>1.0</v>
      </c>
      <c r="H802" s="42"/>
      <c r="I802" s="43">
        <v>1.0</v>
      </c>
      <c r="J802" s="22"/>
      <c r="K802" s="42"/>
    </row>
    <row r="803" ht="39.75" hidden="1" customHeight="1">
      <c r="A803" s="1">
        <v>802.0</v>
      </c>
      <c r="B803" s="2" t="s">
        <v>38</v>
      </c>
      <c r="C803" s="2" t="s">
        <v>13</v>
      </c>
      <c r="D803" s="13"/>
      <c r="E803" s="13"/>
      <c r="F803" s="45"/>
      <c r="G803" s="42"/>
      <c r="H803" s="42"/>
      <c r="I803" s="42"/>
      <c r="J803" s="22"/>
      <c r="K803" s="42"/>
    </row>
    <row r="804" ht="39.75" customHeight="1">
      <c r="A804" s="1">
        <v>803.0</v>
      </c>
      <c r="B804" s="2" t="s">
        <v>267</v>
      </c>
      <c r="C804" s="2" t="s">
        <v>272</v>
      </c>
      <c r="D804" s="13"/>
      <c r="E804" s="13"/>
      <c r="F804" s="45"/>
      <c r="G804" s="42"/>
      <c r="H804" s="42"/>
      <c r="I804" s="42"/>
      <c r="J804" s="22"/>
      <c r="K804" s="42"/>
    </row>
    <row r="805" ht="39.75" customHeight="1">
      <c r="A805" s="1">
        <v>804.0</v>
      </c>
      <c r="B805" s="2" t="s">
        <v>42</v>
      </c>
      <c r="C805" s="2"/>
      <c r="D805" s="40">
        <v>0.375</v>
      </c>
      <c r="E805" s="13"/>
      <c r="F805" s="45"/>
      <c r="G805" s="42"/>
      <c r="H805" s="42"/>
      <c r="I805" s="42"/>
      <c r="J805" s="22"/>
      <c r="K805" s="42"/>
    </row>
    <row r="806" ht="39.75" customHeight="1">
      <c r="A806" s="1">
        <v>805.0</v>
      </c>
      <c r="B806" s="2" t="s">
        <v>43</v>
      </c>
      <c r="C806" s="2"/>
      <c r="D806" s="40">
        <v>0.375</v>
      </c>
      <c r="E806" s="13"/>
      <c r="F806" s="44" t="s">
        <v>3248</v>
      </c>
      <c r="G806" s="43">
        <v>1.0</v>
      </c>
      <c r="H806" s="42"/>
      <c r="I806" s="43">
        <v>1.0</v>
      </c>
      <c r="J806" s="22"/>
      <c r="K806" s="42"/>
    </row>
    <row r="807" ht="39.75" customHeight="1">
      <c r="A807" s="1">
        <v>806.0</v>
      </c>
      <c r="B807" s="2" t="s">
        <v>45</v>
      </c>
      <c r="C807" s="2" t="s">
        <v>44</v>
      </c>
      <c r="D807" s="13"/>
      <c r="E807" s="13"/>
      <c r="F807" s="45"/>
      <c r="G807" s="42"/>
      <c r="H807" s="42"/>
      <c r="I807" s="42"/>
      <c r="J807" s="22"/>
      <c r="K807" s="42"/>
    </row>
    <row r="808" ht="39.75" hidden="1" customHeight="1">
      <c r="A808" s="1">
        <v>807.0</v>
      </c>
      <c r="B808" s="2" t="s">
        <v>46</v>
      </c>
      <c r="C808" s="2" t="s">
        <v>13</v>
      </c>
      <c r="D808" s="13"/>
      <c r="E808" s="13"/>
      <c r="F808" s="45"/>
      <c r="G808" s="42"/>
      <c r="H808" s="42"/>
      <c r="I808" s="42"/>
      <c r="J808" s="22"/>
      <c r="K808" s="42"/>
    </row>
    <row r="809" ht="39.75" hidden="1" customHeight="1">
      <c r="A809" s="1">
        <v>808.0</v>
      </c>
      <c r="B809" s="2" t="s">
        <v>47</v>
      </c>
      <c r="C809" s="2" t="s">
        <v>13</v>
      </c>
      <c r="D809" s="13"/>
      <c r="E809" s="13"/>
      <c r="F809" s="45"/>
      <c r="G809" s="42"/>
      <c r="H809" s="42"/>
      <c r="I809" s="42"/>
      <c r="J809" s="22"/>
      <c r="K809" s="42"/>
    </row>
    <row r="810" ht="39.75" hidden="1" customHeight="1">
      <c r="A810" s="1">
        <v>809.0</v>
      </c>
      <c r="B810" s="2" t="s">
        <v>48</v>
      </c>
      <c r="C810" s="2" t="s">
        <v>13</v>
      </c>
      <c r="D810" s="13"/>
      <c r="E810" s="13"/>
      <c r="F810" s="45"/>
      <c r="G810" s="42"/>
      <c r="H810" s="42"/>
      <c r="I810" s="42"/>
      <c r="J810" s="22"/>
      <c r="K810" s="42"/>
    </row>
    <row r="811" ht="39.75" customHeight="1">
      <c r="A811" s="1">
        <v>810.0</v>
      </c>
      <c r="B811" s="21"/>
      <c r="C811" s="21"/>
      <c r="D811" s="21"/>
      <c r="E811" s="21"/>
      <c r="F811" s="46"/>
      <c r="G811" s="47"/>
      <c r="H811" s="47"/>
      <c r="I811" s="47"/>
      <c r="J811" s="48"/>
      <c r="K811" s="47"/>
      <c r="L811" s="49"/>
      <c r="M811" s="49"/>
      <c r="N811" s="49"/>
    </row>
    <row r="812" ht="39.75" hidden="1" customHeight="1">
      <c r="A812" s="1">
        <v>811.0</v>
      </c>
      <c r="B812" s="2" t="s">
        <v>12</v>
      </c>
      <c r="C812" s="2" t="s">
        <v>13</v>
      </c>
      <c r="D812" s="13"/>
      <c r="E812" s="13"/>
      <c r="F812" s="45"/>
      <c r="G812" s="42"/>
      <c r="H812" s="42"/>
      <c r="I812" s="42"/>
      <c r="J812" s="27" t="s">
        <v>2945</v>
      </c>
      <c r="K812" s="42"/>
      <c r="L812" s="15" t="s">
        <v>477</v>
      </c>
    </row>
    <row r="813" ht="39.75" hidden="1" customHeight="1">
      <c r="A813" s="1">
        <v>812.0</v>
      </c>
      <c r="B813" s="2" t="s">
        <v>16</v>
      </c>
      <c r="C813" s="2" t="s">
        <v>13</v>
      </c>
      <c r="D813" s="13"/>
      <c r="E813" s="13"/>
      <c r="F813" s="45"/>
      <c r="G813" s="42"/>
      <c r="H813" s="42"/>
      <c r="I813" s="42"/>
      <c r="J813" s="27" t="s">
        <v>477</v>
      </c>
      <c r="K813" s="43"/>
    </row>
    <row r="814" ht="39.75" customHeight="1">
      <c r="A814" s="1">
        <v>813.0</v>
      </c>
      <c r="B814" s="2" t="s">
        <v>116</v>
      </c>
      <c r="C814" s="2"/>
      <c r="D814" s="40">
        <v>0.375</v>
      </c>
      <c r="E814" s="13"/>
      <c r="F814" s="45"/>
      <c r="G814" s="42"/>
      <c r="H814" s="42"/>
      <c r="I814" s="42"/>
      <c r="J814" s="27" t="s">
        <v>19</v>
      </c>
      <c r="K814" s="42"/>
    </row>
    <row r="815" ht="39.75" customHeight="1">
      <c r="A815" s="1">
        <v>814.0</v>
      </c>
      <c r="B815" s="2" t="s">
        <v>20</v>
      </c>
      <c r="C815" s="2" t="s">
        <v>271</v>
      </c>
      <c r="D815" s="13"/>
      <c r="E815" s="13"/>
      <c r="F815" s="44"/>
      <c r="G815" s="42"/>
      <c r="H815" s="42"/>
      <c r="I815" s="42"/>
      <c r="J815" s="27" t="s">
        <v>165</v>
      </c>
      <c r="K815" s="42"/>
    </row>
    <row r="816" ht="39.75" hidden="1" customHeight="1">
      <c r="A816" s="1">
        <v>815.0</v>
      </c>
      <c r="B816" s="2" t="s">
        <v>331</v>
      </c>
      <c r="C816" s="2" t="s">
        <v>13</v>
      </c>
      <c r="D816" s="13"/>
      <c r="E816" s="13"/>
      <c r="F816" s="45"/>
      <c r="G816" s="42"/>
      <c r="H816" s="42"/>
      <c r="I816" s="42"/>
      <c r="J816" s="27" t="s">
        <v>166</v>
      </c>
      <c r="K816" s="42"/>
    </row>
    <row r="817" ht="39.75" customHeight="1">
      <c r="A817" s="1">
        <v>816.0</v>
      </c>
      <c r="B817" s="2" t="s">
        <v>21</v>
      </c>
      <c r="C817" s="2" t="s">
        <v>63</v>
      </c>
      <c r="D817" s="13"/>
      <c r="E817" s="13"/>
      <c r="F817" s="45"/>
      <c r="G817" s="42"/>
      <c r="H817" s="42"/>
      <c r="I817" s="42"/>
      <c r="J817" s="27" t="s">
        <v>167</v>
      </c>
      <c r="K817" s="42"/>
    </row>
    <row r="818" ht="39.75" customHeight="1">
      <c r="A818" s="1">
        <v>817.0</v>
      </c>
      <c r="B818" s="2" t="s">
        <v>22</v>
      </c>
      <c r="C818" s="2" t="s">
        <v>27</v>
      </c>
      <c r="D818" s="13"/>
      <c r="E818" s="13"/>
      <c r="F818" s="45"/>
      <c r="G818" s="42"/>
      <c r="H818" s="42"/>
      <c r="I818" s="42"/>
      <c r="J818" s="22"/>
      <c r="K818" s="42"/>
    </row>
    <row r="819" ht="39.75" hidden="1" customHeight="1">
      <c r="A819" s="1">
        <v>818.0</v>
      </c>
      <c r="B819" s="2" t="s">
        <v>23</v>
      </c>
      <c r="C819" s="2" t="s">
        <v>13</v>
      </c>
      <c r="D819" s="13"/>
      <c r="E819" s="13"/>
      <c r="F819" s="45"/>
      <c r="G819" s="42"/>
      <c r="H819" s="42"/>
      <c r="I819" s="42"/>
      <c r="J819" s="22"/>
      <c r="K819" s="42"/>
    </row>
    <row r="820" ht="39.75" hidden="1" customHeight="1">
      <c r="A820" s="1">
        <v>819.0</v>
      </c>
      <c r="B820" s="2" t="s">
        <v>24</v>
      </c>
      <c r="C820" s="2" t="s">
        <v>13</v>
      </c>
      <c r="D820" s="13"/>
      <c r="E820" s="13"/>
      <c r="F820" s="45"/>
      <c r="G820" s="42"/>
      <c r="H820" s="42"/>
      <c r="I820" s="42"/>
      <c r="J820" s="22"/>
      <c r="K820" s="42"/>
    </row>
    <row r="821" ht="39.75" hidden="1" customHeight="1">
      <c r="A821" s="1">
        <v>820.0</v>
      </c>
      <c r="B821" s="2" t="s">
        <v>25</v>
      </c>
      <c r="C821" s="2" t="s">
        <v>13</v>
      </c>
      <c r="D821" s="13"/>
      <c r="E821" s="13"/>
      <c r="F821" s="45"/>
      <c r="G821" s="42"/>
      <c r="H821" s="42"/>
      <c r="I821" s="42"/>
      <c r="J821" s="22"/>
      <c r="K821" s="42"/>
    </row>
    <row r="822" ht="39.75" customHeight="1">
      <c r="A822" s="1">
        <v>821.0</v>
      </c>
      <c r="B822" s="2" t="s">
        <v>26</v>
      </c>
      <c r="C822" s="2" t="s">
        <v>39</v>
      </c>
      <c r="D822" s="40"/>
      <c r="E822" s="51">
        <v>0.9166666666666666</v>
      </c>
      <c r="F822" s="44" t="s">
        <v>3249</v>
      </c>
      <c r="G822" s="43">
        <v>1.0</v>
      </c>
      <c r="H822" s="43">
        <v>1.0</v>
      </c>
      <c r="I822" s="42"/>
      <c r="J822" s="22"/>
      <c r="K822" s="42"/>
    </row>
    <row r="823" ht="39.75" customHeight="1">
      <c r="A823" s="1">
        <v>822.0</v>
      </c>
      <c r="B823" s="2" t="s">
        <v>29</v>
      </c>
      <c r="C823" s="2" t="s">
        <v>44</v>
      </c>
      <c r="D823" s="13"/>
      <c r="E823" s="13"/>
      <c r="F823" s="45"/>
      <c r="G823" s="42"/>
      <c r="H823" s="42"/>
      <c r="I823" s="42"/>
      <c r="J823" s="22"/>
      <c r="K823" s="42"/>
    </row>
    <row r="824" ht="39.75" hidden="1" customHeight="1">
      <c r="A824" s="1">
        <v>823.0</v>
      </c>
      <c r="B824" s="2" t="s">
        <v>30</v>
      </c>
      <c r="C824" s="2" t="s">
        <v>13</v>
      </c>
      <c r="D824" s="13"/>
      <c r="E824" s="13"/>
      <c r="F824" s="45"/>
      <c r="G824" s="42"/>
      <c r="H824" s="42"/>
      <c r="I824" s="42"/>
      <c r="J824" s="22"/>
      <c r="K824" s="42"/>
    </row>
    <row r="825" ht="39.75" customHeight="1">
      <c r="A825" s="1">
        <v>824.0</v>
      </c>
      <c r="B825" s="2" t="s">
        <v>33</v>
      </c>
      <c r="C825" s="2" t="s">
        <v>272</v>
      </c>
      <c r="D825" s="13"/>
      <c r="E825" s="13"/>
      <c r="F825" s="45"/>
      <c r="G825" s="42"/>
      <c r="H825" s="42"/>
      <c r="I825" s="42"/>
      <c r="J825" s="22"/>
      <c r="K825" s="42"/>
    </row>
    <row r="826" ht="39.75" hidden="1" customHeight="1">
      <c r="A826" s="1">
        <v>825.0</v>
      </c>
      <c r="B826" s="2" t="s">
        <v>32</v>
      </c>
      <c r="C826" s="2" t="s">
        <v>13</v>
      </c>
      <c r="D826" s="13"/>
      <c r="E826" s="13"/>
      <c r="F826" s="45"/>
      <c r="G826" s="42"/>
      <c r="H826" s="42"/>
      <c r="I826" s="42"/>
      <c r="J826" s="22"/>
      <c r="K826" s="42"/>
    </row>
    <row r="827" ht="39.75" hidden="1" customHeight="1">
      <c r="A827" s="1">
        <v>826.0</v>
      </c>
      <c r="B827" s="2" t="s">
        <v>67</v>
      </c>
      <c r="C827" s="2" t="s">
        <v>13</v>
      </c>
      <c r="D827" s="13"/>
      <c r="E827" s="13"/>
      <c r="F827" s="45"/>
      <c r="G827" s="42"/>
      <c r="H827" s="42"/>
      <c r="I827" s="42"/>
      <c r="J827" s="22"/>
      <c r="K827" s="42"/>
    </row>
    <row r="828" ht="39.75" hidden="1" customHeight="1">
      <c r="A828" s="1">
        <v>827.0</v>
      </c>
      <c r="B828" s="2" t="s">
        <v>35</v>
      </c>
      <c r="C828" s="2" t="s">
        <v>13</v>
      </c>
      <c r="D828" s="13"/>
      <c r="E828" s="13"/>
      <c r="F828" s="45"/>
      <c r="G828" s="42"/>
      <c r="H828" s="42"/>
      <c r="I828" s="42"/>
      <c r="J828" s="22"/>
      <c r="K828" s="42"/>
    </row>
    <row r="829" ht="39.75" hidden="1" customHeight="1">
      <c r="A829" s="1">
        <v>828.0</v>
      </c>
      <c r="B829" s="2" t="s">
        <v>36</v>
      </c>
      <c r="C829" s="2" t="s">
        <v>13</v>
      </c>
      <c r="D829" s="13"/>
      <c r="E829" s="13"/>
      <c r="F829" s="45"/>
      <c r="G829" s="42"/>
      <c r="H829" s="42"/>
      <c r="I829" s="42"/>
      <c r="J829" s="22"/>
      <c r="K829" s="42"/>
    </row>
    <row r="830" ht="39.75" hidden="1" customHeight="1">
      <c r="A830" s="1">
        <v>829.0</v>
      </c>
      <c r="B830" s="2" t="s">
        <v>38</v>
      </c>
      <c r="C830" s="2" t="s">
        <v>13</v>
      </c>
      <c r="D830" s="13"/>
      <c r="E830" s="13"/>
      <c r="F830" s="45"/>
      <c r="G830" s="42"/>
      <c r="H830" s="42"/>
      <c r="I830" s="42"/>
      <c r="J830" s="22"/>
      <c r="K830" s="42"/>
    </row>
    <row r="831" ht="39.75" hidden="1" customHeight="1">
      <c r="A831" s="1">
        <v>830.0</v>
      </c>
      <c r="B831" s="2" t="s">
        <v>41</v>
      </c>
      <c r="C831" s="2" t="s">
        <v>13</v>
      </c>
      <c r="D831" s="13"/>
      <c r="E831" s="13"/>
      <c r="F831" s="45"/>
      <c r="G831" s="42"/>
      <c r="H831" s="42"/>
      <c r="I831" s="42"/>
      <c r="J831" s="22"/>
      <c r="K831" s="42"/>
    </row>
    <row r="832" ht="39.75" hidden="1" customHeight="1">
      <c r="A832" s="1">
        <v>831.0</v>
      </c>
      <c r="B832" s="2" t="s">
        <v>42</v>
      </c>
      <c r="C832" s="2" t="s">
        <v>13</v>
      </c>
      <c r="D832" s="13"/>
      <c r="E832" s="13"/>
      <c r="F832" s="45"/>
      <c r="G832" s="42"/>
      <c r="H832" s="42"/>
      <c r="I832" s="42"/>
      <c r="J832" s="22"/>
      <c r="K832" s="42"/>
    </row>
    <row r="833" ht="39.75" hidden="1" customHeight="1">
      <c r="A833" s="1">
        <v>832.0</v>
      </c>
      <c r="B833" s="2" t="s">
        <v>43</v>
      </c>
      <c r="C833" s="2" t="s">
        <v>13</v>
      </c>
      <c r="D833" s="13"/>
      <c r="E833" s="13"/>
      <c r="F833" s="45"/>
      <c r="G833" s="42"/>
      <c r="H833" s="42"/>
      <c r="I833" s="42"/>
      <c r="J833" s="22"/>
      <c r="K833" s="42"/>
    </row>
    <row r="834" ht="39.75" hidden="1" customHeight="1">
      <c r="A834" s="1">
        <v>833.0</v>
      </c>
      <c r="B834" s="2" t="s">
        <v>45</v>
      </c>
      <c r="C834" s="2" t="s">
        <v>13</v>
      </c>
      <c r="D834" s="13"/>
      <c r="E834" s="13"/>
      <c r="F834" s="45"/>
      <c r="G834" s="42"/>
      <c r="H834" s="42"/>
      <c r="I834" s="42"/>
      <c r="J834" s="22"/>
      <c r="K834" s="42"/>
    </row>
    <row r="835" ht="39.75" customHeight="1">
      <c r="A835" s="1">
        <v>834.0</v>
      </c>
      <c r="B835" s="2" t="s">
        <v>46</v>
      </c>
      <c r="C835" s="2"/>
      <c r="D835" s="40">
        <v>0.375</v>
      </c>
      <c r="E835" s="13"/>
      <c r="F835" s="45"/>
      <c r="G835" s="42"/>
      <c r="H835" s="42"/>
      <c r="I835" s="42"/>
      <c r="J835" s="22"/>
      <c r="K835" s="42"/>
    </row>
    <row r="836" ht="39.75" customHeight="1">
      <c r="A836" s="1">
        <v>835.0</v>
      </c>
      <c r="B836" s="2" t="s">
        <v>47</v>
      </c>
      <c r="C836" s="2" t="s">
        <v>49</v>
      </c>
      <c r="D836" s="13"/>
      <c r="E836" s="13"/>
      <c r="F836" s="45"/>
      <c r="G836" s="42"/>
      <c r="H836" s="42"/>
      <c r="I836" s="42"/>
      <c r="J836" s="22"/>
      <c r="K836" s="42"/>
    </row>
    <row r="837" ht="39.75" hidden="1" customHeight="1">
      <c r="A837" s="1">
        <v>836.0</v>
      </c>
      <c r="B837" s="2" t="s">
        <v>48</v>
      </c>
      <c r="C837" s="2" t="s">
        <v>13</v>
      </c>
      <c r="D837" s="13"/>
      <c r="E837" s="13"/>
      <c r="F837" s="45"/>
      <c r="G837" s="42"/>
      <c r="H837" s="42"/>
      <c r="I837" s="42"/>
      <c r="J837" s="22"/>
      <c r="K837" s="42"/>
    </row>
    <row r="838" ht="39.75" customHeight="1">
      <c r="A838" s="1">
        <v>837.0</v>
      </c>
      <c r="B838" s="21"/>
      <c r="C838" s="21"/>
      <c r="D838" s="21"/>
      <c r="E838" s="21"/>
      <c r="F838" s="46"/>
      <c r="G838" s="47"/>
      <c r="H838" s="47"/>
      <c r="I838" s="47"/>
      <c r="J838" s="48"/>
      <c r="K838" s="47"/>
      <c r="L838" s="49"/>
      <c r="M838" s="49"/>
      <c r="N838" s="49"/>
    </row>
    <row r="839" ht="39.75" hidden="1" customHeight="1">
      <c r="A839" s="1"/>
      <c r="B839" s="2" t="s">
        <v>12</v>
      </c>
      <c r="C839" s="21"/>
      <c r="D839" s="21"/>
      <c r="E839" s="21"/>
      <c r="F839" s="46"/>
      <c r="G839" s="62">
        <f>SUMIF(B3:B837,"*이동현*",G3:G837)</f>
        <v>15</v>
      </c>
      <c r="H839" s="47"/>
      <c r="I839" s="47"/>
      <c r="J839" s="48"/>
      <c r="K839" s="47"/>
      <c r="L839" s="49"/>
      <c r="M839" s="49"/>
      <c r="N839" s="49"/>
    </row>
    <row r="840" ht="39.75" hidden="1" customHeight="1">
      <c r="A840" s="1"/>
      <c r="B840" s="2" t="s">
        <v>16</v>
      </c>
      <c r="C840" s="21"/>
      <c r="D840" s="21"/>
      <c r="E840" s="21"/>
      <c r="F840" s="46"/>
      <c r="G840" s="62">
        <f>SUMIF(B4:B837,"*반일훈*",G4:G837)</f>
        <v>18</v>
      </c>
      <c r="H840" s="47"/>
      <c r="I840" s="47"/>
      <c r="J840" s="48"/>
      <c r="K840" s="47"/>
      <c r="L840" s="49"/>
      <c r="M840" s="49"/>
      <c r="N840" s="49"/>
    </row>
    <row r="841" ht="39.75" hidden="1" customHeight="1">
      <c r="A841" s="1"/>
      <c r="B841" s="2" t="s">
        <v>116</v>
      </c>
      <c r="C841" s="21"/>
      <c r="D841" s="21"/>
      <c r="E841" s="21"/>
      <c r="F841" s="46"/>
      <c r="G841" s="62">
        <f>SUMIF(B5:B837,"*김재식*",G5:G837)</f>
        <v>21</v>
      </c>
      <c r="H841" s="47"/>
      <c r="I841" s="47"/>
      <c r="J841" s="48"/>
      <c r="K841" s="47"/>
      <c r="L841" s="49"/>
      <c r="M841" s="49"/>
      <c r="N841" s="49"/>
    </row>
    <row r="842" ht="39.75" hidden="1" customHeight="1">
      <c r="A842" s="1"/>
      <c r="B842" s="2" t="s">
        <v>17</v>
      </c>
      <c r="C842" s="21"/>
      <c r="D842" s="21"/>
      <c r="E842" s="21"/>
      <c r="F842" s="46"/>
      <c r="G842" s="62">
        <f>SUMIF(B5:B837,"*신동환*",G5:G837)</f>
        <v>21</v>
      </c>
      <c r="H842" s="47"/>
      <c r="I842" s="47"/>
      <c r="J842" s="48"/>
      <c r="K842" s="47"/>
      <c r="L842" s="49"/>
      <c r="M842" s="49"/>
      <c r="N842" s="49"/>
    </row>
    <row r="843" ht="39.75" hidden="1" customHeight="1">
      <c r="A843" s="1"/>
      <c r="B843" s="2" t="s">
        <v>331</v>
      </c>
      <c r="C843" s="21"/>
      <c r="D843" s="21"/>
      <c r="E843" s="21"/>
      <c r="F843" s="46"/>
      <c r="G843" s="62">
        <f>SUMIF(B5:B837,"*장후원*",G5:G837)</f>
        <v>9</v>
      </c>
      <c r="H843" s="47"/>
      <c r="I843" s="47"/>
      <c r="J843" s="48"/>
      <c r="K843" s="47"/>
      <c r="L843" s="49"/>
      <c r="M843" s="49"/>
      <c r="N843" s="49"/>
    </row>
    <row r="844" ht="39.75" hidden="1" customHeight="1">
      <c r="A844" s="1"/>
      <c r="B844" s="2" t="s">
        <v>21</v>
      </c>
      <c r="C844" s="21"/>
      <c r="D844" s="21"/>
      <c r="E844" s="21"/>
      <c r="F844" s="46"/>
      <c r="G844" s="62">
        <f>SUMIF(B5:B837,"*구본준*",G5:G837)</f>
        <v>3</v>
      </c>
      <c r="H844" s="47"/>
      <c r="I844" s="47"/>
      <c r="J844" s="48"/>
      <c r="K844" s="47"/>
      <c r="L844" s="49"/>
      <c r="M844" s="49"/>
      <c r="N844" s="49"/>
    </row>
    <row r="845" ht="39.75" hidden="1" customHeight="1">
      <c r="A845" s="1"/>
      <c r="B845" s="2" t="s">
        <v>22</v>
      </c>
      <c r="C845" s="21"/>
      <c r="D845" s="21"/>
      <c r="E845" s="21"/>
      <c r="F845" s="46"/>
      <c r="G845" s="62">
        <f>SUMIF(B5:B837,"*이학진*",G5:G837)</f>
        <v>18</v>
      </c>
      <c r="H845" s="47"/>
      <c r="I845" s="47"/>
      <c r="J845" s="48"/>
      <c r="K845" s="47"/>
      <c r="L845" s="49"/>
      <c r="M845" s="49"/>
      <c r="N845" s="49"/>
    </row>
    <row r="846" ht="39.75" hidden="1" customHeight="1">
      <c r="A846" s="1"/>
      <c r="B846" s="2" t="s">
        <v>23</v>
      </c>
      <c r="C846" s="21"/>
      <c r="D846" s="21"/>
      <c r="E846" s="21"/>
      <c r="F846" s="46"/>
      <c r="G846" s="62">
        <f>SUMIF(B5:B837,"*황현우*",G5:G837)</f>
        <v>19</v>
      </c>
      <c r="H846" s="47"/>
      <c r="I846" s="47"/>
      <c r="J846" s="48"/>
      <c r="K846" s="47"/>
      <c r="L846" s="49"/>
      <c r="M846" s="49"/>
      <c r="N846" s="49"/>
    </row>
    <row r="847" ht="39.75" hidden="1" customHeight="1">
      <c r="A847" s="1"/>
      <c r="B847" s="2" t="s">
        <v>24</v>
      </c>
      <c r="C847" s="21"/>
      <c r="D847" s="21"/>
      <c r="E847" s="21"/>
      <c r="F847" s="46"/>
      <c r="G847" s="62">
        <f>SUMIF(B5:B837,"*김미란*",G5:G837)</f>
        <v>11</v>
      </c>
      <c r="H847" s="47"/>
      <c r="I847" s="47"/>
      <c r="J847" s="48"/>
      <c r="K847" s="47"/>
      <c r="L847" s="49"/>
      <c r="M847" s="49"/>
      <c r="N847" s="49"/>
    </row>
    <row r="848" ht="39.75" hidden="1" customHeight="1">
      <c r="A848" s="1"/>
      <c r="B848" s="2" t="s">
        <v>25</v>
      </c>
      <c r="C848" s="21"/>
      <c r="D848" s="21"/>
      <c r="E848" s="21"/>
      <c r="F848" s="46"/>
      <c r="G848" s="62">
        <f>SUMIF(B5:B837,"*유규열*",G5:G837)</f>
        <v>17</v>
      </c>
      <c r="H848" s="47"/>
      <c r="I848" s="47"/>
      <c r="J848" s="48"/>
      <c r="K848" s="47"/>
      <c r="L848" s="49"/>
      <c r="M848" s="49"/>
      <c r="N848" s="49"/>
    </row>
    <row r="849" ht="39.75" hidden="1" customHeight="1">
      <c r="A849" s="1"/>
      <c r="B849" s="2" t="s">
        <v>26</v>
      </c>
      <c r="C849" s="21"/>
      <c r="D849" s="21"/>
      <c r="E849" s="21"/>
      <c r="F849" s="46"/>
      <c r="G849" s="62">
        <f>SUMIF(B5:B837,"*김준택*",G5:G837)</f>
        <v>19</v>
      </c>
      <c r="H849" s="47"/>
      <c r="I849" s="47"/>
      <c r="J849" s="48"/>
      <c r="K849" s="47"/>
      <c r="L849" s="49"/>
      <c r="M849" s="49"/>
      <c r="N849" s="49"/>
    </row>
    <row r="850" ht="39.75" hidden="1" customHeight="1">
      <c r="A850" s="1"/>
      <c r="B850" s="2" t="s">
        <v>29</v>
      </c>
      <c r="C850" s="21"/>
      <c r="D850" s="21"/>
      <c r="E850" s="21"/>
      <c r="F850" s="46"/>
      <c r="G850" s="62">
        <f>SUMIF(B5:B837,"*방극철*",G5:G837)</f>
        <v>23</v>
      </c>
      <c r="H850" s="47"/>
      <c r="I850" s="47"/>
      <c r="J850" s="48"/>
      <c r="K850" s="47"/>
      <c r="L850" s="49"/>
      <c r="M850" s="49"/>
      <c r="N850" s="49"/>
    </row>
    <row r="851" ht="39.75" hidden="1" customHeight="1">
      <c r="A851" s="1"/>
      <c r="B851" s="2" t="s">
        <v>30</v>
      </c>
      <c r="C851" s="21"/>
      <c r="D851" s="21"/>
      <c r="E851" s="21"/>
      <c r="F851" s="46"/>
      <c r="G851" s="62">
        <f>SUMIF(B5:B837,"*홍승재*",G5:G837)</f>
        <v>17</v>
      </c>
      <c r="H851" s="47"/>
      <c r="I851" s="47"/>
      <c r="J851" s="48"/>
      <c r="K851" s="47"/>
      <c r="L851" s="49"/>
      <c r="M851" s="49"/>
      <c r="N851" s="49"/>
    </row>
    <row r="852" ht="39.75" hidden="1" customHeight="1">
      <c r="A852" s="1"/>
      <c r="B852" s="2" t="s">
        <v>31</v>
      </c>
      <c r="C852" s="21"/>
      <c r="D852" s="21"/>
      <c r="E852" s="21"/>
      <c r="F852" s="46"/>
      <c r="G852" s="62">
        <f>SUMIF(B5:B837,"*이   경*",G5:G837)</f>
        <v>16</v>
      </c>
      <c r="H852" s="47"/>
      <c r="I852" s="47"/>
      <c r="J852" s="48"/>
      <c r="K852" s="47"/>
      <c r="L852" s="49"/>
      <c r="M852" s="49"/>
      <c r="N852" s="49"/>
    </row>
    <row r="853" ht="39.75" hidden="1" customHeight="1">
      <c r="A853" s="1"/>
      <c r="B853" s="2" t="s">
        <v>32</v>
      </c>
      <c r="C853" s="21"/>
      <c r="D853" s="21"/>
      <c r="E853" s="21"/>
      <c r="F853" s="46"/>
      <c r="G853" s="62">
        <f>SUMIF(B5:B837,"*정상원*",G5:G837)</f>
        <v>23</v>
      </c>
      <c r="H853" s="47"/>
      <c r="I853" s="47"/>
      <c r="J853" s="48"/>
      <c r="K853" s="47"/>
      <c r="L853" s="49"/>
      <c r="M853" s="49"/>
      <c r="N853" s="49"/>
    </row>
    <row r="854" ht="39.75" hidden="1" customHeight="1">
      <c r="A854" s="1"/>
      <c r="B854" s="2" t="s">
        <v>67</v>
      </c>
      <c r="C854" s="21"/>
      <c r="D854" s="21"/>
      <c r="E854" s="21"/>
      <c r="F854" s="46"/>
      <c r="G854" s="62">
        <f>SUMIF(B5:B837,"*이주원*",G5:G837)</f>
        <v>17</v>
      </c>
      <c r="H854" s="47"/>
      <c r="I854" s="47"/>
      <c r="J854" s="48"/>
      <c r="K854" s="47"/>
      <c r="L854" s="49"/>
      <c r="M854" s="49"/>
      <c r="N854" s="49"/>
    </row>
    <row r="855" ht="39.75" hidden="1" customHeight="1">
      <c r="A855" s="1"/>
      <c r="B855" s="2" t="s">
        <v>35</v>
      </c>
      <c r="C855" s="21"/>
      <c r="D855" s="21"/>
      <c r="E855" s="21"/>
      <c r="F855" s="46"/>
      <c r="G855" s="62">
        <f>SUMIF(B5:B837,"*최무룡*",G5:G837)</f>
        <v>21</v>
      </c>
      <c r="H855" s="47"/>
      <c r="I855" s="47"/>
      <c r="J855" s="48"/>
      <c r="K855" s="47"/>
      <c r="L855" s="49"/>
      <c r="M855" s="49"/>
      <c r="N855" s="49"/>
    </row>
    <row r="856" ht="39.75" hidden="1" customHeight="1">
      <c r="A856" s="1"/>
      <c r="B856" s="2" t="s">
        <v>36</v>
      </c>
      <c r="C856" s="21"/>
      <c r="D856" s="21"/>
      <c r="E856" s="21"/>
      <c r="F856" s="46"/>
      <c r="G856" s="62">
        <f>SUMIF(B5:B837,"*정철원*",G5:G837)</f>
        <v>19</v>
      </c>
      <c r="H856" s="47"/>
      <c r="I856" s="47"/>
      <c r="J856" s="48"/>
      <c r="K856" s="47"/>
      <c r="L856" s="49"/>
      <c r="M856" s="49"/>
      <c r="N856" s="49"/>
    </row>
    <row r="857" ht="39.75" hidden="1" customHeight="1">
      <c r="A857" s="1"/>
      <c r="B857" s="2" t="s">
        <v>38</v>
      </c>
      <c r="C857" s="21"/>
      <c r="D857" s="21"/>
      <c r="E857" s="21"/>
      <c r="F857" s="46"/>
      <c r="G857" s="62">
        <f>SUMIF(B5:B837,"*김진광*",G5:G837)</f>
        <v>19</v>
      </c>
      <c r="H857" s="47"/>
      <c r="I857" s="47"/>
      <c r="J857" s="48"/>
      <c r="K857" s="47"/>
      <c r="L857" s="49"/>
      <c r="M857" s="49"/>
      <c r="N857" s="49"/>
    </row>
    <row r="858" ht="39.75" hidden="1" customHeight="1">
      <c r="A858" s="1"/>
      <c r="B858" s="2" t="s">
        <v>41</v>
      </c>
      <c r="C858" s="21"/>
      <c r="D858" s="21"/>
      <c r="E858" s="21"/>
      <c r="F858" s="46"/>
      <c r="G858" s="62">
        <f>SUMIF(B5:B837,"*조용희*",G5:G837)</f>
        <v>0</v>
      </c>
      <c r="H858" s="47"/>
      <c r="I858" s="47"/>
      <c r="J858" s="48"/>
      <c r="K858" s="47"/>
      <c r="L858" s="49"/>
      <c r="M858" s="49"/>
      <c r="N858" s="49"/>
    </row>
    <row r="859" ht="39.75" hidden="1" customHeight="1">
      <c r="A859" s="1"/>
      <c r="B859" s="2" t="s">
        <v>42</v>
      </c>
      <c r="C859" s="21"/>
      <c r="D859" s="21"/>
      <c r="E859" s="21"/>
      <c r="F859" s="46"/>
      <c r="G859" s="62">
        <f>SUMIF(B5:B837,"*이완근*",G5:G837)</f>
        <v>13</v>
      </c>
      <c r="H859" s="47"/>
      <c r="I859" s="47"/>
      <c r="J859" s="48"/>
      <c r="K859" s="47"/>
      <c r="L859" s="49"/>
      <c r="M859" s="49"/>
      <c r="N859" s="49"/>
    </row>
    <row r="860" ht="39.75" hidden="1" customHeight="1">
      <c r="A860" s="1"/>
      <c r="B860" s="2" t="s">
        <v>43</v>
      </c>
      <c r="C860" s="21"/>
      <c r="D860" s="21"/>
      <c r="E860" s="21"/>
      <c r="F860" s="46"/>
      <c r="G860" s="62">
        <f>SUMIF(B5:B837,"*박대권*",G5:G837)</f>
        <v>17</v>
      </c>
      <c r="H860" s="47"/>
      <c r="I860" s="47"/>
      <c r="J860" s="48"/>
      <c r="K860" s="47"/>
      <c r="L860" s="49"/>
      <c r="M860" s="49"/>
      <c r="N860" s="49"/>
    </row>
    <row r="861" ht="39.75" hidden="1" customHeight="1">
      <c r="A861" s="1"/>
      <c r="B861" s="2" t="s">
        <v>45</v>
      </c>
      <c r="C861" s="21"/>
      <c r="D861" s="21"/>
      <c r="E861" s="21"/>
      <c r="F861" s="46"/>
      <c r="G861" s="62">
        <f>SUMIF(B5:B837,"*김대호*",G5:G837)</f>
        <v>16</v>
      </c>
      <c r="H861" s="47"/>
      <c r="I861" s="47"/>
      <c r="J861" s="48"/>
      <c r="K861" s="47"/>
      <c r="L861" s="49"/>
      <c r="M861" s="49"/>
      <c r="N861" s="49"/>
    </row>
    <row r="862" ht="39.75" hidden="1" customHeight="1">
      <c r="A862" s="1"/>
      <c r="B862" s="2" t="s">
        <v>46</v>
      </c>
      <c r="C862" s="21"/>
      <c r="D862" s="21"/>
      <c r="E862" s="21"/>
      <c r="F862" s="46"/>
      <c r="G862" s="62">
        <f>SUMIF(B5:B837,"*이현일*",G5:G837)</f>
        <v>26</v>
      </c>
      <c r="H862" s="47"/>
      <c r="I862" s="47"/>
      <c r="J862" s="48"/>
      <c r="K862" s="47"/>
      <c r="L862" s="49"/>
      <c r="M862" s="49"/>
      <c r="N862" s="49"/>
    </row>
    <row r="863" ht="39.75" hidden="1" customHeight="1">
      <c r="A863" s="1"/>
      <c r="B863" s="2" t="s">
        <v>47</v>
      </c>
      <c r="C863" s="21"/>
      <c r="D863" s="21"/>
      <c r="E863" s="21"/>
      <c r="F863" s="46"/>
      <c r="G863" s="62">
        <f>SUMIF(B5:B837,"*유연경*",G5:G837)</f>
        <v>14</v>
      </c>
      <c r="H863" s="47"/>
      <c r="I863" s="47"/>
      <c r="J863" s="48"/>
      <c r="K863" s="47"/>
      <c r="L863" s="49"/>
      <c r="M863" s="49"/>
      <c r="N863" s="49"/>
    </row>
    <row r="864" ht="39.75" hidden="1" customHeight="1">
      <c r="A864" s="1"/>
      <c r="B864" s="2" t="s">
        <v>48</v>
      </c>
      <c r="C864" s="21"/>
      <c r="D864" s="21"/>
      <c r="E864" s="21"/>
      <c r="F864" s="46"/>
      <c r="G864" s="62">
        <f>SUMIF(B5:B837,"*정재우*",G5:G837)</f>
        <v>27</v>
      </c>
      <c r="H864" s="47"/>
      <c r="I864" s="47"/>
      <c r="J864" s="48"/>
      <c r="K864" s="47"/>
      <c r="L864" s="49"/>
      <c r="M864" s="49"/>
      <c r="N864" s="49"/>
    </row>
  </sheetData>
  <mergeCells count="31">
    <mergeCell ref="L2:N27"/>
    <mergeCell ref="L29:N54"/>
    <mergeCell ref="L56:N81"/>
    <mergeCell ref="L83:N108"/>
    <mergeCell ref="L110:N135"/>
    <mergeCell ref="L137:N162"/>
    <mergeCell ref="L164:N189"/>
    <mergeCell ref="L191:N216"/>
    <mergeCell ref="L218:N243"/>
    <mergeCell ref="L245:N270"/>
    <mergeCell ref="L272:N297"/>
    <mergeCell ref="L299:N324"/>
    <mergeCell ref="L326:N351"/>
    <mergeCell ref="L353:N378"/>
    <mergeCell ref="L380:N405"/>
    <mergeCell ref="L407:N432"/>
    <mergeCell ref="L434:N459"/>
    <mergeCell ref="L461:N486"/>
    <mergeCell ref="L488:N513"/>
    <mergeCell ref="L515:N540"/>
    <mergeCell ref="L542:N567"/>
    <mergeCell ref="L758:N783"/>
    <mergeCell ref="L785:N810"/>
    <mergeCell ref="L812:N837"/>
    <mergeCell ref="L569:N594"/>
    <mergeCell ref="L596:N621"/>
    <mergeCell ref="L623:N648"/>
    <mergeCell ref="L650:N675"/>
    <mergeCell ref="L677:N702"/>
    <mergeCell ref="L704:N729"/>
    <mergeCell ref="L731:N756"/>
  </mergeCells>
  <conditionalFormatting sqref="B2:I864">
    <cfRule type="expression" dxfId="6" priority="1">
      <formula>$C2="휴가"</formula>
    </cfRule>
  </conditionalFormatting>
  <conditionalFormatting sqref="B2:I864">
    <cfRule type="expression" dxfId="6" priority="2">
      <formula>$C2="휴무"</formula>
    </cfRule>
  </conditionalFormatting>
  <conditionalFormatting sqref="B2:I864">
    <cfRule type="expression" dxfId="6" priority="3">
      <formula>$C2="제크"</formula>
    </cfRule>
  </conditionalFormatting>
  <conditionalFormatting sqref="B2:I864">
    <cfRule type="expression" dxfId="7" priority="4">
      <formula>$C2="야퇴"</formula>
    </cfRule>
  </conditionalFormatting>
  <conditionalFormatting sqref="B2:I864">
    <cfRule type="expression" dxfId="8" priority="5">
      <formula>$C2="대통령실"</formula>
    </cfRule>
  </conditionalFormatting>
  <conditionalFormatting sqref="B2:I864">
    <cfRule type="expression" dxfId="8" priority="6">
      <formula>$C2="헌법재판소"</formula>
    </cfRule>
  </conditionalFormatting>
  <hyperlinks>
    <hyperlink r:id="rId1" ref="F594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tableParts count="2">
    <tablePart r:id="rId5"/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8.25"/>
    <col customWidth="1" min="3" max="3" width="10.75"/>
    <col customWidth="1" min="4" max="5" width="8.88"/>
    <col customWidth="1" min="6" max="6" width="50.13"/>
    <col customWidth="1" min="7" max="7" width="8.88"/>
    <col customWidth="1" min="8" max="8" width="10.63"/>
    <col customWidth="1" min="9" max="9" width="11.38"/>
    <col customWidth="1" min="10" max="10" width="8.5"/>
    <col customWidth="1" min="11" max="11" width="11.38"/>
    <col customWidth="1" min="12" max="14" width="12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36"/>
      <c r="K1" s="2" t="s">
        <v>1160</v>
      </c>
      <c r="L1" s="37" t="s">
        <v>490</v>
      </c>
      <c r="M1" s="38" t="s">
        <v>10</v>
      </c>
      <c r="N1" s="39" t="s">
        <v>11</v>
      </c>
    </row>
    <row r="2" ht="39.75" customHeight="1">
      <c r="A2" s="1">
        <v>1.0</v>
      </c>
      <c r="B2" s="2" t="s">
        <v>12</v>
      </c>
      <c r="C2" s="2" t="s">
        <v>62</v>
      </c>
      <c r="D2" s="40"/>
      <c r="E2" s="40"/>
      <c r="F2" s="44" t="s">
        <v>1543</v>
      </c>
      <c r="G2" s="43">
        <v>1.0</v>
      </c>
      <c r="H2" s="42"/>
      <c r="I2" s="43">
        <v>1.0</v>
      </c>
      <c r="J2" s="14" t="s">
        <v>3250</v>
      </c>
      <c r="K2" s="43"/>
      <c r="L2" s="15" t="s">
        <v>15</v>
      </c>
    </row>
    <row r="3" ht="39.75" customHeight="1">
      <c r="A3" s="1">
        <v>2.0</v>
      </c>
      <c r="B3" s="2" t="s">
        <v>16</v>
      </c>
      <c r="C3" s="2" t="s">
        <v>54</v>
      </c>
      <c r="D3" s="13"/>
      <c r="E3" s="13"/>
      <c r="F3" s="44"/>
      <c r="G3" s="42"/>
      <c r="H3" s="42"/>
      <c r="I3" s="42"/>
      <c r="J3" s="14" t="s">
        <v>15</v>
      </c>
      <c r="K3" s="43"/>
    </row>
    <row r="4" ht="39.75" customHeight="1">
      <c r="A4" s="1">
        <v>3.0</v>
      </c>
      <c r="B4" s="2" t="s">
        <v>116</v>
      </c>
      <c r="C4" s="2" t="s">
        <v>69</v>
      </c>
      <c r="D4" s="13"/>
      <c r="E4" s="13"/>
      <c r="F4" s="44" t="s">
        <v>3251</v>
      </c>
      <c r="G4" s="43">
        <v>2.0</v>
      </c>
      <c r="H4" s="42"/>
      <c r="I4" s="43">
        <v>1.0</v>
      </c>
      <c r="J4" s="14" t="s">
        <v>56</v>
      </c>
      <c r="K4" s="43"/>
    </row>
    <row r="5" ht="39.75" customHeight="1">
      <c r="A5" s="1">
        <v>4.0</v>
      </c>
      <c r="B5" s="2" t="s">
        <v>17</v>
      </c>
      <c r="C5" s="2" t="s">
        <v>69</v>
      </c>
      <c r="D5" s="13"/>
      <c r="E5" s="13"/>
      <c r="F5" s="44" t="s">
        <v>3252</v>
      </c>
      <c r="G5" s="43">
        <v>1.0</v>
      </c>
      <c r="H5" s="42"/>
      <c r="I5" s="42"/>
      <c r="J5" s="14"/>
      <c r="K5" s="43"/>
    </row>
    <row r="6" ht="39.75" customHeight="1">
      <c r="A6" s="1">
        <v>5.0</v>
      </c>
      <c r="B6" s="2" t="s">
        <v>331</v>
      </c>
      <c r="C6" s="2" t="s">
        <v>542</v>
      </c>
      <c r="D6" s="13"/>
      <c r="E6" s="13"/>
      <c r="F6" s="45"/>
      <c r="G6" s="42"/>
      <c r="H6" s="42"/>
      <c r="I6" s="42"/>
      <c r="J6" s="14"/>
      <c r="K6" s="43"/>
    </row>
    <row r="7" ht="39.75" customHeight="1">
      <c r="A7" s="1">
        <v>6.0</v>
      </c>
      <c r="B7" s="2" t="s">
        <v>21</v>
      </c>
      <c r="C7" s="2" t="s">
        <v>63</v>
      </c>
      <c r="D7" s="13"/>
      <c r="E7" s="13"/>
      <c r="F7" s="45"/>
      <c r="G7" s="42"/>
      <c r="H7" s="42"/>
      <c r="I7" s="42"/>
      <c r="J7" s="14"/>
      <c r="K7" s="43"/>
    </row>
    <row r="8" ht="39.75" customHeight="1">
      <c r="A8" s="1">
        <v>7.0</v>
      </c>
      <c r="B8" s="2" t="s">
        <v>22</v>
      </c>
      <c r="C8" s="2" t="s">
        <v>44</v>
      </c>
      <c r="D8" s="13"/>
      <c r="E8" s="13"/>
      <c r="F8" s="44"/>
      <c r="G8" s="42"/>
      <c r="H8" s="42"/>
      <c r="I8" s="42"/>
      <c r="J8" s="14"/>
      <c r="K8" s="43"/>
    </row>
    <row r="9" ht="39.75" customHeight="1">
      <c r="A9" s="1">
        <v>8.0</v>
      </c>
      <c r="B9" s="2" t="s">
        <v>23</v>
      </c>
      <c r="C9" s="2" t="s">
        <v>39</v>
      </c>
      <c r="D9" s="13"/>
      <c r="E9" s="13"/>
      <c r="F9" s="44" t="s">
        <v>3253</v>
      </c>
      <c r="G9" s="43">
        <v>1.0</v>
      </c>
      <c r="H9" s="42"/>
      <c r="I9" s="42"/>
      <c r="J9" s="14"/>
      <c r="K9" s="43"/>
    </row>
    <row r="10" ht="39.75" hidden="1" customHeight="1">
      <c r="A10" s="1">
        <v>9.0</v>
      </c>
      <c r="B10" s="2" t="s">
        <v>24</v>
      </c>
      <c r="C10" s="2" t="s">
        <v>58</v>
      </c>
      <c r="D10" s="13"/>
      <c r="E10" s="13"/>
      <c r="F10" s="44"/>
      <c r="G10" s="42"/>
      <c r="H10" s="43"/>
      <c r="I10" s="43"/>
      <c r="J10" s="14"/>
      <c r="K10" s="43"/>
    </row>
    <row r="11" ht="39.75" customHeight="1">
      <c r="A11" s="1">
        <v>10.0</v>
      </c>
      <c r="B11" s="2" t="s">
        <v>25</v>
      </c>
      <c r="C11" s="2" t="s">
        <v>69</v>
      </c>
      <c r="D11" s="13"/>
      <c r="E11" s="13"/>
      <c r="F11" s="44" t="s">
        <v>3254</v>
      </c>
      <c r="G11" s="43">
        <v>2.0</v>
      </c>
      <c r="H11" s="42"/>
      <c r="I11" s="43">
        <v>1.0</v>
      </c>
      <c r="J11" s="14"/>
      <c r="K11" s="43"/>
    </row>
    <row r="12" ht="39.75" hidden="1" customHeight="1">
      <c r="A12" s="1">
        <v>11.0</v>
      </c>
      <c r="B12" s="2" t="s">
        <v>26</v>
      </c>
      <c r="C12" s="2" t="s">
        <v>58</v>
      </c>
      <c r="D12" s="13"/>
      <c r="E12" s="13"/>
      <c r="F12" s="44"/>
      <c r="G12" s="42"/>
      <c r="H12" s="42"/>
      <c r="I12" s="42"/>
      <c r="J12" s="14"/>
      <c r="K12" s="43"/>
    </row>
    <row r="13" ht="39.75" hidden="1" customHeight="1">
      <c r="A13" s="1">
        <v>12.0</v>
      </c>
      <c r="B13" s="2" t="s">
        <v>29</v>
      </c>
      <c r="C13" s="2" t="s">
        <v>66</v>
      </c>
      <c r="D13" s="13"/>
      <c r="E13" s="13"/>
      <c r="F13" s="44"/>
      <c r="G13" s="42"/>
      <c r="H13" s="42"/>
      <c r="I13" s="42"/>
      <c r="J13" s="14"/>
      <c r="K13" s="43"/>
    </row>
    <row r="14" ht="39.75" customHeight="1">
      <c r="A14" s="1">
        <v>13.0</v>
      </c>
      <c r="B14" s="2" t="s">
        <v>30</v>
      </c>
      <c r="C14" s="2" t="s">
        <v>64</v>
      </c>
      <c r="D14" s="13"/>
      <c r="E14" s="13"/>
      <c r="F14" s="44" t="s">
        <v>2592</v>
      </c>
      <c r="G14" s="43">
        <v>1.0</v>
      </c>
      <c r="H14" s="42"/>
      <c r="I14" s="43">
        <v>1.0</v>
      </c>
      <c r="J14" s="14"/>
      <c r="K14" s="43"/>
    </row>
    <row r="15" ht="39.75" hidden="1" customHeight="1">
      <c r="A15" s="1">
        <v>14.0</v>
      </c>
      <c r="B15" s="2" t="s">
        <v>31</v>
      </c>
      <c r="C15" s="2" t="s">
        <v>58</v>
      </c>
      <c r="D15" s="13"/>
      <c r="E15" s="13"/>
      <c r="F15" s="45"/>
      <c r="G15" s="42"/>
      <c r="H15" s="42"/>
      <c r="I15" s="42"/>
      <c r="J15" s="14"/>
      <c r="K15" s="43"/>
    </row>
    <row r="16" ht="39.75" customHeight="1">
      <c r="A16" s="1">
        <v>15.0</v>
      </c>
      <c r="B16" s="2" t="s">
        <v>32</v>
      </c>
      <c r="C16" s="2" t="s">
        <v>54</v>
      </c>
      <c r="D16" s="13"/>
      <c r="E16" s="13"/>
      <c r="F16" s="44" t="s">
        <v>3255</v>
      </c>
      <c r="G16" s="43">
        <v>1.0</v>
      </c>
      <c r="H16" s="42"/>
      <c r="I16" s="42"/>
      <c r="J16" s="14"/>
      <c r="K16" s="43"/>
    </row>
    <row r="17" ht="39.75" customHeight="1">
      <c r="A17" s="1">
        <v>16.0</v>
      </c>
      <c r="B17" s="2" t="s">
        <v>67</v>
      </c>
      <c r="C17" s="2"/>
      <c r="D17" s="13"/>
      <c r="E17" s="13"/>
      <c r="F17" s="44" t="s">
        <v>3256</v>
      </c>
      <c r="G17" s="43">
        <v>1.0</v>
      </c>
      <c r="H17" s="43"/>
      <c r="I17" s="43">
        <v>1.0</v>
      </c>
      <c r="J17" s="14"/>
      <c r="K17" s="43"/>
    </row>
    <row r="18" ht="39.75" customHeight="1">
      <c r="A18" s="1">
        <v>17.0</v>
      </c>
      <c r="B18" s="2" t="s">
        <v>35</v>
      </c>
      <c r="C18" s="2" t="s">
        <v>39</v>
      </c>
      <c r="D18" s="13"/>
      <c r="E18" s="13"/>
      <c r="F18" s="44" t="s">
        <v>2664</v>
      </c>
      <c r="G18" s="43">
        <v>1.0</v>
      </c>
      <c r="H18" s="42"/>
      <c r="I18" s="43">
        <v>1.0</v>
      </c>
      <c r="J18" s="14"/>
      <c r="K18" s="43"/>
    </row>
    <row r="19" ht="39.75" hidden="1" customHeight="1">
      <c r="A19" s="1">
        <v>18.0</v>
      </c>
      <c r="B19" s="2" t="s">
        <v>36</v>
      </c>
      <c r="C19" s="2" t="s">
        <v>58</v>
      </c>
      <c r="D19" s="13"/>
      <c r="E19" s="13"/>
      <c r="F19" s="44"/>
      <c r="G19" s="42"/>
      <c r="H19" s="42"/>
      <c r="I19" s="42"/>
      <c r="J19" s="14"/>
      <c r="K19" s="43"/>
    </row>
    <row r="20" ht="39.75" customHeight="1">
      <c r="A20" s="1">
        <v>19.0</v>
      </c>
      <c r="B20" s="2" t="s">
        <v>38</v>
      </c>
      <c r="C20" s="2" t="s">
        <v>27</v>
      </c>
      <c r="D20" s="13"/>
      <c r="E20" s="13"/>
      <c r="F20" s="44" t="s">
        <v>3257</v>
      </c>
      <c r="G20" s="43">
        <v>1.0</v>
      </c>
      <c r="H20" s="42"/>
      <c r="I20" s="42"/>
      <c r="J20" s="14"/>
      <c r="K20" s="43"/>
    </row>
    <row r="21" ht="39.75" hidden="1" customHeight="1">
      <c r="A21" s="1">
        <v>20.0</v>
      </c>
      <c r="B21" s="2" t="s">
        <v>41</v>
      </c>
      <c r="C21" s="2" t="s">
        <v>58</v>
      </c>
      <c r="D21" s="13"/>
      <c r="E21" s="13"/>
      <c r="F21" s="44"/>
      <c r="G21" s="42"/>
      <c r="H21" s="42"/>
      <c r="I21" s="42"/>
      <c r="J21" s="14"/>
      <c r="K21" s="43"/>
    </row>
    <row r="22" ht="39.75" customHeight="1">
      <c r="A22" s="1">
        <v>21.0</v>
      </c>
      <c r="B22" s="2" t="s">
        <v>42</v>
      </c>
      <c r="C22" s="2"/>
      <c r="D22" s="53">
        <v>0.3333333333333333</v>
      </c>
      <c r="E22" s="13"/>
      <c r="F22" s="44" t="s">
        <v>3258</v>
      </c>
      <c r="G22" s="43">
        <v>1.0</v>
      </c>
      <c r="H22" s="42"/>
      <c r="I22" s="43">
        <v>1.0</v>
      </c>
      <c r="J22" s="14"/>
      <c r="K22" s="43"/>
    </row>
    <row r="23" ht="39.75" hidden="1" customHeight="1">
      <c r="A23" s="1">
        <v>22.0</v>
      </c>
      <c r="B23" s="2" t="s">
        <v>43</v>
      </c>
      <c r="C23" s="2" t="s">
        <v>58</v>
      </c>
      <c r="D23" s="13"/>
      <c r="E23" s="13"/>
      <c r="F23" s="45"/>
      <c r="G23" s="42"/>
      <c r="H23" s="42"/>
      <c r="I23" s="42"/>
      <c r="J23" s="14"/>
      <c r="K23" s="43"/>
    </row>
    <row r="24" ht="39.75" customHeight="1">
      <c r="A24" s="1">
        <v>23.0</v>
      </c>
      <c r="B24" s="2" t="s">
        <v>45</v>
      </c>
      <c r="C24" s="2"/>
      <c r="D24" s="13"/>
      <c r="E24" s="13"/>
      <c r="F24" s="44" t="s">
        <v>3259</v>
      </c>
      <c r="G24" s="43">
        <v>1.0</v>
      </c>
      <c r="H24" s="42"/>
      <c r="I24" s="42"/>
      <c r="J24" s="14"/>
      <c r="K24" s="43"/>
    </row>
    <row r="25" ht="39.75" customHeight="1">
      <c r="A25" s="1">
        <v>24.0</v>
      </c>
      <c r="B25" s="2" t="s">
        <v>46</v>
      </c>
      <c r="C25" s="2"/>
      <c r="D25" s="40"/>
      <c r="E25" s="13"/>
      <c r="F25" s="44" t="s">
        <v>3260</v>
      </c>
      <c r="G25" s="43">
        <v>1.0</v>
      </c>
      <c r="H25" s="42"/>
      <c r="I25" s="42"/>
      <c r="J25" s="14"/>
      <c r="K25" s="43"/>
    </row>
    <row r="26" ht="39.75" customHeight="1">
      <c r="A26" s="1">
        <v>25.0</v>
      </c>
      <c r="B26" s="2" t="s">
        <v>47</v>
      </c>
      <c r="C26" s="2" t="s">
        <v>54</v>
      </c>
      <c r="D26" s="13"/>
      <c r="E26" s="13"/>
      <c r="F26" s="44" t="s">
        <v>3261</v>
      </c>
      <c r="G26" s="43">
        <v>1.0</v>
      </c>
      <c r="H26" s="42"/>
      <c r="I26" s="42"/>
      <c r="J26" s="14"/>
      <c r="K26" s="43"/>
    </row>
    <row r="27" ht="39.75" customHeight="1">
      <c r="A27" s="1">
        <v>26.0</v>
      </c>
      <c r="B27" s="2" t="s">
        <v>48</v>
      </c>
      <c r="C27" s="2" t="s">
        <v>54</v>
      </c>
      <c r="D27" s="53">
        <v>0.2847222222222222</v>
      </c>
      <c r="E27" s="13"/>
      <c r="F27" s="44" t="s">
        <v>3262</v>
      </c>
      <c r="G27" s="43">
        <v>1.0</v>
      </c>
      <c r="H27" s="43">
        <v>1.0</v>
      </c>
      <c r="I27" s="42"/>
      <c r="J27" s="14"/>
      <c r="K27" s="43"/>
    </row>
    <row r="28" ht="39.75" customHeight="1">
      <c r="A28" s="1">
        <v>27.0</v>
      </c>
      <c r="B28" s="21"/>
      <c r="C28" s="21"/>
      <c r="D28" s="21"/>
      <c r="E28" s="21"/>
      <c r="F28" s="46"/>
      <c r="G28" s="47"/>
      <c r="H28" s="47"/>
      <c r="I28" s="47"/>
      <c r="J28" s="48"/>
      <c r="K28" s="47"/>
      <c r="L28" s="49"/>
      <c r="M28" s="49"/>
      <c r="N28" s="49"/>
    </row>
    <row r="29" ht="39.75" customHeight="1">
      <c r="A29" s="1">
        <v>28.0</v>
      </c>
      <c r="B29" s="2" t="s">
        <v>12</v>
      </c>
      <c r="C29" s="2" t="s">
        <v>62</v>
      </c>
      <c r="D29" s="13"/>
      <c r="E29" s="13"/>
      <c r="F29" s="44" t="s">
        <v>1543</v>
      </c>
      <c r="G29" s="43">
        <v>1.0</v>
      </c>
      <c r="H29" s="42"/>
      <c r="I29" s="43">
        <v>1.0</v>
      </c>
      <c r="J29" s="14" t="s">
        <v>3250</v>
      </c>
      <c r="K29" s="43"/>
      <c r="L29" s="15" t="s">
        <v>52</v>
      </c>
    </row>
    <row r="30" ht="39.75" customHeight="1">
      <c r="A30" s="1">
        <v>29.0</v>
      </c>
      <c r="B30" s="2" t="s">
        <v>16</v>
      </c>
      <c r="C30" s="2" t="s">
        <v>54</v>
      </c>
      <c r="D30" s="13"/>
      <c r="E30" s="13"/>
      <c r="F30" s="44" t="s">
        <v>3263</v>
      </c>
      <c r="G30" s="43">
        <v>1.0</v>
      </c>
      <c r="H30" s="42"/>
      <c r="I30" s="42"/>
      <c r="J30" s="14" t="s">
        <v>52</v>
      </c>
      <c r="K30" s="43"/>
    </row>
    <row r="31" ht="39.75" customHeight="1">
      <c r="A31" s="1">
        <v>30.0</v>
      </c>
      <c r="B31" s="2" t="s">
        <v>116</v>
      </c>
      <c r="C31" s="2"/>
      <c r="D31" s="13"/>
      <c r="E31" s="13"/>
      <c r="F31" s="44" t="s">
        <v>3264</v>
      </c>
      <c r="G31" s="43">
        <v>1.0</v>
      </c>
      <c r="H31" s="42"/>
      <c r="I31" s="42"/>
      <c r="J31" s="14" t="s">
        <v>77</v>
      </c>
      <c r="K31" s="43"/>
    </row>
    <row r="32" ht="68.25" customHeight="1">
      <c r="A32" s="1">
        <v>31.0</v>
      </c>
      <c r="B32" s="2" t="s">
        <v>17</v>
      </c>
      <c r="C32" s="2"/>
      <c r="D32" s="13"/>
      <c r="E32" s="13"/>
      <c r="F32" s="44" t="s">
        <v>3265</v>
      </c>
      <c r="G32" s="43">
        <v>1.0</v>
      </c>
      <c r="H32" s="43">
        <v>1.0</v>
      </c>
      <c r="I32" s="42"/>
      <c r="J32" s="14"/>
      <c r="K32" s="43"/>
    </row>
    <row r="33" ht="39.75" customHeight="1">
      <c r="A33" s="1">
        <v>32.0</v>
      </c>
      <c r="B33" s="2" t="s">
        <v>331</v>
      </c>
      <c r="C33" s="2" t="s">
        <v>542</v>
      </c>
      <c r="D33" s="13"/>
      <c r="E33" s="13"/>
      <c r="F33" s="45"/>
      <c r="G33" s="42"/>
      <c r="H33" s="42"/>
      <c r="I33" s="42"/>
      <c r="J33" s="14"/>
      <c r="K33" s="43"/>
    </row>
    <row r="34" ht="39.75" customHeight="1">
      <c r="A34" s="1">
        <v>33.0</v>
      </c>
      <c r="B34" s="2" t="s">
        <v>21</v>
      </c>
      <c r="C34" s="2" t="s">
        <v>63</v>
      </c>
      <c r="D34" s="13"/>
      <c r="E34" s="13"/>
      <c r="F34" s="45"/>
      <c r="G34" s="42"/>
      <c r="H34" s="42"/>
      <c r="I34" s="42"/>
      <c r="J34" s="14"/>
      <c r="K34" s="43"/>
    </row>
    <row r="35" ht="39.75" hidden="1" customHeight="1">
      <c r="A35" s="1">
        <v>34.0</v>
      </c>
      <c r="B35" s="2" t="s">
        <v>22</v>
      </c>
      <c r="C35" s="2" t="s">
        <v>58</v>
      </c>
      <c r="D35" s="13"/>
      <c r="E35" s="13"/>
      <c r="F35" s="45"/>
      <c r="G35" s="42"/>
      <c r="H35" s="42"/>
      <c r="I35" s="42"/>
      <c r="J35" s="14"/>
      <c r="K35" s="43"/>
    </row>
    <row r="36" ht="39.75" customHeight="1">
      <c r="A36" s="1">
        <v>35.0</v>
      </c>
      <c r="B36" s="2" t="s">
        <v>23</v>
      </c>
      <c r="C36" s="2" t="s">
        <v>54</v>
      </c>
      <c r="D36" s="13"/>
      <c r="E36" s="13"/>
      <c r="F36" s="44" t="s">
        <v>3266</v>
      </c>
      <c r="G36" s="43">
        <v>1.0</v>
      </c>
      <c r="H36" s="42"/>
      <c r="I36" s="42"/>
      <c r="J36" s="14"/>
      <c r="K36" s="43"/>
    </row>
    <row r="37" ht="39.75" hidden="1" customHeight="1">
      <c r="A37" s="1">
        <v>36.0</v>
      </c>
      <c r="B37" s="2" t="s">
        <v>24</v>
      </c>
      <c r="C37" s="2" t="s">
        <v>58</v>
      </c>
      <c r="D37" s="13"/>
      <c r="E37" s="13"/>
      <c r="F37" s="45"/>
      <c r="G37" s="42"/>
      <c r="H37" s="42"/>
      <c r="I37" s="42"/>
      <c r="J37" s="14"/>
      <c r="K37" s="43"/>
    </row>
    <row r="38" ht="61.5" customHeight="1">
      <c r="A38" s="1">
        <v>37.0</v>
      </c>
      <c r="B38" s="2" t="s">
        <v>25</v>
      </c>
      <c r="C38" s="2"/>
      <c r="D38" s="13"/>
      <c r="E38" s="13"/>
      <c r="F38" s="44" t="s">
        <v>3267</v>
      </c>
      <c r="G38" s="43">
        <v>1.0</v>
      </c>
      <c r="H38" s="42"/>
      <c r="I38" s="42"/>
      <c r="J38" s="14"/>
      <c r="K38" s="43"/>
    </row>
    <row r="39" ht="39.75" hidden="1" customHeight="1">
      <c r="A39" s="1">
        <v>38.0</v>
      </c>
      <c r="B39" s="2" t="s">
        <v>26</v>
      </c>
      <c r="C39" s="2" t="s">
        <v>58</v>
      </c>
      <c r="D39" s="13"/>
      <c r="E39" s="13"/>
      <c r="F39" s="45"/>
      <c r="G39" s="42"/>
      <c r="H39" s="42"/>
      <c r="I39" s="42"/>
      <c r="J39" s="14"/>
      <c r="K39" s="43"/>
    </row>
    <row r="40" ht="78.75" customHeight="1">
      <c r="A40" s="1">
        <v>39.0</v>
      </c>
      <c r="B40" s="2" t="s">
        <v>29</v>
      </c>
      <c r="C40" s="2" t="s">
        <v>27</v>
      </c>
      <c r="D40" s="13"/>
      <c r="E40" s="13"/>
      <c r="F40" s="85" t="s">
        <v>3268</v>
      </c>
      <c r="G40" s="43">
        <v>1.0</v>
      </c>
      <c r="H40" s="42"/>
      <c r="I40" s="43">
        <v>1.0</v>
      </c>
      <c r="J40" s="14"/>
      <c r="K40" s="43"/>
    </row>
    <row r="41" ht="39.75" customHeight="1">
      <c r="A41" s="1">
        <v>40.0</v>
      </c>
      <c r="B41" s="2" t="s">
        <v>30</v>
      </c>
      <c r="C41" s="2" t="s">
        <v>64</v>
      </c>
      <c r="D41" s="13"/>
      <c r="E41" s="13"/>
      <c r="F41" s="44" t="s">
        <v>2592</v>
      </c>
      <c r="G41" s="43">
        <v>1.0</v>
      </c>
      <c r="H41" s="42"/>
      <c r="I41" s="43">
        <v>1.0</v>
      </c>
      <c r="J41" s="14"/>
      <c r="K41" s="43"/>
    </row>
    <row r="42" ht="39.75" hidden="1" customHeight="1">
      <c r="A42" s="1">
        <v>41.0</v>
      </c>
      <c r="B42" s="2" t="s">
        <v>31</v>
      </c>
      <c r="C42" s="2" t="s">
        <v>58</v>
      </c>
      <c r="D42" s="13"/>
      <c r="E42" s="13"/>
      <c r="F42" s="45"/>
      <c r="G42" s="42"/>
      <c r="H42" s="42"/>
      <c r="I42" s="42"/>
      <c r="J42" s="14"/>
      <c r="K42" s="43"/>
    </row>
    <row r="43" ht="39.75" customHeight="1">
      <c r="A43" s="1">
        <v>42.0</v>
      </c>
      <c r="B43" s="2" t="s">
        <v>32</v>
      </c>
      <c r="C43" s="2" t="s">
        <v>39</v>
      </c>
      <c r="D43" s="13"/>
      <c r="E43" s="13"/>
      <c r="F43" s="44" t="s">
        <v>3269</v>
      </c>
      <c r="G43" s="43">
        <v>1.0</v>
      </c>
      <c r="H43" s="42"/>
      <c r="I43" s="43">
        <v>1.0</v>
      </c>
      <c r="J43" s="14"/>
      <c r="K43" s="43"/>
    </row>
    <row r="44" ht="39.75" customHeight="1">
      <c r="A44" s="1">
        <v>43.0</v>
      </c>
      <c r="B44" s="2" t="s">
        <v>67</v>
      </c>
      <c r="C44" s="2" t="s">
        <v>39</v>
      </c>
      <c r="D44" s="13"/>
      <c r="E44" s="13"/>
      <c r="F44" s="44" t="s">
        <v>2664</v>
      </c>
      <c r="G44" s="43">
        <v>1.0</v>
      </c>
      <c r="H44" s="42"/>
      <c r="I44" s="43">
        <v>1.0</v>
      </c>
      <c r="J44" s="14"/>
      <c r="K44" s="43"/>
    </row>
    <row r="45" ht="39.75" hidden="1" customHeight="1">
      <c r="A45" s="1">
        <v>44.0</v>
      </c>
      <c r="B45" s="2" t="s">
        <v>35</v>
      </c>
      <c r="C45" s="2" t="s">
        <v>66</v>
      </c>
      <c r="D45" s="13"/>
      <c r="E45" s="13"/>
      <c r="F45" s="45"/>
      <c r="G45" s="42"/>
      <c r="H45" s="42"/>
      <c r="I45" s="42"/>
      <c r="J45" s="14"/>
      <c r="K45" s="43"/>
    </row>
    <row r="46" ht="39.75" customHeight="1">
      <c r="A46" s="1">
        <v>45.0</v>
      </c>
      <c r="B46" s="2" t="s">
        <v>36</v>
      </c>
      <c r="C46" s="2"/>
      <c r="D46" s="13"/>
      <c r="E46" s="13"/>
      <c r="F46" s="44" t="s">
        <v>3270</v>
      </c>
      <c r="G46" s="43">
        <v>1.0</v>
      </c>
      <c r="H46" s="42"/>
      <c r="I46" s="43">
        <v>1.0</v>
      </c>
      <c r="J46" s="14"/>
      <c r="K46" s="43"/>
    </row>
    <row r="47" ht="39.75" customHeight="1">
      <c r="A47" s="1">
        <v>46.0</v>
      </c>
      <c r="B47" s="2" t="s">
        <v>38</v>
      </c>
      <c r="C47" s="2" t="s">
        <v>44</v>
      </c>
      <c r="D47" s="13"/>
      <c r="E47" s="13"/>
      <c r="F47" s="45"/>
      <c r="G47" s="42"/>
      <c r="H47" s="42"/>
      <c r="I47" s="42"/>
      <c r="J47" s="14"/>
      <c r="K47" s="43"/>
    </row>
    <row r="48" ht="39.75" hidden="1" customHeight="1">
      <c r="A48" s="1">
        <v>47.0</v>
      </c>
      <c r="B48" s="2" t="s">
        <v>41</v>
      </c>
      <c r="C48" s="2" t="s">
        <v>58</v>
      </c>
      <c r="D48" s="13"/>
      <c r="E48" s="13"/>
      <c r="F48" s="45"/>
      <c r="G48" s="42"/>
      <c r="H48" s="42"/>
      <c r="I48" s="42"/>
      <c r="J48" s="14"/>
      <c r="K48" s="43"/>
    </row>
    <row r="49" ht="39.75" customHeight="1">
      <c r="A49" s="1">
        <v>48.0</v>
      </c>
      <c r="B49" s="2" t="s">
        <v>42</v>
      </c>
      <c r="C49" s="2"/>
      <c r="D49" s="13"/>
      <c r="E49" s="13"/>
      <c r="F49" s="44" t="s">
        <v>3271</v>
      </c>
      <c r="G49" s="43">
        <v>1.0</v>
      </c>
      <c r="H49" s="42"/>
      <c r="I49" s="43">
        <v>1.0</v>
      </c>
      <c r="J49" s="14"/>
      <c r="K49" s="43"/>
    </row>
    <row r="50" ht="39.75" customHeight="1">
      <c r="A50" s="1">
        <v>49.0</v>
      </c>
      <c r="B50" s="2" t="s">
        <v>43</v>
      </c>
      <c r="C50" s="2" t="s">
        <v>54</v>
      </c>
      <c r="D50" s="13"/>
      <c r="E50" s="13"/>
      <c r="F50" s="44" t="s">
        <v>3272</v>
      </c>
      <c r="G50" s="43">
        <v>1.0</v>
      </c>
      <c r="H50" s="42"/>
      <c r="I50" s="43">
        <v>1.0</v>
      </c>
      <c r="J50" s="14"/>
      <c r="K50" s="43"/>
    </row>
    <row r="51" ht="39.75" customHeight="1">
      <c r="A51" s="1">
        <v>50.0</v>
      </c>
      <c r="B51" s="2" t="s">
        <v>45</v>
      </c>
      <c r="C51" s="2"/>
      <c r="D51" s="13"/>
      <c r="E51" s="13"/>
      <c r="F51" s="44" t="s">
        <v>3273</v>
      </c>
      <c r="G51" s="43">
        <v>1.0</v>
      </c>
      <c r="H51" s="43">
        <v>1.0</v>
      </c>
      <c r="I51" s="42"/>
      <c r="J51" s="14"/>
      <c r="K51" s="43"/>
    </row>
    <row r="52" ht="39.75" customHeight="1">
      <c r="A52" s="1">
        <v>51.0</v>
      </c>
      <c r="B52" s="2" t="s">
        <v>46</v>
      </c>
      <c r="C52" s="2" t="s">
        <v>69</v>
      </c>
      <c r="D52" s="13"/>
      <c r="E52" s="13"/>
      <c r="F52" s="44" t="s">
        <v>3274</v>
      </c>
      <c r="G52" s="43">
        <v>1.0</v>
      </c>
      <c r="H52" s="42"/>
      <c r="I52" s="42"/>
      <c r="J52" s="14"/>
      <c r="K52" s="43"/>
    </row>
    <row r="53" ht="39.75" customHeight="1">
      <c r="A53" s="1">
        <v>52.0</v>
      </c>
      <c r="B53" s="2" t="s">
        <v>47</v>
      </c>
      <c r="C53" s="2" t="s">
        <v>69</v>
      </c>
      <c r="D53" s="13"/>
      <c r="E53" s="13"/>
      <c r="F53" s="44" t="s">
        <v>3275</v>
      </c>
      <c r="G53" s="43">
        <v>2.0</v>
      </c>
      <c r="H53" s="42"/>
      <c r="I53" s="43">
        <v>1.0</v>
      </c>
      <c r="J53" s="14"/>
      <c r="K53" s="43"/>
    </row>
    <row r="54" ht="39.75" customHeight="1">
      <c r="A54" s="1">
        <v>53.0</v>
      </c>
      <c r="B54" s="2" t="s">
        <v>48</v>
      </c>
      <c r="C54" s="2" t="s">
        <v>54</v>
      </c>
      <c r="D54" s="13"/>
      <c r="E54" s="13"/>
      <c r="F54" s="44" t="s">
        <v>3276</v>
      </c>
      <c r="G54" s="43">
        <v>1.0</v>
      </c>
      <c r="H54" s="43">
        <v>1.0</v>
      </c>
      <c r="I54" s="42"/>
      <c r="J54" s="14"/>
      <c r="K54" s="43"/>
    </row>
    <row r="55" ht="39.75" customHeight="1">
      <c r="A55" s="1">
        <v>54.0</v>
      </c>
      <c r="B55" s="21"/>
      <c r="C55" s="21"/>
      <c r="D55" s="21"/>
      <c r="E55" s="21"/>
      <c r="F55" s="46"/>
      <c r="G55" s="47"/>
      <c r="H55" s="47"/>
      <c r="I55" s="47"/>
      <c r="J55" s="48"/>
      <c r="K55" s="47"/>
      <c r="L55" s="49"/>
      <c r="M55" s="49"/>
      <c r="N55" s="49"/>
    </row>
    <row r="56" ht="39.75" customHeight="1">
      <c r="A56" s="1">
        <v>55.0</v>
      </c>
      <c r="B56" s="2" t="s">
        <v>12</v>
      </c>
      <c r="C56" s="2" t="s">
        <v>62</v>
      </c>
      <c r="D56" s="13"/>
      <c r="E56" s="13"/>
      <c r="F56" s="44" t="s">
        <v>3277</v>
      </c>
      <c r="G56" s="43">
        <v>1.0</v>
      </c>
      <c r="H56" s="42"/>
      <c r="I56" s="43">
        <v>1.0</v>
      </c>
      <c r="J56" s="14" t="s">
        <v>3250</v>
      </c>
      <c r="K56" s="43"/>
      <c r="L56" s="15" t="s">
        <v>74</v>
      </c>
    </row>
    <row r="57" ht="39.75" customHeight="1">
      <c r="A57" s="1">
        <v>56.0</v>
      </c>
      <c r="B57" s="2" t="s">
        <v>16</v>
      </c>
      <c r="C57" s="2" t="s">
        <v>54</v>
      </c>
      <c r="D57" s="53">
        <v>0.2916666666666667</v>
      </c>
      <c r="E57" s="13"/>
      <c r="F57" s="44" t="s">
        <v>3278</v>
      </c>
      <c r="G57" s="43">
        <v>1.0</v>
      </c>
      <c r="H57" s="43">
        <v>1.0</v>
      </c>
      <c r="I57" s="42"/>
      <c r="J57" s="14" t="s">
        <v>74</v>
      </c>
      <c r="K57" s="43"/>
    </row>
    <row r="58" ht="39.75" customHeight="1">
      <c r="A58" s="1">
        <v>57.0</v>
      </c>
      <c r="B58" s="2" t="s">
        <v>116</v>
      </c>
      <c r="C58" s="2"/>
      <c r="D58" s="13"/>
      <c r="E58" s="13"/>
      <c r="F58" s="44" t="s">
        <v>3279</v>
      </c>
      <c r="G58" s="43">
        <v>1.0</v>
      </c>
      <c r="H58" s="42"/>
      <c r="I58" s="42"/>
      <c r="J58" s="14" t="s">
        <v>95</v>
      </c>
      <c r="K58" s="43"/>
    </row>
    <row r="59" ht="51.75" customHeight="1">
      <c r="A59" s="1">
        <v>58.0</v>
      </c>
      <c r="B59" s="2" t="s">
        <v>17</v>
      </c>
      <c r="C59" s="2"/>
      <c r="D59" s="13"/>
      <c r="E59" s="13"/>
      <c r="F59" s="44" t="s">
        <v>3265</v>
      </c>
      <c r="G59" s="43">
        <v>1.0</v>
      </c>
      <c r="H59" s="43">
        <v>1.0</v>
      </c>
      <c r="I59" s="42"/>
      <c r="J59" s="14"/>
      <c r="K59" s="43"/>
    </row>
    <row r="60" ht="39.75" customHeight="1">
      <c r="A60" s="1">
        <v>59.0</v>
      </c>
      <c r="B60" s="2" t="s">
        <v>331</v>
      </c>
      <c r="C60" s="2" t="s">
        <v>542</v>
      </c>
      <c r="D60" s="13"/>
      <c r="E60" s="13"/>
      <c r="F60" s="45"/>
      <c r="G60" s="42"/>
      <c r="H60" s="42"/>
      <c r="I60" s="42"/>
      <c r="J60" s="14"/>
      <c r="K60" s="43"/>
    </row>
    <row r="61" ht="39.75" customHeight="1">
      <c r="A61" s="1">
        <v>60.0</v>
      </c>
      <c r="B61" s="2" t="s">
        <v>21</v>
      </c>
      <c r="C61" s="2" t="s">
        <v>63</v>
      </c>
      <c r="D61" s="13"/>
      <c r="E61" s="13"/>
      <c r="F61" s="45"/>
      <c r="G61" s="42"/>
      <c r="H61" s="42"/>
      <c r="I61" s="42"/>
      <c r="J61" s="14"/>
      <c r="K61" s="43"/>
    </row>
    <row r="62" ht="68.25" customHeight="1">
      <c r="A62" s="1">
        <v>61.0</v>
      </c>
      <c r="B62" s="2" t="s">
        <v>22</v>
      </c>
      <c r="C62" s="2"/>
      <c r="D62" s="13"/>
      <c r="E62" s="13"/>
      <c r="F62" s="44" t="s">
        <v>3280</v>
      </c>
      <c r="G62" s="43">
        <v>1.0</v>
      </c>
      <c r="H62" s="42"/>
      <c r="I62" s="43">
        <v>1.0</v>
      </c>
      <c r="J62" s="14"/>
      <c r="K62" s="43"/>
    </row>
    <row r="63" ht="68.25" customHeight="1">
      <c r="A63" s="1">
        <v>62.0</v>
      </c>
      <c r="B63" s="2" t="s">
        <v>23</v>
      </c>
      <c r="C63" s="2" t="s">
        <v>54</v>
      </c>
      <c r="D63" s="53">
        <v>0.375</v>
      </c>
      <c r="E63" s="51">
        <v>0.8888888888888888</v>
      </c>
      <c r="F63" s="44" t="s">
        <v>3281</v>
      </c>
      <c r="G63" s="43">
        <v>1.0</v>
      </c>
      <c r="H63" s="43">
        <v>1.0</v>
      </c>
      <c r="I63" s="42"/>
      <c r="J63" s="14"/>
      <c r="K63" s="43"/>
    </row>
    <row r="64" ht="68.25" customHeight="1">
      <c r="A64" s="1">
        <v>63.0</v>
      </c>
      <c r="B64" s="2" t="s">
        <v>24</v>
      </c>
      <c r="C64" s="2" t="s">
        <v>63</v>
      </c>
      <c r="D64" s="13"/>
      <c r="E64" s="13"/>
      <c r="F64" s="45"/>
      <c r="G64" s="42"/>
      <c r="H64" s="42"/>
      <c r="I64" s="42"/>
      <c r="J64" s="14"/>
      <c r="K64" s="43"/>
    </row>
    <row r="65" ht="68.25" hidden="1" customHeight="1">
      <c r="A65" s="1">
        <v>64.0</v>
      </c>
      <c r="B65" s="2" t="s">
        <v>25</v>
      </c>
      <c r="C65" s="2" t="s">
        <v>13</v>
      </c>
      <c r="D65" s="13"/>
      <c r="E65" s="13"/>
      <c r="F65" s="45"/>
      <c r="G65" s="42"/>
      <c r="H65" s="42"/>
      <c r="I65" s="42"/>
      <c r="J65" s="14"/>
      <c r="K65" s="43"/>
    </row>
    <row r="66" ht="68.25" customHeight="1">
      <c r="A66" s="1">
        <v>65.0</v>
      </c>
      <c r="B66" s="2" t="s">
        <v>26</v>
      </c>
      <c r="C66" s="2" t="s">
        <v>39</v>
      </c>
      <c r="D66" s="13"/>
      <c r="E66" s="13"/>
      <c r="F66" s="44" t="s">
        <v>3282</v>
      </c>
      <c r="G66" s="43">
        <v>1.0</v>
      </c>
      <c r="H66" s="42"/>
      <c r="I66" s="43">
        <v>1.0</v>
      </c>
      <c r="J66" s="14"/>
      <c r="K66" s="43"/>
    </row>
    <row r="67" ht="68.25" customHeight="1">
      <c r="A67" s="1">
        <v>66.0</v>
      </c>
      <c r="B67" s="2" t="s">
        <v>29</v>
      </c>
      <c r="C67" s="2" t="s">
        <v>44</v>
      </c>
      <c r="D67" s="13"/>
      <c r="E67" s="13"/>
      <c r="F67" s="45"/>
      <c r="G67" s="42"/>
      <c r="H67" s="42"/>
      <c r="I67" s="42"/>
      <c r="J67" s="14"/>
      <c r="K67" s="43"/>
    </row>
    <row r="68" ht="68.25" customHeight="1">
      <c r="A68" s="1">
        <v>67.0</v>
      </c>
      <c r="B68" s="2" t="s">
        <v>30</v>
      </c>
      <c r="C68" s="2" t="s">
        <v>64</v>
      </c>
      <c r="D68" s="13"/>
      <c r="E68" s="13"/>
      <c r="F68" s="44" t="s">
        <v>2592</v>
      </c>
      <c r="G68" s="43">
        <v>1.0</v>
      </c>
      <c r="H68" s="42"/>
      <c r="I68" s="43">
        <v>1.0</v>
      </c>
      <c r="J68" s="14"/>
      <c r="K68" s="43"/>
    </row>
    <row r="69" ht="68.25" hidden="1" customHeight="1">
      <c r="A69" s="1">
        <v>68.0</v>
      </c>
      <c r="B69" s="2" t="s">
        <v>31</v>
      </c>
      <c r="C69" s="2" t="s">
        <v>13</v>
      </c>
      <c r="D69" s="13"/>
      <c r="E69" s="13"/>
      <c r="F69" s="45"/>
      <c r="G69" s="42"/>
      <c r="H69" s="42"/>
      <c r="I69" s="42"/>
      <c r="J69" s="14"/>
      <c r="K69" s="43"/>
    </row>
    <row r="70" ht="68.25" customHeight="1">
      <c r="A70" s="1">
        <v>69.0</v>
      </c>
      <c r="B70" s="2" t="s">
        <v>32</v>
      </c>
      <c r="C70" s="2" t="s">
        <v>69</v>
      </c>
      <c r="D70" s="13"/>
      <c r="E70" s="40">
        <v>0.8888888888888888</v>
      </c>
      <c r="F70" s="44" t="s">
        <v>3283</v>
      </c>
      <c r="G70" s="43">
        <v>2.0</v>
      </c>
      <c r="H70" s="42"/>
      <c r="I70" s="42"/>
      <c r="J70" s="14"/>
      <c r="K70" s="43"/>
    </row>
    <row r="71" ht="68.25" customHeight="1">
      <c r="A71" s="1">
        <v>70.0</v>
      </c>
      <c r="B71" s="2" t="s">
        <v>67</v>
      </c>
      <c r="C71" s="2"/>
      <c r="D71" s="13"/>
      <c r="E71" s="51">
        <v>0.7847222222222222</v>
      </c>
      <c r="F71" s="44" t="s">
        <v>3284</v>
      </c>
      <c r="G71" s="43">
        <v>1.0</v>
      </c>
      <c r="H71" s="42"/>
      <c r="I71" s="43">
        <v>1.0</v>
      </c>
      <c r="J71" s="14"/>
      <c r="K71" s="43"/>
    </row>
    <row r="72" ht="68.25" hidden="1" customHeight="1">
      <c r="A72" s="1">
        <v>71.0</v>
      </c>
      <c r="B72" s="2" t="s">
        <v>35</v>
      </c>
      <c r="C72" s="2" t="s">
        <v>13</v>
      </c>
      <c r="D72" s="13"/>
      <c r="E72" s="13"/>
      <c r="F72" s="45"/>
      <c r="G72" s="42"/>
      <c r="H72" s="42"/>
      <c r="I72" s="42"/>
      <c r="J72" s="14"/>
      <c r="K72" s="43"/>
    </row>
    <row r="73" ht="68.25" customHeight="1">
      <c r="A73" s="1">
        <v>72.0</v>
      </c>
      <c r="B73" s="2" t="s">
        <v>36</v>
      </c>
      <c r="C73" s="2" t="s">
        <v>39</v>
      </c>
      <c r="D73" s="13"/>
      <c r="E73" s="13"/>
      <c r="F73" s="44" t="s">
        <v>2691</v>
      </c>
      <c r="G73" s="43">
        <v>1.0</v>
      </c>
      <c r="H73" s="42"/>
      <c r="I73" s="43">
        <v>1.0</v>
      </c>
      <c r="J73" s="14"/>
      <c r="K73" s="43"/>
    </row>
    <row r="74" ht="68.25" customHeight="1">
      <c r="A74" s="1">
        <v>73.0</v>
      </c>
      <c r="B74" s="2" t="s">
        <v>38</v>
      </c>
      <c r="C74" s="2" t="s">
        <v>69</v>
      </c>
      <c r="D74" s="13"/>
      <c r="E74" s="40">
        <v>0.8263888888888888</v>
      </c>
      <c r="F74" s="44" t="s">
        <v>2741</v>
      </c>
      <c r="G74" s="43">
        <v>1.0</v>
      </c>
      <c r="H74" s="42"/>
      <c r="I74" s="43">
        <v>1.0</v>
      </c>
      <c r="J74" s="14"/>
      <c r="K74" s="43"/>
    </row>
    <row r="75" ht="68.25" hidden="1" customHeight="1">
      <c r="A75" s="1">
        <v>74.0</v>
      </c>
      <c r="B75" s="2" t="s">
        <v>41</v>
      </c>
      <c r="C75" s="2" t="s">
        <v>13</v>
      </c>
      <c r="D75" s="13"/>
      <c r="E75" s="13"/>
      <c r="F75" s="45"/>
      <c r="G75" s="42"/>
      <c r="H75" s="42"/>
      <c r="I75" s="42"/>
      <c r="J75" s="14"/>
      <c r="K75" s="43"/>
    </row>
    <row r="76" ht="68.25" customHeight="1">
      <c r="A76" s="1">
        <v>75.0</v>
      </c>
      <c r="B76" s="2" t="s">
        <v>42</v>
      </c>
      <c r="C76" s="2"/>
      <c r="D76" s="13"/>
      <c r="E76" s="13"/>
      <c r="F76" s="44" t="s">
        <v>3285</v>
      </c>
      <c r="G76" s="43">
        <v>2.0</v>
      </c>
      <c r="H76" s="43"/>
      <c r="I76" s="42"/>
      <c r="J76" s="14"/>
      <c r="K76" s="43"/>
    </row>
    <row r="77" ht="68.25" customHeight="1">
      <c r="A77" s="1">
        <v>76.0</v>
      </c>
      <c r="B77" s="2" t="s">
        <v>43</v>
      </c>
      <c r="C77" s="2"/>
      <c r="D77" s="53">
        <v>0.25</v>
      </c>
      <c r="E77" s="13"/>
      <c r="F77" s="44" t="s">
        <v>3286</v>
      </c>
      <c r="G77" s="43">
        <v>1.0</v>
      </c>
      <c r="H77" s="43">
        <v>1.0</v>
      </c>
      <c r="I77" s="42"/>
      <c r="J77" s="14"/>
      <c r="K77" s="43"/>
    </row>
    <row r="78" ht="68.25" customHeight="1">
      <c r="A78" s="1">
        <v>77.0</v>
      </c>
      <c r="B78" s="2" t="s">
        <v>45</v>
      </c>
      <c r="C78" s="2" t="s">
        <v>54</v>
      </c>
      <c r="D78" s="13"/>
      <c r="E78" s="13"/>
      <c r="F78" s="44" t="s">
        <v>3287</v>
      </c>
      <c r="G78" s="43">
        <v>1.0</v>
      </c>
      <c r="H78" s="42"/>
      <c r="I78" s="42"/>
      <c r="J78" s="14"/>
      <c r="K78" s="43"/>
    </row>
    <row r="79" ht="68.25" customHeight="1">
      <c r="A79" s="1">
        <v>78.0</v>
      </c>
      <c r="B79" s="2" t="s">
        <v>46</v>
      </c>
      <c r="C79" s="2" t="s">
        <v>27</v>
      </c>
      <c r="D79" s="13"/>
      <c r="E79" s="13"/>
      <c r="F79" s="45"/>
      <c r="G79" s="42"/>
      <c r="H79" s="42"/>
      <c r="I79" s="42"/>
      <c r="J79" s="14"/>
      <c r="K79" s="43"/>
    </row>
    <row r="80" ht="68.25" hidden="1" customHeight="1">
      <c r="A80" s="1">
        <v>79.0</v>
      </c>
      <c r="B80" s="2" t="s">
        <v>47</v>
      </c>
      <c r="C80" s="2" t="s">
        <v>13</v>
      </c>
      <c r="D80" s="13"/>
      <c r="E80" s="13"/>
      <c r="F80" s="45"/>
      <c r="G80" s="42"/>
      <c r="H80" s="42"/>
      <c r="I80" s="42"/>
      <c r="J80" s="14"/>
      <c r="K80" s="43"/>
    </row>
    <row r="81" ht="68.25" customHeight="1">
      <c r="A81" s="1">
        <v>80.0</v>
      </c>
      <c r="B81" s="2" t="s">
        <v>48</v>
      </c>
      <c r="C81" s="2" t="s">
        <v>54</v>
      </c>
      <c r="D81" s="53">
        <v>0.2916666666666667</v>
      </c>
      <c r="E81" s="13"/>
      <c r="F81" s="44" t="s">
        <v>3288</v>
      </c>
      <c r="G81" s="43">
        <v>1.0</v>
      </c>
      <c r="H81" s="43"/>
      <c r="I81" s="43">
        <v>1.0</v>
      </c>
      <c r="J81" s="14"/>
      <c r="K81" s="43"/>
    </row>
    <row r="82" ht="68.25" customHeight="1">
      <c r="A82" s="1">
        <v>81.0</v>
      </c>
      <c r="B82" s="21"/>
      <c r="C82" s="21"/>
      <c r="D82" s="21"/>
      <c r="E82" s="21"/>
      <c r="F82" s="46"/>
      <c r="G82" s="47"/>
      <c r="H82" s="47"/>
      <c r="I82" s="47"/>
      <c r="J82" s="48"/>
      <c r="K82" s="47"/>
      <c r="L82" s="49"/>
      <c r="M82" s="49"/>
      <c r="N82" s="49"/>
    </row>
    <row r="83" ht="68.25" customHeight="1">
      <c r="A83" s="1">
        <v>82.0</v>
      </c>
      <c r="B83" s="2" t="s">
        <v>12</v>
      </c>
      <c r="C83" s="2" t="s">
        <v>62</v>
      </c>
      <c r="D83" s="13"/>
      <c r="E83" s="13"/>
      <c r="F83" s="44" t="s">
        <v>2011</v>
      </c>
      <c r="G83" s="42"/>
      <c r="H83" s="42"/>
      <c r="I83" s="42"/>
      <c r="J83" s="14" t="s">
        <v>3250</v>
      </c>
      <c r="K83" s="43"/>
      <c r="L83" s="15" t="s">
        <v>94</v>
      </c>
    </row>
    <row r="84" ht="68.25" customHeight="1">
      <c r="A84" s="1">
        <v>83.0</v>
      </c>
      <c r="B84" s="2" t="s">
        <v>16</v>
      </c>
      <c r="C84" s="2" t="s">
        <v>54</v>
      </c>
      <c r="D84" s="13"/>
      <c r="E84" s="13"/>
      <c r="F84" s="44" t="s">
        <v>3278</v>
      </c>
      <c r="G84" s="43">
        <v>1.0</v>
      </c>
      <c r="H84" s="43">
        <v>1.0</v>
      </c>
      <c r="I84" s="42"/>
      <c r="J84" s="14" t="s">
        <v>94</v>
      </c>
      <c r="K84" s="43"/>
    </row>
    <row r="85" ht="68.25" customHeight="1">
      <c r="A85" s="1">
        <v>84.0</v>
      </c>
      <c r="B85" s="2" t="s">
        <v>116</v>
      </c>
      <c r="C85" s="2"/>
      <c r="D85" s="13"/>
      <c r="E85" s="13"/>
      <c r="F85" s="44" t="s">
        <v>3289</v>
      </c>
      <c r="G85" s="43">
        <v>1.0</v>
      </c>
      <c r="H85" s="42"/>
      <c r="I85" s="42"/>
      <c r="J85" s="14" t="s">
        <v>111</v>
      </c>
      <c r="K85" s="43"/>
    </row>
    <row r="86" ht="68.25" customHeight="1">
      <c r="A86" s="1">
        <v>85.0</v>
      </c>
      <c r="B86" s="2" t="s">
        <v>17</v>
      </c>
      <c r="C86" s="2"/>
      <c r="D86" s="13"/>
      <c r="E86" s="51">
        <v>0.9652777777777778</v>
      </c>
      <c r="F86" s="44" t="s">
        <v>3290</v>
      </c>
      <c r="G86" s="43">
        <v>1.0</v>
      </c>
      <c r="H86" s="43">
        <v>1.0</v>
      </c>
      <c r="I86" s="42"/>
      <c r="J86" s="14"/>
      <c r="K86" s="43"/>
    </row>
    <row r="87" ht="68.25" hidden="1" customHeight="1">
      <c r="A87" s="1">
        <v>86.0</v>
      </c>
      <c r="B87" s="2" t="s">
        <v>331</v>
      </c>
      <c r="C87" s="2" t="s">
        <v>58</v>
      </c>
      <c r="D87" s="13"/>
      <c r="E87" s="13"/>
      <c r="F87" s="45"/>
      <c r="G87" s="42"/>
      <c r="H87" s="42"/>
      <c r="I87" s="42"/>
      <c r="J87" s="14"/>
      <c r="K87" s="43"/>
    </row>
    <row r="88" ht="68.25" customHeight="1">
      <c r="A88" s="1">
        <v>87.0</v>
      </c>
      <c r="B88" s="2" t="s">
        <v>21</v>
      </c>
      <c r="C88" s="2" t="s">
        <v>63</v>
      </c>
      <c r="D88" s="13"/>
      <c r="E88" s="13"/>
      <c r="F88" s="45"/>
      <c r="G88" s="42"/>
      <c r="H88" s="42"/>
      <c r="I88" s="42"/>
      <c r="J88" s="14"/>
      <c r="K88" s="43"/>
    </row>
    <row r="89" ht="68.25" customHeight="1">
      <c r="A89" s="1">
        <v>88.0</v>
      </c>
      <c r="B89" s="2" t="s">
        <v>22</v>
      </c>
      <c r="C89" s="2" t="s">
        <v>69</v>
      </c>
      <c r="D89" s="13"/>
      <c r="E89" s="40">
        <v>0.8194444444444444</v>
      </c>
      <c r="F89" s="44" t="s">
        <v>3291</v>
      </c>
      <c r="G89" s="43">
        <v>1.0</v>
      </c>
      <c r="H89" s="42"/>
      <c r="I89" s="43">
        <v>1.0</v>
      </c>
      <c r="J89" s="14"/>
      <c r="K89" s="43"/>
    </row>
    <row r="90" ht="39.75" customHeight="1">
      <c r="A90" s="1">
        <v>89.0</v>
      </c>
      <c r="B90" s="2" t="s">
        <v>23</v>
      </c>
      <c r="C90" s="13"/>
      <c r="D90" s="59">
        <v>0.38125</v>
      </c>
      <c r="E90" s="13"/>
      <c r="F90" s="44" t="s">
        <v>3292</v>
      </c>
      <c r="G90" s="43">
        <v>1.0</v>
      </c>
      <c r="H90" s="42"/>
      <c r="I90" s="43">
        <v>1.0</v>
      </c>
      <c r="J90" s="14"/>
      <c r="K90" s="43"/>
    </row>
    <row r="91" ht="39.75" customHeight="1">
      <c r="A91" s="1">
        <v>90.0</v>
      </c>
      <c r="B91" s="2" t="s">
        <v>24</v>
      </c>
      <c r="C91" s="2"/>
      <c r="D91" s="13"/>
      <c r="E91" s="13"/>
      <c r="F91" s="44" t="s">
        <v>3293</v>
      </c>
      <c r="G91" s="43">
        <v>1.0</v>
      </c>
      <c r="H91" s="42"/>
      <c r="I91" s="42"/>
      <c r="J91" s="14"/>
      <c r="K91" s="43"/>
    </row>
    <row r="92" ht="39.75" hidden="1" customHeight="1">
      <c r="A92" s="1">
        <v>91.0</v>
      </c>
      <c r="B92" s="2" t="s">
        <v>25</v>
      </c>
      <c r="C92" s="2" t="s">
        <v>58</v>
      </c>
      <c r="D92" s="13"/>
      <c r="E92" s="13"/>
      <c r="F92" s="45"/>
      <c r="G92" s="42"/>
      <c r="H92" s="42"/>
      <c r="I92" s="42"/>
      <c r="J92" s="14"/>
      <c r="K92" s="43"/>
    </row>
    <row r="93" ht="39.75" hidden="1" customHeight="1">
      <c r="A93" s="1">
        <v>92.0</v>
      </c>
      <c r="B93" s="2" t="s">
        <v>26</v>
      </c>
      <c r="C93" s="2" t="s">
        <v>66</v>
      </c>
      <c r="D93" s="13"/>
      <c r="E93" s="13"/>
      <c r="F93" s="45"/>
      <c r="G93" s="42"/>
      <c r="H93" s="42"/>
      <c r="I93" s="42"/>
      <c r="J93" s="14"/>
      <c r="K93" s="43"/>
    </row>
    <row r="94" ht="39.75" customHeight="1">
      <c r="A94" s="1">
        <v>93.0</v>
      </c>
      <c r="B94" s="2" t="s">
        <v>29</v>
      </c>
      <c r="C94" s="2" t="s">
        <v>39</v>
      </c>
      <c r="D94" s="13"/>
      <c r="E94" s="13"/>
      <c r="F94" s="44" t="s">
        <v>3294</v>
      </c>
      <c r="G94" s="43">
        <v>1.0</v>
      </c>
      <c r="H94" s="42"/>
      <c r="I94" s="43">
        <v>1.0</v>
      </c>
      <c r="J94" s="14"/>
      <c r="K94" s="43"/>
    </row>
    <row r="95" ht="39.75" customHeight="1">
      <c r="A95" s="1">
        <v>94.0</v>
      </c>
      <c r="B95" s="2" t="s">
        <v>30</v>
      </c>
      <c r="C95" s="2" t="s">
        <v>64</v>
      </c>
      <c r="D95" s="13"/>
      <c r="E95" s="13"/>
      <c r="F95" s="44" t="s">
        <v>3295</v>
      </c>
      <c r="G95" s="43">
        <v>1.0</v>
      </c>
      <c r="H95" s="42"/>
      <c r="I95" s="43">
        <v>1.0</v>
      </c>
      <c r="J95" s="14"/>
      <c r="K95" s="43"/>
    </row>
    <row r="96" ht="39.75" hidden="1" customHeight="1">
      <c r="A96" s="1">
        <v>95.0</v>
      </c>
      <c r="B96" s="2" t="s">
        <v>31</v>
      </c>
      <c r="C96" s="2" t="s">
        <v>58</v>
      </c>
      <c r="D96" s="13"/>
      <c r="E96" s="13"/>
      <c r="F96" s="45"/>
      <c r="G96" s="42"/>
      <c r="H96" s="42"/>
      <c r="I96" s="42"/>
      <c r="J96" s="14"/>
      <c r="K96" s="43"/>
    </row>
    <row r="97" ht="39.75" customHeight="1">
      <c r="A97" s="1">
        <v>96.0</v>
      </c>
      <c r="B97" s="2" t="s">
        <v>32</v>
      </c>
      <c r="C97" s="2" t="s">
        <v>69</v>
      </c>
      <c r="D97" s="13"/>
      <c r="E97" s="13"/>
      <c r="F97" s="45"/>
      <c r="G97" s="42"/>
      <c r="H97" s="42"/>
      <c r="I97" s="42"/>
      <c r="J97" s="14"/>
      <c r="K97" s="43"/>
    </row>
    <row r="98" ht="39.75" hidden="1" customHeight="1">
      <c r="A98" s="1">
        <v>97.0</v>
      </c>
      <c r="B98" s="2" t="s">
        <v>67</v>
      </c>
      <c r="C98" s="2" t="s">
        <v>58</v>
      </c>
      <c r="D98" s="13"/>
      <c r="E98" s="13"/>
      <c r="F98" s="45"/>
      <c r="G98" s="42"/>
      <c r="H98" s="42"/>
      <c r="I98" s="42"/>
      <c r="J98" s="14"/>
      <c r="K98" s="43"/>
    </row>
    <row r="99" ht="39.75" customHeight="1">
      <c r="A99" s="1">
        <v>98.0</v>
      </c>
      <c r="B99" s="2" t="s">
        <v>35</v>
      </c>
      <c r="C99" s="2" t="s">
        <v>39</v>
      </c>
      <c r="D99" s="53">
        <v>0.2708333333333333</v>
      </c>
      <c r="E99" s="13"/>
      <c r="F99" s="44" t="s">
        <v>3296</v>
      </c>
      <c r="G99" s="43">
        <v>1.0</v>
      </c>
      <c r="H99" s="42"/>
      <c r="I99" s="42"/>
      <c r="J99" s="14"/>
      <c r="K99" s="43"/>
    </row>
    <row r="100" ht="39.75" customHeight="1">
      <c r="A100" s="1">
        <v>99.0</v>
      </c>
      <c r="B100" s="2" t="s">
        <v>36</v>
      </c>
      <c r="C100" s="2" t="s">
        <v>69</v>
      </c>
      <c r="D100" s="13"/>
      <c r="E100" s="13"/>
      <c r="F100" s="44" t="s">
        <v>3297</v>
      </c>
      <c r="G100" s="43">
        <v>1.0</v>
      </c>
      <c r="H100" s="42"/>
      <c r="I100" s="42"/>
      <c r="J100" s="14"/>
      <c r="K100" s="43"/>
    </row>
    <row r="101" ht="39.75" customHeight="1">
      <c r="A101" s="1">
        <v>100.0</v>
      </c>
      <c r="B101" s="2" t="s">
        <v>38</v>
      </c>
      <c r="C101" s="2"/>
      <c r="D101" s="59">
        <v>0.39166666666666666</v>
      </c>
      <c r="E101" s="13"/>
      <c r="F101" s="44" t="s">
        <v>3298</v>
      </c>
      <c r="G101" s="43">
        <v>1.0</v>
      </c>
      <c r="H101" s="42"/>
      <c r="I101" s="42"/>
      <c r="J101" s="14"/>
      <c r="K101" s="43"/>
    </row>
    <row r="102" ht="39.75" hidden="1" customHeight="1">
      <c r="A102" s="1">
        <v>101.0</v>
      </c>
      <c r="B102" s="2" t="s">
        <v>41</v>
      </c>
      <c r="C102" s="2" t="s">
        <v>58</v>
      </c>
      <c r="D102" s="13"/>
      <c r="E102" s="13"/>
      <c r="F102" s="45"/>
      <c r="G102" s="42"/>
      <c r="H102" s="42"/>
      <c r="I102" s="42"/>
      <c r="J102" s="14"/>
      <c r="K102" s="43"/>
    </row>
    <row r="103" ht="39.75" customHeight="1">
      <c r="A103" s="1">
        <v>102.0</v>
      </c>
      <c r="B103" s="2" t="s">
        <v>42</v>
      </c>
      <c r="C103" s="2"/>
      <c r="D103" s="13"/>
      <c r="E103" s="13"/>
      <c r="F103" s="44" t="s">
        <v>3299</v>
      </c>
      <c r="G103" s="43">
        <v>1.0</v>
      </c>
      <c r="H103" s="42"/>
      <c r="I103" s="42"/>
      <c r="J103" s="14"/>
      <c r="K103" s="43"/>
    </row>
    <row r="104" ht="39.75" customHeight="1">
      <c r="A104" s="1">
        <v>103.0</v>
      </c>
      <c r="B104" s="2" t="s">
        <v>43</v>
      </c>
      <c r="C104" s="2" t="s">
        <v>54</v>
      </c>
      <c r="D104" s="13"/>
      <c r="E104" s="13"/>
      <c r="F104" s="44" t="s">
        <v>3300</v>
      </c>
      <c r="G104" s="43">
        <v>1.0</v>
      </c>
      <c r="H104" s="43">
        <v>1.0</v>
      </c>
      <c r="I104" s="42"/>
      <c r="J104" s="14"/>
      <c r="K104" s="43"/>
    </row>
    <row r="105" ht="39.75" customHeight="1">
      <c r="A105" s="1">
        <v>104.0</v>
      </c>
      <c r="B105" s="2" t="s">
        <v>45</v>
      </c>
      <c r="C105" s="2" t="s">
        <v>54</v>
      </c>
      <c r="D105" s="13"/>
      <c r="E105" s="13"/>
      <c r="F105" s="44" t="s">
        <v>3301</v>
      </c>
      <c r="G105" s="43">
        <v>1.0</v>
      </c>
      <c r="H105" s="43">
        <v>1.0</v>
      </c>
      <c r="I105" s="42"/>
      <c r="J105" s="14"/>
      <c r="K105" s="43"/>
    </row>
    <row r="106" ht="39.75" customHeight="1">
      <c r="A106" s="1">
        <v>105.0</v>
      </c>
      <c r="B106" s="2" t="s">
        <v>46</v>
      </c>
      <c r="C106" s="2" t="s">
        <v>44</v>
      </c>
      <c r="D106" s="13"/>
      <c r="E106" s="13"/>
      <c r="F106" s="45"/>
      <c r="G106" s="42"/>
      <c r="H106" s="42"/>
      <c r="I106" s="42"/>
      <c r="J106" s="14"/>
      <c r="K106" s="43"/>
    </row>
    <row r="107" ht="39.75" customHeight="1">
      <c r="A107" s="1">
        <v>106.0</v>
      </c>
      <c r="B107" s="2" t="s">
        <v>47</v>
      </c>
      <c r="C107" s="2" t="s">
        <v>27</v>
      </c>
      <c r="D107" s="13"/>
      <c r="E107" s="13"/>
      <c r="F107" s="45"/>
      <c r="G107" s="42"/>
      <c r="H107" s="42"/>
      <c r="I107" s="42"/>
      <c r="J107" s="14"/>
      <c r="K107" s="43"/>
    </row>
    <row r="108" ht="39.75" customHeight="1">
      <c r="A108" s="1">
        <v>107.0</v>
      </c>
      <c r="B108" s="2" t="s">
        <v>48</v>
      </c>
      <c r="C108" s="2" t="s">
        <v>54</v>
      </c>
      <c r="D108" s="13"/>
      <c r="E108" s="13"/>
      <c r="F108" s="44" t="s">
        <v>3302</v>
      </c>
      <c r="G108" s="43">
        <v>1.0</v>
      </c>
      <c r="H108" s="42"/>
      <c r="I108" s="42"/>
      <c r="J108" s="14"/>
      <c r="K108" s="43"/>
    </row>
    <row r="109" ht="39.75" customHeight="1">
      <c r="A109" s="1">
        <v>108.0</v>
      </c>
      <c r="B109" s="21"/>
      <c r="C109" s="21"/>
      <c r="D109" s="21"/>
      <c r="E109" s="21"/>
      <c r="F109" s="46"/>
      <c r="G109" s="47"/>
      <c r="H109" s="47"/>
      <c r="I109" s="47"/>
      <c r="J109" s="54"/>
      <c r="K109" s="72"/>
      <c r="L109" s="49"/>
      <c r="M109" s="49"/>
      <c r="N109" s="49"/>
    </row>
    <row r="110" ht="39.75" customHeight="1">
      <c r="A110" s="1">
        <v>109.0</v>
      </c>
      <c r="B110" s="2" t="s">
        <v>12</v>
      </c>
      <c r="C110" s="2" t="s">
        <v>62</v>
      </c>
      <c r="D110" s="13"/>
      <c r="E110" s="13"/>
      <c r="F110" s="45"/>
      <c r="G110" s="42"/>
      <c r="H110" s="42"/>
      <c r="I110" s="42"/>
      <c r="J110" s="27" t="s">
        <v>3250</v>
      </c>
      <c r="K110" s="43"/>
      <c r="L110" s="15" t="s">
        <v>109</v>
      </c>
    </row>
    <row r="111" ht="39.75" customHeight="1">
      <c r="A111" s="1">
        <v>110.0</v>
      </c>
      <c r="B111" s="2" t="s">
        <v>16</v>
      </c>
      <c r="C111" s="2" t="s">
        <v>54</v>
      </c>
      <c r="D111" s="13"/>
      <c r="E111" s="13"/>
      <c r="F111" s="44" t="s">
        <v>3303</v>
      </c>
      <c r="G111" s="43">
        <v>1.0</v>
      </c>
      <c r="H111" s="42"/>
      <c r="I111" s="42"/>
      <c r="J111" s="27" t="s">
        <v>109</v>
      </c>
      <c r="K111" s="43"/>
    </row>
    <row r="112" ht="39.75" customHeight="1">
      <c r="A112" s="1">
        <v>111.0</v>
      </c>
      <c r="B112" s="2" t="s">
        <v>116</v>
      </c>
      <c r="C112" s="2" t="s">
        <v>39</v>
      </c>
      <c r="D112" s="13"/>
      <c r="E112" s="13"/>
      <c r="F112" s="44" t="s">
        <v>2691</v>
      </c>
      <c r="G112" s="43">
        <v>1.0</v>
      </c>
      <c r="H112" s="42"/>
      <c r="I112" s="43">
        <v>1.0</v>
      </c>
      <c r="J112" s="27" t="s">
        <v>131</v>
      </c>
      <c r="K112" s="43"/>
    </row>
    <row r="113" ht="39.75" customHeight="1">
      <c r="A113" s="1">
        <v>112.0</v>
      </c>
      <c r="B113" s="2" t="s">
        <v>17</v>
      </c>
      <c r="C113" s="2"/>
      <c r="D113" s="13"/>
      <c r="E113" s="13"/>
      <c r="F113" s="44" t="s">
        <v>3304</v>
      </c>
      <c r="G113" s="43">
        <v>1.0</v>
      </c>
      <c r="H113" s="42"/>
      <c r="I113" s="42"/>
      <c r="J113" s="22"/>
      <c r="K113" s="42"/>
    </row>
    <row r="114" ht="39.75" customHeight="1">
      <c r="A114" s="1">
        <v>113.0</v>
      </c>
      <c r="B114" s="2" t="s">
        <v>331</v>
      </c>
      <c r="C114" s="2" t="s">
        <v>542</v>
      </c>
      <c r="D114" s="13"/>
      <c r="E114" s="13"/>
      <c r="F114" s="44" t="s">
        <v>3305</v>
      </c>
      <c r="G114" s="43">
        <v>1.0</v>
      </c>
      <c r="H114" s="42"/>
      <c r="I114" s="42"/>
      <c r="J114" s="22"/>
      <c r="K114" s="42"/>
    </row>
    <row r="115" ht="39.75" customHeight="1">
      <c r="A115" s="1">
        <v>114.0</v>
      </c>
      <c r="B115" s="2" t="s">
        <v>21</v>
      </c>
      <c r="C115" s="2" t="s">
        <v>63</v>
      </c>
      <c r="D115" s="13"/>
      <c r="E115" s="13"/>
      <c r="F115" s="45"/>
      <c r="G115" s="42"/>
      <c r="H115" s="42"/>
      <c r="I115" s="42"/>
      <c r="J115" s="22"/>
      <c r="K115" s="42"/>
    </row>
    <row r="116" ht="39.75" customHeight="1">
      <c r="A116" s="1">
        <v>115.0</v>
      </c>
      <c r="B116" s="2" t="s">
        <v>22</v>
      </c>
      <c r="C116" s="2"/>
      <c r="D116" s="13"/>
      <c r="E116" s="13"/>
      <c r="F116" s="44" t="s">
        <v>3306</v>
      </c>
      <c r="G116" s="43">
        <v>1.0</v>
      </c>
      <c r="H116" s="42"/>
      <c r="I116" s="43">
        <v>1.0</v>
      </c>
      <c r="J116" s="22"/>
      <c r="K116" s="42"/>
    </row>
    <row r="117" ht="39.75" customHeight="1">
      <c r="A117" s="1">
        <v>116.0</v>
      </c>
      <c r="B117" s="2" t="s">
        <v>23</v>
      </c>
      <c r="C117" s="2" t="s">
        <v>69</v>
      </c>
      <c r="D117" s="13"/>
      <c r="E117" s="13"/>
      <c r="F117" s="44" t="s">
        <v>3307</v>
      </c>
      <c r="G117" s="43">
        <v>1.0</v>
      </c>
      <c r="H117" s="42"/>
      <c r="I117" s="42"/>
      <c r="J117" s="22"/>
      <c r="K117" s="42"/>
    </row>
    <row r="118" ht="39.75" hidden="1" customHeight="1">
      <c r="A118" s="1">
        <v>117.0</v>
      </c>
      <c r="B118" s="2" t="s">
        <v>24</v>
      </c>
      <c r="C118" s="2" t="s">
        <v>58</v>
      </c>
      <c r="D118" s="13"/>
      <c r="E118" s="13"/>
      <c r="F118" s="45"/>
      <c r="G118" s="42"/>
      <c r="H118" s="42"/>
      <c r="I118" s="42"/>
      <c r="J118" s="22"/>
      <c r="K118" s="42"/>
    </row>
    <row r="119" ht="39.75" hidden="1" customHeight="1">
      <c r="A119" s="1">
        <v>118.0</v>
      </c>
      <c r="B119" s="2" t="s">
        <v>25</v>
      </c>
      <c r="C119" s="2" t="s">
        <v>66</v>
      </c>
      <c r="D119" s="13"/>
      <c r="E119" s="13"/>
      <c r="F119" s="45"/>
      <c r="G119" s="42"/>
      <c r="H119" s="42"/>
      <c r="I119" s="42"/>
      <c r="J119" s="22"/>
      <c r="K119" s="42"/>
    </row>
    <row r="120" ht="39.75" customHeight="1">
      <c r="A120" s="1">
        <v>119.0</v>
      </c>
      <c r="B120" s="2" t="s">
        <v>26</v>
      </c>
      <c r="C120" s="2" t="s">
        <v>39</v>
      </c>
      <c r="D120" s="13"/>
      <c r="E120" s="13"/>
      <c r="F120" s="44" t="s">
        <v>3308</v>
      </c>
      <c r="G120" s="43">
        <v>2.0</v>
      </c>
      <c r="H120" s="42"/>
      <c r="I120" s="42"/>
      <c r="J120" s="22"/>
      <c r="K120" s="42"/>
    </row>
    <row r="121" ht="39.75" customHeight="1">
      <c r="A121" s="1">
        <v>120.0</v>
      </c>
      <c r="B121" s="2" t="s">
        <v>29</v>
      </c>
      <c r="C121" s="2"/>
      <c r="D121" s="13"/>
      <c r="E121" s="13"/>
      <c r="F121" s="44" t="s">
        <v>3309</v>
      </c>
      <c r="G121" s="43">
        <v>2.0</v>
      </c>
      <c r="H121" s="42"/>
      <c r="I121" s="42"/>
      <c r="J121" s="22"/>
      <c r="K121" s="42"/>
    </row>
    <row r="122" ht="39.75" customHeight="1">
      <c r="A122" s="1">
        <v>121.0</v>
      </c>
      <c r="B122" s="2" t="s">
        <v>30</v>
      </c>
      <c r="C122" s="2" t="s">
        <v>64</v>
      </c>
      <c r="D122" s="13"/>
      <c r="E122" s="13"/>
      <c r="F122" s="44" t="s">
        <v>2592</v>
      </c>
      <c r="G122" s="43">
        <v>1.0</v>
      </c>
      <c r="H122" s="42"/>
      <c r="I122" s="43">
        <v>1.0</v>
      </c>
      <c r="J122" s="22"/>
      <c r="K122" s="42"/>
    </row>
    <row r="123" ht="39.75" hidden="1" customHeight="1">
      <c r="A123" s="1">
        <v>122.0</v>
      </c>
      <c r="B123" s="2" t="s">
        <v>31</v>
      </c>
      <c r="C123" s="2" t="s">
        <v>58</v>
      </c>
      <c r="D123" s="13"/>
      <c r="E123" s="13"/>
      <c r="F123" s="45"/>
      <c r="G123" s="42"/>
      <c r="H123" s="42"/>
      <c r="I123" s="42"/>
      <c r="J123" s="22"/>
      <c r="K123" s="42"/>
    </row>
    <row r="124" ht="39.75" hidden="1" customHeight="1">
      <c r="A124" s="1">
        <v>123.0</v>
      </c>
      <c r="B124" s="2" t="s">
        <v>32</v>
      </c>
      <c r="C124" s="2" t="s">
        <v>66</v>
      </c>
      <c r="D124" s="13"/>
      <c r="E124" s="13"/>
      <c r="F124" s="45"/>
      <c r="G124" s="42"/>
      <c r="H124" s="42"/>
      <c r="I124" s="42"/>
      <c r="J124" s="22"/>
      <c r="K124" s="42"/>
    </row>
    <row r="125" ht="39.75" customHeight="1">
      <c r="A125" s="1">
        <v>124.0</v>
      </c>
      <c r="B125" s="2" t="s">
        <v>67</v>
      </c>
      <c r="C125" s="2" t="s">
        <v>69</v>
      </c>
      <c r="D125" s="13"/>
      <c r="E125" s="13"/>
      <c r="F125" s="44" t="s">
        <v>2741</v>
      </c>
      <c r="G125" s="43">
        <v>1.0</v>
      </c>
      <c r="H125" s="42"/>
      <c r="I125" s="43">
        <v>1.0</v>
      </c>
      <c r="J125" s="22"/>
      <c r="K125" s="42"/>
    </row>
    <row r="126" ht="39.75" customHeight="1">
      <c r="A126" s="1">
        <v>125.0</v>
      </c>
      <c r="B126" s="2" t="s">
        <v>35</v>
      </c>
      <c r="C126" s="2" t="s">
        <v>27</v>
      </c>
      <c r="D126" s="13"/>
      <c r="E126" s="13"/>
      <c r="F126" s="44" t="s">
        <v>3310</v>
      </c>
      <c r="G126" s="43">
        <v>2.0</v>
      </c>
      <c r="H126" s="42"/>
      <c r="I126" s="42"/>
      <c r="J126" s="22"/>
      <c r="K126" s="42"/>
    </row>
    <row r="127" ht="39.75" hidden="1" customHeight="1">
      <c r="A127" s="1">
        <v>126.0</v>
      </c>
      <c r="B127" s="2" t="s">
        <v>36</v>
      </c>
      <c r="C127" s="2" t="s">
        <v>58</v>
      </c>
      <c r="D127" s="13"/>
      <c r="E127" s="13"/>
      <c r="F127" s="45"/>
      <c r="G127" s="42"/>
      <c r="H127" s="42"/>
      <c r="I127" s="42"/>
      <c r="J127" s="22"/>
      <c r="K127" s="42"/>
    </row>
    <row r="128" ht="39.75" customHeight="1">
      <c r="A128" s="1">
        <v>127.0</v>
      </c>
      <c r="B128" s="2" t="s">
        <v>38</v>
      </c>
      <c r="C128" s="2"/>
      <c r="D128" s="13"/>
      <c r="E128" s="13"/>
      <c r="F128" s="44" t="s">
        <v>1331</v>
      </c>
      <c r="G128" s="43">
        <v>1.0</v>
      </c>
      <c r="H128" s="42"/>
      <c r="I128" s="43">
        <v>1.0</v>
      </c>
      <c r="J128" s="22"/>
      <c r="K128" s="42"/>
    </row>
    <row r="129" ht="39.75" hidden="1" customHeight="1">
      <c r="A129" s="1">
        <v>128.0</v>
      </c>
      <c r="B129" s="2" t="s">
        <v>41</v>
      </c>
      <c r="C129" s="2" t="s">
        <v>58</v>
      </c>
      <c r="D129" s="13"/>
      <c r="E129" s="13"/>
      <c r="F129" s="45"/>
      <c r="G129" s="42"/>
      <c r="H129" s="42"/>
      <c r="I129" s="42"/>
      <c r="J129" s="22"/>
      <c r="K129" s="42"/>
    </row>
    <row r="130" ht="39.75" customHeight="1">
      <c r="A130" s="1">
        <v>129.0</v>
      </c>
      <c r="B130" s="2" t="s">
        <v>42</v>
      </c>
      <c r="C130" s="2"/>
      <c r="D130" s="13"/>
      <c r="E130" s="13"/>
      <c r="F130" s="44" t="s">
        <v>3311</v>
      </c>
      <c r="G130" s="43">
        <v>2.0</v>
      </c>
      <c r="H130" s="42"/>
      <c r="I130" s="43">
        <v>1.0</v>
      </c>
      <c r="J130" s="22"/>
      <c r="K130" s="42"/>
    </row>
    <row r="131" ht="39.75" customHeight="1">
      <c r="A131" s="1">
        <v>130.0</v>
      </c>
      <c r="B131" s="2" t="s">
        <v>43</v>
      </c>
      <c r="C131" s="2" t="s">
        <v>54</v>
      </c>
      <c r="D131" s="13"/>
      <c r="E131" s="13"/>
      <c r="F131" s="44" t="s">
        <v>3300</v>
      </c>
      <c r="G131" s="43">
        <v>1.0</v>
      </c>
      <c r="H131" s="43">
        <v>1.0</v>
      </c>
      <c r="I131" s="42"/>
      <c r="J131" s="22"/>
      <c r="K131" s="42"/>
    </row>
    <row r="132" ht="39.75" customHeight="1">
      <c r="A132" s="1">
        <v>131.0</v>
      </c>
      <c r="B132" s="2" t="s">
        <v>45</v>
      </c>
      <c r="C132" s="2" t="s">
        <v>54</v>
      </c>
      <c r="D132" s="13"/>
      <c r="E132" s="51">
        <v>0.8472222222222222</v>
      </c>
      <c r="F132" s="44" t="s">
        <v>3301</v>
      </c>
      <c r="G132" s="43">
        <v>1.0</v>
      </c>
      <c r="H132" s="42"/>
      <c r="I132" s="42"/>
      <c r="J132" s="22"/>
      <c r="K132" s="42"/>
    </row>
    <row r="133" ht="39.75" customHeight="1">
      <c r="A133" s="1">
        <v>132.0</v>
      </c>
      <c r="B133" s="2" t="s">
        <v>46</v>
      </c>
      <c r="C133" s="2" t="s">
        <v>69</v>
      </c>
      <c r="D133" s="13"/>
      <c r="E133" s="40">
        <v>0.8125</v>
      </c>
      <c r="F133" s="44" t="s">
        <v>3312</v>
      </c>
      <c r="G133" s="43">
        <v>1.0</v>
      </c>
      <c r="H133" s="42"/>
      <c r="I133" s="42"/>
      <c r="J133" s="22"/>
      <c r="K133" s="42"/>
    </row>
    <row r="134" ht="39.75" customHeight="1">
      <c r="A134" s="1">
        <v>133.0</v>
      </c>
      <c r="B134" s="2" t="s">
        <v>47</v>
      </c>
      <c r="C134" s="2" t="s">
        <v>44</v>
      </c>
      <c r="D134" s="13"/>
      <c r="E134" s="13"/>
      <c r="F134" s="45"/>
      <c r="G134" s="42"/>
      <c r="H134" s="42"/>
      <c r="I134" s="42"/>
      <c r="J134" s="22"/>
      <c r="K134" s="42"/>
    </row>
    <row r="135" ht="39.75" customHeight="1">
      <c r="A135" s="1">
        <v>134.0</v>
      </c>
      <c r="B135" s="2" t="s">
        <v>48</v>
      </c>
      <c r="C135" s="2" t="s">
        <v>54</v>
      </c>
      <c r="D135" s="13"/>
      <c r="E135" s="13"/>
      <c r="F135" s="44" t="s">
        <v>3313</v>
      </c>
      <c r="G135" s="43">
        <v>1.0</v>
      </c>
      <c r="H135" s="42"/>
      <c r="I135" s="43">
        <v>1.0</v>
      </c>
      <c r="J135" s="22"/>
      <c r="K135" s="42"/>
    </row>
    <row r="136" ht="39.75" customHeight="1">
      <c r="A136" s="1">
        <v>135.0</v>
      </c>
      <c r="B136" s="21"/>
      <c r="C136" s="21"/>
      <c r="D136" s="21"/>
      <c r="E136" s="21"/>
      <c r="F136" s="46"/>
      <c r="G136" s="47"/>
      <c r="H136" s="47"/>
      <c r="I136" s="47"/>
      <c r="J136" s="48"/>
      <c r="K136" s="47"/>
      <c r="L136" s="49"/>
      <c r="M136" s="49"/>
      <c r="N136" s="49"/>
    </row>
    <row r="137" ht="39.75" customHeight="1">
      <c r="A137" s="1">
        <v>136.0</v>
      </c>
      <c r="B137" s="2" t="s">
        <v>268</v>
      </c>
      <c r="C137" s="2" t="s">
        <v>63</v>
      </c>
      <c r="D137" s="13"/>
      <c r="E137" s="13"/>
      <c r="F137" s="44" t="s">
        <v>3314</v>
      </c>
      <c r="G137" s="42"/>
      <c r="H137" s="42"/>
      <c r="I137" s="42"/>
      <c r="J137" s="27" t="s">
        <v>3250</v>
      </c>
      <c r="K137" s="43"/>
      <c r="L137" s="15" t="s">
        <v>128</v>
      </c>
    </row>
    <row r="138" ht="39.75" hidden="1" customHeight="1">
      <c r="A138" s="1">
        <v>137.0</v>
      </c>
      <c r="B138" s="2" t="s">
        <v>16</v>
      </c>
      <c r="C138" s="2" t="s">
        <v>13</v>
      </c>
      <c r="D138" s="13"/>
      <c r="E138" s="13"/>
      <c r="F138" s="45"/>
      <c r="G138" s="42"/>
      <c r="H138" s="42"/>
      <c r="I138" s="42"/>
      <c r="J138" s="27" t="s">
        <v>128</v>
      </c>
      <c r="K138" s="43"/>
    </row>
    <row r="139" ht="39.75" customHeight="1">
      <c r="A139" s="1">
        <v>138.0</v>
      </c>
      <c r="B139" s="2" t="s">
        <v>116</v>
      </c>
      <c r="C139" s="2" t="s">
        <v>27</v>
      </c>
      <c r="D139" s="13"/>
      <c r="E139" s="13"/>
      <c r="F139" s="44" t="s">
        <v>3315</v>
      </c>
      <c r="G139" s="43">
        <v>1.0</v>
      </c>
      <c r="H139" s="42"/>
      <c r="I139" s="42"/>
      <c r="J139" s="27" t="s">
        <v>149</v>
      </c>
      <c r="K139" s="43"/>
    </row>
    <row r="140" ht="39.75" hidden="1" customHeight="1">
      <c r="A140" s="1">
        <v>139.0</v>
      </c>
      <c r="B140" s="2" t="s">
        <v>17</v>
      </c>
      <c r="C140" s="2" t="s">
        <v>13</v>
      </c>
      <c r="D140" s="13"/>
      <c r="E140" s="13"/>
      <c r="F140" s="44"/>
      <c r="G140" s="42"/>
      <c r="H140" s="42"/>
      <c r="I140" s="42"/>
      <c r="J140" s="27" t="s">
        <v>165</v>
      </c>
      <c r="K140" s="43"/>
    </row>
    <row r="141" ht="39.75" hidden="1" customHeight="1">
      <c r="A141" s="1">
        <v>140.0</v>
      </c>
      <c r="B141" s="2" t="s">
        <v>331</v>
      </c>
      <c r="C141" s="2" t="s">
        <v>13</v>
      </c>
      <c r="D141" s="13"/>
      <c r="E141" s="13"/>
      <c r="F141" s="45"/>
      <c r="G141" s="42"/>
      <c r="H141" s="42"/>
      <c r="I141" s="42"/>
      <c r="J141" s="27" t="s">
        <v>2637</v>
      </c>
      <c r="K141" s="43"/>
    </row>
    <row r="142" ht="39.75" hidden="1" customHeight="1">
      <c r="A142" s="1">
        <v>141.0</v>
      </c>
      <c r="B142" s="2" t="s">
        <v>21</v>
      </c>
      <c r="C142" s="2" t="s">
        <v>13</v>
      </c>
      <c r="D142" s="13"/>
      <c r="E142" s="13"/>
      <c r="F142" s="45"/>
      <c r="G142" s="42"/>
      <c r="H142" s="42"/>
      <c r="I142" s="42"/>
      <c r="J142" s="27" t="s">
        <v>2638</v>
      </c>
      <c r="K142" s="43"/>
    </row>
    <row r="143" ht="39.75" hidden="1" customHeight="1">
      <c r="A143" s="1">
        <v>142.0</v>
      </c>
      <c r="B143" s="2" t="s">
        <v>22</v>
      </c>
      <c r="C143" s="2" t="s">
        <v>13</v>
      </c>
      <c r="D143" s="13"/>
      <c r="E143" s="13"/>
      <c r="F143" s="45"/>
      <c r="G143" s="42"/>
      <c r="H143" s="42"/>
      <c r="I143" s="42"/>
      <c r="J143" s="22"/>
      <c r="K143" s="42"/>
    </row>
    <row r="144" ht="39.75" customHeight="1">
      <c r="A144" s="1">
        <v>143.0</v>
      </c>
      <c r="B144" s="2" t="s">
        <v>23</v>
      </c>
      <c r="C144" s="2" t="s">
        <v>39</v>
      </c>
      <c r="D144" s="13"/>
      <c r="E144" s="13"/>
      <c r="F144" s="44" t="s">
        <v>3316</v>
      </c>
      <c r="G144" s="43">
        <v>1.0</v>
      </c>
      <c r="H144" s="42"/>
      <c r="I144" s="43">
        <v>1.0</v>
      </c>
      <c r="J144" s="22"/>
      <c r="K144" s="42"/>
    </row>
    <row r="145" ht="39.75" hidden="1" customHeight="1">
      <c r="A145" s="1">
        <v>144.0</v>
      </c>
      <c r="B145" s="2" t="s">
        <v>24</v>
      </c>
      <c r="C145" s="2" t="s">
        <v>13</v>
      </c>
      <c r="D145" s="13"/>
      <c r="E145" s="13"/>
      <c r="F145" s="45"/>
      <c r="G145" s="42"/>
      <c r="H145" s="42"/>
      <c r="I145" s="42"/>
      <c r="J145" s="22"/>
      <c r="K145" s="42"/>
    </row>
    <row r="146" ht="39.75" customHeight="1">
      <c r="A146" s="1">
        <v>145.0</v>
      </c>
      <c r="B146" s="2" t="s">
        <v>25</v>
      </c>
      <c r="C146" s="2"/>
      <c r="D146" s="40">
        <v>0.375</v>
      </c>
      <c r="E146" s="13"/>
      <c r="F146" s="44" t="s">
        <v>3317</v>
      </c>
      <c r="G146" s="43">
        <v>1.0</v>
      </c>
      <c r="H146" s="42"/>
      <c r="I146" s="43">
        <v>1.0</v>
      </c>
      <c r="J146" s="22"/>
      <c r="K146" s="42"/>
    </row>
    <row r="147" ht="39.75" hidden="1" customHeight="1">
      <c r="A147" s="1">
        <v>146.0</v>
      </c>
      <c r="B147" s="2" t="s">
        <v>26</v>
      </c>
      <c r="C147" s="2" t="s">
        <v>13</v>
      </c>
      <c r="D147" s="13"/>
      <c r="E147" s="13"/>
      <c r="F147" s="45"/>
      <c r="G147" s="42"/>
      <c r="H147" s="42"/>
      <c r="I147" s="42"/>
      <c r="J147" s="22"/>
      <c r="K147" s="42"/>
    </row>
    <row r="148" ht="39.75" hidden="1" customHeight="1">
      <c r="A148" s="1">
        <v>147.0</v>
      </c>
      <c r="B148" s="2" t="s">
        <v>29</v>
      </c>
      <c r="C148" s="2" t="s">
        <v>13</v>
      </c>
      <c r="D148" s="13"/>
      <c r="E148" s="13"/>
      <c r="F148" s="45"/>
      <c r="G148" s="42"/>
      <c r="H148" s="42"/>
      <c r="I148" s="42"/>
      <c r="J148" s="22"/>
      <c r="K148" s="42"/>
    </row>
    <row r="149" ht="39.75" hidden="1" customHeight="1">
      <c r="A149" s="1">
        <v>148.0</v>
      </c>
      <c r="B149" s="2" t="s">
        <v>30</v>
      </c>
      <c r="C149" s="2" t="s">
        <v>13</v>
      </c>
      <c r="D149" s="13"/>
      <c r="E149" s="13"/>
      <c r="F149" s="45"/>
      <c r="G149" s="42"/>
      <c r="H149" s="42"/>
      <c r="I149" s="42"/>
      <c r="J149" s="22"/>
      <c r="K149" s="42"/>
    </row>
    <row r="150" ht="39.75" hidden="1" customHeight="1">
      <c r="A150" s="1">
        <v>149.0</v>
      </c>
      <c r="B150" s="2" t="s">
        <v>31</v>
      </c>
      <c r="C150" s="2" t="s">
        <v>13</v>
      </c>
      <c r="D150" s="13"/>
      <c r="E150" s="13"/>
      <c r="F150" s="45"/>
      <c r="G150" s="42"/>
      <c r="H150" s="42"/>
      <c r="I150" s="42"/>
      <c r="J150" s="22"/>
      <c r="K150" s="42"/>
    </row>
    <row r="151" ht="39.75" customHeight="1">
      <c r="A151" s="1">
        <v>150.0</v>
      </c>
      <c r="B151" s="2" t="s">
        <v>32</v>
      </c>
      <c r="C151" s="2"/>
      <c r="D151" s="13"/>
      <c r="E151" s="13"/>
      <c r="F151" s="44" t="s">
        <v>3318</v>
      </c>
      <c r="G151" s="43">
        <v>1.0</v>
      </c>
      <c r="H151" s="43">
        <v>1.0</v>
      </c>
      <c r="I151" s="42"/>
      <c r="J151" s="22"/>
      <c r="K151" s="42"/>
    </row>
    <row r="152" ht="39.75" customHeight="1">
      <c r="A152" s="1">
        <v>151.0</v>
      </c>
      <c r="B152" s="2" t="s">
        <v>67</v>
      </c>
      <c r="C152" s="2"/>
      <c r="D152" s="40">
        <v>0.375</v>
      </c>
      <c r="E152" s="13"/>
      <c r="F152" s="44" t="s">
        <v>3319</v>
      </c>
      <c r="G152" s="43">
        <v>1.0</v>
      </c>
      <c r="H152" s="42"/>
      <c r="I152" s="43">
        <v>1.0</v>
      </c>
      <c r="J152" s="22"/>
      <c r="K152" s="42"/>
    </row>
    <row r="153" ht="39.75" customHeight="1">
      <c r="A153" s="1">
        <v>152.0</v>
      </c>
      <c r="B153" s="2" t="s">
        <v>35</v>
      </c>
      <c r="C153" s="2" t="s">
        <v>44</v>
      </c>
      <c r="D153" s="13"/>
      <c r="E153" s="13"/>
      <c r="F153" s="45"/>
      <c r="G153" s="42"/>
      <c r="H153" s="42"/>
      <c r="I153" s="42"/>
      <c r="J153" s="22"/>
      <c r="K153" s="42"/>
    </row>
    <row r="154" ht="39.75" hidden="1" customHeight="1">
      <c r="A154" s="1">
        <v>153.0</v>
      </c>
      <c r="B154" s="2" t="s">
        <v>36</v>
      </c>
      <c r="C154" s="2" t="s">
        <v>13</v>
      </c>
      <c r="D154" s="13"/>
      <c r="E154" s="13"/>
      <c r="F154" s="45"/>
      <c r="G154" s="42"/>
      <c r="H154" s="42"/>
      <c r="I154" s="42"/>
      <c r="J154" s="22"/>
      <c r="K154" s="42"/>
    </row>
    <row r="155" ht="39.75" hidden="1" customHeight="1">
      <c r="A155" s="1">
        <v>154.0</v>
      </c>
      <c r="B155" s="2" t="s">
        <v>38</v>
      </c>
      <c r="C155" s="2" t="s">
        <v>13</v>
      </c>
      <c r="D155" s="13"/>
      <c r="E155" s="13"/>
      <c r="F155" s="45"/>
      <c r="G155" s="42"/>
      <c r="H155" s="42"/>
      <c r="I155" s="42"/>
      <c r="J155" s="22"/>
      <c r="K155" s="42"/>
    </row>
    <row r="156" ht="39.75" hidden="1" customHeight="1">
      <c r="A156" s="1">
        <v>155.0</v>
      </c>
      <c r="B156" s="2" t="s">
        <v>41</v>
      </c>
      <c r="C156" s="2" t="s">
        <v>13</v>
      </c>
      <c r="D156" s="13"/>
      <c r="E156" s="13"/>
      <c r="F156" s="45"/>
      <c r="G156" s="42"/>
      <c r="H156" s="42"/>
      <c r="I156" s="42"/>
      <c r="J156" s="22"/>
      <c r="K156" s="42"/>
    </row>
    <row r="157" ht="39.75" customHeight="1">
      <c r="A157" s="1">
        <v>156.0</v>
      </c>
      <c r="B157" s="2" t="s">
        <v>267</v>
      </c>
      <c r="C157" s="2" t="s">
        <v>272</v>
      </c>
      <c r="D157" s="13"/>
      <c r="E157" s="13"/>
      <c r="F157" s="44" t="s">
        <v>3320</v>
      </c>
      <c r="G157" s="43">
        <v>1.0</v>
      </c>
      <c r="H157" s="42"/>
      <c r="I157" s="43">
        <v>1.0</v>
      </c>
      <c r="J157" s="22"/>
      <c r="K157" s="42"/>
    </row>
    <row r="158" ht="39.75" customHeight="1">
      <c r="A158" s="1">
        <v>157.0</v>
      </c>
      <c r="B158" s="2" t="s">
        <v>43</v>
      </c>
      <c r="C158" s="2"/>
      <c r="D158" s="13"/>
      <c r="E158" s="13"/>
      <c r="F158" s="44" t="s">
        <v>3300</v>
      </c>
      <c r="G158" s="43">
        <v>1.0</v>
      </c>
      <c r="H158" s="43">
        <v>1.0</v>
      </c>
      <c r="I158" s="42"/>
      <c r="J158" s="22"/>
      <c r="K158" s="42"/>
    </row>
    <row r="159" ht="39.75" hidden="1" customHeight="1">
      <c r="A159" s="1">
        <v>158.0</v>
      </c>
      <c r="B159" s="2" t="s">
        <v>45</v>
      </c>
      <c r="C159" s="2" t="s">
        <v>13</v>
      </c>
      <c r="D159" s="13"/>
      <c r="E159" s="13"/>
      <c r="F159" s="45"/>
      <c r="G159" s="42"/>
      <c r="H159" s="42"/>
      <c r="I159" s="42"/>
      <c r="J159" s="22"/>
      <c r="K159" s="42"/>
    </row>
    <row r="160" ht="39.75" hidden="1" customHeight="1">
      <c r="A160" s="1">
        <v>159.0</v>
      </c>
      <c r="B160" s="2" t="s">
        <v>46</v>
      </c>
      <c r="C160" s="2" t="s">
        <v>13</v>
      </c>
      <c r="D160" s="13"/>
      <c r="E160" s="13"/>
      <c r="F160" s="45"/>
      <c r="G160" s="42"/>
      <c r="H160" s="42"/>
      <c r="I160" s="42"/>
      <c r="J160" s="22"/>
      <c r="K160" s="42"/>
    </row>
    <row r="161" ht="39.75" hidden="1" customHeight="1">
      <c r="A161" s="1">
        <v>160.0</v>
      </c>
      <c r="B161" s="2" t="s">
        <v>47</v>
      </c>
      <c r="C161" s="2" t="s">
        <v>13</v>
      </c>
      <c r="D161" s="13"/>
      <c r="E161" s="13"/>
      <c r="F161" s="45"/>
      <c r="G161" s="42"/>
      <c r="H161" s="42"/>
      <c r="I161" s="42"/>
      <c r="J161" s="22"/>
      <c r="K161" s="42"/>
    </row>
    <row r="162" ht="39.75" customHeight="1">
      <c r="A162" s="1">
        <v>161.0</v>
      </c>
      <c r="B162" s="2" t="s">
        <v>48</v>
      </c>
      <c r="C162" s="2" t="s">
        <v>49</v>
      </c>
      <c r="D162" s="13"/>
      <c r="E162" s="13"/>
      <c r="F162" s="44" t="s">
        <v>3321</v>
      </c>
      <c r="G162" s="43">
        <v>1.0</v>
      </c>
      <c r="H162" s="42"/>
      <c r="I162" s="43">
        <v>1.0</v>
      </c>
      <c r="J162" s="22"/>
      <c r="K162" s="42"/>
    </row>
    <row r="163" ht="39.75" customHeight="1">
      <c r="A163" s="1">
        <v>162.0</v>
      </c>
      <c r="B163" s="21"/>
      <c r="C163" s="21"/>
      <c r="D163" s="21"/>
      <c r="E163" s="21"/>
      <c r="F163" s="46"/>
      <c r="G163" s="47"/>
      <c r="H163" s="47"/>
      <c r="I163" s="47"/>
      <c r="J163" s="48"/>
      <c r="K163" s="47"/>
      <c r="L163" s="49"/>
      <c r="M163" s="49"/>
      <c r="N163" s="49"/>
    </row>
    <row r="164" ht="39.75" customHeight="1">
      <c r="A164" s="1">
        <v>163.0</v>
      </c>
      <c r="B164" s="2" t="s">
        <v>268</v>
      </c>
      <c r="C164" s="2" t="s">
        <v>63</v>
      </c>
      <c r="D164" s="13"/>
      <c r="E164" s="13"/>
      <c r="F164" s="45"/>
      <c r="G164" s="42"/>
      <c r="H164" s="42"/>
      <c r="I164" s="42"/>
      <c r="J164" s="27" t="s">
        <v>3250</v>
      </c>
      <c r="K164" s="43"/>
      <c r="L164" s="15" t="s">
        <v>147</v>
      </c>
    </row>
    <row r="165" ht="39.75" customHeight="1">
      <c r="A165" s="1">
        <v>164.0</v>
      </c>
      <c r="B165" s="2" t="s">
        <v>16</v>
      </c>
      <c r="C165" s="2"/>
      <c r="D165" s="40">
        <v>0.375</v>
      </c>
      <c r="E165" s="13"/>
      <c r="F165" s="44" t="s">
        <v>3322</v>
      </c>
      <c r="G165" s="43">
        <v>1.0</v>
      </c>
      <c r="H165" s="42"/>
      <c r="I165" s="42"/>
      <c r="J165" s="27" t="s">
        <v>147</v>
      </c>
      <c r="K165" s="43"/>
    </row>
    <row r="166" ht="39.75" customHeight="1">
      <c r="A166" s="1">
        <v>165.0</v>
      </c>
      <c r="B166" s="2" t="s">
        <v>116</v>
      </c>
      <c r="C166" s="2" t="s">
        <v>44</v>
      </c>
      <c r="D166" s="13"/>
      <c r="E166" s="13"/>
      <c r="F166" s="45"/>
      <c r="G166" s="42"/>
      <c r="H166" s="42"/>
      <c r="I166" s="42"/>
      <c r="J166" s="27" t="s">
        <v>19</v>
      </c>
      <c r="K166" s="43"/>
    </row>
    <row r="167" ht="39.75" hidden="1" customHeight="1">
      <c r="A167" s="1">
        <v>166.0</v>
      </c>
      <c r="B167" s="2" t="s">
        <v>17</v>
      </c>
      <c r="C167" s="2" t="s">
        <v>13</v>
      </c>
      <c r="D167" s="13"/>
      <c r="E167" s="13"/>
      <c r="F167" s="44"/>
      <c r="G167" s="42"/>
      <c r="H167" s="42"/>
      <c r="I167" s="42"/>
      <c r="J167" s="27" t="s">
        <v>410</v>
      </c>
      <c r="K167" s="43"/>
    </row>
    <row r="168" ht="39.75" hidden="1" customHeight="1">
      <c r="A168" s="1">
        <v>167.0</v>
      </c>
      <c r="B168" s="2" t="s">
        <v>331</v>
      </c>
      <c r="C168" s="2" t="s">
        <v>13</v>
      </c>
      <c r="D168" s="13"/>
      <c r="E168" s="13"/>
      <c r="F168" s="45"/>
      <c r="G168" s="42"/>
      <c r="H168" s="42"/>
      <c r="I168" s="42"/>
      <c r="J168" s="27" t="s">
        <v>412</v>
      </c>
      <c r="K168" s="43"/>
    </row>
    <row r="169" ht="39.75" hidden="1" customHeight="1">
      <c r="A169" s="1">
        <v>168.0</v>
      </c>
      <c r="B169" s="2" t="s">
        <v>21</v>
      </c>
      <c r="C169" s="2" t="s">
        <v>13</v>
      </c>
      <c r="D169" s="13"/>
      <c r="E169" s="13"/>
      <c r="F169" s="45"/>
      <c r="G169" s="42"/>
      <c r="H169" s="42"/>
      <c r="I169" s="42"/>
      <c r="J169" s="27" t="s">
        <v>413</v>
      </c>
      <c r="K169" s="43"/>
    </row>
    <row r="170" ht="39.75" customHeight="1">
      <c r="A170" s="1">
        <v>169.0</v>
      </c>
      <c r="B170" s="2" t="s">
        <v>22</v>
      </c>
      <c r="C170" s="2" t="s">
        <v>39</v>
      </c>
      <c r="D170" s="53">
        <v>0.3402777777777778</v>
      </c>
      <c r="E170" s="13"/>
      <c r="F170" s="44" t="s">
        <v>2664</v>
      </c>
      <c r="G170" s="43">
        <v>1.0</v>
      </c>
      <c r="H170" s="42"/>
      <c r="I170" s="43">
        <v>1.0</v>
      </c>
      <c r="J170" s="22"/>
      <c r="K170" s="42"/>
    </row>
    <row r="171" ht="39.75" hidden="1" customHeight="1">
      <c r="A171" s="1">
        <v>170.0</v>
      </c>
      <c r="B171" s="2" t="s">
        <v>23</v>
      </c>
      <c r="C171" s="2" t="s">
        <v>13</v>
      </c>
      <c r="D171" s="13"/>
      <c r="E171" s="13"/>
      <c r="F171" s="45"/>
      <c r="G171" s="42"/>
      <c r="H171" s="42"/>
      <c r="I171" s="42"/>
      <c r="J171" s="22"/>
      <c r="K171" s="42"/>
    </row>
    <row r="172" ht="39.75" hidden="1" customHeight="1">
      <c r="A172" s="1">
        <v>171.0</v>
      </c>
      <c r="B172" s="2" t="s">
        <v>24</v>
      </c>
      <c r="C172" s="2" t="s">
        <v>13</v>
      </c>
      <c r="D172" s="13"/>
      <c r="E172" s="13"/>
      <c r="F172" s="45"/>
      <c r="G172" s="42"/>
      <c r="H172" s="42"/>
      <c r="I172" s="42"/>
      <c r="J172" s="22"/>
      <c r="K172" s="42"/>
    </row>
    <row r="173" ht="39.75" hidden="1" customHeight="1">
      <c r="A173" s="1">
        <v>172.0</v>
      </c>
      <c r="B173" s="2" t="s">
        <v>25</v>
      </c>
      <c r="C173" s="2" t="s">
        <v>13</v>
      </c>
      <c r="D173" s="13"/>
      <c r="E173" s="13"/>
      <c r="F173" s="45"/>
      <c r="G173" s="42"/>
      <c r="H173" s="42"/>
      <c r="I173" s="42"/>
      <c r="J173" s="22"/>
      <c r="K173" s="42"/>
    </row>
    <row r="174" ht="39.75" customHeight="1">
      <c r="A174" s="1">
        <v>173.0</v>
      </c>
      <c r="B174" s="2" t="s">
        <v>26</v>
      </c>
      <c r="C174" s="2" t="s">
        <v>27</v>
      </c>
      <c r="D174" s="13"/>
      <c r="E174" s="13"/>
      <c r="F174" s="44" t="s">
        <v>3323</v>
      </c>
      <c r="G174" s="43">
        <v>1.0</v>
      </c>
      <c r="H174" s="42"/>
      <c r="I174" s="42"/>
      <c r="J174" s="22"/>
      <c r="K174" s="42"/>
    </row>
    <row r="175" ht="39.75" customHeight="1">
      <c r="A175" s="1">
        <v>174.0</v>
      </c>
      <c r="B175" s="2" t="s">
        <v>29</v>
      </c>
      <c r="C175" s="2" t="s">
        <v>49</v>
      </c>
      <c r="D175" s="13"/>
      <c r="E175" s="13"/>
      <c r="F175" s="44" t="s">
        <v>2770</v>
      </c>
      <c r="G175" s="43">
        <v>1.0</v>
      </c>
      <c r="H175" s="42"/>
      <c r="I175" s="43">
        <v>1.0</v>
      </c>
      <c r="J175" s="22"/>
      <c r="K175" s="42"/>
    </row>
    <row r="176" ht="39.75" customHeight="1">
      <c r="A176" s="1">
        <v>175.0</v>
      </c>
      <c r="B176" s="2" t="s">
        <v>30</v>
      </c>
      <c r="C176" s="2"/>
      <c r="D176" s="40">
        <v>0.375</v>
      </c>
      <c r="E176" s="13"/>
      <c r="F176" s="44" t="s">
        <v>3324</v>
      </c>
      <c r="G176" s="43">
        <v>1.0</v>
      </c>
      <c r="H176" s="42"/>
      <c r="I176" s="43">
        <v>1.0</v>
      </c>
      <c r="J176" s="22"/>
      <c r="K176" s="42"/>
    </row>
    <row r="177" ht="39.75" customHeight="1">
      <c r="A177" s="1">
        <v>176.0</v>
      </c>
      <c r="B177" s="2" t="s">
        <v>33</v>
      </c>
      <c r="C177" s="2" t="s">
        <v>272</v>
      </c>
      <c r="D177" s="13"/>
      <c r="E177" s="13"/>
      <c r="F177" s="44" t="s">
        <v>1186</v>
      </c>
      <c r="G177" s="43">
        <v>1.0</v>
      </c>
      <c r="H177" s="42"/>
      <c r="I177" s="43">
        <v>1.0</v>
      </c>
      <c r="J177" s="22"/>
      <c r="K177" s="42"/>
    </row>
    <row r="178" ht="39.75" customHeight="1">
      <c r="A178" s="1">
        <v>177.0</v>
      </c>
      <c r="B178" s="2" t="s">
        <v>32</v>
      </c>
      <c r="C178" s="2"/>
      <c r="D178" s="13"/>
      <c r="E178" s="13"/>
      <c r="F178" s="44" t="s">
        <v>3325</v>
      </c>
      <c r="G178" s="43">
        <v>1.0</v>
      </c>
      <c r="H178" s="43">
        <v>1.0</v>
      </c>
      <c r="I178" s="42"/>
      <c r="J178" s="22"/>
      <c r="K178" s="42"/>
    </row>
    <row r="179" ht="39.75" hidden="1" customHeight="1">
      <c r="A179" s="1">
        <v>178.0</v>
      </c>
      <c r="B179" s="2" t="s">
        <v>67</v>
      </c>
      <c r="C179" s="2" t="s">
        <v>13</v>
      </c>
      <c r="D179" s="13"/>
      <c r="E179" s="13"/>
      <c r="F179" s="45"/>
      <c r="G179" s="42"/>
      <c r="H179" s="42"/>
      <c r="I179" s="42"/>
      <c r="J179" s="22"/>
      <c r="K179" s="42"/>
    </row>
    <row r="180" ht="39.75" hidden="1" customHeight="1">
      <c r="A180" s="1">
        <v>179.0</v>
      </c>
      <c r="B180" s="2" t="s">
        <v>35</v>
      </c>
      <c r="C180" s="2" t="s">
        <v>13</v>
      </c>
      <c r="D180" s="13"/>
      <c r="E180" s="13"/>
      <c r="F180" s="45"/>
      <c r="G180" s="42"/>
      <c r="H180" s="42"/>
      <c r="I180" s="42"/>
      <c r="J180" s="22"/>
      <c r="K180" s="42"/>
    </row>
    <row r="181" ht="39.75" hidden="1" customHeight="1">
      <c r="A181" s="1">
        <v>180.0</v>
      </c>
      <c r="B181" s="2" t="s">
        <v>36</v>
      </c>
      <c r="C181" s="2" t="s">
        <v>13</v>
      </c>
      <c r="D181" s="13"/>
      <c r="E181" s="13"/>
      <c r="F181" s="45"/>
      <c r="G181" s="42"/>
      <c r="H181" s="42"/>
      <c r="I181" s="42"/>
      <c r="J181" s="22"/>
      <c r="K181" s="42"/>
    </row>
    <row r="182" ht="39.75" hidden="1" customHeight="1">
      <c r="A182" s="1">
        <v>181.0</v>
      </c>
      <c r="B182" s="2" t="s">
        <v>38</v>
      </c>
      <c r="C182" s="2" t="s">
        <v>13</v>
      </c>
      <c r="D182" s="13"/>
      <c r="E182" s="13"/>
      <c r="F182" s="45"/>
      <c r="G182" s="42"/>
      <c r="H182" s="42"/>
      <c r="I182" s="42"/>
      <c r="J182" s="22"/>
      <c r="K182" s="42"/>
    </row>
    <row r="183" ht="39.75" hidden="1" customHeight="1">
      <c r="A183" s="1">
        <v>182.0</v>
      </c>
      <c r="B183" s="2" t="s">
        <v>41</v>
      </c>
      <c r="C183" s="2" t="s">
        <v>13</v>
      </c>
      <c r="D183" s="13"/>
      <c r="E183" s="13"/>
      <c r="F183" s="45"/>
      <c r="G183" s="42"/>
      <c r="H183" s="42"/>
      <c r="I183" s="42"/>
      <c r="J183" s="22"/>
      <c r="K183" s="42"/>
    </row>
    <row r="184" ht="39.75" hidden="1" customHeight="1">
      <c r="A184" s="1">
        <v>183.0</v>
      </c>
      <c r="B184" s="2" t="s">
        <v>42</v>
      </c>
      <c r="C184" s="2" t="s">
        <v>13</v>
      </c>
      <c r="D184" s="13"/>
      <c r="E184" s="13"/>
      <c r="F184" s="45"/>
      <c r="G184" s="42"/>
      <c r="H184" s="42"/>
      <c r="I184" s="42"/>
      <c r="J184" s="22"/>
      <c r="K184" s="42"/>
    </row>
    <row r="185" ht="39.75" customHeight="1">
      <c r="A185" s="1">
        <v>184.0</v>
      </c>
      <c r="B185" s="2" t="s">
        <v>43</v>
      </c>
      <c r="C185" s="2"/>
      <c r="D185" s="13"/>
      <c r="E185" s="13"/>
      <c r="F185" s="44" t="s">
        <v>3300</v>
      </c>
      <c r="G185" s="43">
        <v>1.0</v>
      </c>
      <c r="H185" s="43">
        <v>1.0</v>
      </c>
      <c r="I185" s="42"/>
      <c r="J185" s="22"/>
      <c r="K185" s="42"/>
    </row>
    <row r="186" ht="39.75" hidden="1" customHeight="1">
      <c r="A186" s="1">
        <v>185.0</v>
      </c>
      <c r="B186" s="2" t="s">
        <v>45</v>
      </c>
      <c r="C186" s="2" t="s">
        <v>13</v>
      </c>
      <c r="D186" s="13"/>
      <c r="E186" s="13"/>
      <c r="F186" s="45"/>
      <c r="G186" s="42"/>
      <c r="H186" s="42"/>
      <c r="I186" s="42"/>
      <c r="J186" s="22"/>
      <c r="K186" s="42"/>
    </row>
    <row r="187" ht="39.75" hidden="1" customHeight="1">
      <c r="A187" s="1">
        <v>186.0</v>
      </c>
      <c r="B187" s="2" t="s">
        <v>46</v>
      </c>
      <c r="C187" s="2" t="s">
        <v>13</v>
      </c>
      <c r="D187" s="13"/>
      <c r="E187" s="13"/>
      <c r="F187" s="45"/>
      <c r="G187" s="42"/>
      <c r="H187" s="42"/>
      <c r="I187" s="42"/>
      <c r="J187" s="22"/>
      <c r="K187" s="42"/>
    </row>
    <row r="188" ht="39.75" hidden="1" customHeight="1">
      <c r="A188" s="1">
        <v>187.0</v>
      </c>
      <c r="B188" s="2" t="s">
        <v>47</v>
      </c>
      <c r="C188" s="2" t="s">
        <v>13</v>
      </c>
      <c r="D188" s="13"/>
      <c r="E188" s="13"/>
      <c r="F188" s="45"/>
      <c r="G188" s="42"/>
      <c r="H188" s="42"/>
      <c r="I188" s="42"/>
      <c r="J188" s="22"/>
      <c r="K188" s="42"/>
    </row>
    <row r="189" ht="39.75" hidden="1" customHeight="1">
      <c r="A189" s="1">
        <v>188.0</v>
      </c>
      <c r="B189" s="2" t="s">
        <v>48</v>
      </c>
      <c r="C189" s="2" t="s">
        <v>13</v>
      </c>
      <c r="D189" s="13"/>
      <c r="E189" s="13"/>
      <c r="F189" s="45"/>
      <c r="G189" s="42"/>
      <c r="H189" s="42"/>
      <c r="I189" s="42"/>
      <c r="J189" s="22"/>
      <c r="K189" s="42"/>
    </row>
    <row r="190" ht="39.75" customHeight="1">
      <c r="A190" s="1">
        <v>189.0</v>
      </c>
      <c r="B190" s="21"/>
      <c r="C190" s="21"/>
      <c r="D190" s="21"/>
      <c r="E190" s="21"/>
      <c r="F190" s="46"/>
      <c r="G190" s="47"/>
      <c r="H190" s="47"/>
      <c r="I190" s="47"/>
      <c r="J190" s="48"/>
      <c r="K190" s="47"/>
      <c r="L190" s="49"/>
      <c r="M190" s="49"/>
      <c r="N190" s="49"/>
    </row>
    <row r="191" ht="39.75" customHeight="1">
      <c r="A191" s="1">
        <v>190.0</v>
      </c>
      <c r="B191" s="2" t="s">
        <v>12</v>
      </c>
      <c r="C191" s="2" t="s">
        <v>62</v>
      </c>
      <c r="D191" s="13"/>
      <c r="E191" s="13"/>
      <c r="F191" s="44" t="s">
        <v>1543</v>
      </c>
      <c r="G191" s="43">
        <v>1.0</v>
      </c>
      <c r="H191" s="42"/>
      <c r="I191" s="43">
        <v>1.0</v>
      </c>
      <c r="J191" s="27" t="s">
        <v>3250</v>
      </c>
      <c r="K191" s="42"/>
      <c r="L191" s="15" t="s">
        <v>163</v>
      </c>
    </row>
    <row r="192" ht="39.75" customHeight="1">
      <c r="A192" s="1">
        <v>191.0</v>
      </c>
      <c r="B192" s="2" t="s">
        <v>16</v>
      </c>
      <c r="C192" s="2"/>
      <c r="D192" s="13"/>
      <c r="E192" s="13"/>
      <c r="F192" s="44" t="s">
        <v>1204</v>
      </c>
      <c r="G192" s="43">
        <v>1.0</v>
      </c>
      <c r="H192" s="42"/>
      <c r="I192" s="43">
        <v>1.0</v>
      </c>
      <c r="J192" s="27" t="s">
        <v>163</v>
      </c>
      <c r="K192" s="43"/>
    </row>
    <row r="193" ht="39.75" customHeight="1">
      <c r="A193" s="1">
        <v>192.0</v>
      </c>
      <c r="B193" s="2" t="s">
        <v>116</v>
      </c>
      <c r="C193" s="2" t="s">
        <v>27</v>
      </c>
      <c r="D193" s="13"/>
      <c r="E193" s="13"/>
      <c r="F193" s="45"/>
      <c r="G193" s="42"/>
      <c r="H193" s="42"/>
      <c r="I193" s="42"/>
      <c r="J193" s="27" t="s">
        <v>56</v>
      </c>
      <c r="K193" s="42"/>
    </row>
    <row r="194" ht="39.75" customHeight="1">
      <c r="A194" s="1">
        <v>193.0</v>
      </c>
      <c r="B194" s="2" t="s">
        <v>17</v>
      </c>
      <c r="C194" s="2" t="s">
        <v>54</v>
      </c>
      <c r="D194" s="13"/>
      <c r="E194" s="13"/>
      <c r="F194" s="44" t="s">
        <v>3326</v>
      </c>
      <c r="G194" s="43">
        <v>1.0</v>
      </c>
      <c r="H194" s="42"/>
      <c r="I194" s="42"/>
      <c r="J194" s="22"/>
      <c r="K194" s="42"/>
    </row>
    <row r="195" ht="39.75" customHeight="1">
      <c r="A195" s="1">
        <v>194.0</v>
      </c>
      <c r="B195" s="2" t="s">
        <v>331</v>
      </c>
      <c r="C195" s="2" t="s">
        <v>542</v>
      </c>
      <c r="D195" s="13"/>
      <c r="E195" s="13"/>
      <c r="F195" s="45"/>
      <c r="G195" s="42"/>
      <c r="H195" s="42"/>
      <c r="I195" s="42"/>
      <c r="J195" s="22"/>
      <c r="K195" s="42"/>
    </row>
    <row r="196" ht="39.75" customHeight="1">
      <c r="A196" s="1">
        <v>195.0</v>
      </c>
      <c r="B196" s="2" t="s">
        <v>21</v>
      </c>
      <c r="C196" s="2"/>
      <c r="D196" s="13"/>
      <c r="E196" s="13"/>
      <c r="F196" s="44" t="s">
        <v>3327</v>
      </c>
      <c r="G196" s="43">
        <v>1.0</v>
      </c>
      <c r="H196" s="42"/>
      <c r="I196" s="42"/>
      <c r="J196" s="22"/>
      <c r="K196" s="42"/>
    </row>
    <row r="197" ht="39.75" customHeight="1">
      <c r="A197" s="1">
        <v>196.0</v>
      </c>
      <c r="B197" s="2" t="s">
        <v>22</v>
      </c>
      <c r="C197" s="2" t="s">
        <v>69</v>
      </c>
      <c r="D197" s="13"/>
      <c r="E197" s="40">
        <v>0.8263888888888888</v>
      </c>
      <c r="F197" s="44" t="s">
        <v>3328</v>
      </c>
      <c r="G197" s="43">
        <v>1.0</v>
      </c>
      <c r="H197" s="42"/>
      <c r="I197" s="43">
        <v>1.0</v>
      </c>
      <c r="J197" s="22"/>
      <c r="K197" s="42"/>
    </row>
    <row r="198" ht="39.75" customHeight="1">
      <c r="A198" s="1">
        <v>197.0</v>
      </c>
      <c r="B198" s="2" t="s">
        <v>23</v>
      </c>
      <c r="C198" s="13"/>
      <c r="D198" s="13"/>
      <c r="E198" s="13"/>
      <c r="F198" s="44" t="s">
        <v>3329</v>
      </c>
      <c r="G198" s="43">
        <v>1.0</v>
      </c>
      <c r="H198" s="42"/>
      <c r="I198" s="42"/>
      <c r="J198" s="22"/>
      <c r="K198" s="42"/>
    </row>
    <row r="199" ht="39.75" customHeight="1">
      <c r="A199" s="1">
        <v>198.0</v>
      </c>
      <c r="B199" s="2" t="s">
        <v>24</v>
      </c>
      <c r="C199" s="2" t="s">
        <v>63</v>
      </c>
      <c r="D199" s="13"/>
      <c r="E199" s="13"/>
      <c r="F199" s="45"/>
      <c r="G199" s="42"/>
      <c r="H199" s="42"/>
      <c r="I199" s="42"/>
      <c r="J199" s="22"/>
      <c r="K199" s="42"/>
    </row>
    <row r="200" ht="39.75" customHeight="1">
      <c r="A200" s="1">
        <v>199.0</v>
      </c>
      <c r="B200" s="2" t="s">
        <v>25</v>
      </c>
      <c r="C200" s="2"/>
      <c r="D200" s="13"/>
      <c r="E200" s="13"/>
      <c r="F200" s="44" t="s">
        <v>3330</v>
      </c>
      <c r="G200" s="43">
        <v>1.0</v>
      </c>
      <c r="H200" s="42"/>
      <c r="I200" s="42"/>
      <c r="J200" s="22"/>
      <c r="K200" s="42"/>
    </row>
    <row r="201" ht="39.75" customHeight="1">
      <c r="A201" s="1">
        <v>200.0</v>
      </c>
      <c r="B201" s="2" t="s">
        <v>26</v>
      </c>
      <c r="C201" s="2" t="s">
        <v>44</v>
      </c>
      <c r="D201" s="13"/>
      <c r="E201" s="13"/>
      <c r="F201" s="45"/>
      <c r="G201" s="42"/>
      <c r="H201" s="42"/>
      <c r="I201" s="42"/>
      <c r="J201" s="22"/>
      <c r="K201" s="42"/>
    </row>
    <row r="202" ht="39.75" customHeight="1">
      <c r="A202" s="1">
        <v>201.0</v>
      </c>
      <c r="B202" s="2" t="s">
        <v>29</v>
      </c>
      <c r="C202" s="2" t="s">
        <v>69</v>
      </c>
      <c r="D202" s="13"/>
      <c r="E202" s="40">
        <v>0.8194444444444444</v>
      </c>
      <c r="F202" s="44" t="s">
        <v>2741</v>
      </c>
      <c r="G202" s="43">
        <v>1.0</v>
      </c>
      <c r="H202" s="42"/>
      <c r="I202" s="43">
        <v>1.0</v>
      </c>
      <c r="J202" s="22"/>
      <c r="K202" s="42"/>
    </row>
    <row r="203" ht="39.75" customHeight="1">
      <c r="A203" s="1">
        <v>202.0</v>
      </c>
      <c r="B203" s="2" t="s">
        <v>30</v>
      </c>
      <c r="C203" s="2" t="s">
        <v>64</v>
      </c>
      <c r="D203" s="13"/>
      <c r="E203" s="13"/>
      <c r="F203" s="44" t="s">
        <v>2592</v>
      </c>
      <c r="G203" s="43">
        <v>1.0</v>
      </c>
      <c r="H203" s="42"/>
      <c r="I203" s="43">
        <v>1.0</v>
      </c>
      <c r="J203" s="22"/>
      <c r="K203" s="42"/>
    </row>
    <row r="204" ht="39.75" customHeight="1">
      <c r="A204" s="1">
        <v>203.0</v>
      </c>
      <c r="B204" s="2" t="s">
        <v>31</v>
      </c>
      <c r="C204" s="2" t="s">
        <v>69</v>
      </c>
      <c r="D204" s="13"/>
      <c r="E204" s="13"/>
      <c r="F204" s="44" t="s">
        <v>472</v>
      </c>
      <c r="G204" s="42"/>
      <c r="H204" s="42"/>
      <c r="I204" s="42"/>
      <c r="J204" s="22"/>
      <c r="K204" s="42"/>
    </row>
    <row r="205" ht="39.75" customHeight="1">
      <c r="A205" s="1">
        <v>204.0</v>
      </c>
      <c r="B205" s="2" t="s">
        <v>32</v>
      </c>
      <c r="C205" s="2"/>
      <c r="D205" s="13"/>
      <c r="E205" s="13"/>
      <c r="F205" s="44" t="s">
        <v>3325</v>
      </c>
      <c r="G205" s="43">
        <v>1.0</v>
      </c>
      <c r="H205" s="43">
        <v>1.0</v>
      </c>
      <c r="I205" s="42"/>
      <c r="J205" s="22"/>
      <c r="K205" s="42"/>
    </row>
    <row r="206" ht="39.75" customHeight="1">
      <c r="A206" s="1">
        <v>205.0</v>
      </c>
      <c r="B206" s="2" t="s">
        <v>67</v>
      </c>
      <c r="C206" s="2" t="s">
        <v>39</v>
      </c>
      <c r="D206" s="13"/>
      <c r="E206" s="13"/>
      <c r="F206" s="44" t="s">
        <v>2691</v>
      </c>
      <c r="G206" s="43">
        <v>1.0</v>
      </c>
      <c r="H206" s="42"/>
      <c r="I206" s="43">
        <v>1.0</v>
      </c>
      <c r="J206" s="22"/>
      <c r="K206" s="42"/>
    </row>
    <row r="207" ht="39.75" customHeight="1">
      <c r="A207" s="1">
        <v>206.0</v>
      </c>
      <c r="B207" s="2" t="s">
        <v>35</v>
      </c>
      <c r="C207" s="2" t="s">
        <v>54</v>
      </c>
      <c r="D207" s="53">
        <v>0.20833333333333334</v>
      </c>
      <c r="E207" s="13"/>
      <c r="F207" s="44" t="s">
        <v>3331</v>
      </c>
      <c r="G207" s="43">
        <v>1.0</v>
      </c>
      <c r="H207" s="43">
        <v>1.0</v>
      </c>
      <c r="I207" s="42"/>
      <c r="J207" s="22"/>
      <c r="K207" s="42"/>
    </row>
    <row r="208" ht="39.75" hidden="1" customHeight="1">
      <c r="A208" s="1">
        <v>207.0</v>
      </c>
      <c r="B208" s="2" t="s">
        <v>36</v>
      </c>
      <c r="C208" s="2" t="s">
        <v>58</v>
      </c>
      <c r="D208" s="13"/>
      <c r="E208" s="13"/>
      <c r="F208" s="45"/>
      <c r="G208" s="42"/>
      <c r="H208" s="42"/>
      <c r="I208" s="42"/>
      <c r="J208" s="22"/>
      <c r="K208" s="42"/>
    </row>
    <row r="209" ht="39.75" customHeight="1">
      <c r="A209" s="1">
        <v>208.0</v>
      </c>
      <c r="B209" s="2" t="s">
        <v>38</v>
      </c>
      <c r="C209" s="2" t="s">
        <v>54</v>
      </c>
      <c r="D209" s="13"/>
      <c r="E209" s="13"/>
      <c r="F209" s="44" t="s">
        <v>3332</v>
      </c>
      <c r="G209" s="43">
        <v>1.0</v>
      </c>
      <c r="H209" s="42"/>
      <c r="I209" s="42"/>
      <c r="J209" s="22"/>
      <c r="K209" s="42"/>
    </row>
    <row r="210" ht="39.75" hidden="1" customHeight="1">
      <c r="A210" s="1">
        <v>209.0</v>
      </c>
      <c r="B210" s="2" t="s">
        <v>41</v>
      </c>
      <c r="C210" s="2" t="s">
        <v>58</v>
      </c>
      <c r="D210" s="13"/>
      <c r="E210" s="13"/>
      <c r="F210" s="45"/>
      <c r="G210" s="42"/>
      <c r="H210" s="42"/>
      <c r="I210" s="42"/>
      <c r="J210" s="22"/>
      <c r="K210" s="42"/>
    </row>
    <row r="211" ht="39.75" hidden="1" customHeight="1">
      <c r="A211" s="1">
        <v>210.0</v>
      </c>
      <c r="B211" s="2" t="s">
        <v>42</v>
      </c>
      <c r="C211" s="2" t="s">
        <v>66</v>
      </c>
      <c r="D211" s="13"/>
      <c r="E211" s="13"/>
      <c r="F211" s="45"/>
      <c r="G211" s="42"/>
      <c r="H211" s="42"/>
      <c r="I211" s="42"/>
      <c r="J211" s="22"/>
      <c r="K211" s="42"/>
    </row>
    <row r="212" ht="39.75" customHeight="1">
      <c r="A212" s="1">
        <v>211.0</v>
      </c>
      <c r="B212" s="2" t="s">
        <v>43</v>
      </c>
      <c r="C212" s="2"/>
      <c r="D212" s="13"/>
      <c r="E212" s="13"/>
      <c r="F212" s="44" t="s">
        <v>3300</v>
      </c>
      <c r="G212" s="43">
        <v>1.0</v>
      </c>
      <c r="H212" s="43">
        <v>1.0</v>
      </c>
      <c r="I212" s="42"/>
      <c r="J212" s="22"/>
      <c r="K212" s="42"/>
    </row>
    <row r="213" ht="39.75" customHeight="1">
      <c r="A213" s="1">
        <v>212.0</v>
      </c>
      <c r="B213" s="2" t="s">
        <v>45</v>
      </c>
      <c r="C213" s="2" t="s">
        <v>54</v>
      </c>
      <c r="D213" s="13"/>
      <c r="E213" s="13"/>
      <c r="F213" s="44" t="s">
        <v>3333</v>
      </c>
      <c r="G213" s="43">
        <v>1.0</v>
      </c>
      <c r="H213" s="42"/>
      <c r="I213" s="42"/>
      <c r="J213" s="22"/>
      <c r="K213" s="42"/>
    </row>
    <row r="214" ht="39.75" customHeight="1">
      <c r="A214" s="1">
        <v>213.0</v>
      </c>
      <c r="B214" s="2" t="s">
        <v>46</v>
      </c>
      <c r="C214" s="2"/>
      <c r="D214" s="13"/>
      <c r="E214" s="13"/>
      <c r="F214" s="44" t="s">
        <v>2788</v>
      </c>
      <c r="G214" s="43">
        <v>1.0</v>
      </c>
      <c r="H214" s="42"/>
      <c r="I214" s="43">
        <v>1.0</v>
      </c>
      <c r="J214" s="22"/>
      <c r="K214" s="42"/>
    </row>
    <row r="215" ht="39.75" hidden="1" customHeight="1">
      <c r="A215" s="1">
        <v>214.0</v>
      </c>
      <c r="B215" s="2" t="s">
        <v>47</v>
      </c>
      <c r="C215" s="2" t="s">
        <v>58</v>
      </c>
      <c r="D215" s="13"/>
      <c r="E215" s="13"/>
      <c r="F215" s="45"/>
      <c r="G215" s="42"/>
      <c r="H215" s="42"/>
      <c r="I215" s="42"/>
      <c r="J215" s="22"/>
      <c r="K215" s="42"/>
    </row>
    <row r="216" ht="39.75" customHeight="1">
      <c r="A216" s="1">
        <v>215.0</v>
      </c>
      <c r="B216" s="2" t="s">
        <v>48</v>
      </c>
      <c r="C216" s="2" t="s">
        <v>39</v>
      </c>
      <c r="D216" s="13"/>
      <c r="E216" s="13"/>
      <c r="F216" s="44" t="s">
        <v>3334</v>
      </c>
      <c r="G216" s="43">
        <v>1.0</v>
      </c>
      <c r="H216" s="42"/>
      <c r="I216" s="42"/>
      <c r="J216" s="22"/>
      <c r="K216" s="42"/>
    </row>
    <row r="217" ht="39.75" customHeight="1">
      <c r="A217" s="1">
        <v>216.0</v>
      </c>
      <c r="B217" s="21"/>
      <c r="C217" s="21"/>
      <c r="D217" s="21"/>
      <c r="E217" s="21"/>
      <c r="F217" s="46"/>
      <c r="G217" s="47"/>
      <c r="H217" s="47"/>
      <c r="I217" s="47"/>
      <c r="J217" s="48"/>
      <c r="K217" s="47"/>
      <c r="L217" s="49"/>
      <c r="M217" s="49"/>
      <c r="N217" s="49"/>
    </row>
    <row r="218" ht="39.75" customHeight="1">
      <c r="A218" s="1">
        <v>217.0</v>
      </c>
      <c r="B218" s="2" t="s">
        <v>12</v>
      </c>
      <c r="C218" s="2" t="s">
        <v>62</v>
      </c>
      <c r="D218" s="13"/>
      <c r="E218" s="13"/>
      <c r="F218" s="44" t="s">
        <v>1543</v>
      </c>
      <c r="G218" s="43">
        <v>1.0</v>
      </c>
      <c r="H218" s="42"/>
      <c r="I218" s="43">
        <v>1.0</v>
      </c>
      <c r="J218" s="27" t="s">
        <v>3250</v>
      </c>
      <c r="K218" s="42"/>
      <c r="L218" s="15" t="s">
        <v>175</v>
      </c>
    </row>
    <row r="219" ht="39.75" customHeight="1">
      <c r="A219" s="1">
        <v>218.0</v>
      </c>
      <c r="B219" s="2" t="s">
        <v>16</v>
      </c>
      <c r="C219" s="2" t="s">
        <v>69</v>
      </c>
      <c r="D219" s="13"/>
      <c r="E219" s="13"/>
      <c r="F219" s="44" t="s">
        <v>2741</v>
      </c>
      <c r="G219" s="43">
        <v>1.0</v>
      </c>
      <c r="H219" s="42"/>
      <c r="I219" s="43">
        <v>1.0</v>
      </c>
      <c r="J219" s="27" t="s">
        <v>175</v>
      </c>
      <c r="K219" s="43"/>
    </row>
    <row r="220" ht="39.75" customHeight="1">
      <c r="A220" s="1">
        <v>219.0</v>
      </c>
      <c r="B220" s="2" t="s">
        <v>116</v>
      </c>
      <c r="C220" s="2" t="s">
        <v>44</v>
      </c>
      <c r="D220" s="13"/>
      <c r="E220" s="13"/>
      <c r="F220" s="45"/>
      <c r="G220" s="42"/>
      <c r="H220" s="42"/>
      <c r="I220" s="42"/>
      <c r="J220" s="27" t="s">
        <v>77</v>
      </c>
      <c r="K220" s="42"/>
    </row>
    <row r="221" ht="39.75" customHeight="1">
      <c r="A221" s="1">
        <v>220.0</v>
      </c>
      <c r="B221" s="2" t="s">
        <v>17</v>
      </c>
      <c r="C221" s="2" t="s">
        <v>54</v>
      </c>
      <c r="D221" s="13"/>
      <c r="E221" s="13"/>
      <c r="F221" s="44" t="s">
        <v>3335</v>
      </c>
      <c r="G221" s="43">
        <v>2.0</v>
      </c>
      <c r="H221" s="42"/>
      <c r="I221" s="43">
        <v>1.0</v>
      </c>
      <c r="J221" s="22"/>
      <c r="K221" s="42"/>
    </row>
    <row r="222" ht="39.75" customHeight="1">
      <c r="A222" s="1">
        <v>221.0</v>
      </c>
      <c r="B222" s="2" t="s">
        <v>331</v>
      </c>
      <c r="C222" s="2" t="s">
        <v>542</v>
      </c>
      <c r="D222" s="13"/>
      <c r="E222" s="13"/>
      <c r="F222" s="45"/>
      <c r="G222" s="42"/>
      <c r="H222" s="42"/>
      <c r="I222" s="42"/>
      <c r="J222" s="22"/>
      <c r="K222" s="42"/>
    </row>
    <row r="223" ht="39.75" customHeight="1">
      <c r="A223" s="1">
        <v>222.0</v>
      </c>
      <c r="B223" s="2" t="s">
        <v>21</v>
      </c>
      <c r="C223" s="2"/>
      <c r="D223" s="13"/>
      <c r="E223" s="13"/>
      <c r="F223" s="44" t="s">
        <v>3336</v>
      </c>
      <c r="G223" s="43">
        <v>2.0</v>
      </c>
      <c r="H223" s="42"/>
      <c r="I223" s="43">
        <v>1.0</v>
      </c>
      <c r="J223" s="22"/>
      <c r="K223" s="42"/>
    </row>
    <row r="224" ht="39.75" customHeight="1">
      <c r="A224" s="1">
        <v>223.0</v>
      </c>
      <c r="B224" s="2" t="s">
        <v>22</v>
      </c>
      <c r="C224" s="2" t="s">
        <v>39</v>
      </c>
      <c r="D224" s="40"/>
      <c r="E224" s="13"/>
      <c r="F224" s="44" t="s">
        <v>3337</v>
      </c>
      <c r="G224" s="43">
        <v>1.0</v>
      </c>
      <c r="H224" s="42"/>
      <c r="I224" s="42"/>
      <c r="J224" s="22"/>
      <c r="K224" s="42"/>
    </row>
    <row r="225" ht="39.75" customHeight="1">
      <c r="A225" s="1">
        <v>224.0</v>
      </c>
      <c r="B225" s="2" t="s">
        <v>23</v>
      </c>
      <c r="C225" s="2" t="s">
        <v>54</v>
      </c>
      <c r="D225" s="13"/>
      <c r="E225" s="13"/>
      <c r="F225" s="44" t="s">
        <v>3338</v>
      </c>
      <c r="G225" s="43">
        <v>1.0</v>
      </c>
      <c r="H225" s="42"/>
      <c r="I225" s="42"/>
      <c r="J225" s="22"/>
      <c r="K225" s="42"/>
    </row>
    <row r="226" ht="39.75" customHeight="1">
      <c r="A226" s="1">
        <v>225.0</v>
      </c>
      <c r="B226" s="2" t="s">
        <v>24</v>
      </c>
      <c r="C226" s="2" t="s">
        <v>63</v>
      </c>
      <c r="D226" s="13"/>
      <c r="E226" s="13"/>
      <c r="F226" s="45"/>
      <c r="G226" s="42"/>
      <c r="H226" s="42"/>
      <c r="I226" s="42"/>
      <c r="J226" s="22"/>
      <c r="K226" s="42"/>
    </row>
    <row r="227" ht="69.75" customHeight="1">
      <c r="A227" s="1">
        <v>226.0</v>
      </c>
      <c r="B227" s="2" t="s">
        <v>25</v>
      </c>
      <c r="C227" s="2"/>
      <c r="D227" s="13"/>
      <c r="E227" s="13"/>
      <c r="F227" s="44" t="s">
        <v>1204</v>
      </c>
      <c r="G227" s="43">
        <v>1.0</v>
      </c>
      <c r="H227" s="42"/>
      <c r="I227" s="43">
        <v>1.0</v>
      </c>
      <c r="J227" s="22"/>
      <c r="K227" s="42"/>
    </row>
    <row r="228" ht="39.75" customHeight="1">
      <c r="A228" s="1">
        <v>227.0</v>
      </c>
      <c r="B228" s="2" t="s">
        <v>26</v>
      </c>
      <c r="C228" s="2" t="s">
        <v>69</v>
      </c>
      <c r="D228" s="13"/>
      <c r="E228" s="13"/>
      <c r="F228" s="44" t="s">
        <v>3339</v>
      </c>
      <c r="G228" s="43">
        <v>2.0</v>
      </c>
      <c r="H228" s="42"/>
      <c r="I228" s="42"/>
      <c r="J228" s="22"/>
      <c r="K228" s="42"/>
    </row>
    <row r="229" ht="39.75" customHeight="1">
      <c r="A229" s="1">
        <v>228.0</v>
      </c>
      <c r="B229" s="2" t="s">
        <v>29</v>
      </c>
      <c r="C229" s="2" t="s">
        <v>27</v>
      </c>
      <c r="D229" s="13"/>
      <c r="E229" s="13"/>
      <c r="F229" s="44" t="s">
        <v>3340</v>
      </c>
      <c r="G229" s="43">
        <v>1.0</v>
      </c>
      <c r="H229" s="42"/>
      <c r="I229" s="43">
        <v>1.0</v>
      </c>
      <c r="J229" s="22"/>
      <c r="K229" s="42"/>
    </row>
    <row r="230" ht="39.75" customHeight="1">
      <c r="A230" s="1">
        <v>229.0</v>
      </c>
      <c r="B230" s="2" t="s">
        <v>30</v>
      </c>
      <c r="C230" s="2" t="s">
        <v>64</v>
      </c>
      <c r="D230" s="13"/>
      <c r="E230" s="13"/>
      <c r="F230" s="44" t="s">
        <v>2592</v>
      </c>
      <c r="G230" s="43">
        <v>1.0</v>
      </c>
      <c r="H230" s="42"/>
      <c r="I230" s="43">
        <v>1.0</v>
      </c>
      <c r="J230" s="22"/>
      <c r="K230" s="42"/>
    </row>
    <row r="231" ht="39.75" customHeight="1">
      <c r="A231" s="1">
        <v>230.0</v>
      </c>
      <c r="B231" s="2" t="s">
        <v>31</v>
      </c>
      <c r="C231" s="13"/>
      <c r="D231" s="13"/>
      <c r="E231" s="13"/>
      <c r="F231" s="44" t="s">
        <v>3341</v>
      </c>
      <c r="G231" s="43">
        <v>1.0</v>
      </c>
      <c r="H231" s="42"/>
      <c r="I231" s="43">
        <v>1.0</v>
      </c>
      <c r="J231" s="22"/>
      <c r="K231" s="42"/>
    </row>
    <row r="232" ht="39.75" customHeight="1">
      <c r="A232" s="1">
        <v>231.0</v>
      </c>
      <c r="B232" s="2" t="s">
        <v>32</v>
      </c>
      <c r="C232" s="2"/>
      <c r="D232" s="13"/>
      <c r="E232" s="13"/>
      <c r="F232" s="44" t="s">
        <v>3325</v>
      </c>
      <c r="G232" s="43">
        <v>1.0</v>
      </c>
      <c r="H232" s="43">
        <v>1.0</v>
      </c>
      <c r="I232" s="42"/>
      <c r="J232" s="22"/>
      <c r="K232" s="42"/>
    </row>
    <row r="233" ht="39.75" hidden="1" customHeight="1">
      <c r="A233" s="1">
        <v>232.0</v>
      </c>
      <c r="B233" s="2" t="s">
        <v>67</v>
      </c>
      <c r="C233" s="2" t="s">
        <v>66</v>
      </c>
      <c r="D233" s="13"/>
      <c r="E233" s="13"/>
      <c r="F233" s="45"/>
      <c r="G233" s="42"/>
      <c r="H233" s="42"/>
      <c r="I233" s="42"/>
      <c r="J233" s="22"/>
      <c r="K233" s="42"/>
    </row>
    <row r="234" ht="39.75" customHeight="1">
      <c r="A234" s="1">
        <v>233.0</v>
      </c>
      <c r="B234" s="2" t="s">
        <v>35</v>
      </c>
      <c r="C234" s="2" t="s">
        <v>54</v>
      </c>
      <c r="D234" s="13"/>
      <c r="E234" s="51">
        <v>0.8541666666666666</v>
      </c>
      <c r="F234" s="44" t="s">
        <v>3342</v>
      </c>
      <c r="G234" s="43">
        <v>1.0</v>
      </c>
      <c r="H234" s="43">
        <v>1.0</v>
      </c>
      <c r="I234" s="42"/>
      <c r="J234" s="22"/>
      <c r="K234" s="42"/>
    </row>
    <row r="235" ht="39.75" customHeight="1">
      <c r="A235" s="1">
        <v>234.0</v>
      </c>
      <c r="B235" s="2" t="s">
        <v>36</v>
      </c>
      <c r="C235" s="2"/>
      <c r="D235" s="13"/>
      <c r="E235" s="13"/>
      <c r="F235" s="83" t="s">
        <v>3343</v>
      </c>
      <c r="G235" s="43">
        <v>2.0</v>
      </c>
      <c r="H235" s="42"/>
      <c r="I235" s="43">
        <v>2.0</v>
      </c>
      <c r="J235" s="22"/>
      <c r="K235" s="42"/>
    </row>
    <row r="236" ht="39.75" hidden="1" customHeight="1">
      <c r="A236" s="1">
        <v>235.0</v>
      </c>
      <c r="B236" s="2" t="s">
        <v>38</v>
      </c>
      <c r="C236" s="2" t="s">
        <v>58</v>
      </c>
      <c r="D236" s="13"/>
      <c r="E236" s="13"/>
      <c r="F236" s="45"/>
      <c r="G236" s="42"/>
      <c r="H236" s="42"/>
      <c r="I236" s="42"/>
      <c r="J236" s="22"/>
      <c r="K236" s="42"/>
    </row>
    <row r="237" ht="39.75" hidden="1" customHeight="1">
      <c r="A237" s="1">
        <v>236.0</v>
      </c>
      <c r="B237" s="2" t="s">
        <v>41</v>
      </c>
      <c r="C237" s="2" t="s">
        <v>58</v>
      </c>
      <c r="D237" s="13"/>
      <c r="E237" s="13"/>
      <c r="F237" s="45"/>
      <c r="G237" s="42"/>
      <c r="H237" s="42"/>
      <c r="I237" s="42"/>
      <c r="J237" s="22"/>
      <c r="K237" s="42"/>
    </row>
    <row r="238" ht="39.75" customHeight="1">
      <c r="A238" s="1">
        <v>237.0</v>
      </c>
      <c r="B238" s="2" t="s">
        <v>42</v>
      </c>
      <c r="C238" s="2"/>
      <c r="D238" s="13"/>
      <c r="E238" s="13"/>
      <c r="F238" s="44" t="s">
        <v>3344</v>
      </c>
      <c r="G238" s="43">
        <v>1.0</v>
      </c>
      <c r="H238" s="42"/>
      <c r="I238" s="43">
        <v>1.0</v>
      </c>
      <c r="J238" s="22"/>
      <c r="K238" s="42"/>
    </row>
    <row r="239" ht="39.75" customHeight="1">
      <c r="A239" s="1">
        <v>238.0</v>
      </c>
      <c r="B239" s="2" t="s">
        <v>43</v>
      </c>
      <c r="C239" s="2"/>
      <c r="D239" s="13"/>
      <c r="E239" s="13"/>
      <c r="F239" s="44" t="s">
        <v>3300</v>
      </c>
      <c r="G239" s="43">
        <v>1.0</v>
      </c>
      <c r="H239" s="43">
        <v>1.0</v>
      </c>
      <c r="I239" s="42"/>
      <c r="J239" s="22"/>
      <c r="K239" s="42"/>
    </row>
    <row r="240" ht="39.75" hidden="1" customHeight="1">
      <c r="A240" s="1">
        <v>239.0</v>
      </c>
      <c r="B240" s="2" t="s">
        <v>45</v>
      </c>
      <c r="C240" s="2" t="s">
        <v>58</v>
      </c>
      <c r="D240" s="13"/>
      <c r="E240" s="13"/>
      <c r="F240" s="45"/>
      <c r="G240" s="42"/>
      <c r="H240" s="42"/>
      <c r="I240" s="42"/>
      <c r="J240" s="22"/>
      <c r="K240" s="42"/>
    </row>
    <row r="241" ht="39.75" customHeight="1">
      <c r="A241" s="1">
        <v>240.0</v>
      </c>
      <c r="B241" s="2" t="s">
        <v>46</v>
      </c>
      <c r="C241" s="2" t="s">
        <v>39</v>
      </c>
      <c r="D241" s="40"/>
      <c r="E241" s="13"/>
      <c r="F241" s="44" t="s">
        <v>2691</v>
      </c>
      <c r="G241" s="43">
        <v>1.0</v>
      </c>
      <c r="H241" s="42"/>
      <c r="I241" s="43">
        <v>1.0</v>
      </c>
      <c r="J241" s="22"/>
      <c r="K241" s="42"/>
    </row>
    <row r="242" ht="39.75" customHeight="1">
      <c r="A242" s="1">
        <v>241.0</v>
      </c>
      <c r="B242" s="2" t="s">
        <v>47</v>
      </c>
      <c r="C242" s="2" t="s">
        <v>54</v>
      </c>
      <c r="D242" s="53">
        <v>0.375</v>
      </c>
      <c r="E242" s="51">
        <v>0.8680555555555556</v>
      </c>
      <c r="F242" s="44" t="s">
        <v>3345</v>
      </c>
      <c r="G242" s="43">
        <v>1.0</v>
      </c>
      <c r="H242" s="43">
        <v>1.0</v>
      </c>
      <c r="I242" s="42"/>
      <c r="J242" s="22"/>
      <c r="K242" s="42"/>
    </row>
    <row r="243" ht="39.75" customHeight="1">
      <c r="A243" s="1">
        <v>242.0</v>
      </c>
      <c r="B243" s="2" t="s">
        <v>48</v>
      </c>
      <c r="C243" s="2" t="s">
        <v>69</v>
      </c>
      <c r="D243" s="13"/>
      <c r="E243" s="13"/>
      <c r="F243" s="44" t="s">
        <v>3346</v>
      </c>
      <c r="G243" s="43">
        <v>1.0</v>
      </c>
      <c r="H243" s="42"/>
      <c r="I243" s="43">
        <v>1.0</v>
      </c>
      <c r="J243" s="22"/>
      <c r="K243" s="42"/>
    </row>
    <row r="244" ht="39.75" customHeight="1">
      <c r="A244" s="1">
        <v>243.0</v>
      </c>
      <c r="B244" s="21"/>
      <c r="C244" s="21"/>
      <c r="D244" s="21"/>
      <c r="E244" s="21"/>
      <c r="F244" s="46"/>
      <c r="G244" s="47"/>
      <c r="H244" s="47"/>
      <c r="I244" s="47"/>
      <c r="J244" s="48"/>
      <c r="K244" s="47"/>
      <c r="L244" s="49"/>
      <c r="M244" s="49"/>
      <c r="N244" s="49"/>
    </row>
    <row r="245" ht="39.75" hidden="1" customHeight="1">
      <c r="A245" s="1">
        <v>244.0</v>
      </c>
      <c r="B245" s="2" t="s">
        <v>12</v>
      </c>
      <c r="C245" s="2" t="s">
        <v>66</v>
      </c>
      <c r="D245" s="13"/>
      <c r="E245" s="13"/>
      <c r="F245" s="45"/>
      <c r="G245" s="42"/>
      <c r="H245" s="42"/>
      <c r="I245" s="42"/>
      <c r="J245" s="27" t="s">
        <v>3250</v>
      </c>
      <c r="K245" s="42"/>
      <c r="L245" s="15" t="s">
        <v>192</v>
      </c>
    </row>
    <row r="246" ht="39.75" hidden="1" customHeight="1">
      <c r="A246" s="1">
        <v>245.0</v>
      </c>
      <c r="B246" s="2" t="s">
        <v>16</v>
      </c>
      <c r="C246" s="2" t="s">
        <v>58</v>
      </c>
      <c r="D246" s="13"/>
      <c r="E246" s="13"/>
      <c r="F246" s="45"/>
      <c r="G246" s="42"/>
      <c r="H246" s="42"/>
      <c r="I246" s="42"/>
      <c r="J246" s="27" t="s">
        <v>192</v>
      </c>
      <c r="K246" s="43"/>
    </row>
    <row r="247" ht="39.75" customHeight="1">
      <c r="A247" s="1">
        <v>246.0</v>
      </c>
      <c r="B247" s="2" t="s">
        <v>116</v>
      </c>
      <c r="C247" s="2" t="s">
        <v>69</v>
      </c>
      <c r="D247" s="53">
        <v>0.5</v>
      </c>
      <c r="E247" s="40">
        <v>0.8402777777777778</v>
      </c>
      <c r="F247" s="44" t="s">
        <v>3347</v>
      </c>
      <c r="G247" s="43">
        <v>1.0</v>
      </c>
      <c r="H247" s="42"/>
      <c r="I247" s="42"/>
      <c r="J247" s="27" t="s">
        <v>95</v>
      </c>
      <c r="K247" s="42"/>
    </row>
    <row r="248" ht="39.75" customHeight="1">
      <c r="A248" s="1">
        <v>247.0</v>
      </c>
      <c r="B248" s="2" t="s">
        <v>17</v>
      </c>
      <c r="C248" s="2" t="s">
        <v>54</v>
      </c>
      <c r="D248" s="53">
        <v>0.3125</v>
      </c>
      <c r="E248" s="13"/>
      <c r="F248" s="44" t="s">
        <v>3348</v>
      </c>
      <c r="G248" s="43">
        <v>1.0</v>
      </c>
      <c r="H248" s="43">
        <v>1.0</v>
      </c>
      <c r="I248" s="42"/>
      <c r="J248" s="22"/>
      <c r="K248" s="42"/>
    </row>
    <row r="249" ht="39.75" customHeight="1">
      <c r="A249" s="1">
        <v>248.0</v>
      </c>
      <c r="B249" s="2" t="s">
        <v>331</v>
      </c>
      <c r="C249" s="2"/>
      <c r="D249" s="13"/>
      <c r="E249" s="13"/>
      <c r="F249" s="44" t="s">
        <v>3349</v>
      </c>
      <c r="G249" s="43">
        <v>1.0</v>
      </c>
      <c r="H249" s="42"/>
      <c r="I249" s="43">
        <v>1.0</v>
      </c>
      <c r="J249" s="22"/>
      <c r="K249" s="42"/>
    </row>
    <row r="250" ht="39.75" hidden="1" customHeight="1">
      <c r="A250" s="1">
        <v>249.0</v>
      </c>
      <c r="B250" s="2" t="s">
        <v>21</v>
      </c>
      <c r="C250" s="2" t="s">
        <v>58</v>
      </c>
      <c r="D250" s="13"/>
      <c r="E250" s="13"/>
      <c r="F250" s="45"/>
      <c r="G250" s="42"/>
      <c r="H250" s="42"/>
      <c r="I250" s="42"/>
      <c r="J250" s="22"/>
      <c r="K250" s="42"/>
    </row>
    <row r="251" ht="39.75" hidden="1" customHeight="1">
      <c r="A251" s="1">
        <v>250.0</v>
      </c>
      <c r="B251" s="2" t="s">
        <v>22</v>
      </c>
      <c r="C251" s="2" t="s">
        <v>58</v>
      </c>
      <c r="D251" s="13"/>
      <c r="E251" s="13"/>
      <c r="F251" s="45"/>
      <c r="G251" s="42"/>
      <c r="H251" s="42"/>
      <c r="I251" s="42"/>
      <c r="J251" s="22"/>
      <c r="K251" s="42"/>
    </row>
    <row r="252" ht="39.75" customHeight="1">
      <c r="A252" s="1">
        <v>251.0</v>
      </c>
      <c r="B252" s="2" t="s">
        <v>23</v>
      </c>
      <c r="C252" s="2" t="s">
        <v>54</v>
      </c>
      <c r="D252" s="13"/>
      <c r="E252" s="13"/>
      <c r="F252" s="44" t="s">
        <v>3350</v>
      </c>
      <c r="G252" s="43">
        <v>2.0</v>
      </c>
      <c r="H252" s="42"/>
      <c r="I252" s="43">
        <v>1.0</v>
      </c>
      <c r="J252" s="22"/>
      <c r="K252" s="42"/>
    </row>
    <row r="253" ht="39.75" customHeight="1">
      <c r="A253" s="1">
        <v>252.0</v>
      </c>
      <c r="B253" s="2" t="s">
        <v>24</v>
      </c>
      <c r="C253" s="2" t="s">
        <v>63</v>
      </c>
      <c r="D253" s="13"/>
      <c r="E253" s="13"/>
      <c r="F253" s="45"/>
      <c r="G253" s="42"/>
      <c r="H253" s="42"/>
      <c r="I253" s="42"/>
      <c r="J253" s="22"/>
      <c r="K253" s="42"/>
    </row>
    <row r="254" ht="39.75" customHeight="1">
      <c r="A254" s="1">
        <v>253.0</v>
      </c>
      <c r="B254" s="2" t="s">
        <v>25</v>
      </c>
      <c r="C254" s="2" t="s">
        <v>39</v>
      </c>
      <c r="D254" s="13"/>
      <c r="E254" s="13"/>
      <c r="F254" s="44" t="s">
        <v>3351</v>
      </c>
      <c r="G254" s="43">
        <v>1.0</v>
      </c>
      <c r="H254" s="42"/>
      <c r="I254" s="42"/>
      <c r="J254" s="22"/>
      <c r="K254" s="42"/>
    </row>
    <row r="255" ht="39.75" customHeight="1">
      <c r="A255" s="1">
        <v>254.0</v>
      </c>
      <c r="B255" s="2" t="s">
        <v>26</v>
      </c>
      <c r="C255" s="2" t="s">
        <v>69</v>
      </c>
      <c r="D255" s="13"/>
      <c r="E255" s="40">
        <v>0.8958333333333334</v>
      </c>
      <c r="F255" s="44" t="s">
        <v>3352</v>
      </c>
      <c r="G255" s="43">
        <v>1.0</v>
      </c>
      <c r="H255" s="42"/>
      <c r="I255" s="42"/>
      <c r="J255" s="22"/>
      <c r="K255" s="42"/>
    </row>
    <row r="256" ht="39.75" customHeight="1">
      <c r="A256" s="1">
        <v>255.0</v>
      </c>
      <c r="B256" s="2" t="s">
        <v>29</v>
      </c>
      <c r="C256" s="2" t="s">
        <v>44</v>
      </c>
      <c r="D256" s="13"/>
      <c r="E256" s="13"/>
      <c r="F256" s="52" t="s">
        <v>3353</v>
      </c>
      <c r="G256" s="56">
        <v>1.0</v>
      </c>
      <c r="H256" s="42"/>
      <c r="I256" s="43">
        <v>1.0</v>
      </c>
      <c r="J256" s="22"/>
      <c r="K256" s="42"/>
    </row>
    <row r="257" ht="39.75" customHeight="1">
      <c r="A257" s="1">
        <v>256.0</v>
      </c>
      <c r="B257" s="2" t="s">
        <v>30</v>
      </c>
      <c r="C257" s="2" t="s">
        <v>64</v>
      </c>
      <c r="D257" s="13"/>
      <c r="E257" s="13"/>
      <c r="F257" s="44" t="s">
        <v>2592</v>
      </c>
      <c r="G257" s="43">
        <v>1.0</v>
      </c>
      <c r="H257" s="42"/>
      <c r="I257" s="43">
        <v>1.0</v>
      </c>
      <c r="J257" s="22"/>
      <c r="K257" s="42"/>
    </row>
    <row r="258" ht="39.75" customHeight="1">
      <c r="A258" s="1">
        <v>257.0</v>
      </c>
      <c r="B258" s="2" t="s">
        <v>31</v>
      </c>
      <c r="C258" s="13"/>
      <c r="D258" s="13"/>
      <c r="E258" s="13"/>
      <c r="F258" s="44" t="s">
        <v>2821</v>
      </c>
      <c r="G258" s="43">
        <v>1.0</v>
      </c>
      <c r="H258" s="42"/>
      <c r="I258" s="43">
        <v>1.0</v>
      </c>
      <c r="J258" s="22"/>
      <c r="K258" s="42"/>
    </row>
    <row r="259" ht="39.75" customHeight="1">
      <c r="A259" s="1">
        <v>258.0</v>
      </c>
      <c r="B259" s="2" t="s">
        <v>32</v>
      </c>
      <c r="C259" s="2"/>
      <c r="D259" s="13"/>
      <c r="E259" s="13"/>
      <c r="F259" s="44" t="s">
        <v>3325</v>
      </c>
      <c r="G259" s="43">
        <v>1.0</v>
      </c>
      <c r="H259" s="43">
        <v>1.0</v>
      </c>
      <c r="I259" s="42"/>
      <c r="J259" s="22"/>
      <c r="K259" s="42"/>
    </row>
    <row r="260" ht="39.75" hidden="1" customHeight="1">
      <c r="A260" s="1">
        <v>259.0</v>
      </c>
      <c r="B260" s="2" t="s">
        <v>67</v>
      </c>
      <c r="C260" s="2" t="s">
        <v>58</v>
      </c>
      <c r="D260" s="13"/>
      <c r="E260" s="13"/>
      <c r="F260" s="45"/>
      <c r="G260" s="42"/>
      <c r="H260" s="42"/>
      <c r="I260" s="42"/>
      <c r="J260" s="22"/>
      <c r="K260" s="42"/>
    </row>
    <row r="261" ht="39.75" customHeight="1">
      <c r="A261" s="1">
        <v>260.0</v>
      </c>
      <c r="B261" s="2" t="s">
        <v>35</v>
      </c>
      <c r="C261" s="2" t="s">
        <v>54</v>
      </c>
      <c r="D261" s="13"/>
      <c r="E261" s="13"/>
      <c r="F261" s="44" t="s">
        <v>3354</v>
      </c>
      <c r="G261" s="43">
        <v>2.0</v>
      </c>
      <c r="H261" s="42"/>
      <c r="I261" s="43">
        <v>2.0</v>
      </c>
      <c r="J261" s="22"/>
      <c r="K261" s="42"/>
    </row>
    <row r="262" ht="39.75" customHeight="1">
      <c r="A262" s="1">
        <v>261.0</v>
      </c>
      <c r="B262" s="2" t="s">
        <v>36</v>
      </c>
      <c r="C262" s="2" t="s">
        <v>39</v>
      </c>
      <c r="D262" s="13"/>
      <c r="E262" s="13"/>
      <c r="F262" s="44" t="s">
        <v>3355</v>
      </c>
      <c r="G262" s="43">
        <v>1.0</v>
      </c>
      <c r="H262" s="42"/>
      <c r="I262" s="43">
        <v>1.0</v>
      </c>
      <c r="J262" s="22"/>
      <c r="K262" s="42"/>
    </row>
    <row r="263" ht="39.75" hidden="1" customHeight="1">
      <c r="A263" s="1">
        <v>262.0</v>
      </c>
      <c r="B263" s="2" t="s">
        <v>38</v>
      </c>
      <c r="C263" s="2" t="s">
        <v>66</v>
      </c>
      <c r="D263" s="13"/>
      <c r="E263" s="13"/>
      <c r="F263" s="45"/>
      <c r="G263" s="42"/>
      <c r="H263" s="42"/>
      <c r="I263" s="42"/>
      <c r="J263" s="22"/>
      <c r="K263" s="42"/>
    </row>
    <row r="264" ht="39.75" hidden="1" customHeight="1">
      <c r="A264" s="1">
        <v>263.0</v>
      </c>
      <c r="B264" s="2" t="s">
        <v>41</v>
      </c>
      <c r="C264" s="2" t="s">
        <v>58</v>
      </c>
      <c r="D264" s="13"/>
      <c r="E264" s="13"/>
      <c r="F264" s="45"/>
      <c r="G264" s="42"/>
      <c r="H264" s="42"/>
      <c r="I264" s="42"/>
      <c r="J264" s="22"/>
      <c r="K264" s="42"/>
    </row>
    <row r="265" ht="39.75" customHeight="1">
      <c r="A265" s="1">
        <v>264.0</v>
      </c>
      <c r="B265" s="2" t="s">
        <v>42</v>
      </c>
      <c r="C265" s="2"/>
      <c r="D265" s="13"/>
      <c r="E265" s="13"/>
      <c r="F265" s="44" t="s">
        <v>3356</v>
      </c>
      <c r="G265" s="43">
        <v>1.0</v>
      </c>
      <c r="H265" s="42"/>
      <c r="I265" s="42"/>
      <c r="J265" s="22"/>
      <c r="K265" s="42"/>
    </row>
    <row r="266" ht="39.75" customHeight="1">
      <c r="A266" s="1">
        <v>265.0</v>
      </c>
      <c r="B266" s="2" t="s">
        <v>43</v>
      </c>
      <c r="C266" s="2"/>
      <c r="D266" s="13"/>
      <c r="E266" s="13"/>
      <c r="F266" s="44" t="s">
        <v>3300</v>
      </c>
      <c r="G266" s="43">
        <v>1.0</v>
      </c>
      <c r="H266" s="43">
        <v>1.0</v>
      </c>
      <c r="I266" s="42"/>
      <c r="J266" s="22"/>
      <c r="K266" s="42"/>
    </row>
    <row r="267" ht="39.75" customHeight="1">
      <c r="A267" s="1">
        <v>266.0</v>
      </c>
      <c r="B267" s="2" t="s">
        <v>45</v>
      </c>
      <c r="C267" s="2" t="s">
        <v>27</v>
      </c>
      <c r="D267" s="13"/>
      <c r="E267" s="13"/>
      <c r="F267" s="44" t="s">
        <v>3357</v>
      </c>
      <c r="G267" s="43">
        <v>1.0</v>
      </c>
      <c r="H267" s="42"/>
      <c r="I267" s="43">
        <v>1.0</v>
      </c>
      <c r="J267" s="22"/>
      <c r="K267" s="42"/>
    </row>
    <row r="268" ht="39.75" customHeight="1">
      <c r="A268" s="1">
        <v>267.0</v>
      </c>
      <c r="B268" s="2" t="s">
        <v>46</v>
      </c>
      <c r="C268" s="2" t="s">
        <v>69</v>
      </c>
      <c r="D268" s="13"/>
      <c r="E268" s="40">
        <v>0.8125</v>
      </c>
      <c r="F268" s="44" t="s">
        <v>2770</v>
      </c>
      <c r="G268" s="43">
        <v>1.0</v>
      </c>
      <c r="H268" s="42"/>
      <c r="I268" s="43">
        <v>1.0</v>
      </c>
      <c r="J268" s="22"/>
      <c r="K268" s="42"/>
    </row>
    <row r="269" ht="39.75" customHeight="1">
      <c r="A269" s="1">
        <v>268.0</v>
      </c>
      <c r="B269" s="2" t="s">
        <v>47</v>
      </c>
      <c r="C269" s="2" t="s">
        <v>54</v>
      </c>
      <c r="D269" s="13"/>
      <c r="E269" s="13"/>
      <c r="F269" s="44" t="s">
        <v>3345</v>
      </c>
      <c r="G269" s="43">
        <v>1.0</v>
      </c>
      <c r="H269" s="43">
        <v>1.0</v>
      </c>
      <c r="I269" s="42"/>
      <c r="J269" s="22"/>
      <c r="K269" s="42"/>
    </row>
    <row r="270" ht="39.75" customHeight="1">
      <c r="A270" s="1">
        <v>269.0</v>
      </c>
      <c r="B270" s="2" t="s">
        <v>48</v>
      </c>
      <c r="C270" s="2"/>
      <c r="D270" s="13"/>
      <c r="E270" s="13"/>
      <c r="F270" s="44" t="s">
        <v>3358</v>
      </c>
      <c r="G270" s="43">
        <v>2.0</v>
      </c>
      <c r="H270" s="42"/>
      <c r="I270" s="43">
        <v>2.0</v>
      </c>
      <c r="J270" s="22"/>
      <c r="K270" s="42"/>
    </row>
    <row r="271" ht="39.75" customHeight="1">
      <c r="A271" s="1">
        <v>270.0</v>
      </c>
      <c r="B271" s="21"/>
      <c r="C271" s="21"/>
      <c r="D271" s="21"/>
      <c r="E271" s="21"/>
      <c r="F271" s="46"/>
      <c r="G271" s="47"/>
      <c r="H271" s="47"/>
      <c r="I271" s="47"/>
      <c r="J271" s="48"/>
      <c r="K271" s="47"/>
      <c r="L271" s="49"/>
      <c r="M271" s="49"/>
      <c r="N271" s="49"/>
    </row>
    <row r="272" ht="39.75" customHeight="1">
      <c r="A272" s="1">
        <v>271.0</v>
      </c>
      <c r="B272" s="2" t="s">
        <v>12</v>
      </c>
      <c r="C272" s="2" t="s">
        <v>62</v>
      </c>
      <c r="D272" s="13"/>
      <c r="E272" s="13"/>
      <c r="F272" s="44" t="s">
        <v>1543</v>
      </c>
      <c r="G272" s="43">
        <v>1.0</v>
      </c>
      <c r="H272" s="42"/>
      <c r="I272" s="43">
        <v>1.0</v>
      </c>
      <c r="J272" s="27" t="s">
        <v>3250</v>
      </c>
      <c r="K272" s="42"/>
      <c r="L272" s="15" t="s">
        <v>209</v>
      </c>
    </row>
    <row r="273" ht="39.75" customHeight="1">
      <c r="A273" s="1">
        <v>272.0</v>
      </c>
      <c r="B273" s="2" t="s">
        <v>16</v>
      </c>
      <c r="C273" s="2" t="s">
        <v>39</v>
      </c>
      <c r="D273" s="40"/>
      <c r="E273" s="13"/>
      <c r="F273" s="44" t="s">
        <v>3359</v>
      </c>
      <c r="G273" s="43">
        <v>2.0</v>
      </c>
      <c r="H273" s="42"/>
      <c r="I273" s="43">
        <v>1.0</v>
      </c>
      <c r="J273" s="27" t="s">
        <v>209</v>
      </c>
      <c r="K273" s="43"/>
    </row>
    <row r="274" ht="39.75" hidden="1" customHeight="1">
      <c r="A274" s="1">
        <v>273.0</v>
      </c>
      <c r="B274" s="2" t="s">
        <v>116</v>
      </c>
      <c r="C274" s="2" t="s">
        <v>66</v>
      </c>
      <c r="D274" s="13"/>
      <c r="E274" s="13"/>
      <c r="F274" s="45"/>
      <c r="G274" s="42"/>
      <c r="H274" s="42"/>
      <c r="I274" s="42"/>
      <c r="J274" s="27" t="s">
        <v>111</v>
      </c>
      <c r="K274" s="42"/>
    </row>
    <row r="275" ht="39.75" customHeight="1">
      <c r="A275" s="1">
        <v>274.0</v>
      </c>
      <c r="B275" s="2" t="s">
        <v>17</v>
      </c>
      <c r="C275" s="2" t="s">
        <v>54</v>
      </c>
      <c r="D275" s="13"/>
      <c r="E275" s="13"/>
      <c r="F275" s="44" t="s">
        <v>3348</v>
      </c>
      <c r="G275" s="43">
        <v>1.0</v>
      </c>
      <c r="H275" s="43">
        <v>1.0</v>
      </c>
      <c r="I275" s="42"/>
      <c r="J275" s="22"/>
      <c r="K275" s="42"/>
    </row>
    <row r="276" ht="39.75" customHeight="1">
      <c r="A276" s="1">
        <v>275.0</v>
      </c>
      <c r="B276" s="2" t="s">
        <v>331</v>
      </c>
      <c r="C276" s="2" t="s">
        <v>542</v>
      </c>
      <c r="D276" s="13"/>
      <c r="E276" s="13"/>
      <c r="F276" s="44" t="s">
        <v>3360</v>
      </c>
      <c r="G276" s="43">
        <v>1.0</v>
      </c>
      <c r="H276" s="42"/>
      <c r="I276" s="43">
        <v>1.0</v>
      </c>
      <c r="J276" s="22"/>
      <c r="K276" s="42"/>
    </row>
    <row r="277" ht="39.75" hidden="1" customHeight="1">
      <c r="A277" s="1">
        <v>276.0</v>
      </c>
      <c r="B277" s="2" t="s">
        <v>21</v>
      </c>
      <c r="C277" s="2" t="s">
        <v>58</v>
      </c>
      <c r="D277" s="13"/>
      <c r="E277" s="13"/>
      <c r="F277" s="45"/>
      <c r="G277" s="42"/>
      <c r="H277" s="42"/>
      <c r="I277" s="42"/>
      <c r="J277" s="22"/>
      <c r="K277" s="42"/>
    </row>
    <row r="278" ht="39.75" customHeight="1">
      <c r="A278" s="1">
        <v>277.0</v>
      </c>
      <c r="B278" s="2" t="s">
        <v>22</v>
      </c>
      <c r="C278" s="2" t="s">
        <v>69</v>
      </c>
      <c r="D278" s="13"/>
      <c r="E278" s="40">
        <v>0.8055555555555556</v>
      </c>
      <c r="F278" s="44" t="s">
        <v>3361</v>
      </c>
      <c r="G278" s="43">
        <v>2.0</v>
      </c>
      <c r="H278" s="42"/>
      <c r="I278" s="42"/>
      <c r="J278" s="22"/>
      <c r="K278" s="42"/>
    </row>
    <row r="279" ht="39.75" customHeight="1">
      <c r="A279" s="1">
        <v>278.0</v>
      </c>
      <c r="B279" s="2" t="s">
        <v>23</v>
      </c>
      <c r="C279" s="2" t="s">
        <v>54</v>
      </c>
      <c r="D279" s="53">
        <v>0.2916666666666667</v>
      </c>
      <c r="E279" s="13"/>
      <c r="F279" s="44" t="s">
        <v>3362</v>
      </c>
      <c r="G279" s="43">
        <v>2.0</v>
      </c>
      <c r="H279" s="42"/>
      <c r="I279" s="42"/>
      <c r="J279" s="22"/>
      <c r="K279" s="42"/>
    </row>
    <row r="280" ht="39.75" customHeight="1">
      <c r="A280" s="1">
        <v>279.0</v>
      </c>
      <c r="B280" s="2" t="s">
        <v>24</v>
      </c>
      <c r="C280" s="2" t="s">
        <v>63</v>
      </c>
      <c r="D280" s="13"/>
      <c r="E280" s="13"/>
      <c r="F280" s="45"/>
      <c r="G280" s="42"/>
      <c r="H280" s="42"/>
      <c r="I280" s="42"/>
      <c r="J280" s="22"/>
      <c r="K280" s="42"/>
    </row>
    <row r="281" ht="39.75" customHeight="1">
      <c r="A281" s="1">
        <v>280.0</v>
      </c>
      <c r="B281" s="2" t="s">
        <v>25</v>
      </c>
      <c r="C281" s="2"/>
      <c r="D281" s="13"/>
      <c r="E281" s="13"/>
      <c r="F281" s="44" t="s">
        <v>3363</v>
      </c>
      <c r="G281" s="43">
        <v>2.0</v>
      </c>
      <c r="H281" s="42"/>
      <c r="I281" s="43">
        <v>1.0</v>
      </c>
      <c r="J281" s="22"/>
      <c r="K281" s="42"/>
    </row>
    <row r="282" ht="39.75" hidden="1" customHeight="1">
      <c r="A282" s="1">
        <v>281.0</v>
      </c>
      <c r="B282" s="2" t="s">
        <v>26</v>
      </c>
      <c r="C282" s="2" t="s">
        <v>58</v>
      </c>
      <c r="D282" s="13"/>
      <c r="E282" s="13"/>
      <c r="F282" s="45"/>
      <c r="G282" s="42"/>
      <c r="H282" s="42"/>
      <c r="I282" s="42"/>
      <c r="J282" s="22"/>
      <c r="K282" s="42"/>
    </row>
    <row r="283" ht="39.75" customHeight="1">
      <c r="A283" s="1">
        <v>282.0</v>
      </c>
      <c r="B283" s="2" t="s">
        <v>29</v>
      </c>
      <c r="C283" s="2"/>
      <c r="D283" s="13"/>
      <c r="E283" s="13"/>
      <c r="F283" s="44" t="s">
        <v>3364</v>
      </c>
      <c r="G283" s="43">
        <v>2.0</v>
      </c>
      <c r="H283" s="42"/>
      <c r="I283" s="43">
        <v>1.0</v>
      </c>
      <c r="J283" s="22"/>
      <c r="K283" s="42"/>
    </row>
    <row r="284" ht="39.75" customHeight="1">
      <c r="A284" s="1">
        <v>283.0</v>
      </c>
      <c r="B284" s="2" t="s">
        <v>30</v>
      </c>
      <c r="C284" s="2" t="s">
        <v>64</v>
      </c>
      <c r="D284" s="13"/>
      <c r="E284" s="13"/>
      <c r="F284" s="44" t="s">
        <v>2592</v>
      </c>
      <c r="G284" s="43">
        <v>1.0</v>
      </c>
      <c r="H284" s="42"/>
      <c r="I284" s="43">
        <v>1.0</v>
      </c>
      <c r="J284" s="22"/>
      <c r="K284" s="42"/>
    </row>
    <row r="285" ht="39.75" customHeight="1">
      <c r="A285" s="1">
        <v>284.0</v>
      </c>
      <c r="B285" s="2" t="s">
        <v>31</v>
      </c>
      <c r="C285" s="2" t="s">
        <v>69</v>
      </c>
      <c r="D285" s="13"/>
      <c r="E285" s="13"/>
      <c r="F285" s="44" t="s">
        <v>3365</v>
      </c>
      <c r="G285" s="43">
        <v>1.0</v>
      </c>
      <c r="H285" s="42"/>
      <c r="I285" s="43">
        <v>1.0</v>
      </c>
      <c r="J285" s="22"/>
      <c r="K285" s="42"/>
    </row>
    <row r="286" ht="39.75" customHeight="1">
      <c r="A286" s="1">
        <v>285.0</v>
      </c>
      <c r="B286" s="2" t="s">
        <v>32</v>
      </c>
      <c r="C286" s="2"/>
      <c r="D286" s="13"/>
      <c r="E286" s="13"/>
      <c r="F286" s="44" t="s">
        <v>3325</v>
      </c>
      <c r="G286" s="43">
        <v>1.0</v>
      </c>
      <c r="H286" s="43">
        <v>1.0</v>
      </c>
      <c r="I286" s="42"/>
      <c r="J286" s="22"/>
      <c r="K286" s="42"/>
    </row>
    <row r="287" ht="39.75" customHeight="1">
      <c r="A287" s="1">
        <v>286.0</v>
      </c>
      <c r="B287" s="2" t="s">
        <v>67</v>
      </c>
      <c r="C287" s="2" t="s">
        <v>27</v>
      </c>
      <c r="D287" s="13"/>
      <c r="E287" s="13"/>
      <c r="F287" s="44" t="s">
        <v>3319</v>
      </c>
      <c r="G287" s="43">
        <v>1.0</v>
      </c>
      <c r="H287" s="42"/>
      <c r="I287" s="42"/>
      <c r="J287" s="22"/>
      <c r="K287" s="42"/>
    </row>
    <row r="288" ht="39.75" customHeight="1">
      <c r="A288" s="1">
        <v>287.0</v>
      </c>
      <c r="B288" s="2" t="s">
        <v>35</v>
      </c>
      <c r="C288" s="2" t="s">
        <v>54</v>
      </c>
      <c r="D288" s="13"/>
      <c r="E288" s="13"/>
      <c r="F288" s="44" t="s">
        <v>3366</v>
      </c>
      <c r="G288" s="43">
        <v>1.0</v>
      </c>
      <c r="H288" s="42"/>
      <c r="I288" s="42"/>
      <c r="J288" s="22"/>
      <c r="K288" s="42"/>
    </row>
    <row r="289" ht="39.75" customHeight="1">
      <c r="A289" s="1">
        <v>288.0</v>
      </c>
      <c r="B289" s="2" t="s">
        <v>36</v>
      </c>
      <c r="C289" s="2"/>
      <c r="D289" s="13"/>
      <c r="E289" s="13"/>
      <c r="F289" s="44" t="s">
        <v>2788</v>
      </c>
      <c r="G289" s="43">
        <v>1.0</v>
      </c>
      <c r="H289" s="42"/>
      <c r="I289" s="43">
        <v>1.0</v>
      </c>
      <c r="J289" s="22"/>
      <c r="K289" s="42"/>
    </row>
    <row r="290" ht="39.75" hidden="1" customHeight="1">
      <c r="A290" s="1">
        <v>289.0</v>
      </c>
      <c r="B290" s="2" t="s">
        <v>38</v>
      </c>
      <c r="C290" s="2" t="s">
        <v>58</v>
      </c>
      <c r="D290" s="13"/>
      <c r="E290" s="13"/>
      <c r="F290" s="45"/>
      <c r="G290" s="42"/>
      <c r="H290" s="42"/>
      <c r="I290" s="42"/>
      <c r="J290" s="22"/>
      <c r="K290" s="42"/>
    </row>
    <row r="291" ht="39.75" hidden="1" customHeight="1">
      <c r="A291" s="1">
        <v>290.0</v>
      </c>
      <c r="B291" s="2" t="s">
        <v>41</v>
      </c>
      <c r="C291" s="2" t="s">
        <v>58</v>
      </c>
      <c r="D291" s="13"/>
      <c r="E291" s="13"/>
      <c r="F291" s="45"/>
      <c r="G291" s="42"/>
      <c r="H291" s="42"/>
      <c r="I291" s="42"/>
      <c r="J291" s="22"/>
      <c r="K291" s="42"/>
    </row>
    <row r="292" ht="39.75" customHeight="1">
      <c r="A292" s="1">
        <v>291.0</v>
      </c>
      <c r="B292" s="2" t="s">
        <v>42</v>
      </c>
      <c r="C292" s="2" t="s">
        <v>69</v>
      </c>
      <c r="D292" s="13"/>
      <c r="E292" s="13"/>
      <c r="F292" s="44" t="s">
        <v>3367</v>
      </c>
      <c r="G292" s="43">
        <v>1.0</v>
      </c>
      <c r="H292" s="42"/>
      <c r="I292" s="43">
        <v>1.0</v>
      </c>
      <c r="J292" s="22"/>
      <c r="K292" s="42"/>
    </row>
    <row r="293" ht="39.75" customHeight="1">
      <c r="A293" s="1">
        <v>292.0</v>
      </c>
      <c r="B293" s="2" t="s">
        <v>43</v>
      </c>
      <c r="C293" s="2"/>
      <c r="D293" s="13"/>
      <c r="E293" s="13"/>
      <c r="F293" s="44" t="s">
        <v>3300</v>
      </c>
      <c r="G293" s="43">
        <v>1.0</v>
      </c>
      <c r="H293" s="43">
        <v>1.0</v>
      </c>
      <c r="I293" s="42"/>
      <c r="J293" s="22"/>
      <c r="K293" s="42"/>
    </row>
    <row r="294" ht="39.75" customHeight="1">
      <c r="A294" s="1">
        <v>293.0</v>
      </c>
      <c r="B294" s="2" t="s">
        <v>45</v>
      </c>
      <c r="C294" s="2" t="s">
        <v>44</v>
      </c>
      <c r="D294" s="13"/>
      <c r="E294" s="13"/>
      <c r="F294" s="45"/>
      <c r="G294" s="42"/>
      <c r="H294" s="42"/>
      <c r="I294" s="42"/>
      <c r="J294" s="22"/>
      <c r="K294" s="42"/>
    </row>
    <row r="295" ht="39.75" customHeight="1">
      <c r="A295" s="1">
        <v>294.0</v>
      </c>
      <c r="B295" s="2" t="s">
        <v>46</v>
      </c>
      <c r="C295" s="2" t="s">
        <v>39</v>
      </c>
      <c r="D295" s="13"/>
      <c r="E295" s="13"/>
      <c r="F295" s="44" t="s">
        <v>3368</v>
      </c>
      <c r="G295" s="43">
        <v>2.0</v>
      </c>
      <c r="H295" s="42"/>
      <c r="I295" s="42"/>
      <c r="J295" s="22"/>
      <c r="K295" s="42"/>
    </row>
    <row r="296" ht="39.75" customHeight="1">
      <c r="A296" s="1">
        <v>295.0</v>
      </c>
      <c r="B296" s="2" t="s">
        <v>47</v>
      </c>
      <c r="C296" s="2" t="s">
        <v>54</v>
      </c>
      <c r="D296" s="53">
        <v>0.3263888888888889</v>
      </c>
      <c r="E296" s="13"/>
      <c r="F296" s="44" t="s">
        <v>2664</v>
      </c>
      <c r="G296" s="43">
        <v>1.0</v>
      </c>
      <c r="H296" s="42"/>
      <c r="I296" s="43">
        <v>1.0</v>
      </c>
      <c r="J296" s="22"/>
      <c r="K296" s="42"/>
    </row>
    <row r="297" ht="39.75" customHeight="1">
      <c r="A297" s="1">
        <v>296.0</v>
      </c>
      <c r="B297" s="2" t="s">
        <v>48</v>
      </c>
      <c r="C297" s="2"/>
      <c r="D297" s="13"/>
      <c r="E297" s="13"/>
      <c r="F297" s="44" t="s">
        <v>3369</v>
      </c>
      <c r="G297" s="43">
        <v>2.0</v>
      </c>
      <c r="H297" s="42"/>
      <c r="I297" s="43">
        <v>1.0</v>
      </c>
      <c r="J297" s="22"/>
      <c r="K297" s="42"/>
    </row>
    <row r="298" ht="39.75" customHeight="1">
      <c r="A298" s="1">
        <v>297.0</v>
      </c>
      <c r="B298" s="21"/>
      <c r="C298" s="21"/>
      <c r="D298" s="21"/>
      <c r="E298" s="21"/>
      <c r="F298" s="46"/>
      <c r="G298" s="47"/>
      <c r="H298" s="47"/>
      <c r="I298" s="47"/>
      <c r="J298" s="48"/>
      <c r="K298" s="47"/>
      <c r="L298" s="49"/>
      <c r="M298" s="49"/>
      <c r="N298" s="49"/>
    </row>
    <row r="299" ht="39.75" customHeight="1">
      <c r="A299" s="1">
        <v>298.0</v>
      </c>
      <c r="B299" s="2" t="s">
        <v>12</v>
      </c>
      <c r="C299" s="2" t="s">
        <v>62</v>
      </c>
      <c r="D299" s="13"/>
      <c r="E299" s="13"/>
      <c r="F299" s="45"/>
      <c r="G299" s="42"/>
      <c r="H299" s="42"/>
      <c r="I299" s="42"/>
      <c r="J299" s="27" t="s">
        <v>3250</v>
      </c>
      <c r="K299" s="42"/>
      <c r="L299" s="15" t="s">
        <v>228</v>
      </c>
    </row>
    <row r="300" ht="39.75" customHeight="1">
      <c r="A300" s="1">
        <v>299.0</v>
      </c>
      <c r="B300" s="2" t="s">
        <v>16</v>
      </c>
      <c r="C300" s="2"/>
      <c r="D300" s="13"/>
      <c r="E300" s="13"/>
      <c r="F300" s="44" t="s">
        <v>1285</v>
      </c>
      <c r="G300" s="43">
        <v>1.0</v>
      </c>
      <c r="H300" s="42"/>
      <c r="I300" s="43">
        <v>1.0</v>
      </c>
      <c r="J300" s="27" t="s">
        <v>228</v>
      </c>
      <c r="K300" s="43"/>
    </row>
    <row r="301" ht="39.75" customHeight="1">
      <c r="A301" s="1">
        <v>300.0</v>
      </c>
      <c r="B301" s="2" t="s">
        <v>116</v>
      </c>
      <c r="C301" s="2" t="s">
        <v>27</v>
      </c>
      <c r="D301" s="13"/>
      <c r="E301" s="13"/>
      <c r="F301" s="44" t="s">
        <v>2333</v>
      </c>
      <c r="G301" s="43">
        <v>1.0</v>
      </c>
      <c r="H301" s="42"/>
      <c r="I301" s="42"/>
      <c r="J301" s="27" t="s">
        <v>131</v>
      </c>
      <c r="K301" s="42"/>
    </row>
    <row r="302" ht="93.0" customHeight="1">
      <c r="A302" s="1">
        <v>301.0</v>
      </c>
      <c r="B302" s="2" t="s">
        <v>17</v>
      </c>
      <c r="C302" s="2" t="s">
        <v>54</v>
      </c>
      <c r="D302" s="13"/>
      <c r="E302" s="51">
        <v>0.9375</v>
      </c>
      <c r="F302" s="44" t="s">
        <v>3348</v>
      </c>
      <c r="G302" s="43">
        <v>1.0</v>
      </c>
      <c r="H302" s="43">
        <v>1.0</v>
      </c>
      <c r="I302" s="42"/>
      <c r="J302" s="22"/>
      <c r="K302" s="42"/>
    </row>
    <row r="303" ht="39.75" customHeight="1">
      <c r="A303" s="1">
        <v>302.0</v>
      </c>
      <c r="B303" s="2" t="s">
        <v>331</v>
      </c>
      <c r="C303" s="2" t="s">
        <v>542</v>
      </c>
      <c r="D303" s="13"/>
      <c r="E303" s="51">
        <v>0.8055555555555556</v>
      </c>
      <c r="F303" s="44" t="s">
        <v>3370</v>
      </c>
      <c r="G303" s="43">
        <v>1.0</v>
      </c>
      <c r="H303" s="42"/>
      <c r="I303" s="43">
        <v>1.0</v>
      </c>
      <c r="J303" s="22"/>
      <c r="K303" s="42"/>
    </row>
    <row r="304" ht="39.75" hidden="1" customHeight="1">
      <c r="A304" s="1">
        <v>303.0</v>
      </c>
      <c r="B304" s="2" t="s">
        <v>21</v>
      </c>
      <c r="C304" s="2" t="s">
        <v>58</v>
      </c>
      <c r="D304" s="13"/>
      <c r="E304" s="13"/>
      <c r="F304" s="45"/>
      <c r="G304" s="42"/>
      <c r="H304" s="42"/>
      <c r="I304" s="42"/>
      <c r="J304" s="22"/>
      <c r="K304" s="42"/>
    </row>
    <row r="305" ht="72.75" customHeight="1">
      <c r="A305" s="1">
        <v>304.0</v>
      </c>
      <c r="B305" s="2" t="s">
        <v>22</v>
      </c>
      <c r="C305" s="2" t="s">
        <v>54</v>
      </c>
      <c r="D305" s="13"/>
      <c r="E305" s="13"/>
      <c r="F305" s="44" t="s">
        <v>3371</v>
      </c>
      <c r="G305" s="43">
        <v>2.0</v>
      </c>
      <c r="H305" s="42"/>
      <c r="I305" s="42"/>
      <c r="J305" s="22"/>
      <c r="K305" s="42"/>
    </row>
    <row r="306" ht="39.75" customHeight="1">
      <c r="A306" s="1">
        <v>305.0</v>
      </c>
      <c r="B306" s="2" t="s">
        <v>23</v>
      </c>
      <c r="C306" s="13"/>
      <c r="D306" s="13"/>
      <c r="E306" s="13"/>
      <c r="F306" s="44" t="s">
        <v>3372</v>
      </c>
      <c r="G306" s="43">
        <v>2.0</v>
      </c>
      <c r="H306" s="42"/>
      <c r="I306" s="43">
        <v>2.0</v>
      </c>
      <c r="J306" s="22"/>
      <c r="K306" s="42"/>
    </row>
    <row r="307" ht="39.75" customHeight="1">
      <c r="A307" s="1">
        <v>306.0</v>
      </c>
      <c r="B307" s="2" t="s">
        <v>24</v>
      </c>
      <c r="C307" s="2" t="s">
        <v>63</v>
      </c>
      <c r="D307" s="13"/>
      <c r="E307" s="13"/>
      <c r="F307" s="45"/>
      <c r="G307" s="42"/>
      <c r="H307" s="42"/>
      <c r="I307" s="42"/>
      <c r="J307" s="22"/>
      <c r="K307" s="42"/>
    </row>
    <row r="308" ht="39.75" hidden="1" customHeight="1">
      <c r="A308" s="1">
        <v>307.0</v>
      </c>
      <c r="B308" s="2" t="s">
        <v>25</v>
      </c>
      <c r="C308" s="2" t="s">
        <v>58</v>
      </c>
      <c r="D308" s="13"/>
      <c r="E308" s="13"/>
      <c r="F308" s="45"/>
      <c r="G308" s="42"/>
      <c r="H308" s="42"/>
      <c r="I308" s="42"/>
      <c r="J308" s="22"/>
      <c r="K308" s="42"/>
    </row>
    <row r="309" ht="39.75" customHeight="1">
      <c r="A309" s="1">
        <v>308.0</v>
      </c>
      <c r="B309" s="2" t="s">
        <v>26</v>
      </c>
      <c r="C309" s="2" t="s">
        <v>69</v>
      </c>
      <c r="D309" s="13"/>
      <c r="E309" s="40">
        <v>0.8472222222222222</v>
      </c>
      <c r="F309" s="44" t="s">
        <v>3373</v>
      </c>
      <c r="G309" s="43">
        <v>2.0</v>
      </c>
      <c r="H309" s="42"/>
      <c r="I309" s="42"/>
      <c r="J309" s="22"/>
      <c r="K309" s="42"/>
    </row>
    <row r="310" ht="39.75" customHeight="1">
      <c r="A310" s="1">
        <v>309.0</v>
      </c>
      <c r="B310" s="2" t="s">
        <v>29</v>
      </c>
      <c r="C310" s="2" t="s">
        <v>39</v>
      </c>
      <c r="D310" s="13"/>
      <c r="E310" s="51">
        <v>0.9305555555555556</v>
      </c>
      <c r="F310" s="44" t="s">
        <v>3374</v>
      </c>
      <c r="G310" s="43">
        <v>1.0</v>
      </c>
      <c r="H310" s="43">
        <v>1.0</v>
      </c>
      <c r="I310" s="43"/>
      <c r="J310" s="22"/>
      <c r="K310" s="42"/>
    </row>
    <row r="311" ht="39.75" hidden="1" customHeight="1">
      <c r="A311" s="1">
        <v>310.0</v>
      </c>
      <c r="B311" s="2" t="s">
        <v>30</v>
      </c>
      <c r="C311" s="2" t="s">
        <v>66</v>
      </c>
      <c r="D311" s="13"/>
      <c r="E311" s="13"/>
      <c r="F311" s="45"/>
      <c r="G311" s="42"/>
      <c r="H311" s="42"/>
      <c r="I311" s="42"/>
      <c r="J311" s="22"/>
      <c r="K311" s="42"/>
    </row>
    <row r="312" ht="39.75" hidden="1" customHeight="1">
      <c r="A312" s="1">
        <v>311.0</v>
      </c>
      <c r="B312" s="2" t="s">
        <v>31</v>
      </c>
      <c r="C312" s="2" t="s">
        <v>66</v>
      </c>
      <c r="D312" s="13"/>
      <c r="E312" s="13"/>
      <c r="F312" s="45"/>
      <c r="G312" s="42"/>
      <c r="H312" s="42"/>
      <c r="I312" s="42"/>
      <c r="J312" s="22"/>
      <c r="K312" s="42"/>
    </row>
    <row r="313" ht="39.75" customHeight="1">
      <c r="A313" s="1">
        <v>312.0</v>
      </c>
      <c r="B313" s="2" t="s">
        <v>32</v>
      </c>
      <c r="C313" s="2"/>
      <c r="D313" s="13"/>
      <c r="E313" s="13"/>
      <c r="F313" s="44" t="s">
        <v>3325</v>
      </c>
      <c r="G313" s="43">
        <v>1.0</v>
      </c>
      <c r="H313" s="43">
        <v>1.0</v>
      </c>
      <c r="I313" s="42"/>
      <c r="J313" s="22"/>
      <c r="K313" s="42"/>
    </row>
    <row r="314" ht="39.75" customHeight="1">
      <c r="A314" s="1">
        <v>313.0</v>
      </c>
      <c r="B314" s="2" t="s">
        <v>67</v>
      </c>
      <c r="C314" s="2" t="s">
        <v>44</v>
      </c>
      <c r="D314" s="13"/>
      <c r="E314" s="13"/>
      <c r="F314" s="45"/>
      <c r="G314" s="42"/>
      <c r="H314" s="42"/>
      <c r="I314" s="42"/>
      <c r="J314" s="22"/>
      <c r="K314" s="42"/>
    </row>
    <row r="315" ht="39.75" customHeight="1">
      <c r="A315" s="1">
        <v>314.0</v>
      </c>
      <c r="B315" s="2" t="s">
        <v>35</v>
      </c>
      <c r="C315" s="2" t="s">
        <v>54</v>
      </c>
      <c r="D315" s="13"/>
      <c r="E315" s="13"/>
      <c r="F315" s="44" t="s">
        <v>3375</v>
      </c>
      <c r="G315" s="43">
        <v>1.0</v>
      </c>
      <c r="H315" s="42"/>
      <c r="I315" s="42"/>
      <c r="J315" s="22"/>
      <c r="K315" s="42"/>
    </row>
    <row r="316" ht="39.75" customHeight="1">
      <c r="A316" s="1">
        <v>315.0</v>
      </c>
      <c r="B316" s="2" t="s">
        <v>36</v>
      </c>
      <c r="C316" s="2" t="s">
        <v>69</v>
      </c>
      <c r="D316" s="13"/>
      <c r="E316" s="13"/>
      <c r="F316" s="44" t="s">
        <v>3376</v>
      </c>
      <c r="G316" s="43">
        <v>1.0</v>
      </c>
      <c r="H316" s="42"/>
      <c r="I316" s="42"/>
      <c r="J316" s="22"/>
      <c r="K316" s="42"/>
    </row>
    <row r="317" ht="39.75" customHeight="1">
      <c r="A317" s="1">
        <v>316.0</v>
      </c>
      <c r="B317" s="2" t="s">
        <v>38</v>
      </c>
      <c r="C317" s="2" t="s">
        <v>54</v>
      </c>
      <c r="D317" s="13"/>
      <c r="E317" s="13"/>
      <c r="F317" s="44" t="s">
        <v>3377</v>
      </c>
      <c r="G317" s="43">
        <v>1.0</v>
      </c>
      <c r="H317" s="42"/>
      <c r="I317" s="42"/>
      <c r="J317" s="22"/>
      <c r="K317" s="42"/>
    </row>
    <row r="318" ht="39.75" hidden="1" customHeight="1">
      <c r="A318" s="1">
        <v>317.0</v>
      </c>
      <c r="B318" s="2" t="s">
        <v>41</v>
      </c>
      <c r="C318" s="2" t="s">
        <v>58</v>
      </c>
      <c r="D318" s="13"/>
      <c r="E318" s="13"/>
      <c r="F318" s="45"/>
      <c r="G318" s="42"/>
      <c r="H318" s="42"/>
      <c r="I318" s="42"/>
      <c r="J318" s="22"/>
      <c r="K318" s="42"/>
    </row>
    <row r="319" ht="39.75" customHeight="1">
      <c r="A319" s="1">
        <v>318.0</v>
      </c>
      <c r="B319" s="2" t="s">
        <v>42</v>
      </c>
      <c r="C319" s="2"/>
      <c r="D319" s="13"/>
      <c r="E319" s="51">
        <v>0.8125</v>
      </c>
      <c r="F319" s="44" t="s">
        <v>3378</v>
      </c>
      <c r="G319" s="43">
        <v>1.0</v>
      </c>
      <c r="H319" s="42"/>
      <c r="I319" s="43">
        <v>1.0</v>
      </c>
      <c r="J319" s="22"/>
      <c r="K319" s="42"/>
    </row>
    <row r="320" ht="39.75" customHeight="1">
      <c r="A320" s="1">
        <v>319.0</v>
      </c>
      <c r="B320" s="2" t="s">
        <v>43</v>
      </c>
      <c r="C320" s="2"/>
      <c r="D320" s="13"/>
      <c r="E320" s="13"/>
      <c r="F320" s="44" t="s">
        <v>3300</v>
      </c>
      <c r="G320" s="43">
        <v>1.0</v>
      </c>
      <c r="H320" s="43">
        <v>1.0</v>
      </c>
      <c r="I320" s="42"/>
      <c r="J320" s="22"/>
      <c r="K320" s="42"/>
    </row>
    <row r="321" ht="39.75" hidden="1" customHeight="1">
      <c r="A321" s="1">
        <v>320.0</v>
      </c>
      <c r="B321" s="2" t="s">
        <v>45</v>
      </c>
      <c r="C321" s="2" t="s">
        <v>58</v>
      </c>
      <c r="D321" s="13"/>
      <c r="E321" s="13"/>
      <c r="F321" s="45"/>
      <c r="G321" s="42"/>
      <c r="H321" s="42"/>
      <c r="I321" s="42"/>
      <c r="J321" s="22"/>
      <c r="K321" s="42"/>
    </row>
    <row r="322" ht="39.75" customHeight="1">
      <c r="A322" s="1">
        <v>321.0</v>
      </c>
      <c r="B322" s="2" t="s">
        <v>46</v>
      </c>
      <c r="C322" s="2" t="s">
        <v>39</v>
      </c>
      <c r="D322" s="13"/>
      <c r="E322" s="51">
        <v>0.7291666666666666</v>
      </c>
      <c r="F322" s="44" t="s">
        <v>2785</v>
      </c>
      <c r="G322" s="43">
        <v>1.0</v>
      </c>
      <c r="H322" s="42"/>
      <c r="I322" s="43">
        <v>1.0</v>
      </c>
      <c r="J322" s="22"/>
      <c r="K322" s="42"/>
    </row>
    <row r="323" ht="39.75" customHeight="1">
      <c r="A323" s="1">
        <v>322.0</v>
      </c>
      <c r="B323" s="2" t="s">
        <v>47</v>
      </c>
      <c r="C323" s="2" t="s">
        <v>69</v>
      </c>
      <c r="D323" s="13"/>
      <c r="E323" s="40">
        <v>0.8472222222222222</v>
      </c>
      <c r="F323" s="44" t="s">
        <v>3379</v>
      </c>
      <c r="G323" s="43">
        <v>1.0</v>
      </c>
      <c r="H323" s="42"/>
      <c r="I323" s="43">
        <v>1.0</v>
      </c>
      <c r="J323" s="22"/>
      <c r="K323" s="42"/>
    </row>
    <row r="324" ht="39.75" hidden="1" customHeight="1">
      <c r="A324" s="1">
        <v>323.0</v>
      </c>
      <c r="B324" s="2" t="s">
        <v>48</v>
      </c>
      <c r="C324" s="2" t="s">
        <v>58</v>
      </c>
      <c r="D324" s="13"/>
      <c r="E324" s="13"/>
      <c r="F324" s="45"/>
      <c r="G324" s="42"/>
      <c r="H324" s="42"/>
      <c r="I324" s="42"/>
      <c r="J324" s="22"/>
      <c r="K324" s="42"/>
    </row>
    <row r="325" ht="39.75" customHeight="1">
      <c r="A325" s="1">
        <v>324.0</v>
      </c>
      <c r="B325" s="21"/>
      <c r="C325" s="21"/>
      <c r="D325" s="21"/>
      <c r="E325" s="21"/>
      <c r="F325" s="46"/>
      <c r="G325" s="47"/>
      <c r="H325" s="47"/>
      <c r="I325" s="47"/>
      <c r="J325" s="48"/>
      <c r="K325" s="47"/>
      <c r="L325" s="49"/>
      <c r="M325" s="49"/>
      <c r="N325" s="49"/>
    </row>
    <row r="326" ht="39.75" customHeight="1">
      <c r="A326" s="1">
        <v>325.0</v>
      </c>
      <c r="B326" s="2" t="s">
        <v>12</v>
      </c>
      <c r="C326" s="2" t="s">
        <v>49</v>
      </c>
      <c r="D326" s="13"/>
      <c r="E326" s="13"/>
      <c r="F326" s="44" t="s">
        <v>3380</v>
      </c>
      <c r="G326" s="43">
        <v>1.0</v>
      </c>
      <c r="H326" s="42"/>
      <c r="I326" s="43">
        <v>1.0</v>
      </c>
      <c r="J326" s="27" t="s">
        <v>3250</v>
      </c>
      <c r="K326" s="42"/>
      <c r="L326" s="15" t="s">
        <v>244</v>
      </c>
    </row>
    <row r="327" ht="39.75" hidden="1" customHeight="1">
      <c r="A327" s="1">
        <v>326.0</v>
      </c>
      <c r="B327" s="2" t="s">
        <v>16</v>
      </c>
      <c r="C327" s="2" t="s">
        <v>13</v>
      </c>
      <c r="D327" s="13"/>
      <c r="E327" s="13"/>
      <c r="F327" s="45"/>
      <c r="G327" s="42"/>
      <c r="H327" s="42"/>
      <c r="I327" s="42"/>
      <c r="J327" s="27" t="s">
        <v>244</v>
      </c>
      <c r="K327" s="43"/>
    </row>
    <row r="328" ht="39.75" customHeight="1">
      <c r="A328" s="1">
        <v>327.0</v>
      </c>
      <c r="B328" s="2" t="s">
        <v>116</v>
      </c>
      <c r="C328" s="2" t="s">
        <v>44</v>
      </c>
      <c r="D328" s="13"/>
      <c r="E328" s="13"/>
      <c r="F328" s="45"/>
      <c r="G328" s="42"/>
      <c r="H328" s="42"/>
      <c r="I328" s="42"/>
      <c r="J328" s="27" t="s">
        <v>149</v>
      </c>
      <c r="K328" s="42"/>
    </row>
    <row r="329" ht="39.75" customHeight="1">
      <c r="A329" s="1">
        <v>328.0</v>
      </c>
      <c r="B329" s="2" t="s">
        <v>263</v>
      </c>
      <c r="C329" s="2" t="s">
        <v>272</v>
      </c>
      <c r="D329" s="13"/>
      <c r="E329" s="13"/>
      <c r="F329" s="44"/>
      <c r="G329" s="42"/>
      <c r="H329" s="42"/>
      <c r="I329" s="42"/>
      <c r="J329" s="27" t="s">
        <v>165</v>
      </c>
      <c r="K329" s="42"/>
    </row>
    <row r="330" ht="39.75" hidden="1" customHeight="1">
      <c r="A330" s="1">
        <v>329.0</v>
      </c>
      <c r="B330" s="2" t="s">
        <v>331</v>
      </c>
      <c r="C330" s="2" t="s">
        <v>13</v>
      </c>
      <c r="D330" s="13"/>
      <c r="E330" s="13"/>
      <c r="F330" s="45"/>
      <c r="G330" s="42"/>
      <c r="H330" s="42"/>
      <c r="I330" s="42"/>
      <c r="J330" s="27" t="s">
        <v>166</v>
      </c>
      <c r="K330" s="42"/>
    </row>
    <row r="331" ht="39.75" customHeight="1">
      <c r="A331" s="1">
        <v>330.0</v>
      </c>
      <c r="B331" s="2" t="s">
        <v>21</v>
      </c>
      <c r="C331" s="2" t="s">
        <v>63</v>
      </c>
      <c r="D331" s="13"/>
      <c r="E331" s="13"/>
      <c r="F331" s="45"/>
      <c r="G331" s="42"/>
      <c r="H331" s="42"/>
      <c r="I331" s="42"/>
      <c r="J331" s="27" t="s">
        <v>167</v>
      </c>
      <c r="K331" s="42"/>
    </row>
    <row r="332" ht="39.75" hidden="1" customHeight="1">
      <c r="A332" s="1">
        <v>331.0</v>
      </c>
      <c r="B332" s="2" t="s">
        <v>22</v>
      </c>
      <c r="C332" s="2" t="s">
        <v>13</v>
      </c>
      <c r="D332" s="13"/>
      <c r="E332" s="13"/>
      <c r="F332" s="45"/>
      <c r="G332" s="42"/>
      <c r="H332" s="42"/>
      <c r="I332" s="42"/>
      <c r="J332" s="22"/>
      <c r="K332" s="42"/>
    </row>
    <row r="333" ht="39.75" hidden="1" customHeight="1">
      <c r="A333" s="1">
        <v>332.0</v>
      </c>
      <c r="B333" s="2" t="s">
        <v>23</v>
      </c>
      <c r="C333" s="2" t="s">
        <v>13</v>
      </c>
      <c r="D333" s="13"/>
      <c r="E333" s="13"/>
      <c r="F333" s="45"/>
      <c r="G333" s="42"/>
      <c r="H333" s="42"/>
      <c r="I333" s="42"/>
      <c r="J333" s="22"/>
      <c r="K333" s="42"/>
    </row>
    <row r="334" ht="39.75" hidden="1" customHeight="1">
      <c r="A334" s="1">
        <v>333.0</v>
      </c>
      <c r="B334" s="2" t="s">
        <v>24</v>
      </c>
      <c r="C334" s="2" t="s">
        <v>13</v>
      </c>
      <c r="D334" s="13"/>
      <c r="E334" s="13"/>
      <c r="F334" s="45"/>
      <c r="G334" s="42"/>
      <c r="H334" s="42"/>
      <c r="I334" s="42"/>
      <c r="J334" s="22"/>
      <c r="K334" s="42"/>
    </row>
    <row r="335" ht="39.75" hidden="1" customHeight="1">
      <c r="A335" s="1">
        <v>334.0</v>
      </c>
      <c r="B335" s="2" t="s">
        <v>25</v>
      </c>
      <c r="C335" s="2" t="s">
        <v>13</v>
      </c>
      <c r="D335" s="13"/>
      <c r="E335" s="13"/>
      <c r="F335" s="45"/>
      <c r="G335" s="42"/>
      <c r="H335" s="42"/>
      <c r="I335" s="42"/>
      <c r="J335" s="22"/>
      <c r="K335" s="42"/>
    </row>
    <row r="336" ht="39.75" customHeight="1">
      <c r="A336" s="1">
        <v>335.0</v>
      </c>
      <c r="B336" s="2" t="s">
        <v>26</v>
      </c>
      <c r="C336" s="2"/>
      <c r="D336" s="40">
        <v>0.375</v>
      </c>
      <c r="E336" s="13"/>
      <c r="F336" s="45"/>
      <c r="G336" s="42"/>
      <c r="H336" s="42"/>
      <c r="I336" s="42"/>
      <c r="J336" s="22"/>
      <c r="K336" s="42"/>
    </row>
    <row r="337" ht="39.75" hidden="1" customHeight="1">
      <c r="A337" s="1">
        <v>336.0</v>
      </c>
      <c r="B337" s="2" t="s">
        <v>29</v>
      </c>
      <c r="C337" s="2" t="s">
        <v>13</v>
      </c>
      <c r="D337" s="13"/>
      <c r="E337" s="13"/>
      <c r="F337" s="45"/>
      <c r="G337" s="42"/>
      <c r="H337" s="42"/>
      <c r="I337" s="42"/>
      <c r="J337" s="22"/>
      <c r="K337" s="42"/>
    </row>
    <row r="338" ht="39.75" hidden="1" customHeight="1">
      <c r="A338" s="1">
        <v>337.0</v>
      </c>
      <c r="B338" s="2" t="s">
        <v>30</v>
      </c>
      <c r="C338" s="2" t="s">
        <v>13</v>
      </c>
      <c r="D338" s="13"/>
      <c r="E338" s="13"/>
      <c r="F338" s="45"/>
      <c r="G338" s="42"/>
      <c r="H338" s="42"/>
      <c r="I338" s="42"/>
      <c r="J338" s="22"/>
      <c r="K338" s="42"/>
    </row>
    <row r="339" ht="39.75" customHeight="1">
      <c r="A339" s="1">
        <v>338.0</v>
      </c>
      <c r="B339" s="2" t="s">
        <v>31</v>
      </c>
      <c r="C339" s="13"/>
      <c r="D339" s="40">
        <v>0.375</v>
      </c>
      <c r="E339" s="13"/>
      <c r="F339" s="45"/>
      <c r="G339" s="42"/>
      <c r="H339" s="42"/>
      <c r="I339" s="42"/>
      <c r="J339" s="22"/>
      <c r="K339" s="42"/>
    </row>
    <row r="340" ht="39.75" customHeight="1">
      <c r="A340" s="1">
        <v>339.0</v>
      </c>
      <c r="B340" s="2" t="s">
        <v>32</v>
      </c>
      <c r="C340" s="2"/>
      <c r="D340" s="13"/>
      <c r="E340" s="13"/>
      <c r="F340" s="44" t="s">
        <v>3325</v>
      </c>
      <c r="G340" s="43">
        <v>1.0</v>
      </c>
      <c r="H340" s="43">
        <v>1.0</v>
      </c>
      <c r="I340" s="42"/>
      <c r="J340" s="22"/>
      <c r="K340" s="42"/>
    </row>
    <row r="341" ht="39.75" hidden="1" customHeight="1">
      <c r="A341" s="1">
        <v>340.0</v>
      </c>
      <c r="B341" s="2" t="s">
        <v>67</v>
      </c>
      <c r="C341" s="2" t="s">
        <v>13</v>
      </c>
      <c r="D341" s="13"/>
      <c r="E341" s="13"/>
      <c r="F341" s="45"/>
      <c r="G341" s="42"/>
      <c r="H341" s="42"/>
      <c r="I341" s="42"/>
      <c r="J341" s="22"/>
      <c r="K341" s="42"/>
    </row>
    <row r="342" ht="39.75" customHeight="1">
      <c r="A342" s="1">
        <v>341.0</v>
      </c>
      <c r="B342" s="2" t="s">
        <v>35</v>
      </c>
      <c r="C342" s="2" t="s">
        <v>39</v>
      </c>
      <c r="D342" s="53">
        <v>0.3541666666666667</v>
      </c>
      <c r="E342" s="13"/>
      <c r="F342" s="44" t="s">
        <v>3381</v>
      </c>
      <c r="G342" s="43">
        <v>1.0</v>
      </c>
      <c r="H342" s="42"/>
      <c r="I342" s="43">
        <v>1.0</v>
      </c>
      <c r="J342" s="22"/>
      <c r="K342" s="42"/>
    </row>
    <row r="343" ht="39.75" hidden="1" customHeight="1">
      <c r="A343" s="1">
        <v>342.0</v>
      </c>
      <c r="B343" s="2" t="s">
        <v>36</v>
      </c>
      <c r="C343" s="2" t="s">
        <v>13</v>
      </c>
      <c r="D343" s="13"/>
      <c r="E343" s="13"/>
      <c r="F343" s="45"/>
      <c r="G343" s="42"/>
      <c r="H343" s="42"/>
      <c r="I343" s="42"/>
      <c r="J343" s="22"/>
      <c r="K343" s="42"/>
    </row>
    <row r="344" ht="39.75" customHeight="1">
      <c r="A344" s="1">
        <v>343.0</v>
      </c>
      <c r="B344" s="2" t="s">
        <v>38</v>
      </c>
      <c r="C344" s="2" t="s">
        <v>27</v>
      </c>
      <c r="D344" s="13"/>
      <c r="E344" s="13"/>
      <c r="F344" s="44" t="s">
        <v>3382</v>
      </c>
      <c r="G344" s="43">
        <v>1.0</v>
      </c>
      <c r="H344" s="42"/>
      <c r="I344" s="42"/>
      <c r="J344" s="22"/>
      <c r="K344" s="42"/>
    </row>
    <row r="345" ht="39.75" hidden="1" customHeight="1">
      <c r="A345" s="1">
        <v>344.0</v>
      </c>
      <c r="B345" s="2" t="s">
        <v>41</v>
      </c>
      <c r="C345" s="2" t="s">
        <v>13</v>
      </c>
      <c r="D345" s="13"/>
      <c r="E345" s="13"/>
      <c r="F345" s="45"/>
      <c r="G345" s="42"/>
      <c r="H345" s="42"/>
      <c r="I345" s="42"/>
      <c r="J345" s="22"/>
      <c r="K345" s="42"/>
    </row>
    <row r="346" ht="39.75" hidden="1" customHeight="1">
      <c r="A346" s="1">
        <v>345.0</v>
      </c>
      <c r="B346" s="2" t="s">
        <v>42</v>
      </c>
      <c r="C346" s="2" t="s">
        <v>13</v>
      </c>
      <c r="D346" s="13"/>
      <c r="E346" s="13"/>
      <c r="F346" s="45"/>
      <c r="G346" s="42"/>
      <c r="H346" s="42"/>
      <c r="I346" s="42"/>
      <c r="J346" s="22"/>
      <c r="K346" s="42"/>
    </row>
    <row r="347" ht="39.75" customHeight="1">
      <c r="A347" s="1">
        <v>346.0</v>
      </c>
      <c r="B347" s="2" t="s">
        <v>43</v>
      </c>
      <c r="C347" s="2"/>
      <c r="D347" s="13"/>
      <c r="E347" s="51">
        <v>0.875</v>
      </c>
      <c r="F347" s="44" t="s">
        <v>3300</v>
      </c>
      <c r="G347" s="43">
        <v>1.0</v>
      </c>
      <c r="H347" s="43">
        <v>1.0</v>
      </c>
      <c r="I347" s="42"/>
      <c r="J347" s="22"/>
      <c r="K347" s="42"/>
    </row>
    <row r="348" ht="39.75" hidden="1" customHeight="1">
      <c r="A348" s="1">
        <v>347.0</v>
      </c>
      <c r="B348" s="2" t="s">
        <v>45</v>
      </c>
      <c r="C348" s="2" t="s">
        <v>13</v>
      </c>
      <c r="D348" s="13"/>
      <c r="E348" s="13"/>
      <c r="F348" s="45"/>
      <c r="G348" s="42"/>
      <c r="H348" s="42"/>
      <c r="I348" s="42"/>
      <c r="J348" s="22"/>
      <c r="K348" s="42"/>
    </row>
    <row r="349" ht="39.75" hidden="1" customHeight="1">
      <c r="A349" s="1">
        <v>348.0</v>
      </c>
      <c r="B349" s="2" t="s">
        <v>46</v>
      </c>
      <c r="C349" s="2" t="s">
        <v>13</v>
      </c>
      <c r="D349" s="13"/>
      <c r="E349" s="13"/>
      <c r="F349" s="45"/>
      <c r="G349" s="42"/>
      <c r="H349" s="42"/>
      <c r="I349" s="42"/>
      <c r="J349" s="22"/>
      <c r="K349" s="42"/>
    </row>
    <row r="350" ht="39.75" hidden="1" customHeight="1">
      <c r="A350" s="1">
        <v>349.0</v>
      </c>
      <c r="B350" s="2" t="s">
        <v>47</v>
      </c>
      <c r="C350" s="2" t="s">
        <v>13</v>
      </c>
      <c r="D350" s="13"/>
      <c r="E350" s="13"/>
      <c r="F350" s="45"/>
      <c r="G350" s="42"/>
      <c r="H350" s="42"/>
      <c r="I350" s="42"/>
      <c r="J350" s="22"/>
      <c r="K350" s="42"/>
    </row>
    <row r="351" ht="39.75" hidden="1" customHeight="1">
      <c r="A351" s="1">
        <v>350.0</v>
      </c>
      <c r="B351" s="2" t="s">
        <v>48</v>
      </c>
      <c r="C351" s="2" t="s">
        <v>13</v>
      </c>
      <c r="D351" s="13"/>
      <c r="E351" s="13"/>
      <c r="F351" s="45"/>
      <c r="G351" s="42"/>
      <c r="H351" s="42"/>
      <c r="I351" s="42"/>
      <c r="J351" s="22"/>
      <c r="K351" s="42"/>
    </row>
    <row r="352" ht="39.75" customHeight="1">
      <c r="A352" s="1">
        <v>351.0</v>
      </c>
      <c r="B352" s="21"/>
      <c r="C352" s="21"/>
      <c r="D352" s="21"/>
      <c r="E352" s="21"/>
      <c r="F352" s="46"/>
      <c r="G352" s="47"/>
      <c r="H352" s="47"/>
      <c r="I352" s="47"/>
      <c r="J352" s="48"/>
      <c r="K352" s="47"/>
      <c r="L352" s="49"/>
      <c r="M352" s="49"/>
      <c r="N352" s="49"/>
    </row>
    <row r="353" ht="39.75" hidden="1" customHeight="1">
      <c r="A353" s="1">
        <v>352.0</v>
      </c>
      <c r="B353" s="2" t="s">
        <v>12</v>
      </c>
      <c r="C353" s="2" t="s">
        <v>13</v>
      </c>
      <c r="D353" s="13"/>
      <c r="E353" s="13"/>
      <c r="F353" s="45"/>
      <c r="G353" s="42"/>
      <c r="H353" s="42"/>
      <c r="I353" s="42"/>
      <c r="J353" s="27" t="s">
        <v>3250</v>
      </c>
      <c r="K353" s="42"/>
      <c r="L353" s="15" t="s">
        <v>260</v>
      </c>
    </row>
    <row r="354" ht="39.75" customHeight="1">
      <c r="A354" s="1">
        <v>353.0</v>
      </c>
      <c r="B354" s="2" t="s">
        <v>16</v>
      </c>
      <c r="C354" s="2" t="s">
        <v>49</v>
      </c>
      <c r="D354" s="13"/>
      <c r="E354" s="13"/>
      <c r="F354" s="44" t="s">
        <v>1889</v>
      </c>
      <c r="G354" s="42"/>
      <c r="H354" s="42"/>
      <c r="I354" s="42"/>
      <c r="J354" s="27" t="s">
        <v>260</v>
      </c>
      <c r="K354" s="43"/>
    </row>
    <row r="355" ht="39.75" hidden="1" customHeight="1">
      <c r="A355" s="1">
        <v>354.0</v>
      </c>
      <c r="B355" s="2" t="s">
        <v>116</v>
      </c>
      <c r="C355" s="2" t="s">
        <v>13</v>
      </c>
      <c r="D355" s="13"/>
      <c r="E355" s="13"/>
      <c r="F355" s="45"/>
      <c r="G355" s="42"/>
      <c r="H355" s="42"/>
      <c r="I355" s="42"/>
      <c r="J355" s="27" t="s">
        <v>19</v>
      </c>
      <c r="K355" s="42"/>
    </row>
    <row r="356" ht="39.75" hidden="1" customHeight="1">
      <c r="A356" s="1">
        <v>355.0</v>
      </c>
      <c r="B356" s="2" t="s">
        <v>17</v>
      </c>
      <c r="C356" s="2" t="s">
        <v>13</v>
      </c>
      <c r="D356" s="13"/>
      <c r="E356" s="13"/>
      <c r="F356" s="44"/>
      <c r="G356" s="42"/>
      <c r="H356" s="42"/>
      <c r="I356" s="42"/>
      <c r="J356" s="27" t="s">
        <v>151</v>
      </c>
      <c r="K356" s="42"/>
    </row>
    <row r="357" ht="39.75" hidden="1" customHeight="1">
      <c r="A357" s="1">
        <v>356.0</v>
      </c>
      <c r="B357" s="2" t="s">
        <v>331</v>
      </c>
      <c r="C357" s="2" t="s">
        <v>13</v>
      </c>
      <c r="D357" s="13"/>
      <c r="E357" s="13"/>
      <c r="F357" s="45"/>
      <c r="G357" s="42"/>
      <c r="H357" s="42"/>
      <c r="I357" s="42"/>
      <c r="J357" s="27" t="s">
        <v>152</v>
      </c>
      <c r="K357" s="42"/>
    </row>
    <row r="358" ht="39.75" hidden="1" customHeight="1">
      <c r="A358" s="1">
        <v>357.0</v>
      </c>
      <c r="B358" s="2" t="s">
        <v>21</v>
      </c>
      <c r="C358" s="2" t="s">
        <v>13</v>
      </c>
      <c r="D358" s="13"/>
      <c r="E358" s="13"/>
      <c r="F358" s="45"/>
      <c r="G358" s="42"/>
      <c r="H358" s="42"/>
      <c r="I358" s="42"/>
      <c r="J358" s="27" t="s">
        <v>154</v>
      </c>
      <c r="K358" s="42"/>
    </row>
    <row r="359" ht="39.75" hidden="1" customHeight="1">
      <c r="A359" s="1">
        <v>358.0</v>
      </c>
      <c r="B359" s="2" t="s">
        <v>22</v>
      </c>
      <c r="C359" s="2" t="s">
        <v>13</v>
      </c>
      <c r="D359" s="13"/>
      <c r="E359" s="13"/>
      <c r="F359" s="45"/>
      <c r="G359" s="42"/>
      <c r="H359" s="42"/>
      <c r="I359" s="42"/>
      <c r="J359" s="22"/>
      <c r="K359" s="42"/>
    </row>
    <row r="360" ht="39.75" customHeight="1">
      <c r="A360" s="1">
        <v>359.0</v>
      </c>
      <c r="B360" s="2" t="s">
        <v>23</v>
      </c>
      <c r="C360" s="2" t="s">
        <v>27</v>
      </c>
      <c r="D360" s="13"/>
      <c r="E360" s="13"/>
      <c r="F360" s="44" t="s">
        <v>3383</v>
      </c>
      <c r="G360" s="43">
        <v>1.0</v>
      </c>
      <c r="H360" s="42"/>
      <c r="I360" s="42"/>
      <c r="J360" s="22"/>
      <c r="K360" s="42"/>
    </row>
    <row r="361" ht="39.75" customHeight="1">
      <c r="A361" s="1">
        <v>360.0</v>
      </c>
      <c r="B361" s="2" t="s">
        <v>24</v>
      </c>
      <c r="C361" s="2" t="s">
        <v>63</v>
      </c>
      <c r="D361" s="13"/>
      <c r="E361" s="13"/>
      <c r="F361" s="45"/>
      <c r="G361" s="42"/>
      <c r="H361" s="42"/>
      <c r="I361" s="42"/>
      <c r="J361" s="22"/>
      <c r="K361" s="42"/>
    </row>
    <row r="362" ht="39.75" hidden="1" customHeight="1">
      <c r="A362" s="1">
        <v>361.0</v>
      </c>
      <c r="B362" s="2" t="s">
        <v>25</v>
      </c>
      <c r="C362" s="2" t="s">
        <v>13</v>
      </c>
      <c r="D362" s="13"/>
      <c r="E362" s="13"/>
      <c r="F362" s="45"/>
      <c r="G362" s="42"/>
      <c r="H362" s="42"/>
      <c r="I362" s="42"/>
      <c r="J362" s="22"/>
      <c r="K362" s="42"/>
    </row>
    <row r="363" ht="39.75" hidden="1" customHeight="1">
      <c r="A363" s="1">
        <v>362.0</v>
      </c>
      <c r="B363" s="2" t="s">
        <v>26</v>
      </c>
      <c r="C363" s="2" t="s">
        <v>13</v>
      </c>
      <c r="D363" s="13"/>
      <c r="E363" s="13"/>
      <c r="F363" s="45"/>
      <c r="G363" s="42"/>
      <c r="H363" s="42"/>
      <c r="I363" s="42"/>
      <c r="J363" s="22"/>
      <c r="K363" s="42"/>
    </row>
    <row r="364" ht="39.75" hidden="1" customHeight="1">
      <c r="A364" s="1">
        <v>363.0</v>
      </c>
      <c r="B364" s="2" t="s">
        <v>29</v>
      </c>
      <c r="C364" s="2" t="s">
        <v>13</v>
      </c>
      <c r="D364" s="13"/>
      <c r="E364" s="13"/>
      <c r="F364" s="45"/>
      <c r="G364" s="42"/>
      <c r="H364" s="42"/>
      <c r="I364" s="42"/>
      <c r="J364" s="22"/>
      <c r="K364" s="42"/>
    </row>
    <row r="365" ht="39.75" hidden="1" customHeight="1">
      <c r="A365" s="1">
        <v>364.0</v>
      </c>
      <c r="B365" s="2" t="s">
        <v>30</v>
      </c>
      <c r="C365" s="2" t="s">
        <v>13</v>
      </c>
      <c r="D365" s="13"/>
      <c r="E365" s="13"/>
      <c r="F365" s="45"/>
      <c r="G365" s="42"/>
      <c r="H365" s="42"/>
      <c r="I365" s="42"/>
      <c r="J365" s="22"/>
      <c r="K365" s="42"/>
    </row>
    <row r="366" ht="39.75" customHeight="1">
      <c r="A366" s="1">
        <v>365.0</v>
      </c>
      <c r="B366" s="2" t="s">
        <v>34</v>
      </c>
      <c r="C366" s="2" t="s">
        <v>272</v>
      </c>
      <c r="D366" s="13"/>
      <c r="E366" s="13"/>
      <c r="F366" s="44" t="s">
        <v>3384</v>
      </c>
      <c r="G366" s="43">
        <v>1.0</v>
      </c>
      <c r="H366" s="43">
        <v>1.0</v>
      </c>
      <c r="I366" s="43">
        <v>1.0</v>
      </c>
      <c r="J366" s="22"/>
      <c r="K366" s="42"/>
    </row>
    <row r="367" ht="39.75" customHeight="1">
      <c r="A367" s="1">
        <v>366.0</v>
      </c>
      <c r="B367" s="2" t="s">
        <v>32</v>
      </c>
      <c r="C367" s="2"/>
      <c r="D367" s="40">
        <v>0.375</v>
      </c>
      <c r="E367" s="13"/>
      <c r="F367" s="44" t="s">
        <v>1889</v>
      </c>
      <c r="G367" s="42"/>
      <c r="H367" s="42"/>
      <c r="I367" s="42"/>
      <c r="J367" s="22"/>
      <c r="K367" s="42"/>
    </row>
    <row r="368" ht="39.75" hidden="1" customHeight="1">
      <c r="A368" s="1">
        <v>367.0</v>
      </c>
      <c r="B368" s="2" t="s">
        <v>67</v>
      </c>
      <c r="C368" s="2" t="s">
        <v>13</v>
      </c>
      <c r="D368" s="13"/>
      <c r="E368" s="13"/>
      <c r="F368" s="45"/>
      <c r="G368" s="42"/>
      <c r="H368" s="42"/>
      <c r="I368" s="42"/>
      <c r="J368" s="22"/>
      <c r="K368" s="42"/>
    </row>
    <row r="369" ht="39.75" hidden="1" customHeight="1">
      <c r="A369" s="1">
        <v>368.0</v>
      </c>
      <c r="B369" s="2" t="s">
        <v>35</v>
      </c>
      <c r="C369" s="2" t="s">
        <v>13</v>
      </c>
      <c r="D369" s="13"/>
      <c r="E369" s="13"/>
      <c r="F369" s="45"/>
      <c r="G369" s="42"/>
      <c r="H369" s="42"/>
      <c r="I369" s="42"/>
      <c r="J369" s="22"/>
      <c r="K369" s="42"/>
    </row>
    <row r="370" ht="39.75" hidden="1" customHeight="1">
      <c r="A370" s="1">
        <v>369.0</v>
      </c>
      <c r="B370" s="2" t="s">
        <v>36</v>
      </c>
      <c r="C370" s="2" t="s">
        <v>13</v>
      </c>
      <c r="D370" s="13"/>
      <c r="E370" s="13"/>
      <c r="F370" s="45"/>
      <c r="G370" s="42"/>
      <c r="H370" s="42"/>
      <c r="I370" s="42"/>
      <c r="J370" s="22"/>
      <c r="K370" s="42"/>
    </row>
    <row r="371" ht="39.75" customHeight="1">
      <c r="A371" s="1">
        <v>370.0</v>
      </c>
      <c r="B371" s="2" t="s">
        <v>38</v>
      </c>
      <c r="C371" s="2" t="s">
        <v>44</v>
      </c>
      <c r="D371" s="13"/>
      <c r="E371" s="13"/>
      <c r="F371" s="45"/>
      <c r="G371" s="42"/>
      <c r="H371" s="42"/>
      <c r="I371" s="42"/>
      <c r="J371" s="22"/>
      <c r="K371" s="42"/>
    </row>
    <row r="372" ht="39.75" hidden="1" customHeight="1">
      <c r="A372" s="1">
        <v>371.0</v>
      </c>
      <c r="B372" s="2" t="s">
        <v>41</v>
      </c>
      <c r="C372" s="2" t="s">
        <v>13</v>
      </c>
      <c r="D372" s="13"/>
      <c r="E372" s="13"/>
      <c r="F372" s="45"/>
      <c r="G372" s="42"/>
      <c r="H372" s="42"/>
      <c r="I372" s="42"/>
      <c r="J372" s="22"/>
      <c r="K372" s="42"/>
    </row>
    <row r="373" ht="39.75" hidden="1" customHeight="1">
      <c r="A373" s="1">
        <v>372.0</v>
      </c>
      <c r="B373" s="2" t="s">
        <v>42</v>
      </c>
      <c r="C373" s="2" t="s">
        <v>13</v>
      </c>
      <c r="D373" s="13"/>
      <c r="E373" s="13"/>
      <c r="F373" s="45"/>
      <c r="G373" s="42"/>
      <c r="H373" s="42"/>
      <c r="I373" s="42"/>
      <c r="J373" s="22"/>
      <c r="K373" s="42"/>
    </row>
    <row r="374" ht="39.75" hidden="1" customHeight="1">
      <c r="A374" s="1">
        <v>373.0</v>
      </c>
      <c r="B374" s="2" t="s">
        <v>43</v>
      </c>
      <c r="C374" s="2" t="s">
        <v>13</v>
      </c>
      <c r="D374" s="13"/>
      <c r="E374" s="13"/>
      <c r="F374" s="45"/>
      <c r="G374" s="42"/>
      <c r="H374" s="42"/>
      <c r="I374" s="42"/>
      <c r="J374" s="22"/>
      <c r="K374" s="42"/>
    </row>
    <row r="375" ht="39.75" hidden="1" customHeight="1">
      <c r="A375" s="1">
        <v>374.0</v>
      </c>
      <c r="B375" s="2" t="s">
        <v>45</v>
      </c>
      <c r="C375" s="2" t="s">
        <v>13</v>
      </c>
      <c r="D375" s="13"/>
      <c r="E375" s="13"/>
      <c r="F375" s="45"/>
      <c r="G375" s="42"/>
      <c r="H375" s="42"/>
      <c r="I375" s="42"/>
      <c r="J375" s="22"/>
      <c r="K375" s="42"/>
    </row>
    <row r="376" ht="39.75" customHeight="1">
      <c r="A376" s="1">
        <v>375.0</v>
      </c>
      <c r="B376" s="2" t="s">
        <v>46</v>
      </c>
      <c r="C376" s="2" t="s">
        <v>39</v>
      </c>
      <c r="D376" s="13"/>
      <c r="E376" s="13"/>
      <c r="F376" s="44" t="s">
        <v>3385</v>
      </c>
      <c r="G376" s="43">
        <v>1.0</v>
      </c>
      <c r="H376" s="42"/>
      <c r="I376" s="42"/>
      <c r="J376" s="22"/>
      <c r="K376" s="42"/>
    </row>
    <row r="377" ht="39.75" hidden="1" customHeight="1">
      <c r="A377" s="1">
        <v>376.0</v>
      </c>
      <c r="B377" s="2" t="s">
        <v>47</v>
      </c>
      <c r="C377" s="2" t="s">
        <v>13</v>
      </c>
      <c r="D377" s="13"/>
      <c r="E377" s="13"/>
      <c r="F377" s="45"/>
      <c r="G377" s="42"/>
      <c r="H377" s="42"/>
      <c r="I377" s="42"/>
      <c r="J377" s="22"/>
      <c r="K377" s="42"/>
    </row>
    <row r="378" ht="39.75" customHeight="1">
      <c r="A378" s="1">
        <v>377.0</v>
      </c>
      <c r="B378" s="2" t="s">
        <v>48</v>
      </c>
      <c r="C378" s="2"/>
      <c r="D378" s="40">
        <v>0.375</v>
      </c>
      <c r="E378" s="13"/>
      <c r="F378" s="61" t="s">
        <v>3386</v>
      </c>
      <c r="G378" s="43">
        <v>1.0</v>
      </c>
      <c r="H378" s="42"/>
      <c r="I378" s="42"/>
      <c r="J378" s="22"/>
      <c r="K378" s="42"/>
    </row>
    <row r="379" ht="39.75" customHeight="1">
      <c r="A379" s="1">
        <v>378.0</v>
      </c>
      <c r="B379" s="21"/>
      <c r="C379" s="21"/>
      <c r="D379" s="21"/>
      <c r="E379" s="21"/>
      <c r="F379" s="46"/>
      <c r="G379" s="47"/>
      <c r="H379" s="47"/>
      <c r="I379" s="47"/>
      <c r="J379" s="48"/>
      <c r="K379" s="47"/>
      <c r="L379" s="49"/>
      <c r="M379" s="49"/>
      <c r="N379" s="49"/>
    </row>
    <row r="380" ht="39.75" customHeight="1">
      <c r="A380" s="1">
        <v>379.0</v>
      </c>
      <c r="B380" s="2" t="s">
        <v>12</v>
      </c>
      <c r="C380" s="2" t="s">
        <v>62</v>
      </c>
      <c r="D380" s="13"/>
      <c r="E380" s="13"/>
      <c r="F380" s="44" t="s">
        <v>1543</v>
      </c>
      <c r="G380" s="43">
        <v>1.0</v>
      </c>
      <c r="H380" s="42"/>
      <c r="I380" s="43">
        <v>1.0</v>
      </c>
      <c r="J380" s="27" t="s">
        <v>3250</v>
      </c>
      <c r="K380" s="42"/>
      <c r="L380" s="15" t="s">
        <v>269</v>
      </c>
    </row>
    <row r="381" ht="39.75" customHeight="1">
      <c r="A381" s="1">
        <v>380.0</v>
      </c>
      <c r="B381" s="2" t="s">
        <v>16</v>
      </c>
      <c r="C381" s="2" t="s">
        <v>69</v>
      </c>
      <c r="D381" s="13"/>
      <c r="E381" s="13"/>
      <c r="F381" s="44" t="s">
        <v>3387</v>
      </c>
      <c r="G381" s="43">
        <v>1.0</v>
      </c>
      <c r="H381" s="42"/>
      <c r="I381" s="42"/>
      <c r="J381" s="27" t="s">
        <v>269</v>
      </c>
      <c r="K381" s="43"/>
    </row>
    <row r="382" ht="39.75" customHeight="1">
      <c r="A382" s="1">
        <v>381.0</v>
      </c>
      <c r="B382" s="2" t="s">
        <v>116</v>
      </c>
      <c r="C382" s="2" t="s">
        <v>54</v>
      </c>
      <c r="D382" s="53">
        <v>0.375</v>
      </c>
      <c r="E382" s="51">
        <v>0.7916666666666666</v>
      </c>
      <c r="F382" s="44" t="s">
        <v>3388</v>
      </c>
      <c r="G382" s="43">
        <v>1.0</v>
      </c>
      <c r="H382" s="42"/>
      <c r="I382" s="43">
        <v>1.0</v>
      </c>
      <c r="J382" s="27" t="s">
        <v>56</v>
      </c>
      <c r="K382" s="42"/>
    </row>
    <row r="383" ht="39.75" hidden="1" customHeight="1">
      <c r="A383" s="1">
        <v>382.0</v>
      </c>
      <c r="B383" s="2" t="s">
        <v>17</v>
      </c>
      <c r="C383" s="2" t="s">
        <v>66</v>
      </c>
      <c r="D383" s="13"/>
      <c r="E383" s="13"/>
      <c r="F383" s="44"/>
      <c r="G383" s="42"/>
      <c r="H383" s="42"/>
      <c r="I383" s="42"/>
      <c r="J383" s="22"/>
      <c r="K383" s="42"/>
    </row>
    <row r="384" ht="39.75" customHeight="1">
      <c r="A384" s="1">
        <v>383.0</v>
      </c>
      <c r="B384" s="2" t="s">
        <v>331</v>
      </c>
      <c r="C384" s="2" t="s">
        <v>542</v>
      </c>
      <c r="D384" s="13"/>
      <c r="E384" s="13"/>
      <c r="F384" s="45"/>
      <c r="G384" s="42"/>
      <c r="H384" s="42"/>
      <c r="I384" s="42"/>
      <c r="J384" s="22"/>
      <c r="K384" s="42"/>
    </row>
    <row r="385" ht="39.75" customHeight="1">
      <c r="A385" s="1">
        <v>384.0</v>
      </c>
      <c r="B385" s="2" t="s">
        <v>21</v>
      </c>
      <c r="C385" s="2" t="s">
        <v>63</v>
      </c>
      <c r="D385" s="13"/>
      <c r="E385" s="13"/>
      <c r="F385" s="45"/>
      <c r="G385" s="42"/>
      <c r="H385" s="42"/>
      <c r="I385" s="42"/>
      <c r="J385" s="22"/>
      <c r="K385" s="42"/>
    </row>
    <row r="386" ht="39.75" customHeight="1">
      <c r="A386" s="1">
        <v>385.0</v>
      </c>
      <c r="B386" s="2" t="s">
        <v>22</v>
      </c>
      <c r="C386" s="2" t="s">
        <v>27</v>
      </c>
      <c r="D386" s="13"/>
      <c r="E386" s="13"/>
      <c r="F386" s="44" t="s">
        <v>3389</v>
      </c>
      <c r="G386" s="43">
        <v>1.0</v>
      </c>
      <c r="H386" s="42"/>
      <c r="I386" s="43">
        <v>1.0</v>
      </c>
      <c r="J386" s="22"/>
      <c r="K386" s="42"/>
    </row>
    <row r="387" ht="39.75" customHeight="1">
      <c r="A387" s="1">
        <v>386.0</v>
      </c>
      <c r="B387" s="2" t="s">
        <v>23</v>
      </c>
      <c r="C387" s="2" t="s">
        <v>44</v>
      </c>
      <c r="D387" s="13"/>
      <c r="E387" s="13"/>
      <c r="F387" s="45"/>
      <c r="G387" s="42"/>
      <c r="H387" s="42"/>
      <c r="I387" s="42"/>
      <c r="J387" s="22"/>
      <c r="K387" s="42"/>
    </row>
    <row r="388" ht="39.75" hidden="1" customHeight="1">
      <c r="A388" s="1">
        <v>387.0</v>
      </c>
      <c r="B388" s="2" t="s">
        <v>24</v>
      </c>
      <c r="C388" s="2" t="s">
        <v>66</v>
      </c>
      <c r="D388" s="13"/>
      <c r="E388" s="13"/>
      <c r="F388" s="45"/>
      <c r="G388" s="42"/>
      <c r="H388" s="42"/>
      <c r="I388" s="42"/>
      <c r="J388" s="22"/>
      <c r="K388" s="42"/>
    </row>
    <row r="389" ht="39.75" hidden="1" customHeight="1">
      <c r="A389" s="1">
        <v>388.0</v>
      </c>
      <c r="B389" s="2" t="s">
        <v>25</v>
      </c>
      <c r="C389" s="2" t="s">
        <v>58</v>
      </c>
      <c r="D389" s="13"/>
      <c r="E389" s="13"/>
      <c r="F389" s="45"/>
      <c r="G389" s="42"/>
      <c r="H389" s="42"/>
      <c r="I389" s="42"/>
      <c r="J389" s="22"/>
      <c r="K389" s="42"/>
    </row>
    <row r="390" ht="39.75" customHeight="1">
      <c r="A390" s="1">
        <v>389.0</v>
      </c>
      <c r="B390" s="2" t="s">
        <v>26</v>
      </c>
      <c r="C390" s="2" t="s">
        <v>54</v>
      </c>
      <c r="D390" s="40"/>
      <c r="E390" s="13"/>
      <c r="F390" s="44" t="s">
        <v>3390</v>
      </c>
      <c r="G390" s="43">
        <v>1.0</v>
      </c>
      <c r="H390" s="42"/>
      <c r="I390" s="43">
        <v>1.0</v>
      </c>
      <c r="J390" s="22"/>
      <c r="K390" s="42"/>
    </row>
    <row r="391" ht="39.75" customHeight="1">
      <c r="A391" s="1">
        <v>390.0</v>
      </c>
      <c r="B391" s="2" t="s">
        <v>29</v>
      </c>
      <c r="C391" s="2"/>
      <c r="D391" s="13"/>
      <c r="E391" s="13"/>
      <c r="F391" s="44" t="s">
        <v>3391</v>
      </c>
      <c r="G391" s="43">
        <v>2.0</v>
      </c>
      <c r="H391" s="42"/>
      <c r="I391" s="43">
        <v>1.0</v>
      </c>
      <c r="J391" s="22"/>
      <c r="K391" s="42"/>
    </row>
    <row r="392" ht="39.75" customHeight="1">
      <c r="A392" s="1">
        <v>391.0</v>
      </c>
      <c r="B392" s="2" t="s">
        <v>30</v>
      </c>
      <c r="C392" s="2" t="s">
        <v>64</v>
      </c>
      <c r="D392" s="13"/>
      <c r="E392" s="13"/>
      <c r="F392" s="44" t="s">
        <v>3392</v>
      </c>
      <c r="G392" s="43">
        <v>1.0</v>
      </c>
      <c r="H392" s="42"/>
      <c r="I392" s="43">
        <v>1.0</v>
      </c>
      <c r="J392" s="22"/>
      <c r="K392" s="42"/>
    </row>
    <row r="393" ht="39.75" customHeight="1">
      <c r="A393" s="1">
        <v>392.0</v>
      </c>
      <c r="B393" s="2" t="s">
        <v>31</v>
      </c>
      <c r="C393" s="2" t="s">
        <v>54</v>
      </c>
      <c r="D393" s="53">
        <v>0.375</v>
      </c>
      <c r="E393" s="40">
        <v>0.75</v>
      </c>
      <c r="F393" s="44" t="s">
        <v>2785</v>
      </c>
      <c r="G393" s="43">
        <v>1.0</v>
      </c>
      <c r="H393" s="42"/>
      <c r="I393" s="43">
        <v>1.0</v>
      </c>
      <c r="J393" s="22"/>
      <c r="K393" s="42"/>
    </row>
    <row r="394" ht="39.75" customHeight="1">
      <c r="A394" s="1">
        <v>393.0</v>
      </c>
      <c r="B394" s="2" t="s">
        <v>32</v>
      </c>
      <c r="C394" s="2"/>
      <c r="D394" s="13"/>
      <c r="E394" s="51">
        <v>0.7777777777777778</v>
      </c>
      <c r="F394" s="44" t="s">
        <v>3393</v>
      </c>
      <c r="G394" s="43">
        <v>1.0</v>
      </c>
      <c r="H394" s="42"/>
      <c r="I394" s="42"/>
      <c r="J394" s="22"/>
      <c r="K394" s="42"/>
    </row>
    <row r="395" ht="39.75" customHeight="1">
      <c r="A395" s="1">
        <v>394.0</v>
      </c>
      <c r="B395" s="2" t="s">
        <v>67</v>
      </c>
      <c r="C395" s="2" t="s">
        <v>39</v>
      </c>
      <c r="D395" s="13"/>
      <c r="E395" s="13"/>
      <c r="F395" s="44" t="s">
        <v>3394</v>
      </c>
      <c r="G395" s="43">
        <v>1.0</v>
      </c>
      <c r="H395" s="42"/>
      <c r="I395" s="42"/>
      <c r="J395" s="22"/>
      <c r="K395" s="42"/>
    </row>
    <row r="396" ht="39.75" hidden="1" customHeight="1">
      <c r="A396" s="1">
        <v>395.0</v>
      </c>
      <c r="B396" s="2" t="s">
        <v>35</v>
      </c>
      <c r="C396" s="2" t="s">
        <v>58</v>
      </c>
      <c r="D396" s="13"/>
      <c r="E396" s="13"/>
      <c r="F396" s="45"/>
      <c r="G396" s="42"/>
      <c r="H396" s="42"/>
      <c r="I396" s="42"/>
      <c r="J396" s="22"/>
      <c r="K396" s="42"/>
    </row>
    <row r="397" ht="39.75" customHeight="1">
      <c r="A397" s="1">
        <v>396.0</v>
      </c>
      <c r="B397" s="2" t="s">
        <v>36</v>
      </c>
      <c r="C397" s="2" t="s">
        <v>54</v>
      </c>
      <c r="D397" s="53">
        <v>0.3333333333333333</v>
      </c>
      <c r="E397" s="13"/>
      <c r="F397" s="61" t="s">
        <v>3395</v>
      </c>
      <c r="G397" s="43">
        <v>2.0</v>
      </c>
      <c r="H397" s="42"/>
      <c r="I397" s="43">
        <v>1.0</v>
      </c>
      <c r="J397" s="22"/>
      <c r="K397" s="42"/>
    </row>
    <row r="398" ht="39.75" customHeight="1">
      <c r="A398" s="1">
        <v>397.0</v>
      </c>
      <c r="B398" s="2" t="s">
        <v>38</v>
      </c>
      <c r="C398" s="2" t="s">
        <v>69</v>
      </c>
      <c r="D398" s="13"/>
      <c r="E398" s="13"/>
      <c r="F398" s="44" t="s">
        <v>3396</v>
      </c>
      <c r="G398" s="43">
        <v>1.0</v>
      </c>
      <c r="H398" s="42"/>
      <c r="I398" s="42"/>
      <c r="J398" s="22"/>
      <c r="K398" s="42"/>
    </row>
    <row r="399" ht="39.75" hidden="1" customHeight="1">
      <c r="A399" s="1">
        <v>398.0</v>
      </c>
      <c r="B399" s="2" t="s">
        <v>41</v>
      </c>
      <c r="C399" s="2" t="s">
        <v>58</v>
      </c>
      <c r="D399" s="13"/>
      <c r="E399" s="13"/>
      <c r="F399" s="45"/>
      <c r="G399" s="42"/>
      <c r="H399" s="42"/>
      <c r="I399" s="42"/>
      <c r="J399" s="22"/>
      <c r="K399" s="42"/>
    </row>
    <row r="400" ht="39.75" customHeight="1">
      <c r="A400" s="1">
        <v>399.0</v>
      </c>
      <c r="B400" s="2" t="s">
        <v>42</v>
      </c>
      <c r="C400" s="2" t="s">
        <v>69</v>
      </c>
      <c r="D400" s="13"/>
      <c r="E400" s="13"/>
      <c r="F400" s="44" t="s">
        <v>3397</v>
      </c>
      <c r="G400" s="43">
        <v>1.0</v>
      </c>
      <c r="H400" s="42"/>
      <c r="I400" s="43">
        <v>1.0</v>
      </c>
      <c r="J400" s="22"/>
      <c r="K400" s="42"/>
    </row>
    <row r="401" ht="39.75" hidden="1" customHeight="1">
      <c r="A401" s="1">
        <v>400.0</v>
      </c>
      <c r="B401" s="2" t="s">
        <v>43</v>
      </c>
      <c r="C401" s="2" t="s">
        <v>58</v>
      </c>
      <c r="D401" s="13"/>
      <c r="E401" s="13"/>
      <c r="F401" s="45"/>
      <c r="G401" s="42"/>
      <c r="H401" s="42"/>
      <c r="I401" s="42"/>
      <c r="J401" s="22"/>
      <c r="K401" s="42"/>
    </row>
    <row r="402" ht="39.75" customHeight="1">
      <c r="A402" s="1">
        <v>401.0</v>
      </c>
      <c r="B402" s="2" t="s">
        <v>45</v>
      </c>
      <c r="C402" s="2"/>
      <c r="D402" s="53">
        <v>0.3541666666666667</v>
      </c>
      <c r="E402" s="13"/>
      <c r="F402" s="44" t="s">
        <v>3398</v>
      </c>
      <c r="G402" s="43">
        <v>2.0</v>
      </c>
      <c r="H402" s="42"/>
      <c r="I402" s="43">
        <v>2.0</v>
      </c>
      <c r="J402" s="22"/>
      <c r="K402" s="42"/>
    </row>
    <row r="403" ht="39.75" customHeight="1">
      <c r="A403" s="1">
        <v>402.0</v>
      </c>
      <c r="B403" s="2" t="s">
        <v>46</v>
      </c>
      <c r="C403" s="2"/>
      <c r="D403" s="13"/>
      <c r="E403" s="13"/>
      <c r="F403" s="44" t="s">
        <v>3399</v>
      </c>
      <c r="G403" s="43">
        <v>2.0</v>
      </c>
      <c r="H403" s="42"/>
      <c r="I403" s="43">
        <v>1.0</v>
      </c>
      <c r="J403" s="22"/>
      <c r="K403" s="42"/>
    </row>
    <row r="404" ht="39.75" customHeight="1">
      <c r="A404" s="1">
        <v>403.0</v>
      </c>
      <c r="B404" s="2" t="s">
        <v>47</v>
      </c>
      <c r="C404" s="2" t="s">
        <v>39</v>
      </c>
      <c r="D404" s="53">
        <v>0.28125</v>
      </c>
      <c r="E404" s="13"/>
      <c r="F404" s="44" t="s">
        <v>3400</v>
      </c>
      <c r="G404" s="43">
        <v>1.0</v>
      </c>
      <c r="H404" s="42"/>
      <c r="I404" s="42"/>
      <c r="J404" s="22"/>
      <c r="K404" s="42"/>
    </row>
    <row r="405" ht="39.75" customHeight="1">
      <c r="A405" s="1">
        <v>404.0</v>
      </c>
      <c r="B405" s="2" t="s">
        <v>48</v>
      </c>
      <c r="C405" s="2"/>
      <c r="D405" s="13"/>
      <c r="E405" s="13"/>
      <c r="F405" s="44" t="s">
        <v>1331</v>
      </c>
      <c r="G405" s="43">
        <v>1.0</v>
      </c>
      <c r="H405" s="42"/>
      <c r="I405" s="43">
        <v>1.0</v>
      </c>
      <c r="J405" s="22"/>
      <c r="K405" s="42"/>
    </row>
    <row r="406" ht="39.75" customHeight="1">
      <c r="A406" s="1">
        <v>405.0</v>
      </c>
      <c r="B406" s="21"/>
      <c r="C406" s="21"/>
      <c r="D406" s="21"/>
      <c r="E406" s="21"/>
      <c r="F406" s="46"/>
      <c r="G406" s="47"/>
      <c r="H406" s="47"/>
      <c r="I406" s="47"/>
      <c r="J406" s="48"/>
      <c r="K406" s="47"/>
      <c r="L406" s="49"/>
      <c r="M406" s="49"/>
      <c r="N406" s="49"/>
    </row>
    <row r="407" ht="39.75" customHeight="1">
      <c r="A407" s="1">
        <v>406.0</v>
      </c>
      <c r="B407" s="2" t="s">
        <v>12</v>
      </c>
      <c r="C407" s="2" t="s">
        <v>62</v>
      </c>
      <c r="D407" s="40"/>
      <c r="E407" s="40"/>
      <c r="F407" s="44" t="s">
        <v>1543</v>
      </c>
      <c r="G407" s="43">
        <v>1.0</v>
      </c>
      <c r="H407" s="42"/>
      <c r="I407" s="43">
        <v>1.0</v>
      </c>
      <c r="J407" s="27" t="s">
        <v>3250</v>
      </c>
      <c r="K407" s="42"/>
      <c r="L407" s="15" t="s">
        <v>274</v>
      </c>
    </row>
    <row r="408" ht="39.75" customHeight="1">
      <c r="A408" s="1">
        <v>407.0</v>
      </c>
      <c r="B408" s="2" t="s">
        <v>16</v>
      </c>
      <c r="C408" s="2"/>
      <c r="D408" s="13"/>
      <c r="E408" s="13"/>
      <c r="F408" s="44" t="s">
        <v>3401</v>
      </c>
      <c r="G408" s="43">
        <v>1.0</v>
      </c>
      <c r="H408" s="42"/>
      <c r="I408" s="43">
        <v>1.0</v>
      </c>
      <c r="J408" s="27" t="s">
        <v>274</v>
      </c>
      <c r="K408" s="43"/>
    </row>
    <row r="409" ht="39.75" customHeight="1">
      <c r="A409" s="1">
        <v>408.0</v>
      </c>
      <c r="B409" s="2" t="s">
        <v>116</v>
      </c>
      <c r="C409" s="2" t="s">
        <v>54</v>
      </c>
      <c r="D409" s="13"/>
      <c r="E409" s="13"/>
      <c r="F409" s="44" t="s">
        <v>3402</v>
      </c>
      <c r="G409" s="43">
        <v>1.0</v>
      </c>
      <c r="H409" s="42"/>
      <c r="I409" s="42"/>
      <c r="J409" s="27" t="s">
        <v>77</v>
      </c>
      <c r="K409" s="42"/>
    </row>
    <row r="410" ht="39.75" customHeight="1">
      <c r="A410" s="1">
        <v>409.0</v>
      </c>
      <c r="B410" s="2" t="s">
        <v>17</v>
      </c>
      <c r="C410" s="2" t="s">
        <v>39</v>
      </c>
      <c r="D410" s="13"/>
      <c r="E410" s="13"/>
      <c r="F410" s="44" t="s">
        <v>3403</v>
      </c>
      <c r="G410" s="43">
        <v>1.0</v>
      </c>
      <c r="H410" s="42"/>
      <c r="I410" s="43">
        <v>1.0</v>
      </c>
      <c r="J410" s="22"/>
      <c r="K410" s="42"/>
    </row>
    <row r="411" ht="39.75" customHeight="1">
      <c r="A411" s="1">
        <v>410.0</v>
      </c>
      <c r="B411" s="2" t="s">
        <v>331</v>
      </c>
      <c r="C411" s="2" t="s">
        <v>542</v>
      </c>
      <c r="D411" s="13"/>
      <c r="E411" s="13"/>
      <c r="F411" s="44" t="s">
        <v>3404</v>
      </c>
      <c r="G411" s="43">
        <v>1.0</v>
      </c>
      <c r="H411" s="42"/>
      <c r="I411" s="42"/>
      <c r="J411" s="22"/>
      <c r="K411" s="42"/>
    </row>
    <row r="412" ht="39.75" customHeight="1">
      <c r="A412" s="1">
        <v>411.0</v>
      </c>
      <c r="B412" s="2" t="s">
        <v>21</v>
      </c>
      <c r="C412" s="2" t="s">
        <v>63</v>
      </c>
      <c r="D412" s="13"/>
      <c r="E412" s="13"/>
      <c r="F412" s="45"/>
      <c r="G412" s="42"/>
      <c r="H412" s="42"/>
      <c r="I412" s="42"/>
      <c r="J412" s="22"/>
      <c r="K412" s="42"/>
    </row>
    <row r="413" ht="39.75" customHeight="1">
      <c r="A413" s="1">
        <v>412.0</v>
      </c>
      <c r="B413" s="2" t="s">
        <v>22</v>
      </c>
      <c r="C413" s="2" t="s">
        <v>44</v>
      </c>
      <c r="D413" s="13"/>
      <c r="E413" s="13"/>
      <c r="F413" s="44"/>
      <c r="G413" s="42"/>
      <c r="H413" s="42"/>
      <c r="I413" s="42"/>
      <c r="J413" s="22"/>
      <c r="K413" s="42"/>
    </row>
    <row r="414" ht="39.75" customHeight="1">
      <c r="A414" s="1">
        <v>413.0</v>
      </c>
      <c r="B414" s="2" t="s">
        <v>23</v>
      </c>
      <c r="C414" s="2" t="s">
        <v>39</v>
      </c>
      <c r="D414" s="13"/>
      <c r="E414" s="13"/>
      <c r="F414" s="44" t="s">
        <v>3405</v>
      </c>
      <c r="G414" s="43">
        <v>1.0</v>
      </c>
      <c r="H414" s="42"/>
      <c r="I414" s="43">
        <v>1.0</v>
      </c>
      <c r="J414" s="22"/>
      <c r="K414" s="42"/>
    </row>
    <row r="415" ht="39.75" hidden="1" customHeight="1">
      <c r="A415" s="1">
        <v>414.0</v>
      </c>
      <c r="B415" s="2" t="s">
        <v>24</v>
      </c>
      <c r="C415" s="2" t="s">
        <v>58</v>
      </c>
      <c r="D415" s="13"/>
      <c r="E415" s="13"/>
      <c r="F415" s="44"/>
      <c r="G415" s="42"/>
      <c r="H415" s="43"/>
      <c r="I415" s="43"/>
      <c r="J415" s="22"/>
      <c r="K415" s="42"/>
    </row>
    <row r="416" ht="39.75" customHeight="1">
      <c r="A416" s="1">
        <v>415.0</v>
      </c>
      <c r="B416" s="2" t="s">
        <v>25</v>
      </c>
      <c r="C416" s="2" t="s">
        <v>69</v>
      </c>
      <c r="D416" s="13"/>
      <c r="E416" s="13"/>
      <c r="F416" s="44" t="s">
        <v>3406</v>
      </c>
      <c r="G416" s="43">
        <v>2.0</v>
      </c>
      <c r="H416" s="42"/>
      <c r="I416" s="43">
        <v>1.0</v>
      </c>
      <c r="J416" s="22"/>
      <c r="K416" s="42"/>
    </row>
    <row r="417" ht="39.75" customHeight="1">
      <c r="A417" s="1">
        <v>416.0</v>
      </c>
      <c r="B417" s="2" t="s">
        <v>26</v>
      </c>
      <c r="C417" s="2" t="s">
        <v>54</v>
      </c>
      <c r="E417" s="13"/>
      <c r="F417" s="44" t="s">
        <v>3407</v>
      </c>
      <c r="G417" s="43">
        <v>1.0</v>
      </c>
      <c r="H417" s="42"/>
      <c r="I417" s="42"/>
      <c r="J417" s="22"/>
      <c r="K417" s="42"/>
    </row>
    <row r="418" ht="39.75" customHeight="1">
      <c r="A418" s="1">
        <v>417.0</v>
      </c>
      <c r="B418" s="2" t="s">
        <v>29</v>
      </c>
      <c r="C418" s="2"/>
      <c r="D418" s="13"/>
      <c r="E418" s="13"/>
      <c r="F418" s="44" t="s">
        <v>1218</v>
      </c>
      <c r="G418" s="43">
        <v>1.0</v>
      </c>
      <c r="H418" s="42"/>
      <c r="I418" s="43">
        <v>1.0</v>
      </c>
      <c r="J418" s="22"/>
      <c r="K418" s="42"/>
    </row>
    <row r="419" ht="39.75" customHeight="1">
      <c r="A419" s="1">
        <v>418.0</v>
      </c>
      <c r="B419" s="2" t="s">
        <v>30</v>
      </c>
      <c r="C419" s="2" t="s">
        <v>64</v>
      </c>
      <c r="D419" s="13"/>
      <c r="E419" s="13"/>
      <c r="F419" s="44" t="s">
        <v>2592</v>
      </c>
      <c r="G419" s="43">
        <v>1.0</v>
      </c>
      <c r="H419" s="42"/>
      <c r="I419" s="43">
        <v>1.0</v>
      </c>
      <c r="J419" s="22"/>
      <c r="K419" s="42"/>
    </row>
    <row r="420" ht="39.75" customHeight="1">
      <c r="A420" s="1">
        <v>419.0</v>
      </c>
      <c r="B420" s="2" t="s">
        <v>31</v>
      </c>
      <c r="C420" s="2" t="s">
        <v>54</v>
      </c>
      <c r="D420" s="13"/>
      <c r="E420" s="13"/>
      <c r="F420" s="44" t="s">
        <v>3408</v>
      </c>
      <c r="G420" s="43">
        <v>2.0</v>
      </c>
      <c r="H420" s="43">
        <v>1.0</v>
      </c>
      <c r="I420" s="42"/>
      <c r="J420" s="22"/>
      <c r="K420" s="42"/>
    </row>
    <row r="421" ht="39.75" customHeight="1">
      <c r="A421" s="1">
        <v>420.0</v>
      </c>
      <c r="B421" s="2" t="s">
        <v>32</v>
      </c>
      <c r="C421" s="2" t="s">
        <v>69</v>
      </c>
      <c r="D421" s="13"/>
      <c r="E421" s="13"/>
      <c r="F421" s="45"/>
      <c r="G421" s="42"/>
      <c r="H421" s="42"/>
      <c r="I421" s="42"/>
      <c r="J421" s="22"/>
      <c r="K421" s="42"/>
    </row>
    <row r="422" ht="39.75" customHeight="1">
      <c r="A422" s="1">
        <v>421.0</v>
      </c>
      <c r="B422" s="2" t="s">
        <v>67</v>
      </c>
      <c r="C422" s="2" t="s">
        <v>69</v>
      </c>
      <c r="D422" s="13"/>
      <c r="E422" s="51">
        <v>0.9375</v>
      </c>
      <c r="F422" s="44" t="s">
        <v>3409</v>
      </c>
      <c r="G422" s="43">
        <v>1.0</v>
      </c>
      <c r="H422" s="43"/>
      <c r="I422" s="43"/>
      <c r="J422" s="22"/>
      <c r="K422" s="42"/>
    </row>
    <row r="423" ht="39.75" hidden="1" customHeight="1">
      <c r="A423" s="1">
        <v>422.0</v>
      </c>
      <c r="B423" s="2" t="s">
        <v>35</v>
      </c>
      <c r="C423" s="2" t="s">
        <v>58</v>
      </c>
      <c r="D423" s="13"/>
      <c r="E423" s="13"/>
      <c r="F423" s="45"/>
      <c r="G423" s="42"/>
      <c r="H423" s="42"/>
      <c r="I423" s="42"/>
      <c r="J423" s="22"/>
      <c r="K423" s="42"/>
    </row>
    <row r="424" ht="39.75" customHeight="1">
      <c r="A424" s="1">
        <v>423.0</v>
      </c>
      <c r="B424" s="2" t="s">
        <v>36</v>
      </c>
      <c r="C424" s="2" t="s">
        <v>54</v>
      </c>
      <c r="E424" s="13"/>
      <c r="F424" s="44" t="s">
        <v>3410</v>
      </c>
      <c r="G424" s="43">
        <v>1.0</v>
      </c>
      <c r="H424" s="42"/>
      <c r="I424" s="42"/>
      <c r="J424" s="22"/>
      <c r="K424" s="42"/>
    </row>
    <row r="425" ht="39.75" customHeight="1">
      <c r="A425" s="1">
        <v>424.0</v>
      </c>
      <c r="B425" s="2" t="s">
        <v>38</v>
      </c>
      <c r="C425" s="2"/>
      <c r="D425" s="53">
        <v>0.3055555555555556</v>
      </c>
      <c r="E425" s="13"/>
      <c r="F425" s="44" t="s">
        <v>3411</v>
      </c>
      <c r="G425" s="43">
        <v>1.0</v>
      </c>
      <c r="H425" s="42"/>
      <c r="I425" s="42"/>
      <c r="J425" s="22"/>
      <c r="K425" s="42"/>
    </row>
    <row r="426" ht="39.75" hidden="1" customHeight="1">
      <c r="A426" s="1">
        <v>425.0</v>
      </c>
      <c r="B426" s="2" t="s">
        <v>41</v>
      </c>
      <c r="C426" s="2" t="s">
        <v>58</v>
      </c>
      <c r="D426" s="13"/>
      <c r="E426" s="13"/>
      <c r="F426" s="44"/>
      <c r="G426" s="42"/>
      <c r="H426" s="42"/>
      <c r="I426" s="42"/>
      <c r="J426" s="22"/>
      <c r="K426" s="42"/>
    </row>
    <row r="427" ht="39.75" customHeight="1">
      <c r="A427" s="1">
        <v>426.0</v>
      </c>
      <c r="B427" s="2" t="s">
        <v>42</v>
      </c>
      <c r="C427" s="2" t="s">
        <v>27</v>
      </c>
      <c r="D427" s="13"/>
      <c r="E427" s="13"/>
      <c r="F427" s="44" t="s">
        <v>3412</v>
      </c>
      <c r="G427" s="43">
        <v>1.0</v>
      </c>
      <c r="H427" s="42"/>
      <c r="I427" s="43">
        <v>1.0</v>
      </c>
      <c r="J427" s="22"/>
      <c r="K427" s="42"/>
    </row>
    <row r="428" ht="39.75" hidden="1" customHeight="1">
      <c r="A428" s="1">
        <v>427.0</v>
      </c>
      <c r="B428" s="2" t="s">
        <v>43</v>
      </c>
      <c r="C428" s="2" t="s">
        <v>58</v>
      </c>
      <c r="D428" s="13"/>
      <c r="E428" s="13"/>
      <c r="F428" s="45"/>
      <c r="G428" s="42"/>
      <c r="H428" s="42"/>
      <c r="I428" s="42"/>
      <c r="J428" s="22"/>
      <c r="K428" s="42"/>
    </row>
    <row r="429" ht="39.75" customHeight="1">
      <c r="A429" s="1">
        <v>428.0</v>
      </c>
      <c r="B429" s="2" t="s">
        <v>45</v>
      </c>
      <c r="C429" s="2"/>
      <c r="D429" s="13"/>
      <c r="E429" s="13"/>
      <c r="F429" s="44" t="s">
        <v>1331</v>
      </c>
      <c r="G429" s="43">
        <v>1.0</v>
      </c>
      <c r="H429" s="42"/>
      <c r="I429" s="43">
        <v>1.0</v>
      </c>
      <c r="J429" s="22"/>
      <c r="K429" s="42"/>
    </row>
    <row r="430" ht="39.75" customHeight="1">
      <c r="A430" s="1">
        <v>429.0</v>
      </c>
      <c r="B430" s="2" t="s">
        <v>46</v>
      </c>
      <c r="C430" s="2"/>
      <c r="D430" s="40"/>
      <c r="E430" s="13"/>
      <c r="F430" s="44" t="s">
        <v>3413</v>
      </c>
      <c r="G430" s="43">
        <v>1.0</v>
      </c>
      <c r="H430" s="42"/>
      <c r="I430" s="43">
        <v>1.0</v>
      </c>
      <c r="J430" s="22"/>
      <c r="K430" s="42"/>
    </row>
    <row r="431" ht="39.75" customHeight="1">
      <c r="A431" s="1">
        <v>430.0</v>
      </c>
      <c r="B431" s="2" t="s">
        <v>47</v>
      </c>
      <c r="C431" s="2"/>
      <c r="D431" s="13"/>
      <c r="E431" s="13"/>
      <c r="F431" s="44" t="s">
        <v>3414</v>
      </c>
      <c r="G431" s="43">
        <v>1.0</v>
      </c>
      <c r="H431" s="42"/>
      <c r="I431" s="43">
        <v>1.0</v>
      </c>
      <c r="J431" s="22"/>
      <c r="K431" s="42"/>
    </row>
    <row r="432" ht="39.75" hidden="1" customHeight="1">
      <c r="A432" s="1">
        <v>431.0</v>
      </c>
      <c r="B432" s="2" t="s">
        <v>48</v>
      </c>
      <c r="C432" s="2" t="s">
        <v>66</v>
      </c>
      <c r="D432" s="13"/>
      <c r="E432" s="13"/>
      <c r="F432" s="45"/>
      <c r="G432" s="42"/>
      <c r="H432" s="42"/>
      <c r="I432" s="42"/>
      <c r="J432" s="22"/>
      <c r="K432" s="42"/>
    </row>
    <row r="433" ht="39.75" customHeight="1">
      <c r="A433" s="1">
        <v>432.0</v>
      </c>
      <c r="B433" s="21"/>
      <c r="C433" s="21"/>
      <c r="D433" s="21"/>
      <c r="E433" s="21"/>
      <c r="F433" s="46"/>
      <c r="G433" s="47"/>
      <c r="H433" s="47"/>
      <c r="I433" s="47"/>
      <c r="J433" s="48"/>
      <c r="K433" s="47"/>
      <c r="L433" s="49"/>
      <c r="M433" s="49"/>
      <c r="N433" s="49"/>
    </row>
    <row r="434" ht="39.75" customHeight="1">
      <c r="A434" s="1">
        <v>433.0</v>
      </c>
      <c r="B434" s="2" t="s">
        <v>12</v>
      </c>
      <c r="C434" s="2" t="s">
        <v>62</v>
      </c>
      <c r="D434" s="13"/>
      <c r="E434" s="13"/>
      <c r="F434" s="45"/>
      <c r="G434" s="42"/>
      <c r="H434" s="42"/>
      <c r="I434" s="42"/>
      <c r="J434" s="27" t="s">
        <v>3250</v>
      </c>
      <c r="K434" s="42"/>
      <c r="L434" s="15" t="s">
        <v>294</v>
      </c>
    </row>
    <row r="435" ht="39.75" hidden="1" customHeight="1">
      <c r="A435" s="1">
        <v>434.0</v>
      </c>
      <c r="B435" s="2" t="s">
        <v>16</v>
      </c>
      <c r="C435" s="2" t="s">
        <v>58</v>
      </c>
      <c r="D435" s="13"/>
      <c r="E435" s="13"/>
      <c r="F435" s="45"/>
      <c r="G435" s="42"/>
      <c r="H435" s="42"/>
      <c r="I435" s="42"/>
      <c r="J435" s="27" t="s">
        <v>294</v>
      </c>
      <c r="K435" s="43"/>
    </row>
    <row r="436" ht="39.75" customHeight="1">
      <c r="A436" s="1">
        <v>435.0</v>
      </c>
      <c r="B436" s="2" t="s">
        <v>116</v>
      </c>
      <c r="C436" s="2" t="s">
        <v>54</v>
      </c>
      <c r="D436" s="53">
        <v>0.3333333333333333</v>
      </c>
      <c r="E436" s="51">
        <v>0.8333333333333334</v>
      </c>
      <c r="F436" s="44" t="s">
        <v>3415</v>
      </c>
      <c r="G436" s="43">
        <v>2.0</v>
      </c>
      <c r="H436" s="42"/>
      <c r="I436" s="42"/>
      <c r="J436" s="27" t="s">
        <v>95</v>
      </c>
      <c r="K436" s="42"/>
    </row>
    <row r="437" ht="39.75" customHeight="1">
      <c r="A437" s="1">
        <v>436.0</v>
      </c>
      <c r="B437" s="2" t="s">
        <v>17</v>
      </c>
      <c r="C437" s="2" t="s">
        <v>69</v>
      </c>
      <c r="D437" s="13"/>
      <c r="E437" s="40">
        <v>0.8541666666666666</v>
      </c>
      <c r="F437" s="44" t="s">
        <v>3416</v>
      </c>
      <c r="G437" s="43">
        <v>2.0</v>
      </c>
      <c r="H437" s="42"/>
      <c r="I437" s="43">
        <v>1.0</v>
      </c>
      <c r="J437" s="22"/>
      <c r="K437" s="42"/>
    </row>
    <row r="438" ht="39.75" hidden="1" customHeight="1">
      <c r="A438" s="1">
        <v>437.0</v>
      </c>
      <c r="B438" s="2" t="s">
        <v>331</v>
      </c>
      <c r="C438" s="2" t="s">
        <v>58</v>
      </c>
      <c r="D438" s="13"/>
      <c r="E438" s="13"/>
      <c r="F438" s="45"/>
      <c r="G438" s="42"/>
      <c r="H438" s="42"/>
      <c r="I438" s="42"/>
      <c r="J438" s="22"/>
      <c r="K438" s="42"/>
    </row>
    <row r="439" ht="39.75" customHeight="1">
      <c r="A439" s="1">
        <v>438.0</v>
      </c>
      <c r="B439" s="2" t="s">
        <v>21</v>
      </c>
      <c r="C439" s="2" t="s">
        <v>63</v>
      </c>
      <c r="D439" s="13"/>
      <c r="E439" s="13"/>
      <c r="F439" s="45"/>
      <c r="G439" s="42"/>
      <c r="H439" s="42"/>
      <c r="I439" s="42"/>
      <c r="J439" s="22"/>
      <c r="K439" s="42"/>
    </row>
    <row r="440" ht="39.75" customHeight="1">
      <c r="A440" s="1">
        <v>439.0</v>
      </c>
      <c r="B440" s="2" t="s">
        <v>22</v>
      </c>
      <c r="C440" s="2" t="s">
        <v>39</v>
      </c>
      <c r="D440" s="53">
        <v>0.20833333333333334</v>
      </c>
      <c r="E440" s="13"/>
      <c r="F440" s="44" t="s">
        <v>3417</v>
      </c>
      <c r="G440" s="43">
        <v>2.0</v>
      </c>
      <c r="H440" s="42"/>
      <c r="I440" s="43">
        <v>1.0</v>
      </c>
      <c r="J440" s="22"/>
      <c r="K440" s="42"/>
    </row>
    <row r="441" ht="39.75" customHeight="1">
      <c r="A441" s="1">
        <v>440.0</v>
      </c>
      <c r="B441" s="2" t="s">
        <v>23</v>
      </c>
      <c r="C441" s="13"/>
      <c r="D441" s="53">
        <v>0.3333333333333333</v>
      </c>
      <c r="E441" s="13"/>
      <c r="F441" s="44" t="s">
        <v>3418</v>
      </c>
      <c r="G441" s="43">
        <v>1.0</v>
      </c>
      <c r="H441" s="42"/>
      <c r="I441" s="43">
        <v>1.0</v>
      </c>
      <c r="J441" s="22"/>
      <c r="K441" s="42"/>
    </row>
    <row r="442" ht="39.75" customHeight="1">
      <c r="A442" s="1">
        <v>441.0</v>
      </c>
      <c r="B442" s="2" t="s">
        <v>24</v>
      </c>
      <c r="C442" s="2"/>
      <c r="D442" s="13"/>
      <c r="E442" s="51">
        <v>0.7916666666666666</v>
      </c>
      <c r="F442" s="44" t="s">
        <v>3419</v>
      </c>
      <c r="G442" s="43">
        <v>2.0</v>
      </c>
      <c r="H442" s="42"/>
      <c r="I442" s="43">
        <v>2.0</v>
      </c>
      <c r="J442" s="22"/>
      <c r="K442" s="42"/>
    </row>
    <row r="443" ht="39.75" customHeight="1">
      <c r="A443" s="1">
        <v>442.0</v>
      </c>
      <c r="B443" s="2" t="s">
        <v>25</v>
      </c>
      <c r="C443" s="2" t="s">
        <v>27</v>
      </c>
      <c r="D443" s="13"/>
      <c r="E443" s="13"/>
      <c r="F443" s="44" t="s">
        <v>3420</v>
      </c>
      <c r="G443" s="43">
        <v>3.0</v>
      </c>
      <c r="H443" s="42"/>
      <c r="I443" s="43">
        <v>2.0</v>
      </c>
      <c r="J443" s="22"/>
      <c r="K443" s="42"/>
    </row>
    <row r="444" ht="39.75" customHeight="1">
      <c r="A444" s="1">
        <v>443.0</v>
      </c>
      <c r="B444" s="2" t="s">
        <v>26</v>
      </c>
      <c r="C444" s="2" t="s">
        <v>54</v>
      </c>
      <c r="D444" s="53">
        <v>0.2777777777777778</v>
      </c>
      <c r="E444" s="13"/>
      <c r="F444" s="44" t="s">
        <v>3421</v>
      </c>
      <c r="G444" s="43">
        <v>2.0</v>
      </c>
      <c r="H444" s="42"/>
      <c r="I444" s="43">
        <v>1.0</v>
      </c>
      <c r="J444" s="22"/>
      <c r="K444" s="42"/>
    </row>
    <row r="445" ht="39.75" customHeight="1">
      <c r="A445" s="1">
        <v>444.0</v>
      </c>
      <c r="B445" s="2" t="s">
        <v>29</v>
      </c>
      <c r="C445" s="2" t="s">
        <v>69</v>
      </c>
      <c r="D445" s="13"/>
      <c r="E445" s="40">
        <v>0.8333333333333334</v>
      </c>
      <c r="F445" s="44" t="s">
        <v>3422</v>
      </c>
      <c r="G445" s="43">
        <v>1.0</v>
      </c>
      <c r="H445" s="42"/>
      <c r="I445" s="43"/>
      <c r="J445" s="22"/>
      <c r="K445" s="42"/>
    </row>
    <row r="446" ht="39.75" customHeight="1">
      <c r="A446" s="1">
        <v>445.0</v>
      </c>
      <c r="B446" s="2" t="s">
        <v>30</v>
      </c>
      <c r="C446" s="2" t="s">
        <v>64</v>
      </c>
      <c r="D446" s="13"/>
      <c r="E446" s="13"/>
      <c r="F446" s="44" t="s">
        <v>2592</v>
      </c>
      <c r="G446" s="43">
        <v>1.0</v>
      </c>
      <c r="H446" s="42"/>
      <c r="I446" s="43">
        <v>1.0</v>
      </c>
      <c r="J446" s="22"/>
      <c r="K446" s="42"/>
    </row>
    <row r="447" ht="39.75" customHeight="1">
      <c r="A447" s="1">
        <v>446.0</v>
      </c>
      <c r="B447" s="2" t="s">
        <v>31</v>
      </c>
      <c r="C447" s="2" t="s">
        <v>54</v>
      </c>
      <c r="D447" s="13"/>
      <c r="E447" s="51">
        <v>0.8333333333333334</v>
      </c>
      <c r="F447" s="44" t="s">
        <v>3423</v>
      </c>
      <c r="G447" s="43">
        <v>1.0</v>
      </c>
      <c r="H447" s="43">
        <v>1.0</v>
      </c>
      <c r="I447" s="42"/>
      <c r="J447" s="22"/>
      <c r="K447" s="42"/>
    </row>
    <row r="448" ht="39.75" customHeight="1">
      <c r="A448" s="1">
        <v>447.0</v>
      </c>
      <c r="B448" s="2" t="s">
        <v>32</v>
      </c>
      <c r="C448" s="2"/>
      <c r="D448" s="13"/>
      <c r="E448" s="13"/>
      <c r="F448" s="44" t="s">
        <v>3424</v>
      </c>
      <c r="G448" s="43">
        <v>2.0</v>
      </c>
      <c r="H448" s="42"/>
      <c r="I448" s="43">
        <v>1.0</v>
      </c>
      <c r="J448" s="22"/>
      <c r="K448" s="42"/>
    </row>
    <row r="449" ht="39.75" hidden="1" customHeight="1">
      <c r="A449" s="1">
        <v>448.0</v>
      </c>
      <c r="B449" s="2" t="s">
        <v>67</v>
      </c>
      <c r="C449" s="2" t="s">
        <v>58</v>
      </c>
      <c r="D449" s="13"/>
      <c r="E449" s="13"/>
      <c r="F449" s="45"/>
      <c r="G449" s="42"/>
      <c r="H449" s="42"/>
      <c r="I449" s="42"/>
      <c r="J449" s="22"/>
      <c r="K449" s="42"/>
    </row>
    <row r="450" ht="39.75" hidden="1" customHeight="1">
      <c r="A450" s="1">
        <v>449.0</v>
      </c>
      <c r="B450" s="2" t="s">
        <v>35</v>
      </c>
      <c r="C450" s="2" t="s">
        <v>58</v>
      </c>
      <c r="D450" s="13"/>
      <c r="E450" s="13"/>
      <c r="F450" s="45"/>
      <c r="G450" s="42"/>
      <c r="H450" s="42"/>
      <c r="I450" s="42"/>
      <c r="J450" s="22"/>
      <c r="K450" s="42"/>
    </row>
    <row r="451" ht="39.75" customHeight="1">
      <c r="A451" s="1">
        <v>450.0</v>
      </c>
      <c r="B451" s="2" t="s">
        <v>36</v>
      </c>
      <c r="C451" s="2" t="s">
        <v>54</v>
      </c>
      <c r="D451" s="53">
        <v>0.2916666666666667</v>
      </c>
      <c r="E451" s="13"/>
      <c r="F451" s="44" t="s">
        <v>3425</v>
      </c>
      <c r="G451" s="43">
        <v>3.0</v>
      </c>
      <c r="H451" s="42"/>
      <c r="I451" s="43">
        <v>1.0</v>
      </c>
      <c r="J451" s="22"/>
      <c r="K451" s="42"/>
    </row>
    <row r="452" ht="39.75" customHeight="1">
      <c r="A452" s="1">
        <v>451.0</v>
      </c>
      <c r="B452" s="2" t="s">
        <v>38</v>
      </c>
      <c r="C452" s="2"/>
      <c r="D452" s="13"/>
      <c r="E452" s="13"/>
      <c r="F452" s="44" t="s">
        <v>3426</v>
      </c>
      <c r="G452" s="43">
        <v>4.0</v>
      </c>
      <c r="H452" s="42"/>
      <c r="I452" s="43">
        <v>3.0</v>
      </c>
      <c r="J452" s="22"/>
      <c r="K452" s="42"/>
    </row>
    <row r="453" ht="39.75" hidden="1" customHeight="1">
      <c r="A453" s="1">
        <v>452.0</v>
      </c>
      <c r="B453" s="2" t="s">
        <v>41</v>
      </c>
      <c r="C453" s="2" t="s">
        <v>58</v>
      </c>
      <c r="D453" s="13"/>
      <c r="E453" s="13"/>
      <c r="F453" s="45"/>
      <c r="G453" s="42"/>
      <c r="H453" s="42"/>
      <c r="I453" s="42"/>
      <c r="J453" s="22"/>
      <c r="K453" s="42"/>
    </row>
    <row r="454" ht="39.75" customHeight="1">
      <c r="A454" s="1">
        <v>453.0</v>
      </c>
      <c r="B454" s="2" t="s">
        <v>42</v>
      </c>
      <c r="C454" s="2" t="s">
        <v>44</v>
      </c>
      <c r="D454" s="13"/>
      <c r="E454" s="13"/>
      <c r="F454" s="45"/>
      <c r="G454" s="42"/>
      <c r="H454" s="42"/>
      <c r="I454" s="42"/>
      <c r="J454" s="22"/>
      <c r="K454" s="42"/>
    </row>
    <row r="455" ht="39.75" hidden="1" customHeight="1">
      <c r="A455" s="1">
        <v>454.0</v>
      </c>
      <c r="B455" s="2" t="s">
        <v>43</v>
      </c>
      <c r="C455" s="2" t="s">
        <v>58</v>
      </c>
      <c r="D455" s="13"/>
      <c r="E455" s="13"/>
      <c r="F455" s="45"/>
      <c r="G455" s="42"/>
      <c r="H455" s="42"/>
      <c r="I455" s="42"/>
      <c r="J455" s="22"/>
      <c r="K455" s="42"/>
    </row>
    <row r="456" ht="39.75" customHeight="1">
      <c r="A456" s="1">
        <v>455.0</v>
      </c>
      <c r="B456" s="2" t="s">
        <v>45</v>
      </c>
      <c r="C456" s="2" t="s">
        <v>39</v>
      </c>
      <c r="D456" s="53">
        <v>0.2013888888888889</v>
      </c>
      <c r="E456" s="13"/>
      <c r="F456" s="44" t="s">
        <v>3427</v>
      </c>
      <c r="G456" s="43">
        <v>3.0</v>
      </c>
      <c r="H456" s="42"/>
      <c r="I456" s="43">
        <v>1.0</v>
      </c>
      <c r="J456" s="22"/>
      <c r="K456" s="42"/>
    </row>
    <row r="457" ht="39.75" customHeight="1">
      <c r="A457" s="1">
        <v>456.0</v>
      </c>
      <c r="B457" s="2" t="s">
        <v>46</v>
      </c>
      <c r="C457" s="2"/>
      <c r="D457" s="13"/>
      <c r="E457" s="13"/>
      <c r="F457" s="44" t="s">
        <v>3428</v>
      </c>
      <c r="G457" s="43">
        <v>3.0</v>
      </c>
      <c r="H457" s="42"/>
      <c r="I457" s="43">
        <v>2.0</v>
      </c>
      <c r="J457" s="22"/>
      <c r="K457" s="42"/>
    </row>
    <row r="458" ht="39.75" hidden="1" customHeight="1">
      <c r="A458" s="1">
        <v>457.0</v>
      </c>
      <c r="B458" s="2" t="s">
        <v>47</v>
      </c>
      <c r="C458" s="2" t="s">
        <v>66</v>
      </c>
      <c r="D458" s="13"/>
      <c r="E458" s="13"/>
      <c r="F458" s="45"/>
      <c r="G458" s="42"/>
      <c r="H458" s="42"/>
      <c r="I458" s="42"/>
      <c r="J458" s="22"/>
      <c r="K458" s="42"/>
    </row>
    <row r="459" ht="39.75" customHeight="1">
      <c r="A459" s="1">
        <v>458.0</v>
      </c>
      <c r="B459" s="2" t="s">
        <v>48</v>
      </c>
      <c r="C459" s="2" t="s">
        <v>69</v>
      </c>
      <c r="D459" s="13"/>
      <c r="E459" s="13"/>
      <c r="F459" s="44" t="s">
        <v>3429</v>
      </c>
      <c r="G459" s="43">
        <v>1.0</v>
      </c>
      <c r="H459" s="42"/>
      <c r="I459" s="43">
        <v>1.0</v>
      </c>
      <c r="J459" s="22"/>
      <c r="K459" s="42"/>
    </row>
    <row r="460" ht="39.75" customHeight="1">
      <c r="A460" s="1">
        <v>459.0</v>
      </c>
      <c r="B460" s="21"/>
      <c r="C460" s="21"/>
      <c r="D460" s="21"/>
      <c r="E460" s="21"/>
      <c r="F460" s="46"/>
      <c r="G460" s="47"/>
      <c r="H460" s="47"/>
      <c r="I460" s="47"/>
      <c r="J460" s="48"/>
      <c r="K460" s="47"/>
      <c r="L460" s="49"/>
      <c r="M460" s="49"/>
      <c r="N460" s="49"/>
    </row>
    <row r="461" ht="39.75" customHeight="1">
      <c r="A461" s="1">
        <v>460.0</v>
      </c>
      <c r="B461" s="2" t="s">
        <v>12</v>
      </c>
      <c r="C461" s="2" t="s">
        <v>62</v>
      </c>
      <c r="D461" s="13"/>
      <c r="E461" s="13"/>
      <c r="F461" s="44" t="s">
        <v>1543</v>
      </c>
      <c r="G461" s="43">
        <v>1.0</v>
      </c>
      <c r="H461" s="42"/>
      <c r="I461" s="43">
        <v>1.0</v>
      </c>
      <c r="J461" s="27" t="s">
        <v>3250</v>
      </c>
      <c r="K461" s="42"/>
      <c r="L461" s="15" t="s">
        <v>309</v>
      </c>
    </row>
    <row r="462" ht="39.75" customHeight="1">
      <c r="A462" s="1">
        <v>461.0</v>
      </c>
      <c r="B462" s="2" t="s">
        <v>16</v>
      </c>
      <c r="C462" s="2"/>
      <c r="D462" s="53">
        <v>0.3472222222222222</v>
      </c>
      <c r="E462" s="13"/>
      <c r="F462" s="44" t="s">
        <v>3430</v>
      </c>
      <c r="G462" s="43">
        <v>1.0</v>
      </c>
      <c r="H462" s="42"/>
      <c r="I462" s="42"/>
      <c r="J462" s="27" t="s">
        <v>309</v>
      </c>
      <c r="K462" s="43"/>
    </row>
    <row r="463" ht="39.75" customHeight="1">
      <c r="A463" s="1">
        <v>462.0</v>
      </c>
      <c r="B463" s="2" t="s">
        <v>116</v>
      </c>
      <c r="C463" s="2" t="s">
        <v>54</v>
      </c>
      <c r="D463" s="53">
        <v>0.3125</v>
      </c>
      <c r="E463" s="13"/>
      <c r="F463" s="44" t="s">
        <v>3431</v>
      </c>
      <c r="G463" s="43">
        <v>1.0</v>
      </c>
      <c r="H463" s="42"/>
      <c r="I463" s="43">
        <v>1.0</v>
      </c>
      <c r="J463" s="27" t="s">
        <v>111</v>
      </c>
      <c r="K463" s="42"/>
    </row>
    <row r="464" ht="39.75" customHeight="1">
      <c r="A464" s="1">
        <v>463.0</v>
      </c>
      <c r="B464" s="2" t="s">
        <v>17</v>
      </c>
      <c r="C464" s="2" t="s">
        <v>69</v>
      </c>
      <c r="D464" s="13"/>
      <c r="E464" s="13"/>
      <c r="F464" s="44" t="s">
        <v>3432</v>
      </c>
      <c r="G464" s="43">
        <v>1.0</v>
      </c>
      <c r="H464" s="42"/>
      <c r="I464" s="43">
        <v>1.0</v>
      </c>
      <c r="J464" s="22"/>
      <c r="K464" s="42"/>
    </row>
    <row r="465" ht="39.75" customHeight="1">
      <c r="A465" s="1">
        <v>464.0</v>
      </c>
      <c r="B465" s="2" t="s">
        <v>331</v>
      </c>
      <c r="C465" s="2" t="s">
        <v>542</v>
      </c>
      <c r="D465" s="53">
        <v>0.3472222222222222</v>
      </c>
      <c r="E465" s="13"/>
      <c r="F465" s="44" t="s">
        <v>3433</v>
      </c>
      <c r="G465" s="43">
        <v>1.0</v>
      </c>
      <c r="H465" s="42"/>
      <c r="I465" s="42"/>
      <c r="J465" s="22"/>
      <c r="K465" s="42"/>
    </row>
    <row r="466" ht="39.75" customHeight="1">
      <c r="A466" s="1">
        <v>465.0</v>
      </c>
      <c r="B466" s="2" t="s">
        <v>21</v>
      </c>
      <c r="C466" s="2" t="s">
        <v>63</v>
      </c>
      <c r="D466" s="13"/>
      <c r="E466" s="13"/>
      <c r="F466" s="45"/>
      <c r="G466" s="42"/>
      <c r="H466" s="42"/>
      <c r="I466" s="42"/>
      <c r="J466" s="22"/>
      <c r="K466" s="42"/>
    </row>
    <row r="467" ht="39.75" hidden="1" customHeight="1">
      <c r="A467" s="1">
        <v>466.0</v>
      </c>
      <c r="B467" s="2" t="s">
        <v>22</v>
      </c>
      <c r="C467" s="2" t="s">
        <v>66</v>
      </c>
      <c r="D467" s="13"/>
      <c r="E467" s="13"/>
      <c r="F467" s="45"/>
      <c r="G467" s="42"/>
      <c r="H467" s="42"/>
      <c r="I467" s="42"/>
      <c r="J467" s="22"/>
      <c r="K467" s="42"/>
    </row>
    <row r="468" ht="39.75" hidden="1" customHeight="1">
      <c r="A468" s="1">
        <v>467.0</v>
      </c>
      <c r="B468" s="2" t="s">
        <v>23</v>
      </c>
      <c r="C468" s="2" t="s">
        <v>58</v>
      </c>
      <c r="D468" s="13"/>
      <c r="E468" s="13"/>
      <c r="F468" s="45"/>
      <c r="G468" s="42"/>
      <c r="H468" s="42"/>
      <c r="I468" s="42"/>
      <c r="J468" s="22"/>
      <c r="K468" s="42"/>
    </row>
    <row r="469" ht="39.75" customHeight="1">
      <c r="A469" s="1">
        <v>468.0</v>
      </c>
      <c r="B469" s="2" t="s">
        <v>24</v>
      </c>
      <c r="C469" s="2"/>
      <c r="D469" s="13"/>
      <c r="E469" s="13"/>
      <c r="F469" s="44" t="s">
        <v>3434</v>
      </c>
      <c r="G469" s="43">
        <v>1.0</v>
      </c>
      <c r="H469" s="42"/>
      <c r="I469" s="43"/>
      <c r="J469" s="22"/>
      <c r="K469" s="42"/>
    </row>
    <row r="470" ht="39.75" customHeight="1">
      <c r="A470" s="1">
        <v>469.0</v>
      </c>
      <c r="B470" s="2" t="s">
        <v>25</v>
      </c>
      <c r="C470" s="2" t="s">
        <v>44</v>
      </c>
      <c r="D470" s="13"/>
      <c r="E470" s="13"/>
      <c r="F470" s="45"/>
      <c r="G470" s="42"/>
      <c r="H470" s="42"/>
      <c r="I470" s="42"/>
      <c r="J470" s="22"/>
      <c r="K470" s="42"/>
    </row>
    <row r="471" ht="39.75" customHeight="1">
      <c r="A471" s="1">
        <v>470.0</v>
      </c>
      <c r="B471" s="2" t="s">
        <v>26</v>
      </c>
      <c r="C471" s="2" t="s">
        <v>54</v>
      </c>
      <c r="D471" s="13"/>
      <c r="E471" s="13"/>
      <c r="F471" s="44" t="s">
        <v>3435</v>
      </c>
      <c r="G471" s="43">
        <v>2.0</v>
      </c>
      <c r="H471" s="42"/>
      <c r="I471" s="43">
        <v>1.0</v>
      </c>
      <c r="J471" s="22"/>
      <c r="K471" s="42"/>
    </row>
    <row r="472" ht="39.75" customHeight="1">
      <c r="A472" s="1">
        <v>471.0</v>
      </c>
      <c r="B472" s="2" t="s">
        <v>29</v>
      </c>
      <c r="C472" s="2" t="s">
        <v>69</v>
      </c>
      <c r="D472" s="13"/>
      <c r="E472" s="40">
        <v>0.7986111111111112</v>
      </c>
      <c r="F472" s="44" t="s">
        <v>3436</v>
      </c>
      <c r="G472" s="43">
        <v>2.0</v>
      </c>
      <c r="H472" s="42"/>
      <c r="I472" s="43">
        <v>1.0</v>
      </c>
      <c r="J472" s="22"/>
      <c r="K472" s="42"/>
    </row>
    <row r="473" ht="39.75" customHeight="1">
      <c r="A473" s="1">
        <v>472.0</v>
      </c>
      <c r="B473" s="2" t="s">
        <v>30</v>
      </c>
      <c r="C473" s="2" t="s">
        <v>64</v>
      </c>
      <c r="D473" s="13"/>
      <c r="E473" s="13"/>
      <c r="F473" s="44" t="s">
        <v>2592</v>
      </c>
      <c r="G473" s="43">
        <v>1.0</v>
      </c>
      <c r="H473" s="42"/>
      <c r="I473" s="43">
        <v>1.0</v>
      </c>
      <c r="J473" s="22"/>
      <c r="K473" s="42"/>
    </row>
    <row r="474" ht="39.75" customHeight="1">
      <c r="A474" s="1">
        <v>473.0</v>
      </c>
      <c r="B474" s="2" t="s">
        <v>31</v>
      </c>
      <c r="C474" s="2" t="s">
        <v>54</v>
      </c>
      <c r="D474" s="13"/>
      <c r="E474" s="13"/>
      <c r="F474" s="44" t="s">
        <v>3423</v>
      </c>
      <c r="G474" s="43">
        <v>1.0</v>
      </c>
      <c r="H474" s="43">
        <v>1.0</v>
      </c>
      <c r="I474" s="42"/>
      <c r="J474" s="22"/>
      <c r="K474" s="42"/>
    </row>
    <row r="475" ht="39.75" customHeight="1">
      <c r="A475" s="1">
        <v>474.0</v>
      </c>
      <c r="B475" s="2" t="s">
        <v>32</v>
      </c>
      <c r="C475" s="2" t="s">
        <v>27</v>
      </c>
      <c r="D475" s="13"/>
      <c r="E475" s="13"/>
      <c r="F475" s="45"/>
      <c r="G475" s="42"/>
      <c r="H475" s="42"/>
      <c r="I475" s="42"/>
      <c r="J475" s="22"/>
      <c r="K475" s="42"/>
    </row>
    <row r="476" ht="39.75" hidden="1" customHeight="1">
      <c r="A476" s="1">
        <v>475.0</v>
      </c>
      <c r="B476" s="2" t="s">
        <v>67</v>
      </c>
      <c r="C476" s="2" t="s">
        <v>58</v>
      </c>
      <c r="D476" s="13"/>
      <c r="E476" s="13"/>
      <c r="F476" s="45"/>
      <c r="G476" s="42"/>
      <c r="H476" s="42"/>
      <c r="I476" s="42"/>
      <c r="J476" s="22"/>
      <c r="K476" s="42"/>
    </row>
    <row r="477" ht="39.75" hidden="1" customHeight="1">
      <c r="A477" s="1">
        <v>476.0</v>
      </c>
      <c r="B477" s="2" t="s">
        <v>35</v>
      </c>
      <c r="C477" s="2" t="s">
        <v>58</v>
      </c>
      <c r="D477" s="13"/>
      <c r="E477" s="13"/>
      <c r="F477" s="45"/>
      <c r="G477" s="42"/>
      <c r="H477" s="42"/>
      <c r="I477" s="42"/>
      <c r="J477" s="22"/>
      <c r="K477" s="42"/>
    </row>
    <row r="478" ht="39.75" customHeight="1">
      <c r="A478" s="1">
        <v>477.0</v>
      </c>
      <c r="B478" s="2" t="s">
        <v>36</v>
      </c>
      <c r="C478" s="2" t="s">
        <v>54</v>
      </c>
      <c r="D478" s="13"/>
      <c r="E478" s="13"/>
      <c r="F478" s="44" t="s">
        <v>3437</v>
      </c>
      <c r="G478" s="43">
        <v>1.0</v>
      </c>
      <c r="H478" s="42"/>
      <c r="I478" s="42"/>
      <c r="J478" s="22"/>
      <c r="K478" s="42"/>
    </row>
    <row r="479" ht="39.75" customHeight="1">
      <c r="A479" s="1">
        <v>478.0</v>
      </c>
      <c r="B479" s="2" t="s">
        <v>38</v>
      </c>
      <c r="C479" s="2" t="s">
        <v>39</v>
      </c>
      <c r="D479" s="13"/>
      <c r="E479" s="13"/>
      <c r="F479" s="44" t="s">
        <v>2691</v>
      </c>
      <c r="G479" s="43">
        <v>1.0</v>
      </c>
      <c r="H479" s="42"/>
      <c r="I479" s="43">
        <v>1.0</v>
      </c>
      <c r="J479" s="22"/>
      <c r="K479" s="42"/>
    </row>
    <row r="480" ht="39.75" hidden="1" customHeight="1">
      <c r="A480" s="1">
        <v>479.0</v>
      </c>
      <c r="B480" s="2" t="s">
        <v>41</v>
      </c>
      <c r="C480" s="2" t="s">
        <v>58</v>
      </c>
      <c r="D480" s="13"/>
      <c r="E480" s="13"/>
      <c r="F480" s="45"/>
      <c r="G480" s="42"/>
      <c r="H480" s="42"/>
      <c r="I480" s="42"/>
      <c r="J480" s="22"/>
      <c r="K480" s="42"/>
    </row>
    <row r="481" ht="39.75" customHeight="1">
      <c r="A481" s="1">
        <v>480.0</v>
      </c>
      <c r="B481" s="2" t="s">
        <v>42</v>
      </c>
      <c r="C481" s="2" t="s">
        <v>69</v>
      </c>
      <c r="D481" s="13"/>
      <c r="E481" s="40">
        <v>0.8125</v>
      </c>
      <c r="F481" s="44" t="s">
        <v>2741</v>
      </c>
      <c r="G481" s="43">
        <v>1.0</v>
      </c>
      <c r="H481" s="42"/>
      <c r="I481" s="43">
        <v>1.0</v>
      </c>
      <c r="J481" s="22"/>
      <c r="K481" s="42"/>
    </row>
    <row r="482" ht="39.75" hidden="1" customHeight="1">
      <c r="A482" s="1">
        <v>481.0</v>
      </c>
      <c r="B482" s="2" t="s">
        <v>43</v>
      </c>
      <c r="C482" s="2" t="s">
        <v>58</v>
      </c>
      <c r="D482" s="13"/>
      <c r="E482" s="13"/>
      <c r="F482" s="45"/>
      <c r="G482" s="42"/>
      <c r="H482" s="42"/>
      <c r="I482" s="42"/>
      <c r="J482" s="22"/>
      <c r="K482" s="42"/>
    </row>
    <row r="483" ht="39.75" customHeight="1">
      <c r="A483" s="1">
        <v>482.0</v>
      </c>
      <c r="B483" s="2" t="s">
        <v>45</v>
      </c>
      <c r="C483" s="2"/>
      <c r="D483" s="53">
        <v>0.3472222222222222</v>
      </c>
      <c r="E483" s="13"/>
      <c r="F483" s="44" t="s">
        <v>3438</v>
      </c>
      <c r="G483" s="43">
        <v>1.0</v>
      </c>
      <c r="H483" s="42"/>
      <c r="I483" s="42"/>
      <c r="J483" s="22"/>
      <c r="K483" s="42"/>
    </row>
    <row r="484" ht="39.75" customHeight="1">
      <c r="A484" s="1">
        <v>483.0</v>
      </c>
      <c r="B484" s="2" t="s">
        <v>46</v>
      </c>
      <c r="C484" s="2" t="s">
        <v>39</v>
      </c>
      <c r="D484" s="13"/>
      <c r="E484" s="13"/>
      <c r="F484" s="44" t="s">
        <v>3439</v>
      </c>
      <c r="G484" s="43">
        <v>1.0</v>
      </c>
      <c r="H484" s="42"/>
      <c r="I484" s="42"/>
      <c r="J484" s="22"/>
      <c r="K484" s="42"/>
    </row>
    <row r="485" ht="39.75" hidden="1" customHeight="1">
      <c r="A485" s="1">
        <v>484.0</v>
      </c>
      <c r="B485" s="2" t="s">
        <v>47</v>
      </c>
      <c r="C485" s="2" t="s">
        <v>58</v>
      </c>
      <c r="D485" s="13"/>
      <c r="E485" s="13"/>
      <c r="F485" s="45"/>
      <c r="G485" s="42"/>
      <c r="H485" s="42"/>
      <c r="I485" s="42"/>
      <c r="J485" s="22"/>
      <c r="K485" s="42"/>
    </row>
    <row r="486" ht="39.75" customHeight="1">
      <c r="A486" s="1">
        <v>485.0</v>
      </c>
      <c r="B486" s="2" t="s">
        <v>48</v>
      </c>
      <c r="C486" s="2"/>
      <c r="D486" s="13"/>
      <c r="E486" s="13"/>
      <c r="F486" s="61" t="s">
        <v>3440</v>
      </c>
      <c r="G486" s="43">
        <v>2.0</v>
      </c>
      <c r="H486" s="42"/>
      <c r="I486" s="43">
        <v>1.0</v>
      </c>
      <c r="J486" s="22"/>
      <c r="K486" s="42"/>
    </row>
    <row r="487" ht="39.75" customHeight="1">
      <c r="A487" s="1">
        <v>486.0</v>
      </c>
      <c r="B487" s="21"/>
      <c r="C487" s="21"/>
      <c r="D487" s="21"/>
      <c r="E487" s="21"/>
      <c r="F487" s="46"/>
      <c r="G487" s="47"/>
      <c r="H487" s="47"/>
      <c r="I487" s="47"/>
      <c r="J487" s="48"/>
      <c r="K487" s="47"/>
      <c r="L487" s="49"/>
      <c r="M487" s="49"/>
      <c r="N487" s="49"/>
    </row>
    <row r="488" ht="39.75" customHeight="1">
      <c r="A488" s="1">
        <v>487.0</v>
      </c>
      <c r="B488" s="2" t="s">
        <v>12</v>
      </c>
      <c r="C488" s="2" t="s">
        <v>62</v>
      </c>
      <c r="D488" s="13"/>
      <c r="E488" s="13"/>
      <c r="F488" s="45"/>
      <c r="G488" s="42"/>
      <c r="H488" s="42"/>
      <c r="I488" s="42"/>
      <c r="J488" s="27" t="s">
        <v>3250</v>
      </c>
      <c r="K488" s="42"/>
      <c r="L488" s="15" t="s">
        <v>328</v>
      </c>
    </row>
    <row r="489" ht="39.75" customHeight="1">
      <c r="A489" s="1">
        <v>488.0</v>
      </c>
      <c r="B489" s="2" t="s">
        <v>16</v>
      </c>
      <c r="C489" s="2" t="s">
        <v>27</v>
      </c>
      <c r="D489" s="13"/>
      <c r="E489" s="13"/>
      <c r="F489" s="44" t="s">
        <v>3441</v>
      </c>
      <c r="G489" s="42"/>
      <c r="H489" s="42"/>
      <c r="I489" s="42"/>
      <c r="J489" s="27" t="s">
        <v>328</v>
      </c>
      <c r="K489" s="43"/>
    </row>
    <row r="490" ht="39.75" customHeight="1">
      <c r="A490" s="1">
        <v>489.0</v>
      </c>
      <c r="B490" s="2" t="s">
        <v>116</v>
      </c>
      <c r="C490" s="2" t="s">
        <v>54</v>
      </c>
      <c r="D490" s="13"/>
      <c r="E490" s="13"/>
      <c r="F490" s="44" t="s">
        <v>3442</v>
      </c>
      <c r="G490" s="43">
        <v>1.0</v>
      </c>
      <c r="H490" s="42"/>
      <c r="I490" s="43">
        <v>1.0</v>
      </c>
      <c r="J490" s="27" t="s">
        <v>131</v>
      </c>
      <c r="K490" s="42"/>
    </row>
    <row r="491" ht="39.75" customHeight="1">
      <c r="A491" s="1">
        <v>490.0</v>
      </c>
      <c r="B491" s="2" t="s">
        <v>17</v>
      </c>
      <c r="C491" s="2" t="s">
        <v>69</v>
      </c>
      <c r="D491" s="13"/>
      <c r="E491" s="13"/>
      <c r="F491" s="44" t="s">
        <v>3443</v>
      </c>
      <c r="G491" s="43">
        <v>1.0</v>
      </c>
      <c r="H491" s="42"/>
      <c r="I491" s="42"/>
      <c r="J491" s="22"/>
      <c r="K491" s="42"/>
    </row>
    <row r="492" ht="39.75" customHeight="1">
      <c r="A492" s="1">
        <v>491.0</v>
      </c>
      <c r="B492" s="2" t="s">
        <v>331</v>
      </c>
      <c r="C492" s="2" t="s">
        <v>542</v>
      </c>
      <c r="D492" s="13"/>
      <c r="E492" s="13"/>
      <c r="F492" s="44"/>
      <c r="G492" s="42"/>
      <c r="H492" s="42"/>
      <c r="I492" s="42"/>
      <c r="J492" s="22"/>
      <c r="K492" s="42"/>
    </row>
    <row r="493" ht="39.75" customHeight="1">
      <c r="A493" s="1">
        <v>492.0</v>
      </c>
      <c r="B493" s="2" t="s">
        <v>21</v>
      </c>
      <c r="C493" s="2" t="s">
        <v>63</v>
      </c>
      <c r="D493" s="13"/>
      <c r="E493" s="13"/>
      <c r="F493" s="45"/>
      <c r="G493" s="42"/>
      <c r="H493" s="42"/>
      <c r="I493" s="42"/>
      <c r="J493" s="22"/>
      <c r="K493" s="42"/>
    </row>
    <row r="494" ht="39.75" hidden="1" customHeight="1">
      <c r="A494" s="1">
        <v>493.0</v>
      </c>
      <c r="B494" s="2" t="s">
        <v>22</v>
      </c>
      <c r="C494" s="2" t="s">
        <v>58</v>
      </c>
      <c r="D494" s="13"/>
      <c r="E494" s="13"/>
      <c r="F494" s="45"/>
      <c r="G494" s="42"/>
      <c r="H494" s="42"/>
      <c r="I494" s="42"/>
      <c r="J494" s="22"/>
      <c r="K494" s="42"/>
    </row>
    <row r="495" ht="39.75" hidden="1" customHeight="1">
      <c r="A495" s="1">
        <v>494.0</v>
      </c>
      <c r="B495" s="2" t="s">
        <v>23</v>
      </c>
      <c r="C495" s="2" t="s">
        <v>66</v>
      </c>
      <c r="D495" s="13"/>
      <c r="E495" s="13"/>
      <c r="F495" s="45"/>
      <c r="G495" s="42"/>
      <c r="H495" s="42"/>
      <c r="I495" s="42"/>
      <c r="J495" s="22"/>
      <c r="K495" s="42"/>
    </row>
    <row r="496" ht="39.75" customHeight="1">
      <c r="A496" s="1">
        <v>495.0</v>
      </c>
      <c r="B496" s="2" t="s">
        <v>24</v>
      </c>
      <c r="C496" s="2"/>
      <c r="D496" s="13"/>
      <c r="E496" s="13"/>
      <c r="F496" s="45"/>
      <c r="G496" s="42"/>
      <c r="H496" s="42"/>
      <c r="I496" s="42"/>
      <c r="J496" s="22"/>
      <c r="K496" s="42"/>
    </row>
    <row r="497" ht="39.75" customHeight="1">
      <c r="A497" s="1">
        <v>496.0</v>
      </c>
      <c r="B497" s="2" t="s">
        <v>25</v>
      </c>
      <c r="C497" s="2" t="s">
        <v>69</v>
      </c>
      <c r="D497" s="13"/>
      <c r="E497" s="13"/>
      <c r="F497" s="44" t="s">
        <v>3444</v>
      </c>
      <c r="G497" s="43">
        <v>1.0</v>
      </c>
      <c r="H497" s="42"/>
      <c r="I497" s="42"/>
      <c r="J497" s="22"/>
      <c r="K497" s="42"/>
    </row>
    <row r="498" ht="39.75" customHeight="1">
      <c r="A498" s="1">
        <v>497.0</v>
      </c>
      <c r="B498" s="2" t="s">
        <v>26</v>
      </c>
      <c r="C498" s="2" t="s">
        <v>54</v>
      </c>
      <c r="D498" s="13"/>
      <c r="E498" s="13"/>
      <c r="F498" s="44" t="s">
        <v>3445</v>
      </c>
      <c r="G498" s="43">
        <v>1.0</v>
      </c>
      <c r="H498" s="42"/>
      <c r="I498" s="42"/>
      <c r="J498" s="22"/>
      <c r="K498" s="42"/>
    </row>
    <row r="499" ht="39.75" hidden="1" customHeight="1">
      <c r="A499" s="1">
        <v>498.0</v>
      </c>
      <c r="B499" s="2" t="s">
        <v>29</v>
      </c>
      <c r="C499" s="2" t="s">
        <v>58</v>
      </c>
      <c r="D499" s="13"/>
      <c r="E499" s="13"/>
      <c r="F499" s="45"/>
      <c r="G499" s="42"/>
      <c r="H499" s="42"/>
      <c r="I499" s="42"/>
      <c r="J499" s="22"/>
      <c r="K499" s="42"/>
    </row>
    <row r="500" ht="39.75" customHeight="1">
      <c r="A500" s="1">
        <v>499.0</v>
      </c>
      <c r="B500" s="2" t="s">
        <v>30</v>
      </c>
      <c r="C500" s="2" t="s">
        <v>64</v>
      </c>
      <c r="D500" s="13"/>
      <c r="E500" s="13"/>
      <c r="F500" s="44" t="s">
        <v>2592</v>
      </c>
      <c r="G500" s="43">
        <v>1.0</v>
      </c>
      <c r="H500" s="42"/>
      <c r="I500" s="43">
        <v>1.0</v>
      </c>
      <c r="J500" s="22"/>
      <c r="K500" s="42"/>
    </row>
    <row r="501" ht="39.75" customHeight="1">
      <c r="A501" s="1">
        <v>500.0</v>
      </c>
      <c r="B501" s="2" t="s">
        <v>31</v>
      </c>
      <c r="C501" s="2" t="s">
        <v>54</v>
      </c>
      <c r="D501" s="13"/>
      <c r="E501" s="13"/>
      <c r="F501" s="44" t="s">
        <v>3423</v>
      </c>
      <c r="G501" s="43">
        <v>1.0</v>
      </c>
      <c r="H501" s="43">
        <v>1.0</v>
      </c>
      <c r="I501" s="42"/>
      <c r="J501" s="22"/>
      <c r="K501" s="42"/>
    </row>
    <row r="502" ht="39.75" customHeight="1">
      <c r="A502" s="1">
        <v>501.0</v>
      </c>
      <c r="B502" s="2" t="s">
        <v>32</v>
      </c>
      <c r="C502" s="2" t="s">
        <v>44</v>
      </c>
      <c r="D502" s="13"/>
      <c r="E502" s="13"/>
      <c r="F502" s="52" t="s">
        <v>3446</v>
      </c>
      <c r="G502" s="56">
        <v>1.0</v>
      </c>
      <c r="H502" s="42"/>
      <c r="I502" s="56">
        <v>1.0</v>
      </c>
      <c r="J502" s="22"/>
      <c r="K502" s="42"/>
    </row>
    <row r="503" ht="39.75" customHeight="1">
      <c r="A503" s="1">
        <v>502.0</v>
      </c>
      <c r="B503" s="2" t="s">
        <v>67</v>
      </c>
      <c r="C503" s="2" t="s">
        <v>39</v>
      </c>
      <c r="D503" s="13"/>
      <c r="E503" s="13"/>
      <c r="F503" s="44" t="s">
        <v>2691</v>
      </c>
      <c r="G503" s="43">
        <v>1.0</v>
      </c>
      <c r="H503" s="42"/>
      <c r="I503" s="43">
        <v>1.0</v>
      </c>
      <c r="J503" s="22"/>
      <c r="K503" s="42"/>
    </row>
    <row r="504" ht="39.75" hidden="1" customHeight="1">
      <c r="A504" s="1">
        <v>503.0</v>
      </c>
      <c r="B504" s="2" t="s">
        <v>35</v>
      </c>
      <c r="C504" s="2" t="s">
        <v>58</v>
      </c>
      <c r="D504" s="13"/>
      <c r="E504" s="13"/>
      <c r="F504" s="45"/>
      <c r="G504" s="42"/>
      <c r="H504" s="42"/>
      <c r="I504" s="42"/>
      <c r="J504" s="22"/>
      <c r="K504" s="42"/>
    </row>
    <row r="505" ht="39.75" customHeight="1">
      <c r="A505" s="1">
        <v>504.0</v>
      </c>
      <c r="B505" s="2" t="s">
        <v>36</v>
      </c>
      <c r="C505" s="2" t="s">
        <v>54</v>
      </c>
      <c r="D505" s="53">
        <v>0.2986111111111111</v>
      </c>
      <c r="E505" s="40">
        <v>0.7708333333333334</v>
      </c>
      <c r="F505" s="44" t="s">
        <v>3447</v>
      </c>
      <c r="G505" s="43">
        <v>1.0</v>
      </c>
      <c r="H505" s="43">
        <v>1.0</v>
      </c>
      <c r="I505" s="42"/>
      <c r="J505" s="22"/>
      <c r="K505" s="42"/>
    </row>
    <row r="506" ht="39.75" customHeight="1">
      <c r="A506" s="1">
        <v>505.0</v>
      </c>
      <c r="B506" s="2" t="s">
        <v>38</v>
      </c>
      <c r="C506" s="2" t="s">
        <v>69</v>
      </c>
      <c r="D506" s="13"/>
      <c r="E506" s="13"/>
      <c r="F506" s="44" t="s">
        <v>2741</v>
      </c>
      <c r="G506" s="43">
        <v>1.0</v>
      </c>
      <c r="H506" s="42"/>
      <c r="I506" s="43">
        <v>1.0</v>
      </c>
      <c r="J506" s="22"/>
      <c r="K506" s="42"/>
    </row>
    <row r="507" ht="39.75" hidden="1" customHeight="1">
      <c r="A507" s="1">
        <v>506.0</v>
      </c>
      <c r="B507" s="2" t="s">
        <v>41</v>
      </c>
      <c r="C507" s="2" t="s">
        <v>58</v>
      </c>
      <c r="D507" s="13"/>
      <c r="E507" s="13"/>
      <c r="F507" s="45"/>
      <c r="G507" s="42"/>
      <c r="H507" s="42"/>
      <c r="I507" s="42"/>
      <c r="J507" s="22"/>
      <c r="K507" s="42"/>
    </row>
    <row r="508" ht="39.75" customHeight="1">
      <c r="A508" s="1">
        <v>507.0</v>
      </c>
      <c r="B508" s="2" t="s">
        <v>42</v>
      </c>
      <c r="C508" s="2" t="s">
        <v>39</v>
      </c>
      <c r="D508" s="53">
        <v>0.2777777777777778</v>
      </c>
      <c r="E508" s="13"/>
      <c r="F508" s="44" t="s">
        <v>3448</v>
      </c>
      <c r="G508" s="43">
        <v>1.0</v>
      </c>
      <c r="H508" s="42"/>
      <c r="I508" s="42"/>
      <c r="J508" s="22"/>
      <c r="K508" s="42"/>
    </row>
    <row r="509" ht="39.75" hidden="1" customHeight="1">
      <c r="A509" s="1">
        <v>508.0</v>
      </c>
      <c r="B509" s="2" t="s">
        <v>43</v>
      </c>
      <c r="C509" s="2" t="s">
        <v>58</v>
      </c>
      <c r="D509" s="13"/>
      <c r="E509" s="13"/>
      <c r="F509" s="45"/>
      <c r="G509" s="42"/>
      <c r="H509" s="42"/>
      <c r="I509" s="42"/>
      <c r="J509" s="22"/>
      <c r="K509" s="42"/>
    </row>
    <row r="510" ht="39.75" customHeight="1">
      <c r="A510" s="1">
        <v>509.0</v>
      </c>
      <c r="B510" s="2" t="s">
        <v>45</v>
      </c>
      <c r="C510" s="2"/>
      <c r="D510" s="13"/>
      <c r="E510" s="13"/>
      <c r="F510" s="44" t="s">
        <v>3449</v>
      </c>
      <c r="G510" s="43">
        <v>1.0</v>
      </c>
      <c r="H510" s="42"/>
      <c r="I510" s="42"/>
      <c r="J510" s="22"/>
      <c r="K510" s="42"/>
    </row>
    <row r="511" ht="39.75" hidden="1" customHeight="1">
      <c r="A511" s="1">
        <v>510.0</v>
      </c>
      <c r="B511" s="2" t="s">
        <v>46</v>
      </c>
      <c r="C511" s="2" t="s">
        <v>66</v>
      </c>
      <c r="D511" s="13"/>
      <c r="E511" s="13"/>
      <c r="F511" s="45"/>
      <c r="G511" s="42"/>
      <c r="H511" s="42"/>
      <c r="I511" s="42"/>
      <c r="J511" s="22"/>
      <c r="K511" s="42"/>
    </row>
    <row r="512" ht="39.75" hidden="1" customHeight="1">
      <c r="A512" s="1">
        <v>511.0</v>
      </c>
      <c r="B512" s="2" t="s">
        <v>47</v>
      </c>
      <c r="C512" s="2" t="s">
        <v>58</v>
      </c>
      <c r="D512" s="13"/>
      <c r="E512" s="13"/>
      <c r="F512" s="45"/>
      <c r="G512" s="42"/>
      <c r="H512" s="42"/>
      <c r="I512" s="42"/>
      <c r="J512" s="22"/>
      <c r="K512" s="42"/>
    </row>
    <row r="513" ht="39.75" customHeight="1">
      <c r="A513" s="1">
        <v>512.0</v>
      </c>
      <c r="B513" s="2" t="s">
        <v>48</v>
      </c>
      <c r="C513" s="2"/>
      <c r="D513" s="13"/>
      <c r="E513" s="13"/>
      <c r="F513" s="44" t="s">
        <v>3450</v>
      </c>
      <c r="G513" s="43">
        <v>2.0</v>
      </c>
      <c r="H513" s="42"/>
      <c r="I513" s="43">
        <v>1.0</v>
      </c>
      <c r="J513" s="22"/>
      <c r="K513" s="42"/>
    </row>
    <row r="514" ht="39.75" customHeight="1">
      <c r="A514" s="1">
        <v>513.0</v>
      </c>
      <c r="B514" s="21"/>
      <c r="C514" s="21"/>
      <c r="D514" s="21"/>
      <c r="E514" s="21"/>
      <c r="F514" s="46"/>
      <c r="G514" s="47"/>
      <c r="H514" s="47"/>
      <c r="I514" s="47"/>
      <c r="J514" s="48"/>
      <c r="K514" s="47"/>
      <c r="L514" s="49"/>
      <c r="M514" s="49"/>
      <c r="N514" s="49"/>
    </row>
    <row r="515" ht="39.75" hidden="1" customHeight="1">
      <c r="A515" s="1">
        <v>514.0</v>
      </c>
      <c r="B515" s="2" t="s">
        <v>12</v>
      </c>
      <c r="C515" s="2" t="s">
        <v>13</v>
      </c>
      <c r="D515" s="13"/>
      <c r="E515" s="13"/>
      <c r="F515" s="45"/>
      <c r="G515" s="42"/>
      <c r="H515" s="42"/>
      <c r="I515" s="42"/>
      <c r="J515" s="27" t="s">
        <v>3250</v>
      </c>
      <c r="K515" s="42"/>
      <c r="L515" s="15" t="s">
        <v>347</v>
      </c>
    </row>
    <row r="516" ht="39.75" customHeight="1">
      <c r="A516" s="1">
        <v>515.0</v>
      </c>
      <c r="B516" s="2" t="s">
        <v>16</v>
      </c>
      <c r="C516" s="2" t="s">
        <v>44</v>
      </c>
      <c r="D516" s="13"/>
      <c r="E516" s="13"/>
      <c r="F516" s="45"/>
      <c r="G516" s="42"/>
      <c r="H516" s="42"/>
      <c r="I516" s="42"/>
      <c r="J516" s="27" t="s">
        <v>347</v>
      </c>
      <c r="K516" s="43"/>
    </row>
    <row r="517" ht="39.75" hidden="1" customHeight="1">
      <c r="A517" s="1">
        <v>516.0</v>
      </c>
      <c r="B517" s="2" t="s">
        <v>116</v>
      </c>
      <c r="C517" s="2" t="s">
        <v>13</v>
      </c>
      <c r="D517" s="13"/>
      <c r="E517" s="13"/>
      <c r="F517" s="45"/>
      <c r="G517" s="42"/>
      <c r="H517" s="42"/>
      <c r="I517" s="42"/>
      <c r="J517" s="27" t="s">
        <v>149</v>
      </c>
      <c r="K517" s="42"/>
    </row>
    <row r="518" ht="39.75" customHeight="1">
      <c r="A518" s="1">
        <v>517.0</v>
      </c>
      <c r="B518" s="2" t="s">
        <v>17</v>
      </c>
      <c r="C518" s="2" t="s">
        <v>49</v>
      </c>
      <c r="D518" s="13"/>
      <c r="E518" s="13"/>
      <c r="F518" s="44"/>
      <c r="G518" s="42"/>
      <c r="H518" s="42"/>
      <c r="I518" s="42"/>
      <c r="J518" s="27" t="s">
        <v>410</v>
      </c>
      <c r="K518" s="42"/>
    </row>
    <row r="519" ht="39.75" hidden="1" customHeight="1">
      <c r="A519" s="1">
        <v>518.0</v>
      </c>
      <c r="B519" s="2" t="s">
        <v>331</v>
      </c>
      <c r="C519" s="2" t="s">
        <v>13</v>
      </c>
      <c r="D519" s="13"/>
      <c r="E519" s="13"/>
      <c r="F519" s="45"/>
      <c r="G519" s="42"/>
      <c r="H519" s="42"/>
      <c r="I519" s="42"/>
      <c r="J519" s="27" t="s">
        <v>412</v>
      </c>
      <c r="K519" s="42"/>
    </row>
    <row r="520" ht="39.75" customHeight="1">
      <c r="A520" s="1">
        <v>519.0</v>
      </c>
      <c r="B520" s="2" t="s">
        <v>21</v>
      </c>
      <c r="C520" s="2" t="s">
        <v>63</v>
      </c>
      <c r="D520" s="13"/>
      <c r="E520" s="13"/>
      <c r="F520" s="45"/>
      <c r="G520" s="42"/>
      <c r="H520" s="42"/>
      <c r="I520" s="42"/>
      <c r="J520" s="27" t="s">
        <v>413</v>
      </c>
      <c r="K520" s="42"/>
    </row>
    <row r="521" ht="39.75" hidden="1" customHeight="1">
      <c r="A521" s="1">
        <v>520.0</v>
      </c>
      <c r="B521" s="2" t="s">
        <v>22</v>
      </c>
      <c r="C521" s="2" t="s">
        <v>13</v>
      </c>
      <c r="D521" s="13"/>
      <c r="E521" s="13"/>
      <c r="F521" s="45"/>
      <c r="G521" s="42"/>
      <c r="H521" s="42"/>
      <c r="I521" s="42"/>
      <c r="J521" s="22"/>
      <c r="K521" s="42"/>
    </row>
    <row r="522" ht="39.75" hidden="1" customHeight="1">
      <c r="A522" s="1">
        <v>521.0</v>
      </c>
      <c r="B522" s="2" t="s">
        <v>23</v>
      </c>
      <c r="C522" s="2" t="s">
        <v>13</v>
      </c>
      <c r="D522" s="13"/>
      <c r="E522" s="13"/>
      <c r="F522" s="45"/>
      <c r="G522" s="42"/>
      <c r="H522" s="42"/>
      <c r="I522" s="42"/>
      <c r="J522" s="22"/>
      <c r="K522" s="42"/>
    </row>
    <row r="523" ht="39.75" hidden="1" customHeight="1">
      <c r="A523" s="1">
        <v>522.0</v>
      </c>
      <c r="B523" s="2" t="s">
        <v>24</v>
      </c>
      <c r="C523" s="2" t="s">
        <v>13</v>
      </c>
      <c r="D523" s="13"/>
      <c r="E523" s="13"/>
      <c r="F523" s="45"/>
      <c r="G523" s="42"/>
      <c r="H523" s="42"/>
      <c r="I523" s="42"/>
      <c r="J523" s="22"/>
      <c r="K523" s="42"/>
    </row>
    <row r="524" ht="39.75" hidden="1" customHeight="1">
      <c r="A524" s="1">
        <v>523.0</v>
      </c>
      <c r="B524" s="2" t="s">
        <v>25</v>
      </c>
      <c r="C524" s="2" t="s">
        <v>13</v>
      </c>
      <c r="D524" s="13"/>
      <c r="E524" s="13"/>
      <c r="F524" s="45"/>
      <c r="G524" s="42"/>
      <c r="H524" s="42"/>
      <c r="I524" s="42"/>
      <c r="J524" s="22"/>
      <c r="K524" s="42"/>
    </row>
    <row r="525" ht="39.75" hidden="1" customHeight="1">
      <c r="A525" s="1">
        <v>524.0</v>
      </c>
      <c r="B525" s="2" t="s">
        <v>26</v>
      </c>
      <c r="C525" s="2" t="s">
        <v>13</v>
      </c>
      <c r="D525" s="13"/>
      <c r="E525" s="13"/>
      <c r="F525" s="45"/>
      <c r="G525" s="42"/>
      <c r="H525" s="42"/>
      <c r="I525" s="42"/>
      <c r="J525" s="22"/>
      <c r="K525" s="42"/>
    </row>
    <row r="526" ht="39.75" hidden="1" customHeight="1">
      <c r="A526" s="1">
        <v>525.0</v>
      </c>
      <c r="B526" s="2" t="s">
        <v>29</v>
      </c>
      <c r="C526" s="2" t="s">
        <v>13</v>
      </c>
      <c r="D526" s="13"/>
      <c r="E526" s="13"/>
      <c r="F526" s="45"/>
      <c r="G526" s="42"/>
      <c r="H526" s="42"/>
      <c r="I526" s="42"/>
      <c r="J526" s="22"/>
      <c r="K526" s="42"/>
    </row>
    <row r="527" ht="39.75" hidden="1" customHeight="1">
      <c r="A527" s="1">
        <v>526.0</v>
      </c>
      <c r="B527" s="2" t="s">
        <v>30</v>
      </c>
      <c r="C527" s="2" t="s">
        <v>13</v>
      </c>
      <c r="D527" s="13"/>
      <c r="E527" s="13"/>
      <c r="F527" s="45"/>
      <c r="G527" s="42"/>
      <c r="H527" s="42"/>
      <c r="I527" s="42"/>
      <c r="J527" s="22"/>
      <c r="K527" s="42"/>
    </row>
    <row r="528" ht="39.75" customHeight="1">
      <c r="A528" s="1">
        <v>527.0</v>
      </c>
      <c r="B528" s="2" t="s">
        <v>31</v>
      </c>
      <c r="C528" s="13"/>
      <c r="D528" s="40"/>
      <c r="E528" s="51">
        <v>0.9166666666666666</v>
      </c>
      <c r="F528" s="44" t="s">
        <v>3451</v>
      </c>
      <c r="G528" s="43">
        <v>1.0</v>
      </c>
      <c r="H528" s="43">
        <v>1.0</v>
      </c>
      <c r="I528" s="42"/>
      <c r="J528" s="22"/>
      <c r="K528" s="42"/>
    </row>
    <row r="529" ht="39.75" customHeight="1">
      <c r="A529" s="1">
        <v>528.0</v>
      </c>
      <c r="B529" s="2" t="s">
        <v>34</v>
      </c>
      <c r="C529" s="2" t="s">
        <v>272</v>
      </c>
      <c r="D529" s="13"/>
      <c r="E529" s="13"/>
      <c r="F529" s="44" t="s">
        <v>1186</v>
      </c>
      <c r="G529" s="43">
        <v>1.0</v>
      </c>
      <c r="H529" s="42"/>
      <c r="I529" s="43">
        <v>1.0</v>
      </c>
      <c r="J529" s="22"/>
      <c r="K529" s="42"/>
    </row>
    <row r="530" ht="39.75" hidden="1" customHeight="1">
      <c r="A530" s="1">
        <v>529.0</v>
      </c>
      <c r="B530" s="2" t="s">
        <v>67</v>
      </c>
      <c r="C530" s="2" t="s">
        <v>13</v>
      </c>
      <c r="D530" s="13"/>
      <c r="E530" s="13"/>
      <c r="F530" s="45"/>
      <c r="G530" s="42"/>
      <c r="H530" s="42"/>
      <c r="I530" s="42"/>
      <c r="J530" s="22"/>
      <c r="K530" s="42"/>
    </row>
    <row r="531" ht="39.75" hidden="1" customHeight="1">
      <c r="A531" s="1">
        <v>530.0</v>
      </c>
      <c r="B531" s="2" t="s">
        <v>35</v>
      </c>
      <c r="C531" s="2" t="s">
        <v>13</v>
      </c>
      <c r="D531" s="13"/>
      <c r="E531" s="13"/>
      <c r="F531" s="45"/>
      <c r="G531" s="42"/>
      <c r="H531" s="42"/>
      <c r="I531" s="42"/>
      <c r="J531" s="22"/>
      <c r="K531" s="42"/>
    </row>
    <row r="532" ht="39.75" customHeight="1">
      <c r="A532" s="1">
        <v>531.0</v>
      </c>
      <c r="B532" s="2" t="s">
        <v>36</v>
      </c>
      <c r="C532" s="2" t="s">
        <v>27</v>
      </c>
      <c r="D532" s="13"/>
      <c r="E532" s="13"/>
      <c r="F532" s="45"/>
      <c r="G532" s="42"/>
      <c r="H532" s="42"/>
      <c r="I532" s="42"/>
      <c r="J532" s="22"/>
      <c r="K532" s="42"/>
    </row>
    <row r="533" ht="39.75" hidden="1" customHeight="1">
      <c r="A533" s="1">
        <v>532.0</v>
      </c>
      <c r="B533" s="2" t="s">
        <v>38</v>
      </c>
      <c r="C533" s="2" t="s">
        <v>13</v>
      </c>
      <c r="D533" s="13"/>
      <c r="E533" s="13"/>
      <c r="F533" s="45"/>
      <c r="G533" s="42"/>
      <c r="H533" s="42"/>
      <c r="I533" s="42"/>
      <c r="J533" s="22"/>
      <c r="K533" s="42"/>
    </row>
    <row r="534" ht="39.75" hidden="1" customHeight="1">
      <c r="A534" s="1">
        <v>533.0</v>
      </c>
      <c r="B534" s="2" t="s">
        <v>41</v>
      </c>
      <c r="C534" s="2" t="s">
        <v>13</v>
      </c>
      <c r="D534" s="13"/>
      <c r="E534" s="13"/>
      <c r="F534" s="45"/>
      <c r="G534" s="42"/>
      <c r="H534" s="42"/>
      <c r="I534" s="42"/>
      <c r="J534" s="22"/>
      <c r="K534" s="42"/>
    </row>
    <row r="535" ht="39.75" customHeight="1">
      <c r="A535" s="1">
        <v>534.0</v>
      </c>
      <c r="B535" s="2" t="s">
        <v>42</v>
      </c>
      <c r="C535" s="2" t="s">
        <v>39</v>
      </c>
      <c r="D535" s="13"/>
      <c r="E535" s="13"/>
      <c r="F535" s="45"/>
      <c r="G535" s="42"/>
      <c r="H535" s="42"/>
      <c r="I535" s="42"/>
      <c r="J535" s="22"/>
      <c r="K535" s="42"/>
    </row>
    <row r="536" ht="39.75" hidden="1" customHeight="1">
      <c r="A536" s="1">
        <v>535.0</v>
      </c>
      <c r="B536" s="2" t="s">
        <v>43</v>
      </c>
      <c r="C536" s="2" t="s">
        <v>13</v>
      </c>
      <c r="D536" s="13"/>
      <c r="E536" s="13"/>
      <c r="F536" s="45"/>
      <c r="G536" s="42"/>
      <c r="H536" s="42"/>
      <c r="I536" s="42"/>
      <c r="J536" s="22"/>
      <c r="K536" s="42"/>
    </row>
    <row r="537" ht="39.75" hidden="1" customHeight="1">
      <c r="A537" s="1">
        <v>536.0</v>
      </c>
      <c r="B537" s="2" t="s">
        <v>45</v>
      </c>
      <c r="C537" s="2" t="s">
        <v>13</v>
      </c>
      <c r="D537" s="13"/>
      <c r="E537" s="13"/>
      <c r="F537" s="45"/>
      <c r="G537" s="42"/>
      <c r="H537" s="42"/>
      <c r="I537" s="42"/>
      <c r="J537" s="22"/>
      <c r="K537" s="42"/>
    </row>
    <row r="538" ht="39.75" hidden="1" customHeight="1">
      <c r="A538" s="1">
        <v>537.0</v>
      </c>
      <c r="B538" s="2" t="s">
        <v>46</v>
      </c>
      <c r="C538" s="2" t="s">
        <v>13</v>
      </c>
      <c r="D538" s="13"/>
      <c r="E538" s="13"/>
      <c r="F538" s="45"/>
      <c r="G538" s="42"/>
      <c r="H538" s="42"/>
      <c r="I538" s="42"/>
      <c r="J538" s="22"/>
      <c r="K538" s="42"/>
    </row>
    <row r="539" ht="39.75" customHeight="1">
      <c r="A539" s="1">
        <v>538.0</v>
      </c>
      <c r="B539" s="2" t="s">
        <v>47</v>
      </c>
      <c r="C539" s="2"/>
      <c r="D539" s="40">
        <v>0.375</v>
      </c>
      <c r="E539" s="13"/>
      <c r="F539" s="44" t="s">
        <v>535</v>
      </c>
      <c r="G539" s="43">
        <v>1.0</v>
      </c>
      <c r="H539" s="42"/>
      <c r="I539" s="43">
        <v>1.0</v>
      </c>
      <c r="J539" s="22"/>
      <c r="K539" s="42"/>
    </row>
    <row r="540" ht="39.75" hidden="1" customHeight="1">
      <c r="A540" s="1">
        <v>539.0</v>
      </c>
      <c r="B540" s="2" t="s">
        <v>48</v>
      </c>
      <c r="C540" s="2" t="s">
        <v>13</v>
      </c>
      <c r="D540" s="13"/>
      <c r="E540" s="13"/>
      <c r="F540" s="45"/>
      <c r="G540" s="42"/>
      <c r="H540" s="42"/>
      <c r="I540" s="42"/>
      <c r="J540" s="22"/>
      <c r="K540" s="42"/>
    </row>
    <row r="541" ht="39.75" customHeight="1">
      <c r="A541" s="1">
        <v>540.0</v>
      </c>
      <c r="B541" s="21"/>
      <c r="C541" s="21"/>
      <c r="D541" s="21"/>
      <c r="E541" s="21"/>
      <c r="F541" s="46"/>
      <c r="G541" s="47"/>
      <c r="H541" s="47"/>
      <c r="I541" s="47"/>
      <c r="J541" s="48"/>
      <c r="K541" s="47"/>
      <c r="L541" s="49"/>
      <c r="M541" s="49"/>
      <c r="N541" s="49"/>
    </row>
    <row r="542" ht="39.75" customHeight="1">
      <c r="A542" s="1">
        <v>541.0</v>
      </c>
      <c r="B542" s="2" t="s">
        <v>268</v>
      </c>
      <c r="C542" s="2" t="s">
        <v>63</v>
      </c>
      <c r="D542" s="13"/>
      <c r="E542" s="13"/>
      <c r="F542" s="44" t="s">
        <v>3452</v>
      </c>
      <c r="G542" s="42"/>
      <c r="H542" s="42"/>
      <c r="I542" s="42"/>
      <c r="J542" s="27" t="s">
        <v>3250</v>
      </c>
      <c r="K542" s="42"/>
      <c r="L542" s="15" t="s">
        <v>362</v>
      </c>
    </row>
    <row r="543" ht="39.75" hidden="1" customHeight="1">
      <c r="A543" s="1">
        <v>542.0</v>
      </c>
      <c r="B543" s="2" t="s">
        <v>16</v>
      </c>
      <c r="C543" s="2" t="s">
        <v>13</v>
      </c>
      <c r="D543" s="13"/>
      <c r="E543" s="13"/>
      <c r="F543" s="45"/>
      <c r="G543" s="42"/>
      <c r="H543" s="42"/>
      <c r="I543" s="42"/>
      <c r="J543" s="27" t="s">
        <v>362</v>
      </c>
      <c r="K543" s="43"/>
    </row>
    <row r="544" ht="39.75" customHeight="1">
      <c r="A544" s="1">
        <v>543.0</v>
      </c>
      <c r="B544" s="2" t="s">
        <v>116</v>
      </c>
      <c r="C544" s="2" t="s">
        <v>39</v>
      </c>
      <c r="D544" s="53">
        <v>0.2916666666666667</v>
      </c>
      <c r="E544" s="13"/>
      <c r="F544" s="44" t="s">
        <v>3453</v>
      </c>
      <c r="G544" s="43">
        <v>1.0</v>
      </c>
      <c r="H544" s="42"/>
      <c r="I544" s="43"/>
      <c r="J544" s="27" t="s">
        <v>19</v>
      </c>
      <c r="K544" s="42"/>
    </row>
    <row r="545" ht="39.75" hidden="1" customHeight="1">
      <c r="A545" s="1">
        <v>544.0</v>
      </c>
      <c r="B545" s="2" t="s">
        <v>17</v>
      </c>
      <c r="C545" s="2" t="s">
        <v>13</v>
      </c>
      <c r="D545" s="13"/>
      <c r="E545" s="13"/>
      <c r="F545" s="44"/>
      <c r="G545" s="42"/>
      <c r="H545" s="42"/>
      <c r="I545" s="42"/>
      <c r="J545" s="27" t="s">
        <v>165</v>
      </c>
      <c r="K545" s="42"/>
    </row>
    <row r="546" ht="39.75" hidden="1" customHeight="1">
      <c r="A546" s="1">
        <v>545.0</v>
      </c>
      <c r="B546" s="2" t="s">
        <v>331</v>
      </c>
      <c r="C546" s="2" t="s">
        <v>13</v>
      </c>
      <c r="D546" s="13"/>
      <c r="E546" s="13"/>
      <c r="F546" s="45"/>
      <c r="G546" s="42"/>
      <c r="H546" s="42"/>
      <c r="I546" s="42"/>
      <c r="J546" s="27" t="s">
        <v>2637</v>
      </c>
      <c r="K546" s="42"/>
    </row>
    <row r="547" ht="39.75" hidden="1" customHeight="1">
      <c r="A547" s="1">
        <v>546.0</v>
      </c>
      <c r="B547" s="2" t="s">
        <v>21</v>
      </c>
      <c r="C547" s="2" t="s">
        <v>13</v>
      </c>
      <c r="D547" s="13"/>
      <c r="E547" s="13"/>
      <c r="F547" s="45"/>
      <c r="G547" s="42"/>
      <c r="H547" s="42"/>
      <c r="I547" s="42"/>
      <c r="J547" s="27" t="s">
        <v>2638</v>
      </c>
      <c r="K547" s="42"/>
    </row>
    <row r="548" ht="39.75" hidden="1" customHeight="1">
      <c r="A548" s="1">
        <v>547.0</v>
      </c>
      <c r="B548" s="2" t="s">
        <v>22</v>
      </c>
      <c r="C548" s="2" t="s">
        <v>13</v>
      </c>
      <c r="D548" s="13"/>
      <c r="E548" s="13"/>
      <c r="F548" s="45"/>
      <c r="G548" s="42"/>
      <c r="H548" s="42"/>
      <c r="I548" s="42"/>
      <c r="J548" s="22"/>
      <c r="K548" s="42"/>
    </row>
    <row r="549" ht="39.75" hidden="1" customHeight="1">
      <c r="A549" s="1">
        <v>548.0</v>
      </c>
      <c r="B549" s="2" t="s">
        <v>23</v>
      </c>
      <c r="C549" s="2" t="s">
        <v>13</v>
      </c>
      <c r="D549" s="13"/>
      <c r="E549" s="13"/>
      <c r="F549" s="45"/>
      <c r="G549" s="42"/>
      <c r="H549" s="42"/>
      <c r="I549" s="42"/>
      <c r="J549" s="22"/>
      <c r="K549" s="42"/>
    </row>
    <row r="550" ht="39.75" hidden="1" customHeight="1">
      <c r="A550" s="1">
        <v>549.0</v>
      </c>
      <c r="B550" s="2" t="s">
        <v>24</v>
      </c>
      <c r="C550" s="2" t="s">
        <v>13</v>
      </c>
      <c r="D550" s="13"/>
      <c r="E550" s="13"/>
      <c r="F550" s="45"/>
      <c r="G550" s="42"/>
      <c r="H550" s="42"/>
      <c r="I550" s="42"/>
      <c r="J550" s="22"/>
      <c r="K550" s="42"/>
    </row>
    <row r="551" ht="39.75" customHeight="1">
      <c r="A551" s="1">
        <v>550.0</v>
      </c>
      <c r="B551" s="2" t="s">
        <v>25</v>
      </c>
      <c r="C551" s="2" t="s">
        <v>49</v>
      </c>
      <c r="D551" s="13"/>
      <c r="E551" s="13"/>
      <c r="F551" s="44" t="s">
        <v>3454</v>
      </c>
      <c r="G551" s="43">
        <v>1.0</v>
      </c>
      <c r="H551" s="42"/>
      <c r="I551" s="43">
        <v>1.0</v>
      </c>
      <c r="J551" s="22"/>
      <c r="K551" s="42"/>
    </row>
    <row r="552" ht="39.75" customHeight="1">
      <c r="A552" s="1">
        <v>551.0</v>
      </c>
      <c r="B552" s="2" t="s">
        <v>26</v>
      </c>
      <c r="C552" s="2"/>
      <c r="D552" s="40">
        <v>0.375</v>
      </c>
      <c r="E552" s="13"/>
      <c r="F552" s="45"/>
      <c r="G552" s="42"/>
      <c r="H552" s="42"/>
      <c r="I552" s="42"/>
      <c r="J552" s="22"/>
      <c r="K552" s="42"/>
    </row>
    <row r="553" ht="39.75" hidden="1" customHeight="1">
      <c r="A553" s="1">
        <v>552.0</v>
      </c>
      <c r="B553" s="2" t="s">
        <v>29</v>
      </c>
      <c r="C553" s="2" t="s">
        <v>13</v>
      </c>
      <c r="D553" s="13"/>
      <c r="E553" s="13"/>
      <c r="F553" s="45"/>
      <c r="G553" s="42"/>
      <c r="H553" s="42"/>
      <c r="I553" s="42"/>
      <c r="J553" s="22"/>
      <c r="K553" s="42"/>
    </row>
    <row r="554" ht="39.75" hidden="1" customHeight="1">
      <c r="A554" s="1">
        <v>553.0</v>
      </c>
      <c r="B554" s="2" t="s">
        <v>30</v>
      </c>
      <c r="C554" s="2" t="s">
        <v>13</v>
      </c>
      <c r="D554" s="13"/>
      <c r="E554" s="13"/>
      <c r="F554" s="45"/>
      <c r="G554" s="42"/>
      <c r="H554" s="42"/>
      <c r="I554" s="42"/>
      <c r="J554" s="22"/>
      <c r="K554" s="42"/>
    </row>
    <row r="555" ht="39.75" hidden="1" customHeight="1">
      <c r="A555" s="1">
        <v>554.0</v>
      </c>
      <c r="B555" s="2" t="s">
        <v>31</v>
      </c>
      <c r="C555" s="2" t="s">
        <v>13</v>
      </c>
      <c r="D555" s="13"/>
      <c r="E555" s="13"/>
      <c r="F555" s="45"/>
      <c r="G555" s="42"/>
      <c r="H555" s="42"/>
      <c r="I555" s="42"/>
      <c r="J555" s="22"/>
      <c r="K555" s="42"/>
    </row>
    <row r="556" ht="39.75" customHeight="1">
      <c r="A556" s="1">
        <v>555.0</v>
      </c>
      <c r="B556" s="2" t="s">
        <v>32</v>
      </c>
      <c r="C556" s="2" t="s">
        <v>27</v>
      </c>
      <c r="D556" s="13"/>
      <c r="E556" s="13"/>
      <c r="F556" s="44" t="s">
        <v>3455</v>
      </c>
      <c r="G556" s="43">
        <v>2.0</v>
      </c>
      <c r="H556" s="42"/>
      <c r="I556" s="42"/>
      <c r="J556" s="22"/>
      <c r="K556" s="42"/>
    </row>
    <row r="557" ht="39.75" customHeight="1">
      <c r="A557" s="1">
        <v>556.0</v>
      </c>
      <c r="B557" s="2" t="s">
        <v>33</v>
      </c>
      <c r="C557" s="2" t="s">
        <v>272</v>
      </c>
      <c r="D557" s="13"/>
      <c r="E557" s="13"/>
      <c r="F557" s="44" t="s">
        <v>1186</v>
      </c>
      <c r="G557" s="42"/>
      <c r="H557" s="42"/>
      <c r="I557" s="42"/>
      <c r="J557" s="22"/>
      <c r="K557" s="42"/>
    </row>
    <row r="558" ht="39.75" hidden="1" customHeight="1">
      <c r="A558" s="1">
        <v>557.0</v>
      </c>
      <c r="B558" s="2" t="s">
        <v>35</v>
      </c>
      <c r="C558" s="2" t="s">
        <v>13</v>
      </c>
      <c r="D558" s="13"/>
      <c r="E558" s="13"/>
      <c r="F558" s="45"/>
      <c r="G558" s="42"/>
      <c r="H558" s="42"/>
      <c r="I558" s="42"/>
      <c r="J558" s="22"/>
      <c r="K558" s="42"/>
    </row>
    <row r="559" ht="39.75" customHeight="1">
      <c r="A559" s="1">
        <v>558.0</v>
      </c>
      <c r="B559" s="2" t="s">
        <v>36</v>
      </c>
      <c r="C559" s="2" t="s">
        <v>44</v>
      </c>
      <c r="D559" s="13"/>
      <c r="E559" s="13"/>
      <c r="F559" s="45"/>
      <c r="G559" s="42"/>
      <c r="H559" s="42"/>
      <c r="I559" s="42"/>
      <c r="J559" s="22"/>
      <c r="K559" s="42"/>
    </row>
    <row r="560" ht="39.75" customHeight="1">
      <c r="A560" s="1">
        <v>559.0</v>
      </c>
      <c r="B560" s="2" t="s">
        <v>38</v>
      </c>
      <c r="C560" s="2"/>
      <c r="D560" s="40"/>
      <c r="E560" s="13"/>
      <c r="F560" s="44" t="s">
        <v>3456</v>
      </c>
      <c r="G560" s="43">
        <v>1.0</v>
      </c>
      <c r="H560" s="42"/>
      <c r="I560" s="43">
        <v>1.0</v>
      </c>
      <c r="J560" s="22"/>
      <c r="K560" s="42"/>
    </row>
    <row r="561" ht="39.75" hidden="1" customHeight="1">
      <c r="A561" s="1">
        <v>560.0</v>
      </c>
      <c r="B561" s="2" t="s">
        <v>41</v>
      </c>
      <c r="C561" s="2" t="s">
        <v>13</v>
      </c>
      <c r="D561" s="13"/>
      <c r="E561" s="13"/>
      <c r="F561" s="45"/>
      <c r="G561" s="42"/>
      <c r="H561" s="42"/>
      <c r="I561" s="42"/>
      <c r="J561" s="22"/>
      <c r="K561" s="42"/>
    </row>
    <row r="562" ht="39.75" hidden="1" customHeight="1">
      <c r="A562" s="1">
        <v>561.0</v>
      </c>
      <c r="B562" s="2" t="s">
        <v>42</v>
      </c>
      <c r="C562" s="2" t="s">
        <v>13</v>
      </c>
      <c r="D562" s="13"/>
      <c r="E562" s="13"/>
      <c r="F562" s="45"/>
      <c r="G562" s="42"/>
      <c r="H562" s="42"/>
      <c r="I562" s="42"/>
      <c r="J562" s="22"/>
      <c r="K562" s="42"/>
    </row>
    <row r="563" ht="39.75" hidden="1" customHeight="1">
      <c r="A563" s="1">
        <v>562.0</v>
      </c>
      <c r="B563" s="2" t="s">
        <v>43</v>
      </c>
      <c r="C563" s="2" t="s">
        <v>13</v>
      </c>
      <c r="D563" s="13"/>
      <c r="E563" s="13"/>
      <c r="F563" s="45"/>
      <c r="G563" s="42"/>
      <c r="H563" s="42"/>
      <c r="I563" s="42"/>
      <c r="J563" s="22"/>
      <c r="K563" s="42"/>
    </row>
    <row r="564" ht="39.75" hidden="1" customHeight="1">
      <c r="A564" s="1">
        <v>563.0</v>
      </c>
      <c r="B564" s="2" t="s">
        <v>45</v>
      </c>
      <c r="C564" s="2" t="s">
        <v>13</v>
      </c>
      <c r="D564" s="13"/>
      <c r="E564" s="13"/>
      <c r="F564" s="45"/>
      <c r="G564" s="42"/>
      <c r="H564" s="42"/>
      <c r="I564" s="42"/>
      <c r="J564" s="22"/>
      <c r="K564" s="42"/>
    </row>
    <row r="565" ht="39.75" hidden="1" customHeight="1">
      <c r="A565" s="1">
        <v>564.0</v>
      </c>
      <c r="B565" s="2" t="s">
        <v>46</v>
      </c>
      <c r="C565" s="2" t="s">
        <v>13</v>
      </c>
      <c r="D565" s="13"/>
      <c r="E565" s="13"/>
      <c r="F565" s="45"/>
      <c r="G565" s="42"/>
      <c r="H565" s="42"/>
      <c r="I565" s="42"/>
      <c r="J565" s="22"/>
      <c r="K565" s="42"/>
    </row>
    <row r="566" ht="39.75" hidden="1" customHeight="1">
      <c r="A566" s="1">
        <v>565.0</v>
      </c>
      <c r="B566" s="2" t="s">
        <v>47</v>
      </c>
      <c r="C566" s="2" t="s">
        <v>13</v>
      </c>
      <c r="D566" s="13"/>
      <c r="E566" s="13"/>
      <c r="F566" s="45"/>
      <c r="G566" s="42"/>
      <c r="H566" s="42"/>
      <c r="I566" s="42"/>
      <c r="J566" s="22"/>
      <c r="K566" s="42"/>
    </row>
    <row r="567" ht="39.75" hidden="1" customHeight="1">
      <c r="A567" s="1">
        <v>566.0</v>
      </c>
      <c r="B567" s="2" t="s">
        <v>48</v>
      </c>
      <c r="C567" s="2" t="s">
        <v>13</v>
      </c>
      <c r="D567" s="13"/>
      <c r="E567" s="13"/>
      <c r="F567" s="45"/>
      <c r="G567" s="42"/>
      <c r="H567" s="42"/>
      <c r="I567" s="42"/>
      <c r="J567" s="22"/>
      <c r="K567" s="42"/>
    </row>
    <row r="568" ht="39.75" customHeight="1">
      <c r="A568" s="1">
        <v>567.0</v>
      </c>
      <c r="B568" s="21"/>
      <c r="C568" s="21"/>
      <c r="D568" s="21"/>
      <c r="E568" s="21"/>
      <c r="F568" s="46"/>
      <c r="G568" s="47"/>
      <c r="H568" s="47"/>
      <c r="I568" s="47"/>
      <c r="J568" s="48"/>
      <c r="K568" s="47"/>
      <c r="L568" s="49"/>
      <c r="M568" s="49"/>
      <c r="N568" s="49"/>
    </row>
    <row r="569" ht="39.75" customHeight="1">
      <c r="A569" s="1">
        <v>568.0</v>
      </c>
      <c r="B569" s="2" t="s">
        <v>12</v>
      </c>
      <c r="C569" s="2" t="s">
        <v>62</v>
      </c>
      <c r="D569" s="13"/>
      <c r="E569" s="13"/>
      <c r="F569" s="44" t="s">
        <v>1543</v>
      </c>
      <c r="G569" s="43">
        <v>1.0</v>
      </c>
      <c r="H569" s="42"/>
      <c r="I569" s="43">
        <v>1.0</v>
      </c>
      <c r="J569" s="27" t="s">
        <v>3250</v>
      </c>
      <c r="K569" s="42"/>
      <c r="L569" s="15" t="s">
        <v>369</v>
      </c>
    </row>
    <row r="570" ht="39.75" hidden="1" customHeight="1">
      <c r="A570" s="1">
        <v>569.0</v>
      </c>
      <c r="B570" s="2" t="s">
        <v>16</v>
      </c>
      <c r="C570" s="2" t="s">
        <v>66</v>
      </c>
      <c r="D570" s="13"/>
      <c r="E570" s="13"/>
      <c r="F570" s="45"/>
      <c r="G570" s="42"/>
      <c r="H570" s="42"/>
      <c r="I570" s="42"/>
      <c r="J570" s="27" t="s">
        <v>369</v>
      </c>
      <c r="K570" s="43"/>
    </row>
    <row r="571" ht="39.75" customHeight="1">
      <c r="A571" s="1">
        <v>570.0</v>
      </c>
      <c r="B571" s="2" t="s">
        <v>116</v>
      </c>
      <c r="C571" s="2" t="s">
        <v>69</v>
      </c>
      <c r="D571" s="13"/>
      <c r="E571" s="13"/>
      <c r="F571" s="44" t="s">
        <v>3457</v>
      </c>
      <c r="G571" s="43">
        <v>2.0</v>
      </c>
      <c r="H571" s="42"/>
      <c r="I571" s="43">
        <v>1.0</v>
      </c>
      <c r="J571" s="27" t="s">
        <v>56</v>
      </c>
      <c r="K571" s="42"/>
    </row>
    <row r="572" ht="69.0" customHeight="1">
      <c r="A572" s="1">
        <v>571.0</v>
      </c>
      <c r="B572" s="2" t="s">
        <v>17</v>
      </c>
      <c r="C572" s="2"/>
      <c r="D572" s="13"/>
      <c r="E572" s="13"/>
      <c r="F572" s="44" t="s">
        <v>3458</v>
      </c>
      <c r="G572" s="43">
        <v>1.0</v>
      </c>
      <c r="H572" s="42"/>
      <c r="I572" s="42"/>
      <c r="J572" s="22"/>
      <c r="K572" s="42"/>
    </row>
    <row r="573" ht="39.75" customHeight="1">
      <c r="A573" s="1">
        <v>572.0</v>
      </c>
      <c r="B573" s="2" t="s">
        <v>331</v>
      </c>
      <c r="C573" s="2"/>
      <c r="D573" s="13"/>
      <c r="E573" s="13"/>
      <c r="F573" s="44" t="s">
        <v>3459</v>
      </c>
      <c r="G573" s="43">
        <v>1.0</v>
      </c>
      <c r="H573" s="43">
        <v>1.0</v>
      </c>
      <c r="I573" s="42"/>
      <c r="J573" s="22"/>
      <c r="K573" s="42"/>
    </row>
    <row r="574" ht="39.75" customHeight="1">
      <c r="A574" s="1">
        <v>573.0</v>
      </c>
      <c r="B574" s="2" t="s">
        <v>21</v>
      </c>
      <c r="C574" s="2"/>
      <c r="D574" s="13"/>
      <c r="E574" s="13"/>
      <c r="F574" s="44" t="s">
        <v>3460</v>
      </c>
      <c r="G574" s="43">
        <v>2.0</v>
      </c>
      <c r="H574" s="42"/>
      <c r="I574" s="42"/>
      <c r="J574" s="22"/>
      <c r="K574" s="42"/>
    </row>
    <row r="575" ht="78.75" customHeight="1">
      <c r="A575" s="1">
        <v>574.0</v>
      </c>
      <c r="B575" s="2" t="s">
        <v>22</v>
      </c>
      <c r="C575" s="2"/>
      <c r="D575" s="13"/>
      <c r="E575" s="13"/>
      <c r="F575" s="44" t="s">
        <v>3461</v>
      </c>
      <c r="G575" s="43">
        <v>1.0</v>
      </c>
      <c r="H575" s="42"/>
      <c r="I575" s="42"/>
      <c r="J575" s="22"/>
      <c r="K575" s="42"/>
    </row>
    <row r="576" ht="39.75" customHeight="1">
      <c r="A576" s="1">
        <v>575.0</v>
      </c>
      <c r="B576" s="2" t="s">
        <v>23</v>
      </c>
      <c r="C576" s="2" t="s">
        <v>69</v>
      </c>
      <c r="D576" s="13"/>
      <c r="E576" s="13"/>
      <c r="F576" s="44" t="s">
        <v>3462</v>
      </c>
      <c r="G576" s="43">
        <v>1.0</v>
      </c>
      <c r="H576" s="42"/>
      <c r="I576" s="43">
        <v>1.0</v>
      </c>
      <c r="J576" s="22"/>
      <c r="K576" s="42"/>
    </row>
    <row r="577" ht="39.75" customHeight="1">
      <c r="A577" s="1">
        <v>576.0</v>
      </c>
      <c r="B577" s="2" t="s">
        <v>24</v>
      </c>
      <c r="C577" s="2" t="s">
        <v>63</v>
      </c>
      <c r="D577" s="13"/>
      <c r="E577" s="13"/>
      <c r="F577" s="45"/>
      <c r="G577" s="42"/>
      <c r="H577" s="42"/>
      <c r="I577" s="42"/>
      <c r="J577" s="22"/>
      <c r="K577" s="42"/>
    </row>
    <row r="578" ht="39.75" customHeight="1">
      <c r="A578" s="1">
        <v>577.0</v>
      </c>
      <c r="B578" s="2" t="s">
        <v>25</v>
      </c>
      <c r="C578" s="2" t="s">
        <v>54</v>
      </c>
      <c r="D578" s="13"/>
      <c r="E578" s="13"/>
      <c r="F578" s="44" t="s">
        <v>3463</v>
      </c>
      <c r="G578" s="43">
        <v>2.0</v>
      </c>
      <c r="H578" s="42"/>
      <c r="I578" s="43">
        <v>1.0</v>
      </c>
      <c r="J578" s="22"/>
      <c r="K578" s="42"/>
    </row>
    <row r="579" ht="39.75" customHeight="1">
      <c r="A579" s="1">
        <v>578.0</v>
      </c>
      <c r="B579" s="2" t="s">
        <v>26</v>
      </c>
      <c r="C579" s="2" t="s">
        <v>39</v>
      </c>
      <c r="D579" s="13"/>
      <c r="E579" s="13"/>
      <c r="F579" s="44" t="s">
        <v>3464</v>
      </c>
      <c r="G579" s="43">
        <v>1.0</v>
      </c>
      <c r="H579" s="42"/>
      <c r="I579" s="42"/>
      <c r="J579" s="22"/>
      <c r="K579" s="42"/>
    </row>
    <row r="580" ht="39.75" hidden="1" customHeight="1">
      <c r="A580" s="1">
        <v>579.0</v>
      </c>
      <c r="B580" s="2" t="s">
        <v>29</v>
      </c>
      <c r="C580" s="2" t="s">
        <v>58</v>
      </c>
      <c r="D580" s="13"/>
      <c r="E580" s="13"/>
      <c r="F580" s="45"/>
      <c r="G580" s="42"/>
      <c r="H580" s="42"/>
      <c r="I580" s="42"/>
      <c r="J580" s="22"/>
      <c r="K580" s="42"/>
    </row>
    <row r="581" ht="39.75" customHeight="1">
      <c r="A581" s="1">
        <v>580.0</v>
      </c>
      <c r="B581" s="2" t="s">
        <v>30</v>
      </c>
      <c r="C581" s="2" t="s">
        <v>64</v>
      </c>
      <c r="D581" s="13"/>
      <c r="E581" s="13"/>
      <c r="F581" s="44" t="s">
        <v>2592</v>
      </c>
      <c r="G581" s="43">
        <v>1.0</v>
      </c>
      <c r="H581" s="42"/>
      <c r="I581" s="43">
        <v>1.0</v>
      </c>
      <c r="J581" s="22"/>
      <c r="K581" s="42"/>
    </row>
    <row r="582" ht="39.75" customHeight="1">
      <c r="A582" s="1">
        <v>581.0</v>
      </c>
      <c r="B582" s="2" t="s">
        <v>31</v>
      </c>
      <c r="C582" s="13"/>
      <c r="D582" s="13"/>
      <c r="E582" s="13"/>
      <c r="F582" s="44" t="s">
        <v>3465</v>
      </c>
      <c r="G582" s="43">
        <v>1.0</v>
      </c>
      <c r="H582" s="42"/>
      <c r="I582" s="42"/>
      <c r="J582" s="22"/>
      <c r="K582" s="42"/>
    </row>
    <row r="583" ht="39.75" customHeight="1">
      <c r="A583" s="1">
        <v>582.0</v>
      </c>
      <c r="B583" s="2" t="s">
        <v>32</v>
      </c>
      <c r="C583" s="2" t="s">
        <v>44</v>
      </c>
      <c r="D583" s="13"/>
      <c r="E583" s="13"/>
      <c r="F583" s="52" t="s">
        <v>3466</v>
      </c>
      <c r="G583" s="42"/>
      <c r="H583" s="42"/>
      <c r="I583" s="42"/>
      <c r="J583" s="22"/>
      <c r="K583" s="42"/>
    </row>
    <row r="584" ht="39.75" customHeight="1">
      <c r="A584" s="1">
        <v>583.0</v>
      </c>
      <c r="B584" s="2" t="s">
        <v>67</v>
      </c>
      <c r="C584" s="2" t="s">
        <v>54</v>
      </c>
      <c r="D584" s="13"/>
      <c r="E584" s="13"/>
      <c r="F584" s="61" t="s">
        <v>3467</v>
      </c>
      <c r="G584" s="43">
        <v>1.0</v>
      </c>
      <c r="H584" s="42"/>
      <c r="I584" s="42"/>
      <c r="J584" s="22"/>
      <c r="K584" s="42"/>
    </row>
    <row r="585" ht="39.75" hidden="1" customHeight="1">
      <c r="A585" s="1">
        <v>584.0</v>
      </c>
      <c r="B585" s="2" t="s">
        <v>35</v>
      </c>
      <c r="C585" s="2" t="s">
        <v>58</v>
      </c>
      <c r="D585" s="13"/>
      <c r="E585" s="13"/>
      <c r="F585" s="45"/>
      <c r="G585" s="42"/>
      <c r="H585" s="42"/>
      <c r="I585" s="42"/>
      <c r="J585" s="22"/>
      <c r="K585" s="42"/>
    </row>
    <row r="586" ht="39.75" hidden="1" customHeight="1">
      <c r="A586" s="1">
        <v>585.0</v>
      </c>
      <c r="B586" s="2" t="s">
        <v>36</v>
      </c>
      <c r="C586" s="2" t="s">
        <v>58</v>
      </c>
      <c r="D586" s="13"/>
      <c r="E586" s="13"/>
      <c r="F586" s="45"/>
      <c r="G586" s="42"/>
      <c r="H586" s="42"/>
      <c r="I586" s="42"/>
      <c r="J586" s="22"/>
      <c r="K586" s="42"/>
    </row>
    <row r="587" ht="39.75" customHeight="1">
      <c r="A587" s="1">
        <v>586.0</v>
      </c>
      <c r="B587" s="2" t="s">
        <v>38</v>
      </c>
      <c r="C587" s="2" t="s">
        <v>69</v>
      </c>
      <c r="D587" s="13"/>
      <c r="E587" s="13"/>
      <c r="F587" s="44" t="s">
        <v>3468</v>
      </c>
      <c r="G587" s="43">
        <v>1.0</v>
      </c>
      <c r="H587" s="42"/>
      <c r="I587" s="42"/>
      <c r="J587" s="22"/>
      <c r="K587" s="42"/>
    </row>
    <row r="588" ht="39.75" hidden="1" customHeight="1">
      <c r="A588" s="1">
        <v>587.0</v>
      </c>
      <c r="B588" s="2" t="s">
        <v>41</v>
      </c>
      <c r="C588" s="2" t="s">
        <v>58</v>
      </c>
      <c r="D588" s="13"/>
      <c r="E588" s="13"/>
      <c r="F588" s="45"/>
      <c r="G588" s="42"/>
      <c r="H588" s="42"/>
      <c r="I588" s="42"/>
      <c r="J588" s="22"/>
      <c r="K588" s="42"/>
    </row>
    <row r="589" ht="39.75" customHeight="1">
      <c r="A589" s="1">
        <v>588.0</v>
      </c>
      <c r="B589" s="2" t="s">
        <v>42</v>
      </c>
      <c r="C589" s="2" t="s">
        <v>39</v>
      </c>
      <c r="D589" s="13"/>
      <c r="E589" s="13"/>
      <c r="F589" s="44" t="s">
        <v>3469</v>
      </c>
      <c r="G589" s="43">
        <v>1.0</v>
      </c>
      <c r="H589" s="42"/>
      <c r="I589" s="42"/>
      <c r="J589" s="22"/>
      <c r="K589" s="42"/>
    </row>
    <row r="590" ht="39.75" customHeight="1">
      <c r="A590" s="1">
        <v>589.0</v>
      </c>
      <c r="B590" s="2" t="s">
        <v>43</v>
      </c>
      <c r="C590" s="2" t="s">
        <v>27</v>
      </c>
      <c r="D590" s="13"/>
      <c r="E590" s="13"/>
      <c r="F590" s="44" t="s">
        <v>3470</v>
      </c>
      <c r="G590" s="43">
        <v>1.0</v>
      </c>
      <c r="H590" s="42"/>
      <c r="I590" s="42"/>
      <c r="J590" s="22"/>
      <c r="K590" s="42"/>
    </row>
    <row r="591" ht="39.75" customHeight="1">
      <c r="A591" s="1">
        <v>590.0</v>
      </c>
      <c r="B591" s="2" t="s">
        <v>45</v>
      </c>
      <c r="C591" s="2" t="s">
        <v>54</v>
      </c>
      <c r="D591" s="13"/>
      <c r="E591" s="13"/>
      <c r="F591" s="44" t="s">
        <v>3471</v>
      </c>
      <c r="G591" s="43">
        <v>3.0</v>
      </c>
      <c r="H591" s="42"/>
      <c r="I591" s="43">
        <v>1.0</v>
      </c>
      <c r="J591" s="22"/>
      <c r="K591" s="42"/>
    </row>
    <row r="592" ht="39.75" hidden="1" customHeight="1">
      <c r="A592" s="1">
        <v>591.0</v>
      </c>
      <c r="B592" s="2" t="s">
        <v>46</v>
      </c>
      <c r="C592" s="2" t="s">
        <v>58</v>
      </c>
      <c r="D592" s="13"/>
      <c r="E592" s="13"/>
      <c r="F592" s="45"/>
      <c r="G592" s="42"/>
      <c r="H592" s="42"/>
      <c r="I592" s="42"/>
      <c r="J592" s="22"/>
      <c r="K592" s="42"/>
    </row>
    <row r="593" ht="39.75" customHeight="1">
      <c r="A593" s="1">
        <v>592.0</v>
      </c>
      <c r="B593" s="2" t="s">
        <v>47</v>
      </c>
      <c r="C593" s="2" t="s">
        <v>54</v>
      </c>
      <c r="D593" s="13"/>
      <c r="E593" s="13"/>
      <c r="F593" s="44" t="s">
        <v>3472</v>
      </c>
      <c r="G593" s="43">
        <v>1.0</v>
      </c>
      <c r="H593" s="42"/>
      <c r="I593" s="42"/>
      <c r="J593" s="22"/>
      <c r="K593" s="42"/>
    </row>
    <row r="594" ht="39.75" hidden="1" customHeight="1">
      <c r="A594" s="1">
        <v>593.0</v>
      </c>
      <c r="B594" s="2" t="s">
        <v>48</v>
      </c>
      <c r="C594" s="2" t="s">
        <v>58</v>
      </c>
      <c r="D594" s="13"/>
      <c r="E594" s="13"/>
      <c r="F594" s="45"/>
      <c r="G594" s="42"/>
      <c r="H594" s="42"/>
      <c r="I594" s="42"/>
      <c r="J594" s="22"/>
      <c r="K594" s="42"/>
    </row>
    <row r="595" ht="39.75" customHeight="1">
      <c r="A595" s="1">
        <v>594.0</v>
      </c>
      <c r="B595" s="21"/>
      <c r="C595" s="21"/>
      <c r="D595" s="21"/>
      <c r="E595" s="21"/>
      <c r="F595" s="46"/>
      <c r="G595" s="47"/>
      <c r="H595" s="47"/>
      <c r="I595" s="47"/>
      <c r="J595" s="48"/>
      <c r="K595" s="47"/>
      <c r="L595" s="49"/>
      <c r="M595" s="49"/>
      <c r="N595" s="49"/>
    </row>
    <row r="596" ht="39.75" customHeight="1">
      <c r="A596" s="1">
        <v>595.0</v>
      </c>
      <c r="B596" s="2" t="s">
        <v>12</v>
      </c>
      <c r="C596" s="2" t="s">
        <v>62</v>
      </c>
      <c r="D596" s="13"/>
      <c r="E596" s="13"/>
      <c r="F596" s="44" t="s">
        <v>1543</v>
      </c>
      <c r="G596" s="43">
        <v>1.0</v>
      </c>
      <c r="H596" s="42"/>
      <c r="I596" s="43">
        <v>1.0</v>
      </c>
      <c r="J596" s="27" t="s">
        <v>3250</v>
      </c>
      <c r="K596" s="42"/>
      <c r="L596" s="15" t="s">
        <v>376</v>
      </c>
    </row>
    <row r="597" ht="39.75" customHeight="1">
      <c r="A597" s="1">
        <v>596.0</v>
      </c>
      <c r="B597" s="2" t="s">
        <v>16</v>
      </c>
      <c r="C597" s="2" t="s">
        <v>39</v>
      </c>
      <c r="D597" s="13"/>
      <c r="E597" s="13"/>
      <c r="F597" s="44" t="s">
        <v>3473</v>
      </c>
      <c r="G597" s="43">
        <v>1.0</v>
      </c>
      <c r="H597" s="42"/>
      <c r="I597" s="42"/>
      <c r="J597" s="27" t="s">
        <v>376</v>
      </c>
      <c r="K597" s="43"/>
    </row>
    <row r="598" ht="39.75" customHeight="1">
      <c r="A598" s="1">
        <v>597.0</v>
      </c>
      <c r="B598" s="2" t="s">
        <v>116</v>
      </c>
      <c r="C598" s="2"/>
      <c r="D598" s="13"/>
      <c r="E598" s="13"/>
      <c r="F598" s="44" t="s">
        <v>1204</v>
      </c>
      <c r="G598" s="43">
        <v>1.0</v>
      </c>
      <c r="H598" s="42"/>
      <c r="I598" s="43">
        <v>1.0</v>
      </c>
      <c r="J598" s="27" t="s">
        <v>77</v>
      </c>
      <c r="K598" s="42"/>
    </row>
    <row r="599" ht="61.5" customHeight="1">
      <c r="A599" s="1">
        <v>598.0</v>
      </c>
      <c r="B599" s="2" t="s">
        <v>17</v>
      </c>
      <c r="C599" s="2"/>
      <c r="D599" s="13"/>
      <c r="E599" s="13"/>
      <c r="F599" s="44" t="s">
        <v>3474</v>
      </c>
      <c r="G599" s="43">
        <v>1.0</v>
      </c>
      <c r="H599" s="42"/>
      <c r="I599" s="42"/>
      <c r="J599" s="22"/>
      <c r="K599" s="42"/>
    </row>
    <row r="600" ht="39.75" customHeight="1">
      <c r="A600" s="1">
        <v>599.0</v>
      </c>
      <c r="B600" s="2" t="s">
        <v>331</v>
      </c>
      <c r="C600" s="2"/>
      <c r="D600" s="13"/>
      <c r="E600" s="13"/>
      <c r="F600" s="44" t="s">
        <v>3459</v>
      </c>
      <c r="G600" s="43">
        <v>1.0</v>
      </c>
      <c r="H600" s="43">
        <v>1.0</v>
      </c>
      <c r="I600" s="42"/>
      <c r="J600" s="22"/>
      <c r="K600" s="42"/>
    </row>
    <row r="601" ht="39.75" hidden="1" customHeight="1">
      <c r="A601" s="1">
        <v>600.0</v>
      </c>
      <c r="B601" s="2" t="s">
        <v>21</v>
      </c>
      <c r="C601" s="2" t="s">
        <v>58</v>
      </c>
      <c r="D601" s="13"/>
      <c r="E601" s="13"/>
      <c r="F601" s="45"/>
      <c r="G601" s="42"/>
      <c r="H601" s="42"/>
      <c r="I601" s="42"/>
      <c r="J601" s="22"/>
      <c r="K601" s="42"/>
    </row>
    <row r="602" ht="39.75" customHeight="1">
      <c r="A602" s="1">
        <v>601.0</v>
      </c>
      <c r="B602" s="2" t="s">
        <v>22</v>
      </c>
      <c r="C602" s="2"/>
      <c r="D602" s="13"/>
      <c r="E602" s="13"/>
      <c r="F602" s="44" t="s">
        <v>3475</v>
      </c>
      <c r="G602" s="43">
        <v>1.0</v>
      </c>
      <c r="H602" s="42"/>
      <c r="I602" s="42"/>
      <c r="J602" s="22"/>
      <c r="K602" s="42"/>
    </row>
    <row r="603" ht="39.75" customHeight="1">
      <c r="A603" s="1">
        <v>602.0</v>
      </c>
      <c r="B603" s="2" t="s">
        <v>23</v>
      </c>
      <c r="C603" s="2" t="s">
        <v>69</v>
      </c>
      <c r="D603" s="13"/>
      <c r="E603" s="40">
        <v>0.8125</v>
      </c>
      <c r="F603" s="44" t="s">
        <v>2741</v>
      </c>
      <c r="G603" s="43">
        <v>1.0</v>
      </c>
      <c r="H603" s="42"/>
      <c r="I603" s="43">
        <v>1.0</v>
      </c>
      <c r="J603" s="22"/>
      <c r="K603" s="42"/>
    </row>
    <row r="604" ht="39.75" customHeight="1">
      <c r="A604" s="1">
        <v>603.0</v>
      </c>
      <c r="B604" s="2" t="s">
        <v>24</v>
      </c>
      <c r="C604" s="2" t="s">
        <v>63</v>
      </c>
      <c r="D604" s="13"/>
      <c r="E604" s="13"/>
      <c r="F604" s="45"/>
      <c r="G604" s="42"/>
      <c r="H604" s="42"/>
      <c r="I604" s="42"/>
      <c r="J604" s="22"/>
      <c r="K604" s="42"/>
    </row>
    <row r="605" ht="86.25" customHeight="1">
      <c r="A605" s="1">
        <v>604.0</v>
      </c>
      <c r="B605" s="2" t="s">
        <v>25</v>
      </c>
      <c r="C605" s="2" t="s">
        <v>54</v>
      </c>
      <c r="D605" s="13"/>
      <c r="E605" s="13"/>
      <c r="F605" s="44" t="s">
        <v>3476</v>
      </c>
      <c r="G605" s="43">
        <v>2.0</v>
      </c>
      <c r="H605" s="42"/>
      <c r="I605" s="43">
        <v>1.0</v>
      </c>
      <c r="J605" s="22"/>
      <c r="K605" s="42"/>
    </row>
    <row r="606" ht="39.75" customHeight="1">
      <c r="A606" s="1">
        <v>605.0</v>
      </c>
      <c r="B606" s="2" t="s">
        <v>26</v>
      </c>
      <c r="C606" s="2" t="s">
        <v>39</v>
      </c>
      <c r="D606" s="13"/>
      <c r="E606" s="13"/>
      <c r="F606" s="44" t="s">
        <v>3477</v>
      </c>
      <c r="G606" s="43">
        <v>1.0</v>
      </c>
      <c r="H606" s="42"/>
      <c r="I606" s="43">
        <v>1.0</v>
      </c>
      <c r="J606" s="22"/>
      <c r="K606" s="42"/>
    </row>
    <row r="607" ht="57.0" customHeight="1">
      <c r="A607" s="1">
        <v>606.0</v>
      </c>
      <c r="B607" s="2" t="s">
        <v>29</v>
      </c>
      <c r="C607" s="2" t="s">
        <v>69</v>
      </c>
      <c r="D607" s="13"/>
      <c r="E607" s="13"/>
      <c r="F607" s="44" t="s">
        <v>3478</v>
      </c>
      <c r="G607" s="43">
        <v>1.0</v>
      </c>
      <c r="H607" s="42"/>
      <c r="I607" s="42"/>
      <c r="J607" s="22"/>
      <c r="K607" s="42"/>
    </row>
    <row r="608" ht="39.75" customHeight="1">
      <c r="A608" s="1">
        <v>607.0</v>
      </c>
      <c r="B608" s="2" t="s">
        <v>30</v>
      </c>
      <c r="C608" s="2" t="s">
        <v>64</v>
      </c>
      <c r="D608" s="13"/>
      <c r="E608" s="13"/>
      <c r="F608" s="44" t="s">
        <v>2592</v>
      </c>
      <c r="G608" s="43">
        <v>1.0</v>
      </c>
      <c r="H608" s="42"/>
      <c r="I608" s="43">
        <v>1.0</v>
      </c>
      <c r="J608" s="22"/>
      <c r="K608" s="42"/>
    </row>
    <row r="609" ht="39.75" customHeight="1">
      <c r="A609" s="1">
        <v>608.0</v>
      </c>
      <c r="B609" s="2" t="s">
        <v>31</v>
      </c>
      <c r="C609" s="13"/>
      <c r="D609" s="13"/>
      <c r="E609" s="13"/>
      <c r="F609" s="44" t="s">
        <v>3479</v>
      </c>
      <c r="G609" s="43">
        <v>1.0</v>
      </c>
      <c r="H609" s="42"/>
      <c r="I609" s="43">
        <v>1.0</v>
      </c>
      <c r="J609" s="22"/>
      <c r="K609" s="42"/>
    </row>
    <row r="610" ht="39.75" hidden="1" customHeight="1">
      <c r="A610" s="1">
        <v>609.0</v>
      </c>
      <c r="B610" s="2" t="s">
        <v>32</v>
      </c>
      <c r="C610" s="2" t="s">
        <v>58</v>
      </c>
      <c r="D610" s="13"/>
      <c r="E610" s="13"/>
      <c r="F610" s="45"/>
      <c r="G610" s="42"/>
      <c r="H610" s="42"/>
      <c r="I610" s="42"/>
      <c r="J610" s="22"/>
      <c r="K610" s="42"/>
    </row>
    <row r="611" ht="39.75" customHeight="1">
      <c r="A611" s="1">
        <v>610.0</v>
      </c>
      <c r="B611" s="2" t="s">
        <v>67</v>
      </c>
      <c r="C611" s="2" t="s">
        <v>54</v>
      </c>
      <c r="D611" s="53">
        <v>0.3125</v>
      </c>
      <c r="E611" s="13"/>
      <c r="F611" s="44" t="s">
        <v>2691</v>
      </c>
      <c r="G611" s="43">
        <v>1.0</v>
      </c>
      <c r="H611" s="42"/>
      <c r="I611" s="43">
        <v>1.0</v>
      </c>
      <c r="J611" s="22"/>
      <c r="K611" s="42"/>
    </row>
    <row r="612" ht="39.75" hidden="1" customHeight="1">
      <c r="A612" s="1">
        <v>611.0</v>
      </c>
      <c r="B612" s="2" t="s">
        <v>35</v>
      </c>
      <c r="C612" s="2" t="s">
        <v>58</v>
      </c>
      <c r="D612" s="13"/>
      <c r="E612" s="13"/>
      <c r="F612" s="45"/>
      <c r="G612" s="42"/>
      <c r="H612" s="42"/>
      <c r="I612" s="42"/>
      <c r="J612" s="22"/>
      <c r="K612" s="42"/>
    </row>
    <row r="613" ht="39.75" customHeight="1">
      <c r="A613" s="1">
        <v>612.0</v>
      </c>
      <c r="B613" s="2" t="s">
        <v>36</v>
      </c>
      <c r="C613" s="2" t="s">
        <v>69</v>
      </c>
      <c r="D613" s="13"/>
      <c r="E613" s="13"/>
      <c r="F613" s="44" t="s">
        <v>3480</v>
      </c>
      <c r="G613" s="43">
        <v>3.0</v>
      </c>
      <c r="H613" s="42"/>
      <c r="I613" s="43">
        <v>1.0</v>
      </c>
      <c r="J613" s="22"/>
      <c r="K613" s="42"/>
    </row>
    <row r="614" ht="39.75" customHeight="1">
      <c r="A614" s="1">
        <v>613.0</v>
      </c>
      <c r="B614" s="2" t="s">
        <v>38</v>
      </c>
      <c r="C614" s="2"/>
      <c r="D614" s="53">
        <v>0.22916666666666666</v>
      </c>
      <c r="E614" s="13"/>
      <c r="F614" s="44" t="s">
        <v>3481</v>
      </c>
      <c r="G614" s="43">
        <v>1.0</v>
      </c>
      <c r="H614" s="43">
        <v>1.0</v>
      </c>
      <c r="I614" s="42"/>
      <c r="J614" s="22"/>
      <c r="K614" s="42"/>
    </row>
    <row r="615" ht="39.75" hidden="1" customHeight="1">
      <c r="A615" s="1">
        <v>614.0</v>
      </c>
      <c r="B615" s="2" t="s">
        <v>41</v>
      </c>
      <c r="C615" s="2" t="s">
        <v>58</v>
      </c>
      <c r="D615" s="13"/>
      <c r="E615" s="13"/>
      <c r="F615" s="45"/>
      <c r="G615" s="42"/>
      <c r="H615" s="42"/>
      <c r="I615" s="42"/>
      <c r="J615" s="22"/>
      <c r="K615" s="42"/>
    </row>
    <row r="616" ht="39.75" customHeight="1">
      <c r="A616" s="1">
        <v>615.0</v>
      </c>
      <c r="B616" s="2" t="s">
        <v>42</v>
      </c>
      <c r="C616" s="2" t="s">
        <v>54</v>
      </c>
      <c r="D616" s="13"/>
      <c r="E616" s="13"/>
      <c r="F616" s="44" t="s">
        <v>3482</v>
      </c>
      <c r="G616" s="43">
        <v>1.0</v>
      </c>
      <c r="H616" s="42"/>
      <c r="I616" s="42"/>
      <c r="J616" s="22"/>
      <c r="K616" s="42"/>
    </row>
    <row r="617" ht="39.75" customHeight="1">
      <c r="A617" s="1">
        <v>616.0</v>
      </c>
      <c r="B617" s="2" t="s">
        <v>43</v>
      </c>
      <c r="C617" s="2" t="s">
        <v>44</v>
      </c>
      <c r="D617" s="13"/>
      <c r="E617" s="13"/>
      <c r="F617" s="45"/>
      <c r="G617" s="42"/>
      <c r="H617" s="42"/>
      <c r="I617" s="42"/>
      <c r="J617" s="22"/>
      <c r="K617" s="42"/>
    </row>
    <row r="618" ht="39.75" customHeight="1">
      <c r="A618" s="1">
        <v>617.0</v>
      </c>
      <c r="B618" s="2" t="s">
        <v>45</v>
      </c>
      <c r="C618" s="2" t="s">
        <v>27</v>
      </c>
      <c r="D618" s="13"/>
      <c r="E618" s="13"/>
      <c r="F618" s="44" t="s">
        <v>3201</v>
      </c>
      <c r="G618" s="43">
        <v>1.0</v>
      </c>
      <c r="H618" s="42"/>
      <c r="I618" s="42"/>
      <c r="J618" s="22"/>
      <c r="K618" s="42"/>
    </row>
    <row r="619" ht="39.75" customHeight="1">
      <c r="A619" s="1">
        <v>618.0</v>
      </c>
      <c r="B619" s="2" t="s">
        <v>46</v>
      </c>
      <c r="C619" s="2" t="s">
        <v>54</v>
      </c>
      <c r="D619" s="13"/>
      <c r="E619" s="13"/>
      <c r="F619" s="44" t="s">
        <v>3483</v>
      </c>
      <c r="G619" s="43">
        <v>2.0</v>
      </c>
      <c r="H619" s="42"/>
      <c r="I619" s="43">
        <v>1.0</v>
      </c>
      <c r="J619" s="22"/>
      <c r="K619" s="42"/>
    </row>
    <row r="620" ht="39.75" customHeight="1">
      <c r="A620" s="1">
        <v>619.0</v>
      </c>
      <c r="B620" s="2" t="s">
        <v>47</v>
      </c>
      <c r="C620" s="2"/>
      <c r="D620" s="13"/>
      <c r="E620" s="13"/>
      <c r="F620" s="44" t="s">
        <v>3484</v>
      </c>
      <c r="G620" s="43">
        <v>1.0</v>
      </c>
      <c r="H620" s="42"/>
      <c r="I620" s="42"/>
      <c r="J620" s="22"/>
      <c r="K620" s="42"/>
    </row>
    <row r="621" ht="39.75" customHeight="1">
      <c r="A621" s="1">
        <v>620.0</v>
      </c>
      <c r="B621" s="2" t="s">
        <v>48</v>
      </c>
      <c r="C621" s="2"/>
      <c r="D621" s="13"/>
      <c r="E621" s="13"/>
      <c r="F621" s="44" t="s">
        <v>3485</v>
      </c>
      <c r="G621" s="43">
        <v>2.0</v>
      </c>
      <c r="H621" s="42"/>
      <c r="I621" s="43">
        <v>2.0</v>
      </c>
      <c r="J621" s="22"/>
      <c r="K621" s="42"/>
    </row>
    <row r="622" ht="39.75" customHeight="1">
      <c r="A622" s="1">
        <v>621.0</v>
      </c>
      <c r="B622" s="21"/>
      <c r="C622" s="21"/>
      <c r="D622" s="21"/>
      <c r="E622" s="21"/>
      <c r="F622" s="46"/>
      <c r="G622" s="47"/>
      <c r="H622" s="47"/>
      <c r="I622" s="47"/>
      <c r="J622" s="48"/>
      <c r="K622" s="47"/>
      <c r="L622" s="49"/>
      <c r="M622" s="49"/>
      <c r="N622" s="49"/>
    </row>
    <row r="623" ht="39.75" hidden="1" customHeight="1">
      <c r="A623" s="1">
        <v>622.0</v>
      </c>
      <c r="B623" s="2" t="s">
        <v>12</v>
      </c>
      <c r="C623" s="2" t="s">
        <v>58</v>
      </c>
      <c r="D623" s="13"/>
      <c r="E623" s="13"/>
      <c r="F623" s="45"/>
      <c r="G623" s="42"/>
      <c r="H623" s="42"/>
      <c r="I623" s="42"/>
      <c r="J623" s="27" t="s">
        <v>3250</v>
      </c>
      <c r="K623" s="42"/>
      <c r="L623" s="15" t="s">
        <v>389</v>
      </c>
    </row>
    <row r="624" ht="39.75" customHeight="1">
      <c r="A624" s="1">
        <v>623.0</v>
      </c>
      <c r="B624" s="2" t="s">
        <v>16</v>
      </c>
      <c r="C624" s="2" t="s">
        <v>27</v>
      </c>
      <c r="D624" s="13"/>
      <c r="E624" s="13"/>
      <c r="F624" s="44" t="s">
        <v>3486</v>
      </c>
      <c r="G624" s="43">
        <v>1.0</v>
      </c>
      <c r="H624" s="42"/>
      <c r="I624" s="43"/>
      <c r="J624" s="27" t="s">
        <v>389</v>
      </c>
      <c r="K624" s="43"/>
    </row>
    <row r="625" ht="39.75" customHeight="1">
      <c r="A625" s="1">
        <v>624.0</v>
      </c>
      <c r="B625" s="2" t="s">
        <v>116</v>
      </c>
      <c r="C625" s="2"/>
      <c r="D625" s="13"/>
      <c r="E625" s="13"/>
      <c r="F625" s="45"/>
      <c r="G625" s="42"/>
      <c r="H625" s="42"/>
      <c r="I625" s="42"/>
      <c r="J625" s="27" t="s">
        <v>95</v>
      </c>
      <c r="K625" s="42"/>
    </row>
    <row r="626" ht="39.75" customHeight="1">
      <c r="A626" s="1">
        <v>625.0</v>
      </c>
      <c r="B626" s="2" t="s">
        <v>17</v>
      </c>
      <c r="C626" s="2" t="s">
        <v>54</v>
      </c>
      <c r="D626" s="13"/>
      <c r="E626" s="13"/>
      <c r="F626" s="44"/>
      <c r="G626" s="42"/>
      <c r="H626" s="42"/>
      <c r="I626" s="42"/>
      <c r="J626" s="22"/>
      <c r="K626" s="42"/>
    </row>
    <row r="627" ht="39.75" customHeight="1">
      <c r="A627" s="1">
        <v>626.0</v>
      </c>
      <c r="B627" s="2" t="s">
        <v>331</v>
      </c>
      <c r="C627" s="2"/>
      <c r="D627" s="13"/>
      <c r="E627" s="13"/>
      <c r="F627" s="44" t="s">
        <v>3459</v>
      </c>
      <c r="G627" s="43">
        <v>1.0</v>
      </c>
      <c r="H627" s="43">
        <v>1.0</v>
      </c>
      <c r="I627" s="42"/>
      <c r="J627" s="22"/>
      <c r="K627" s="42"/>
    </row>
    <row r="628" ht="39.75" customHeight="1">
      <c r="A628" s="1">
        <v>627.0</v>
      </c>
      <c r="B628" s="2" t="s">
        <v>21</v>
      </c>
      <c r="C628" s="2"/>
      <c r="D628" s="13"/>
      <c r="E628" s="13"/>
      <c r="F628" s="44" t="s">
        <v>3487</v>
      </c>
      <c r="G628" s="43">
        <v>1.0</v>
      </c>
      <c r="H628" s="42"/>
      <c r="I628" s="43">
        <v>1.0</v>
      </c>
      <c r="J628" s="22"/>
      <c r="K628" s="42"/>
    </row>
    <row r="629" ht="39.75" customHeight="1">
      <c r="A629" s="1">
        <v>628.0</v>
      </c>
      <c r="B629" s="2" t="s">
        <v>22</v>
      </c>
      <c r="C629" s="2"/>
      <c r="D629" s="13"/>
      <c r="E629" s="13"/>
      <c r="F629" s="44" t="s">
        <v>3488</v>
      </c>
      <c r="G629" s="43">
        <v>1.0</v>
      </c>
      <c r="H629" s="42"/>
      <c r="I629" s="42"/>
      <c r="J629" s="22"/>
      <c r="K629" s="42"/>
    </row>
    <row r="630" ht="39.75" customHeight="1">
      <c r="A630" s="1">
        <v>629.0</v>
      </c>
      <c r="B630" s="2" t="s">
        <v>23</v>
      </c>
      <c r="C630" s="13"/>
      <c r="D630" s="13"/>
      <c r="E630" s="13"/>
      <c r="F630" s="44" t="s">
        <v>1204</v>
      </c>
      <c r="G630" s="43">
        <v>1.0</v>
      </c>
      <c r="H630" s="42"/>
      <c r="I630" s="43">
        <v>1.0</v>
      </c>
      <c r="J630" s="22"/>
      <c r="K630" s="42"/>
    </row>
    <row r="631" ht="39.75" customHeight="1">
      <c r="A631" s="1">
        <v>630.0</v>
      </c>
      <c r="B631" s="2" t="s">
        <v>24</v>
      </c>
      <c r="C631" s="2" t="s">
        <v>63</v>
      </c>
      <c r="D631" s="13"/>
      <c r="E631" s="13"/>
      <c r="F631" s="45"/>
      <c r="G631" s="42"/>
      <c r="H631" s="42"/>
      <c r="I631" s="42"/>
      <c r="J631" s="22"/>
      <c r="K631" s="42"/>
    </row>
    <row r="632" ht="39.75" customHeight="1">
      <c r="A632" s="1">
        <v>631.0</v>
      </c>
      <c r="B632" s="2" t="s">
        <v>25</v>
      </c>
      <c r="C632" s="2" t="s">
        <v>54</v>
      </c>
      <c r="D632" s="53">
        <v>0.375</v>
      </c>
      <c r="E632" s="51">
        <v>0.9375</v>
      </c>
      <c r="F632" s="44" t="s">
        <v>3489</v>
      </c>
      <c r="G632" s="43">
        <v>1.0</v>
      </c>
      <c r="H632" s="43">
        <v>1.0</v>
      </c>
      <c r="I632" s="42"/>
      <c r="J632" s="22"/>
      <c r="K632" s="42"/>
    </row>
    <row r="633" ht="39.75" customHeight="1">
      <c r="A633" s="1">
        <v>632.0</v>
      </c>
      <c r="B633" s="2" t="s">
        <v>26</v>
      </c>
      <c r="C633" s="2"/>
      <c r="D633" s="13"/>
      <c r="E633" s="13"/>
      <c r="F633" s="44" t="s">
        <v>3490</v>
      </c>
      <c r="G633" s="43">
        <v>1.0</v>
      </c>
      <c r="H633" s="43">
        <v>1.0</v>
      </c>
      <c r="I633" s="42"/>
      <c r="J633" s="22"/>
      <c r="K633" s="42"/>
    </row>
    <row r="634" ht="39.75" customHeight="1">
      <c r="A634" s="1">
        <v>633.0</v>
      </c>
      <c r="B634" s="2" t="s">
        <v>29</v>
      </c>
      <c r="C634" s="2" t="s">
        <v>39</v>
      </c>
      <c r="D634" s="13"/>
      <c r="E634" s="13"/>
      <c r="F634" s="44" t="s">
        <v>3491</v>
      </c>
      <c r="G634" s="43">
        <v>2.0</v>
      </c>
      <c r="H634" s="42"/>
      <c r="I634" s="43">
        <v>2.0</v>
      </c>
      <c r="J634" s="22"/>
      <c r="K634" s="42"/>
    </row>
    <row r="635" ht="39.75" customHeight="1">
      <c r="A635" s="1">
        <v>634.0</v>
      </c>
      <c r="B635" s="2" t="s">
        <v>30</v>
      </c>
      <c r="C635" s="2" t="s">
        <v>64</v>
      </c>
      <c r="D635" s="13"/>
      <c r="E635" s="13"/>
      <c r="F635" s="44" t="s">
        <v>2592</v>
      </c>
      <c r="G635" s="43">
        <v>1.0</v>
      </c>
      <c r="H635" s="42"/>
      <c r="I635" s="43">
        <v>1.0</v>
      </c>
      <c r="J635" s="22"/>
      <c r="K635" s="42"/>
    </row>
    <row r="636" ht="39.75" hidden="1" customHeight="1">
      <c r="A636" s="1">
        <v>635.0</v>
      </c>
      <c r="B636" s="2" t="s">
        <v>31</v>
      </c>
      <c r="C636" s="2" t="s">
        <v>58</v>
      </c>
      <c r="D636" s="13"/>
      <c r="E636" s="13"/>
      <c r="F636" s="45"/>
      <c r="G636" s="42"/>
      <c r="H636" s="42"/>
      <c r="I636" s="42"/>
      <c r="J636" s="22"/>
      <c r="K636" s="42"/>
    </row>
    <row r="637" ht="39.75" hidden="1" customHeight="1">
      <c r="A637" s="1">
        <v>636.0</v>
      </c>
      <c r="B637" s="2" t="s">
        <v>32</v>
      </c>
      <c r="C637" s="2" t="s">
        <v>58</v>
      </c>
      <c r="D637" s="13"/>
      <c r="E637" s="13"/>
      <c r="F637" s="45"/>
      <c r="G637" s="42"/>
      <c r="H637" s="42"/>
      <c r="I637" s="42"/>
      <c r="J637" s="22"/>
      <c r="K637" s="42"/>
    </row>
    <row r="638" ht="39.75" customHeight="1">
      <c r="A638" s="1">
        <v>637.0</v>
      </c>
      <c r="B638" s="2" t="s">
        <v>67</v>
      </c>
      <c r="C638" s="2" t="s">
        <v>54</v>
      </c>
      <c r="D638" s="13"/>
      <c r="E638" s="13"/>
      <c r="F638" s="44" t="s">
        <v>3492</v>
      </c>
      <c r="G638" s="43">
        <v>1.0</v>
      </c>
      <c r="H638" s="42"/>
      <c r="I638" s="42"/>
      <c r="J638" s="22"/>
      <c r="K638" s="42"/>
    </row>
    <row r="639" ht="39.75" hidden="1" customHeight="1">
      <c r="A639" s="1">
        <v>638.0</v>
      </c>
      <c r="B639" s="2" t="s">
        <v>35</v>
      </c>
      <c r="C639" s="2" t="s">
        <v>58</v>
      </c>
      <c r="D639" s="13"/>
      <c r="E639" s="13"/>
      <c r="F639" s="45"/>
      <c r="G639" s="42"/>
      <c r="H639" s="42"/>
      <c r="I639" s="42"/>
      <c r="J639" s="22"/>
      <c r="K639" s="42"/>
    </row>
    <row r="640" ht="39.75" customHeight="1">
      <c r="A640" s="1">
        <v>639.0</v>
      </c>
      <c r="B640" s="2" t="s">
        <v>36</v>
      </c>
      <c r="C640" s="2"/>
      <c r="D640" s="13"/>
      <c r="E640" s="13"/>
      <c r="F640" s="44" t="s">
        <v>3177</v>
      </c>
      <c r="G640" s="43">
        <v>1.0</v>
      </c>
      <c r="H640" s="42"/>
      <c r="I640" s="43">
        <v>1.0</v>
      </c>
      <c r="J640" s="22"/>
      <c r="K640" s="42"/>
    </row>
    <row r="641" ht="39.75" customHeight="1">
      <c r="A641" s="1">
        <v>640.0</v>
      </c>
      <c r="B641" s="2" t="s">
        <v>38</v>
      </c>
      <c r="C641" s="2"/>
      <c r="D641" s="13"/>
      <c r="E641" s="13"/>
      <c r="F641" s="44" t="s">
        <v>3481</v>
      </c>
      <c r="G641" s="43">
        <v>1.0</v>
      </c>
      <c r="H641" s="43">
        <v>1.0</v>
      </c>
      <c r="I641" s="42"/>
      <c r="J641" s="22"/>
      <c r="K641" s="42"/>
    </row>
    <row r="642" ht="39.75" hidden="1" customHeight="1">
      <c r="A642" s="1">
        <v>641.0</v>
      </c>
      <c r="B642" s="2" t="s">
        <v>41</v>
      </c>
      <c r="C642" s="2" t="s">
        <v>58</v>
      </c>
      <c r="D642" s="13"/>
      <c r="E642" s="13"/>
      <c r="F642" s="45"/>
      <c r="G642" s="42"/>
      <c r="H642" s="42"/>
      <c r="I642" s="42"/>
      <c r="J642" s="22"/>
      <c r="K642" s="42"/>
    </row>
    <row r="643" ht="39.75" customHeight="1">
      <c r="A643" s="1">
        <v>642.0</v>
      </c>
      <c r="B643" s="2" t="s">
        <v>42</v>
      </c>
      <c r="C643" s="2" t="s">
        <v>69</v>
      </c>
      <c r="D643" s="13"/>
      <c r="E643" s="13"/>
      <c r="F643" s="44" t="s">
        <v>3493</v>
      </c>
      <c r="G643" s="43">
        <v>1.0</v>
      </c>
      <c r="H643" s="42"/>
      <c r="I643" s="42"/>
      <c r="J643" s="22"/>
      <c r="K643" s="42"/>
    </row>
    <row r="644" ht="39.75" customHeight="1">
      <c r="A644" s="1">
        <v>643.0</v>
      </c>
      <c r="B644" s="2" t="s">
        <v>43</v>
      </c>
      <c r="C644" s="2" t="s">
        <v>69</v>
      </c>
      <c r="D644" s="13"/>
      <c r="E644" s="13"/>
      <c r="F644" s="44" t="s">
        <v>3494</v>
      </c>
      <c r="G644" s="43">
        <v>1.0</v>
      </c>
      <c r="H644" s="42"/>
      <c r="I644" s="42"/>
      <c r="J644" s="22"/>
      <c r="K644" s="42"/>
    </row>
    <row r="645" ht="39.75" customHeight="1">
      <c r="A645" s="1">
        <v>644.0</v>
      </c>
      <c r="B645" s="2" t="s">
        <v>45</v>
      </c>
      <c r="C645" s="2" t="s">
        <v>44</v>
      </c>
      <c r="D645" s="13"/>
      <c r="E645" s="13"/>
      <c r="F645" s="45"/>
      <c r="G645" s="42"/>
      <c r="H645" s="42"/>
      <c r="I645" s="42"/>
      <c r="J645" s="22"/>
      <c r="K645" s="42"/>
    </row>
    <row r="646" ht="39.75" customHeight="1">
      <c r="A646" s="1">
        <v>645.0</v>
      </c>
      <c r="B646" s="2" t="s">
        <v>46</v>
      </c>
      <c r="C646" s="2" t="s">
        <v>54</v>
      </c>
      <c r="D646" s="13"/>
      <c r="E646" s="13"/>
      <c r="F646" s="44" t="s">
        <v>3495</v>
      </c>
      <c r="G646" s="43">
        <v>1.0</v>
      </c>
      <c r="H646" s="42"/>
      <c r="I646" s="43">
        <v>1.0</v>
      </c>
      <c r="J646" s="22"/>
      <c r="K646" s="42"/>
    </row>
    <row r="647" ht="39.75" customHeight="1">
      <c r="A647" s="1">
        <v>646.0</v>
      </c>
      <c r="B647" s="2" t="s">
        <v>47</v>
      </c>
      <c r="C647" s="2" t="s">
        <v>69</v>
      </c>
      <c r="D647" s="13"/>
      <c r="E647" s="13"/>
      <c r="F647" s="44" t="s">
        <v>3496</v>
      </c>
      <c r="G647" s="43">
        <v>2.0</v>
      </c>
      <c r="H647" s="42"/>
      <c r="I647" s="43">
        <v>1.0</v>
      </c>
      <c r="J647" s="22"/>
      <c r="K647" s="42"/>
    </row>
    <row r="648" ht="39.75" customHeight="1">
      <c r="A648" s="1">
        <v>647.0</v>
      </c>
      <c r="B648" s="2" t="s">
        <v>48</v>
      </c>
      <c r="C648" s="2" t="s">
        <v>39</v>
      </c>
      <c r="D648" s="13"/>
      <c r="E648" s="13"/>
      <c r="F648" s="44" t="s">
        <v>3497</v>
      </c>
      <c r="G648" s="43">
        <v>1.0</v>
      </c>
      <c r="H648" s="42"/>
      <c r="I648" s="43">
        <v>1.0</v>
      </c>
      <c r="J648" s="22"/>
      <c r="K648" s="42"/>
    </row>
    <row r="649" ht="39.75" customHeight="1">
      <c r="A649" s="1">
        <v>648.0</v>
      </c>
      <c r="B649" s="21"/>
      <c r="C649" s="21"/>
      <c r="D649" s="21"/>
      <c r="E649" s="21"/>
      <c r="F649" s="46"/>
      <c r="G649" s="47"/>
      <c r="H649" s="47"/>
      <c r="I649" s="47"/>
      <c r="J649" s="48"/>
      <c r="K649" s="47"/>
      <c r="L649" s="49"/>
      <c r="M649" s="49"/>
      <c r="N649" s="49"/>
    </row>
    <row r="650" ht="39.75" customHeight="1">
      <c r="A650" s="1">
        <v>649.0</v>
      </c>
      <c r="B650" s="2" t="s">
        <v>12</v>
      </c>
      <c r="C650" s="2" t="s">
        <v>62</v>
      </c>
      <c r="D650" s="13"/>
      <c r="E650" s="13"/>
      <c r="F650" s="44" t="s">
        <v>1543</v>
      </c>
      <c r="G650" s="43">
        <v>1.0</v>
      </c>
      <c r="H650" s="42"/>
      <c r="I650" s="43">
        <v>1.0</v>
      </c>
      <c r="J650" s="27" t="s">
        <v>3250</v>
      </c>
      <c r="K650" s="42"/>
      <c r="L650" s="15" t="s">
        <v>406</v>
      </c>
    </row>
    <row r="651" ht="39.75" customHeight="1">
      <c r="A651" s="1">
        <v>650.0</v>
      </c>
      <c r="B651" s="2" t="s">
        <v>16</v>
      </c>
      <c r="C651" s="2" t="s">
        <v>44</v>
      </c>
      <c r="D651" s="13"/>
      <c r="E651" s="13"/>
      <c r="F651" s="45"/>
      <c r="G651" s="42"/>
      <c r="H651" s="42"/>
      <c r="I651" s="42"/>
      <c r="J651" s="27" t="s">
        <v>406</v>
      </c>
      <c r="K651" s="43"/>
    </row>
    <row r="652" ht="39.75" customHeight="1">
      <c r="A652" s="1">
        <v>651.0</v>
      </c>
      <c r="B652" s="2" t="s">
        <v>116</v>
      </c>
      <c r="C652" s="2" t="s">
        <v>39</v>
      </c>
      <c r="D652" s="13"/>
      <c r="E652" s="13"/>
      <c r="F652" s="44" t="s">
        <v>3498</v>
      </c>
      <c r="G652" s="43">
        <v>2.0</v>
      </c>
      <c r="H652" s="42"/>
      <c r="I652" s="43">
        <v>1.0</v>
      </c>
      <c r="J652" s="27" t="s">
        <v>111</v>
      </c>
      <c r="K652" s="42"/>
    </row>
    <row r="653" ht="39.75" customHeight="1">
      <c r="A653" s="1">
        <v>652.0</v>
      </c>
      <c r="B653" s="2" t="s">
        <v>17</v>
      </c>
      <c r="C653" s="2"/>
      <c r="D653" s="13"/>
      <c r="E653" s="13"/>
      <c r="F653" s="44" t="s">
        <v>3499</v>
      </c>
      <c r="G653" s="43">
        <v>2.0</v>
      </c>
      <c r="H653" s="42"/>
      <c r="I653" s="42"/>
      <c r="J653" s="22"/>
      <c r="K653" s="42"/>
    </row>
    <row r="654" ht="39.75" customHeight="1">
      <c r="A654" s="1">
        <v>653.0</v>
      </c>
      <c r="B654" s="2" t="s">
        <v>331</v>
      </c>
      <c r="C654" s="2"/>
      <c r="D654" s="13"/>
      <c r="E654" s="13"/>
      <c r="F654" s="44" t="s">
        <v>3459</v>
      </c>
      <c r="G654" s="43">
        <v>1.0</v>
      </c>
      <c r="H654" s="43">
        <v>1.0</v>
      </c>
      <c r="I654" s="42"/>
      <c r="J654" s="22"/>
      <c r="K654" s="42"/>
    </row>
    <row r="655" ht="39.75" customHeight="1">
      <c r="A655" s="1">
        <v>654.0</v>
      </c>
      <c r="B655" s="2" t="s">
        <v>21</v>
      </c>
      <c r="C655" s="2"/>
      <c r="D655" s="13"/>
      <c r="E655" s="13"/>
      <c r="F655" s="44" t="s">
        <v>3500</v>
      </c>
      <c r="G655" s="43">
        <v>2.0</v>
      </c>
      <c r="H655" s="42"/>
      <c r="I655" s="42"/>
      <c r="J655" s="22"/>
      <c r="K655" s="42"/>
    </row>
    <row r="656" ht="39.75" customHeight="1">
      <c r="A656" s="1">
        <v>655.0</v>
      </c>
      <c r="B656" s="2" t="s">
        <v>22</v>
      </c>
      <c r="C656" s="2"/>
      <c r="D656" s="13"/>
      <c r="E656" s="13"/>
      <c r="F656" s="44" t="s">
        <v>1218</v>
      </c>
      <c r="G656" s="43">
        <v>1.0</v>
      </c>
      <c r="H656" s="42"/>
      <c r="I656" s="43">
        <v>1.0</v>
      </c>
      <c r="J656" s="22"/>
      <c r="K656" s="42"/>
    </row>
    <row r="657" ht="39.75" customHeight="1">
      <c r="A657" s="1">
        <v>656.0</v>
      </c>
      <c r="B657" s="2" t="s">
        <v>23</v>
      </c>
      <c r="C657" s="2" t="s">
        <v>27</v>
      </c>
      <c r="D657" s="13"/>
      <c r="E657" s="13"/>
      <c r="F657" s="44" t="s">
        <v>3501</v>
      </c>
      <c r="G657" s="43">
        <v>2.0</v>
      </c>
      <c r="H657" s="42"/>
      <c r="I657" s="42"/>
      <c r="J657" s="22"/>
      <c r="K657" s="42"/>
    </row>
    <row r="658" ht="39.75" customHeight="1">
      <c r="A658" s="1">
        <v>657.0</v>
      </c>
      <c r="B658" s="2" t="s">
        <v>24</v>
      </c>
      <c r="C658" s="2" t="s">
        <v>63</v>
      </c>
      <c r="D658" s="13"/>
      <c r="E658" s="13"/>
      <c r="F658" s="45"/>
      <c r="G658" s="42"/>
      <c r="H658" s="42"/>
      <c r="I658" s="42"/>
      <c r="J658" s="22"/>
      <c r="K658" s="42"/>
    </row>
    <row r="659" ht="39.75" customHeight="1">
      <c r="A659" s="1">
        <v>658.0</v>
      </c>
      <c r="B659" s="2" t="s">
        <v>25</v>
      </c>
      <c r="C659" s="2"/>
      <c r="D659" s="13"/>
      <c r="E659" s="13"/>
      <c r="F659" s="44" t="s">
        <v>3502</v>
      </c>
      <c r="G659" s="43">
        <v>1.0</v>
      </c>
      <c r="H659" s="43"/>
      <c r="I659" s="42"/>
      <c r="J659" s="22"/>
      <c r="K659" s="42"/>
    </row>
    <row r="660" ht="39.75" customHeight="1">
      <c r="A660" s="1">
        <v>659.0</v>
      </c>
      <c r="B660" s="2" t="s">
        <v>26</v>
      </c>
      <c r="C660" s="2"/>
      <c r="D660" s="13"/>
      <c r="E660" s="13"/>
      <c r="F660" s="44" t="s">
        <v>3490</v>
      </c>
      <c r="G660" s="43">
        <v>1.0</v>
      </c>
      <c r="H660" s="43">
        <v>1.0</v>
      </c>
      <c r="I660" s="42"/>
      <c r="J660" s="22"/>
      <c r="K660" s="42"/>
    </row>
    <row r="661" ht="39.75" customHeight="1">
      <c r="A661" s="1">
        <v>660.0</v>
      </c>
      <c r="B661" s="2" t="s">
        <v>29</v>
      </c>
      <c r="C661" s="2" t="s">
        <v>69</v>
      </c>
      <c r="D661" s="13"/>
      <c r="E661" s="13"/>
      <c r="F661" s="44" t="s">
        <v>3503</v>
      </c>
      <c r="G661" s="43">
        <v>1.0</v>
      </c>
      <c r="H661" s="42"/>
      <c r="I661" s="42"/>
      <c r="J661" s="22"/>
      <c r="K661" s="42"/>
    </row>
    <row r="662" ht="39.75" hidden="1" customHeight="1">
      <c r="A662" s="1">
        <v>661.0</v>
      </c>
      <c r="B662" s="2" t="s">
        <v>30</v>
      </c>
      <c r="C662" s="2" t="s">
        <v>58</v>
      </c>
      <c r="D662" s="13"/>
      <c r="E662" s="13"/>
      <c r="F662" s="45"/>
      <c r="G662" s="42"/>
      <c r="H662" s="42"/>
      <c r="I662" s="42"/>
      <c r="J662" s="22"/>
      <c r="K662" s="42"/>
    </row>
    <row r="663" ht="39.75" customHeight="1">
      <c r="A663" s="1">
        <v>662.0</v>
      </c>
      <c r="B663" s="2" t="s">
        <v>31</v>
      </c>
      <c r="C663" s="13"/>
      <c r="D663" s="13"/>
      <c r="E663" s="13"/>
      <c r="F663" s="44" t="s">
        <v>3504</v>
      </c>
      <c r="G663" s="43">
        <v>2.0</v>
      </c>
      <c r="H663" s="42"/>
      <c r="I663" s="43">
        <v>1.0</v>
      </c>
      <c r="J663" s="22"/>
      <c r="K663" s="42"/>
    </row>
    <row r="664" ht="39.75" customHeight="1">
      <c r="A664" s="1">
        <v>663.0</v>
      </c>
      <c r="B664" s="2" t="s">
        <v>32</v>
      </c>
      <c r="C664" s="2" t="s">
        <v>54</v>
      </c>
      <c r="D664" s="53">
        <v>0.2916666666666667</v>
      </c>
      <c r="E664" s="13"/>
      <c r="F664" s="44" t="s">
        <v>3505</v>
      </c>
      <c r="G664" s="43">
        <v>1.0</v>
      </c>
      <c r="H664" s="43">
        <v>1.0</v>
      </c>
      <c r="I664" s="42"/>
      <c r="J664" s="22"/>
      <c r="K664" s="42"/>
    </row>
    <row r="665" ht="39.75" customHeight="1">
      <c r="A665" s="1">
        <v>664.0</v>
      </c>
      <c r="B665" s="2" t="s">
        <v>67</v>
      </c>
      <c r="C665" s="2" t="s">
        <v>54</v>
      </c>
      <c r="D665" s="53">
        <v>0.2916666666666667</v>
      </c>
      <c r="E665" s="51">
        <v>0.8055555555555556</v>
      </c>
      <c r="F665" s="44" t="s">
        <v>3506</v>
      </c>
      <c r="G665" s="43">
        <v>1.0</v>
      </c>
      <c r="H665" s="43">
        <v>1.0</v>
      </c>
      <c r="I665" s="42"/>
      <c r="J665" s="22"/>
      <c r="K665" s="42"/>
    </row>
    <row r="666" ht="39.75" hidden="1" customHeight="1">
      <c r="A666" s="1">
        <v>665.0</v>
      </c>
      <c r="B666" s="2" t="s">
        <v>35</v>
      </c>
      <c r="C666" s="2" t="s">
        <v>58</v>
      </c>
      <c r="D666" s="13"/>
      <c r="E666" s="13"/>
      <c r="F666" s="45"/>
      <c r="G666" s="42"/>
      <c r="H666" s="42"/>
      <c r="I666" s="42"/>
      <c r="J666" s="22"/>
      <c r="K666" s="42"/>
    </row>
    <row r="667" ht="39.75" customHeight="1">
      <c r="A667" s="1">
        <v>666.0</v>
      </c>
      <c r="B667" s="2" t="s">
        <v>36</v>
      </c>
      <c r="C667" s="2"/>
      <c r="D667" s="13"/>
      <c r="E667" s="13"/>
      <c r="F667" s="44" t="s">
        <v>1285</v>
      </c>
      <c r="G667" s="43">
        <v>1.0</v>
      </c>
      <c r="H667" s="42"/>
      <c r="I667" s="43">
        <v>1.0</v>
      </c>
      <c r="J667" s="22"/>
      <c r="K667" s="42"/>
    </row>
    <row r="668" ht="39.75" customHeight="1">
      <c r="A668" s="1">
        <v>667.0</v>
      </c>
      <c r="B668" s="2" t="s">
        <v>38</v>
      </c>
      <c r="C668" s="2"/>
      <c r="D668" s="13"/>
      <c r="E668" s="13"/>
      <c r="F668" s="44" t="s">
        <v>3481</v>
      </c>
      <c r="G668" s="43">
        <v>1.0</v>
      </c>
      <c r="H668" s="43">
        <v>1.0</v>
      </c>
      <c r="I668" s="42"/>
      <c r="J668" s="22"/>
      <c r="K668" s="42"/>
    </row>
    <row r="669" ht="39.75" hidden="1" customHeight="1">
      <c r="A669" s="1">
        <v>668.0</v>
      </c>
      <c r="B669" s="2" t="s">
        <v>41</v>
      </c>
      <c r="C669" s="2" t="s">
        <v>58</v>
      </c>
      <c r="D669" s="13"/>
      <c r="E669" s="13"/>
      <c r="F669" s="45"/>
      <c r="G669" s="42"/>
      <c r="H669" s="42"/>
      <c r="I669" s="42"/>
      <c r="J669" s="22"/>
      <c r="K669" s="42"/>
    </row>
    <row r="670" ht="39.75" customHeight="1">
      <c r="A670" s="1">
        <v>669.0</v>
      </c>
      <c r="B670" s="2" t="s">
        <v>42</v>
      </c>
      <c r="C670" s="2" t="s">
        <v>54</v>
      </c>
      <c r="D670" s="13"/>
      <c r="E670" s="13"/>
      <c r="F670" s="44" t="s">
        <v>3507</v>
      </c>
      <c r="G670" s="43">
        <v>1.0</v>
      </c>
      <c r="H670" s="42"/>
      <c r="I670" s="42"/>
      <c r="J670" s="22"/>
      <c r="K670" s="42"/>
    </row>
    <row r="671" ht="39.75" customHeight="1">
      <c r="A671" s="1">
        <v>670.0</v>
      </c>
      <c r="B671" s="2" t="s">
        <v>43</v>
      </c>
      <c r="C671" s="2" t="s">
        <v>69</v>
      </c>
      <c r="D671" s="13"/>
      <c r="E671" s="13"/>
      <c r="F671" s="44" t="s">
        <v>3508</v>
      </c>
      <c r="G671" s="43">
        <v>2.0</v>
      </c>
      <c r="H671" s="42"/>
      <c r="I671" s="42"/>
      <c r="J671" s="22"/>
      <c r="K671" s="42"/>
    </row>
    <row r="672" ht="39.75" customHeight="1">
      <c r="A672" s="1">
        <v>671.0</v>
      </c>
      <c r="B672" s="2" t="s">
        <v>45</v>
      </c>
      <c r="C672" s="2" t="s">
        <v>69</v>
      </c>
      <c r="D672" s="13"/>
      <c r="E672" s="13"/>
      <c r="F672" s="44" t="s">
        <v>3509</v>
      </c>
      <c r="G672" s="43">
        <v>2.0</v>
      </c>
      <c r="H672" s="42"/>
      <c r="I672" s="43">
        <v>1.0</v>
      </c>
      <c r="J672" s="22"/>
      <c r="K672" s="42"/>
    </row>
    <row r="673" ht="39.75" customHeight="1">
      <c r="A673" s="1">
        <v>672.0</v>
      </c>
      <c r="B673" s="2" t="s">
        <v>46</v>
      </c>
      <c r="C673" s="2" t="s">
        <v>54</v>
      </c>
      <c r="D673" s="13"/>
      <c r="E673" s="13"/>
      <c r="F673" s="44" t="s">
        <v>3510</v>
      </c>
      <c r="G673" s="43">
        <v>1.0</v>
      </c>
      <c r="H673" s="42"/>
      <c r="I673" s="42"/>
      <c r="J673" s="22"/>
      <c r="K673" s="42"/>
    </row>
    <row r="674" ht="39.75" hidden="1" customHeight="1">
      <c r="A674" s="1">
        <v>673.0</v>
      </c>
      <c r="B674" s="2" t="s">
        <v>47</v>
      </c>
      <c r="C674" s="2" t="s">
        <v>58</v>
      </c>
      <c r="D674" s="13"/>
      <c r="E674" s="13"/>
      <c r="F674" s="45"/>
      <c r="G674" s="42"/>
      <c r="H674" s="42"/>
      <c r="I674" s="42"/>
      <c r="J674" s="22"/>
      <c r="K674" s="42"/>
    </row>
    <row r="675" ht="39.75" customHeight="1">
      <c r="A675" s="1">
        <v>674.0</v>
      </c>
      <c r="B675" s="2" t="s">
        <v>48</v>
      </c>
      <c r="C675" s="2" t="s">
        <v>39</v>
      </c>
      <c r="D675" s="13"/>
      <c r="E675" s="13"/>
      <c r="F675" s="44" t="s">
        <v>3511</v>
      </c>
      <c r="G675" s="43">
        <v>2.0</v>
      </c>
      <c r="H675" s="42"/>
      <c r="I675" s="43">
        <v>1.0</v>
      </c>
      <c r="J675" s="22"/>
      <c r="K675" s="42"/>
    </row>
    <row r="676" ht="39.75" customHeight="1">
      <c r="A676" s="1">
        <v>675.0</v>
      </c>
      <c r="B676" s="21"/>
      <c r="C676" s="21"/>
      <c r="D676" s="21"/>
      <c r="E676" s="21"/>
      <c r="F676" s="46"/>
      <c r="G676" s="47"/>
      <c r="H676" s="47"/>
      <c r="I676" s="47"/>
      <c r="J676" s="48"/>
      <c r="K676" s="47"/>
      <c r="L676" s="49"/>
      <c r="M676" s="49"/>
      <c r="N676" s="49"/>
    </row>
    <row r="677" ht="39.75" customHeight="1">
      <c r="A677" s="1">
        <v>676.0</v>
      </c>
      <c r="B677" s="2" t="s">
        <v>12</v>
      </c>
      <c r="C677" s="2" t="s">
        <v>62</v>
      </c>
      <c r="D677" s="13"/>
      <c r="E677" s="13"/>
      <c r="F677" s="45"/>
      <c r="G677" s="42"/>
      <c r="H677" s="42"/>
      <c r="I677" s="42"/>
      <c r="J677" s="27" t="s">
        <v>3250</v>
      </c>
      <c r="K677" s="42"/>
      <c r="L677" s="15" t="s">
        <v>423</v>
      </c>
    </row>
    <row r="678" ht="39.75" customHeight="1">
      <c r="A678" s="1">
        <v>677.0</v>
      </c>
      <c r="B678" s="2" t="s">
        <v>16</v>
      </c>
      <c r="C678" s="2" t="s">
        <v>39</v>
      </c>
      <c r="D678" s="13"/>
      <c r="E678" s="13"/>
      <c r="F678" s="44" t="s">
        <v>2664</v>
      </c>
      <c r="G678" s="43">
        <v>1.0</v>
      </c>
      <c r="H678" s="42"/>
      <c r="I678" s="43">
        <v>1.0</v>
      </c>
      <c r="J678" s="27" t="s">
        <v>423</v>
      </c>
      <c r="K678" s="43"/>
    </row>
    <row r="679" ht="39.75" customHeight="1">
      <c r="A679" s="1">
        <v>678.0</v>
      </c>
      <c r="B679" s="2" t="s">
        <v>116</v>
      </c>
      <c r="C679" s="2" t="s">
        <v>69</v>
      </c>
      <c r="D679" s="13"/>
      <c r="E679" s="13"/>
      <c r="F679" s="44" t="s">
        <v>3512</v>
      </c>
      <c r="G679" s="43">
        <v>1.0</v>
      </c>
      <c r="H679" s="42"/>
      <c r="I679" s="42"/>
      <c r="J679" s="27" t="s">
        <v>131</v>
      </c>
      <c r="K679" s="42"/>
    </row>
    <row r="680" ht="39.75" hidden="1" customHeight="1">
      <c r="A680" s="1">
        <v>679.0</v>
      </c>
      <c r="B680" s="2" t="s">
        <v>17</v>
      </c>
      <c r="C680" s="2" t="s">
        <v>58</v>
      </c>
      <c r="D680" s="13"/>
      <c r="E680" s="13"/>
      <c r="F680" s="44"/>
      <c r="G680" s="42"/>
      <c r="H680" s="42"/>
      <c r="I680" s="42"/>
      <c r="J680" s="22"/>
      <c r="K680" s="42"/>
    </row>
    <row r="681" ht="39.75" customHeight="1">
      <c r="A681" s="1">
        <v>680.0</v>
      </c>
      <c r="B681" s="2" t="s">
        <v>331</v>
      </c>
      <c r="C681" s="2" t="s">
        <v>542</v>
      </c>
      <c r="D681" s="13"/>
      <c r="E681" s="13"/>
      <c r="F681" s="45"/>
      <c r="G681" s="42"/>
      <c r="H681" s="42"/>
      <c r="I681" s="42"/>
      <c r="J681" s="22"/>
      <c r="K681" s="42"/>
    </row>
    <row r="682" ht="39.75" hidden="1" customHeight="1">
      <c r="A682" s="1">
        <v>681.0</v>
      </c>
      <c r="B682" s="2" t="s">
        <v>21</v>
      </c>
      <c r="C682" s="2" t="s">
        <v>66</v>
      </c>
      <c r="D682" s="13"/>
      <c r="E682" s="13"/>
      <c r="F682" s="45"/>
      <c r="G682" s="42"/>
      <c r="H682" s="42"/>
      <c r="I682" s="42"/>
      <c r="J682" s="22"/>
      <c r="K682" s="42"/>
    </row>
    <row r="683" ht="39.75" hidden="1" customHeight="1">
      <c r="A683" s="1">
        <v>682.0</v>
      </c>
      <c r="B683" s="2" t="s">
        <v>22</v>
      </c>
      <c r="C683" s="2" t="s">
        <v>58</v>
      </c>
      <c r="D683" s="13"/>
      <c r="E683" s="13"/>
      <c r="F683" s="45"/>
      <c r="G683" s="42"/>
      <c r="H683" s="42"/>
      <c r="I683" s="42"/>
      <c r="J683" s="22"/>
      <c r="K683" s="42"/>
    </row>
    <row r="684" ht="39.75" customHeight="1">
      <c r="A684" s="1">
        <v>683.0</v>
      </c>
      <c r="B684" s="2" t="s">
        <v>23</v>
      </c>
      <c r="C684" s="2" t="s">
        <v>44</v>
      </c>
      <c r="D684" s="13"/>
      <c r="E684" s="13"/>
      <c r="F684" s="45"/>
      <c r="G684" s="42"/>
      <c r="H684" s="42"/>
      <c r="I684" s="42"/>
      <c r="J684" s="22"/>
      <c r="K684" s="42"/>
    </row>
    <row r="685" ht="39.75" customHeight="1">
      <c r="A685" s="1">
        <v>684.0</v>
      </c>
      <c r="B685" s="2" t="s">
        <v>24</v>
      </c>
      <c r="C685" s="2" t="s">
        <v>63</v>
      </c>
      <c r="D685" s="13"/>
      <c r="E685" s="13"/>
      <c r="F685" s="45"/>
      <c r="G685" s="42"/>
      <c r="H685" s="42"/>
      <c r="I685" s="42"/>
      <c r="J685" s="22"/>
      <c r="K685" s="42"/>
    </row>
    <row r="686" ht="39.75" customHeight="1">
      <c r="A686" s="1">
        <v>685.0</v>
      </c>
      <c r="B686" s="2" t="s">
        <v>25</v>
      </c>
      <c r="C686" s="2" t="s">
        <v>54</v>
      </c>
      <c r="D686" s="13"/>
      <c r="E686" s="13"/>
      <c r="F686" s="44" t="s">
        <v>3513</v>
      </c>
      <c r="G686" s="43">
        <v>1.0</v>
      </c>
      <c r="H686" s="42"/>
      <c r="I686" s="42"/>
      <c r="J686" s="22"/>
      <c r="K686" s="42"/>
    </row>
    <row r="687" ht="39.75" customHeight="1">
      <c r="A687" s="1">
        <v>686.0</v>
      </c>
      <c r="B687" s="2" t="s">
        <v>26</v>
      </c>
      <c r="C687" s="2"/>
      <c r="D687" s="13"/>
      <c r="E687" s="13"/>
      <c r="F687" s="44" t="s">
        <v>3490</v>
      </c>
      <c r="G687" s="43">
        <v>1.0</v>
      </c>
      <c r="H687" s="43">
        <v>1.0</v>
      </c>
      <c r="I687" s="42"/>
      <c r="J687" s="22"/>
      <c r="K687" s="42"/>
    </row>
    <row r="688" ht="39.75" customHeight="1">
      <c r="A688" s="1">
        <v>687.0</v>
      </c>
      <c r="B688" s="2" t="s">
        <v>29</v>
      </c>
      <c r="C688" s="2" t="s">
        <v>27</v>
      </c>
      <c r="D688" s="13"/>
      <c r="E688" s="13"/>
      <c r="F688" s="44" t="s">
        <v>3514</v>
      </c>
      <c r="G688" s="43">
        <v>1.0</v>
      </c>
      <c r="H688" s="42"/>
      <c r="I688" s="42"/>
      <c r="J688" s="22"/>
      <c r="K688" s="42"/>
    </row>
    <row r="689" ht="39.75" customHeight="1">
      <c r="A689" s="1">
        <v>688.0</v>
      </c>
      <c r="B689" s="2" t="s">
        <v>30</v>
      </c>
      <c r="C689" s="2" t="s">
        <v>64</v>
      </c>
      <c r="D689" s="13"/>
      <c r="E689" s="13"/>
      <c r="F689" s="44" t="s">
        <v>2592</v>
      </c>
      <c r="G689" s="43">
        <v>1.0</v>
      </c>
      <c r="H689" s="42"/>
      <c r="I689" s="43">
        <v>1.0</v>
      </c>
      <c r="J689" s="22"/>
      <c r="K689" s="42"/>
    </row>
    <row r="690" ht="39.75" customHeight="1">
      <c r="A690" s="1">
        <v>689.0</v>
      </c>
      <c r="B690" s="2" t="s">
        <v>31</v>
      </c>
      <c r="C690" s="2" t="s">
        <v>39</v>
      </c>
      <c r="D690" s="13"/>
      <c r="E690" s="13"/>
      <c r="F690" s="44" t="s">
        <v>3515</v>
      </c>
      <c r="G690" s="43">
        <v>2.0</v>
      </c>
      <c r="H690" s="42"/>
      <c r="I690" s="43">
        <v>2.0</v>
      </c>
      <c r="J690" s="22"/>
      <c r="K690" s="42"/>
    </row>
    <row r="691" ht="39.75" customHeight="1">
      <c r="A691" s="1">
        <v>690.0</v>
      </c>
      <c r="B691" s="2" t="s">
        <v>32</v>
      </c>
      <c r="C691" s="2" t="s">
        <v>54</v>
      </c>
      <c r="D691" s="13"/>
      <c r="E691" s="13"/>
      <c r="F691" s="44" t="s">
        <v>3505</v>
      </c>
      <c r="G691" s="43">
        <v>1.0</v>
      </c>
      <c r="H691" s="43">
        <v>1.0</v>
      </c>
      <c r="I691" s="42"/>
      <c r="J691" s="22"/>
      <c r="K691" s="42"/>
    </row>
    <row r="692" ht="39.75" customHeight="1">
      <c r="A692" s="1">
        <v>691.0</v>
      </c>
      <c r="B692" s="2" t="s">
        <v>67</v>
      </c>
      <c r="C692" s="2" t="s">
        <v>54</v>
      </c>
      <c r="D692" s="13"/>
      <c r="E692" s="13"/>
      <c r="F692" s="44" t="s">
        <v>3516</v>
      </c>
      <c r="G692" s="43">
        <v>1.0</v>
      </c>
      <c r="H692" s="42"/>
      <c r="I692" s="42"/>
      <c r="J692" s="22"/>
      <c r="K692" s="42"/>
    </row>
    <row r="693" ht="39.75" hidden="1" customHeight="1">
      <c r="A693" s="1">
        <v>692.0</v>
      </c>
      <c r="B693" s="2" t="s">
        <v>35</v>
      </c>
      <c r="C693" s="2" t="s">
        <v>58</v>
      </c>
      <c r="D693" s="13"/>
      <c r="E693" s="13"/>
      <c r="F693" s="45"/>
      <c r="G693" s="42"/>
      <c r="H693" s="42"/>
      <c r="I693" s="42"/>
      <c r="J693" s="22"/>
      <c r="K693" s="42"/>
    </row>
    <row r="694" ht="39.75" hidden="1" customHeight="1">
      <c r="A694" s="1">
        <v>693.0</v>
      </c>
      <c r="B694" s="2" t="s">
        <v>36</v>
      </c>
      <c r="C694" s="2" t="s">
        <v>58</v>
      </c>
      <c r="D694" s="13"/>
      <c r="E694" s="13"/>
      <c r="F694" s="45"/>
      <c r="G694" s="42"/>
      <c r="H694" s="42"/>
      <c r="I694" s="42"/>
      <c r="J694" s="22"/>
      <c r="K694" s="42"/>
    </row>
    <row r="695" ht="39.75" customHeight="1">
      <c r="A695" s="1">
        <v>694.0</v>
      </c>
      <c r="B695" s="2" t="s">
        <v>38</v>
      </c>
      <c r="C695" s="2"/>
      <c r="D695" s="13"/>
      <c r="E695" s="13"/>
      <c r="F695" s="44" t="s">
        <v>3481</v>
      </c>
      <c r="G695" s="43">
        <v>1.0</v>
      </c>
      <c r="H695" s="43">
        <v>1.0</v>
      </c>
      <c r="I695" s="42"/>
      <c r="J695" s="22"/>
      <c r="K695" s="42"/>
    </row>
    <row r="696" ht="39.75" hidden="1" customHeight="1">
      <c r="A696" s="1">
        <v>695.0</v>
      </c>
      <c r="B696" s="2" t="s">
        <v>41</v>
      </c>
      <c r="C696" s="2" t="s">
        <v>58</v>
      </c>
      <c r="D696" s="13"/>
      <c r="E696" s="13"/>
      <c r="F696" s="45"/>
      <c r="G696" s="42"/>
      <c r="H696" s="42"/>
      <c r="I696" s="42"/>
      <c r="J696" s="22"/>
      <c r="K696" s="42"/>
    </row>
    <row r="697" ht="39.75" customHeight="1">
      <c r="A697" s="1">
        <v>696.0</v>
      </c>
      <c r="B697" s="2" t="s">
        <v>42</v>
      </c>
      <c r="C697" s="2"/>
      <c r="D697" s="13"/>
      <c r="E697" s="13"/>
      <c r="F697" s="44" t="s">
        <v>3517</v>
      </c>
      <c r="G697" s="43">
        <v>1.0</v>
      </c>
      <c r="H697" s="42"/>
      <c r="I697" s="43">
        <v>1.0</v>
      </c>
      <c r="J697" s="22"/>
      <c r="K697" s="42"/>
    </row>
    <row r="698" ht="39.75" customHeight="1">
      <c r="A698" s="1">
        <v>697.0</v>
      </c>
      <c r="B698" s="2" t="s">
        <v>43</v>
      </c>
      <c r="C698" s="2" t="s">
        <v>69</v>
      </c>
      <c r="D698" s="13"/>
      <c r="E698" s="13"/>
      <c r="F698" s="44" t="s">
        <v>3518</v>
      </c>
      <c r="G698" s="43">
        <v>2.0</v>
      </c>
      <c r="H698" s="42"/>
      <c r="I698" s="43">
        <v>1.0</v>
      </c>
      <c r="J698" s="22"/>
      <c r="K698" s="42"/>
    </row>
    <row r="699" ht="39.75" hidden="1" customHeight="1">
      <c r="A699" s="1">
        <v>698.0</v>
      </c>
      <c r="B699" s="2" t="s">
        <v>45</v>
      </c>
      <c r="C699" s="2" t="s">
        <v>66</v>
      </c>
      <c r="D699" s="13"/>
      <c r="E699" s="13"/>
      <c r="F699" s="45"/>
      <c r="G699" s="42"/>
      <c r="H699" s="42"/>
      <c r="I699" s="42"/>
      <c r="J699" s="22"/>
      <c r="K699" s="42"/>
    </row>
    <row r="700" ht="39.75" customHeight="1">
      <c r="A700" s="1">
        <v>699.0</v>
      </c>
      <c r="B700" s="2" t="s">
        <v>46</v>
      </c>
      <c r="C700" s="2" t="s">
        <v>54</v>
      </c>
      <c r="D700" s="13"/>
      <c r="E700" s="13"/>
      <c r="F700" s="44" t="s">
        <v>3519</v>
      </c>
      <c r="G700" s="43">
        <v>1.0</v>
      </c>
      <c r="H700" s="42"/>
      <c r="I700" s="42"/>
      <c r="J700" s="22"/>
      <c r="K700" s="42"/>
    </row>
    <row r="701" ht="39.75" customHeight="1">
      <c r="A701" s="1">
        <v>700.0</v>
      </c>
      <c r="B701" s="2" t="s">
        <v>47</v>
      </c>
      <c r="C701" s="2"/>
      <c r="D701" s="13"/>
      <c r="E701" s="13"/>
      <c r="F701" s="44" t="s">
        <v>3520</v>
      </c>
      <c r="G701" s="43">
        <v>1.0</v>
      </c>
      <c r="H701" s="42"/>
      <c r="I701" s="43">
        <v>1.0</v>
      </c>
      <c r="J701" s="22"/>
      <c r="K701" s="42"/>
    </row>
    <row r="702" ht="39.75" customHeight="1">
      <c r="A702" s="1">
        <v>701.0</v>
      </c>
      <c r="B702" s="2" t="s">
        <v>48</v>
      </c>
      <c r="C702" s="2" t="s">
        <v>69</v>
      </c>
      <c r="D702" s="13"/>
      <c r="E702" s="40">
        <v>0.8402777777777778</v>
      </c>
      <c r="F702" s="44" t="s">
        <v>2770</v>
      </c>
      <c r="G702" s="43">
        <v>1.0</v>
      </c>
      <c r="H702" s="42"/>
      <c r="I702" s="43">
        <v>1.0</v>
      </c>
      <c r="J702" s="22"/>
      <c r="K702" s="42"/>
    </row>
    <row r="703" ht="39.75" customHeight="1">
      <c r="A703" s="1">
        <v>702.0</v>
      </c>
      <c r="B703" s="21"/>
      <c r="C703" s="21"/>
      <c r="D703" s="21"/>
      <c r="E703" s="21"/>
      <c r="F703" s="46"/>
      <c r="G703" s="47"/>
      <c r="H703" s="47"/>
      <c r="I703" s="47"/>
      <c r="J703" s="48"/>
      <c r="K703" s="47"/>
      <c r="L703" s="49"/>
      <c r="M703" s="49"/>
      <c r="N703" s="49"/>
    </row>
    <row r="704" ht="39.75" hidden="1" customHeight="1">
      <c r="A704" s="1">
        <v>703.0</v>
      </c>
      <c r="B704" s="2" t="s">
        <v>12</v>
      </c>
      <c r="C704" s="2" t="s">
        <v>13</v>
      </c>
      <c r="D704" s="13"/>
      <c r="E704" s="13"/>
      <c r="F704" s="45"/>
      <c r="G704" s="42"/>
      <c r="H704" s="42"/>
      <c r="I704" s="42"/>
      <c r="J704" s="27" t="s">
        <v>3250</v>
      </c>
      <c r="K704" s="42"/>
      <c r="L704" s="15" t="s">
        <v>438</v>
      </c>
    </row>
    <row r="705" ht="39.75" hidden="1" customHeight="1">
      <c r="A705" s="1">
        <v>704.0</v>
      </c>
      <c r="B705" s="2" t="s">
        <v>16</v>
      </c>
      <c r="C705" s="2" t="s">
        <v>13</v>
      </c>
      <c r="D705" s="13"/>
      <c r="E705" s="13"/>
      <c r="F705" s="45"/>
      <c r="G705" s="42"/>
      <c r="H705" s="42"/>
      <c r="I705" s="42"/>
      <c r="J705" s="27" t="s">
        <v>438</v>
      </c>
      <c r="K705" s="43"/>
    </row>
    <row r="706" ht="39.75" customHeight="1">
      <c r="A706" s="1">
        <v>705.0</v>
      </c>
      <c r="B706" s="2" t="s">
        <v>20</v>
      </c>
      <c r="C706" s="2" t="s">
        <v>271</v>
      </c>
      <c r="D706" s="13"/>
      <c r="E706" s="13"/>
      <c r="F706" s="44" t="s">
        <v>3521</v>
      </c>
      <c r="G706" s="43">
        <v>1.0</v>
      </c>
      <c r="H706" s="42"/>
      <c r="I706" s="43">
        <v>1.0</v>
      </c>
      <c r="J706" s="27" t="s">
        <v>149</v>
      </c>
      <c r="K706" s="42"/>
    </row>
    <row r="707" ht="39.75" customHeight="1">
      <c r="A707" s="1">
        <v>706.0</v>
      </c>
      <c r="B707" s="2" t="s">
        <v>263</v>
      </c>
      <c r="C707" s="2" t="s">
        <v>272</v>
      </c>
      <c r="D707" s="13"/>
      <c r="E707" s="13"/>
      <c r="F707" s="44" t="s">
        <v>1186</v>
      </c>
      <c r="G707" s="43">
        <v>1.0</v>
      </c>
      <c r="H707" s="42"/>
      <c r="I707" s="43">
        <v>1.0</v>
      </c>
      <c r="J707" s="27" t="s">
        <v>165</v>
      </c>
      <c r="K707" s="42"/>
    </row>
    <row r="708" ht="39.75" hidden="1" customHeight="1">
      <c r="A708" s="1">
        <v>707.0</v>
      </c>
      <c r="B708" s="2" t="s">
        <v>331</v>
      </c>
      <c r="C708" s="2" t="s">
        <v>13</v>
      </c>
      <c r="D708" s="13"/>
      <c r="E708" s="13"/>
      <c r="F708" s="45"/>
      <c r="G708" s="42"/>
      <c r="H708" s="42"/>
      <c r="I708" s="42"/>
      <c r="J708" s="27" t="s">
        <v>166</v>
      </c>
      <c r="K708" s="42"/>
    </row>
    <row r="709" ht="39.75" hidden="1" customHeight="1">
      <c r="A709" s="1">
        <v>708.0</v>
      </c>
      <c r="B709" s="2" t="s">
        <v>21</v>
      </c>
      <c r="C709" s="2" t="s">
        <v>13</v>
      </c>
      <c r="D709" s="13"/>
      <c r="E709" s="13"/>
      <c r="F709" s="45"/>
      <c r="G709" s="42"/>
      <c r="H709" s="42"/>
      <c r="I709" s="42"/>
      <c r="J709" s="27" t="s">
        <v>167</v>
      </c>
      <c r="K709" s="42"/>
    </row>
    <row r="710" ht="39.75" hidden="1" customHeight="1">
      <c r="A710" s="1">
        <v>709.0</v>
      </c>
      <c r="B710" s="2" t="s">
        <v>22</v>
      </c>
      <c r="C710" s="2" t="s">
        <v>13</v>
      </c>
      <c r="D710" s="13"/>
      <c r="E710" s="13"/>
      <c r="F710" s="45"/>
      <c r="G710" s="42"/>
      <c r="H710" s="42"/>
      <c r="I710" s="42"/>
      <c r="J710" s="22"/>
      <c r="K710" s="42"/>
    </row>
    <row r="711" ht="39.75" hidden="1" customHeight="1">
      <c r="A711" s="1">
        <v>710.0</v>
      </c>
      <c r="B711" s="2" t="s">
        <v>23</v>
      </c>
      <c r="C711" s="2" t="s">
        <v>13</v>
      </c>
      <c r="D711" s="13"/>
      <c r="E711" s="13"/>
      <c r="F711" s="45"/>
      <c r="G711" s="42"/>
      <c r="H711" s="42"/>
      <c r="I711" s="42"/>
      <c r="J711" s="22"/>
      <c r="K711" s="42"/>
    </row>
    <row r="712" ht="39.75" customHeight="1">
      <c r="A712" s="1">
        <v>711.0</v>
      </c>
      <c r="B712" s="2" t="s">
        <v>24</v>
      </c>
      <c r="C712" s="2" t="s">
        <v>63</v>
      </c>
      <c r="D712" s="13"/>
      <c r="E712" s="13"/>
      <c r="F712" s="45"/>
      <c r="G712" s="42"/>
      <c r="H712" s="42"/>
      <c r="I712" s="42"/>
      <c r="J712" s="22"/>
      <c r="K712" s="42"/>
    </row>
    <row r="713" ht="39.75" hidden="1" customHeight="1">
      <c r="A713" s="1">
        <v>712.0</v>
      </c>
      <c r="B713" s="2" t="s">
        <v>25</v>
      </c>
      <c r="C713" s="2" t="s">
        <v>13</v>
      </c>
      <c r="D713" s="13"/>
      <c r="E713" s="13"/>
      <c r="F713" s="44"/>
      <c r="G713" s="42"/>
      <c r="H713" s="42"/>
      <c r="I713" s="42"/>
      <c r="J713" s="22"/>
      <c r="K713" s="42"/>
    </row>
    <row r="714" ht="39.75" customHeight="1">
      <c r="A714" s="1">
        <v>713.0</v>
      </c>
      <c r="B714" s="2" t="s">
        <v>26</v>
      </c>
      <c r="C714" s="2"/>
      <c r="D714" s="13"/>
      <c r="E714" s="13"/>
      <c r="F714" s="44" t="s">
        <v>3490</v>
      </c>
      <c r="G714" s="43">
        <v>1.0</v>
      </c>
      <c r="H714" s="43">
        <v>1.0</v>
      </c>
      <c r="I714" s="42"/>
      <c r="J714" s="22"/>
      <c r="K714" s="42"/>
    </row>
    <row r="715" ht="39.75" customHeight="1">
      <c r="A715" s="1">
        <v>714.0</v>
      </c>
      <c r="B715" s="2" t="s">
        <v>29</v>
      </c>
      <c r="C715" s="2" t="s">
        <v>44</v>
      </c>
      <c r="D715" s="13"/>
      <c r="E715" s="13"/>
      <c r="F715" s="45"/>
      <c r="G715" s="42"/>
      <c r="H715" s="42"/>
      <c r="I715" s="42"/>
      <c r="J715" s="22"/>
      <c r="K715" s="42"/>
    </row>
    <row r="716" ht="39.75" hidden="1" customHeight="1">
      <c r="A716" s="1">
        <v>715.0</v>
      </c>
      <c r="B716" s="2" t="s">
        <v>30</v>
      </c>
      <c r="C716" s="2" t="s">
        <v>13</v>
      </c>
      <c r="D716" s="13"/>
      <c r="E716" s="13"/>
      <c r="F716" s="45"/>
      <c r="G716" s="42"/>
      <c r="H716" s="42"/>
      <c r="I716" s="42"/>
      <c r="J716" s="22"/>
      <c r="K716" s="42"/>
    </row>
    <row r="717" ht="39.75" hidden="1" customHeight="1">
      <c r="A717" s="1">
        <v>716.0</v>
      </c>
      <c r="B717" s="2" t="s">
        <v>31</v>
      </c>
      <c r="C717" s="2" t="s">
        <v>13</v>
      </c>
      <c r="D717" s="13"/>
      <c r="E717" s="13"/>
      <c r="F717" s="45"/>
      <c r="G717" s="42"/>
      <c r="H717" s="42"/>
      <c r="I717" s="42"/>
      <c r="J717" s="22"/>
      <c r="K717" s="42"/>
    </row>
    <row r="718" ht="39.75" customHeight="1">
      <c r="A718" s="1">
        <v>717.0</v>
      </c>
      <c r="B718" s="2" t="s">
        <v>32</v>
      </c>
      <c r="C718" s="2"/>
      <c r="D718" s="40"/>
      <c r="E718" s="13"/>
      <c r="F718" s="44" t="s">
        <v>3505</v>
      </c>
      <c r="G718" s="43">
        <v>1.0</v>
      </c>
      <c r="H718" s="43">
        <v>1.0</v>
      </c>
      <c r="I718" s="42"/>
      <c r="J718" s="22"/>
      <c r="K718" s="42"/>
    </row>
    <row r="719" ht="39.75" customHeight="1">
      <c r="A719" s="1">
        <v>718.0</v>
      </c>
      <c r="B719" s="2" t="s">
        <v>67</v>
      </c>
      <c r="C719" s="2" t="s">
        <v>39</v>
      </c>
      <c r="D719" s="53">
        <v>0.3541666666666667</v>
      </c>
      <c r="E719" s="40">
        <v>0.75</v>
      </c>
      <c r="F719" s="44" t="s">
        <v>3522</v>
      </c>
      <c r="G719" s="43">
        <v>2.0</v>
      </c>
      <c r="H719" s="42"/>
      <c r="I719" s="43">
        <v>2.0</v>
      </c>
      <c r="J719" s="22"/>
      <c r="K719" s="42"/>
    </row>
    <row r="720" ht="39.75" hidden="1" customHeight="1">
      <c r="A720" s="1">
        <v>719.0</v>
      </c>
      <c r="B720" s="2" t="s">
        <v>35</v>
      </c>
      <c r="C720" s="2" t="s">
        <v>13</v>
      </c>
      <c r="D720" s="13"/>
      <c r="E720" s="13"/>
      <c r="F720" s="45"/>
      <c r="G720" s="42"/>
      <c r="H720" s="42"/>
      <c r="I720" s="42"/>
      <c r="J720" s="22"/>
      <c r="K720" s="42"/>
    </row>
    <row r="721" ht="39.75" customHeight="1">
      <c r="A721" s="1">
        <v>720.0</v>
      </c>
      <c r="B721" s="2" t="s">
        <v>36</v>
      </c>
      <c r="C721" s="2"/>
      <c r="D721" s="40">
        <v>0.375</v>
      </c>
      <c r="E721" s="13"/>
      <c r="F721" s="44" t="s">
        <v>3523</v>
      </c>
      <c r="G721" s="43">
        <v>1.0</v>
      </c>
      <c r="H721" s="42"/>
      <c r="I721" s="42"/>
      <c r="J721" s="22"/>
      <c r="K721" s="42"/>
    </row>
    <row r="722" ht="39.75" customHeight="1">
      <c r="A722" s="1">
        <v>721.0</v>
      </c>
      <c r="B722" s="2" t="s">
        <v>38</v>
      </c>
      <c r="C722" s="2"/>
      <c r="D722" s="13"/>
      <c r="E722" s="13"/>
      <c r="F722" s="44" t="s">
        <v>3481</v>
      </c>
      <c r="G722" s="43">
        <v>1.0</v>
      </c>
      <c r="H722" s="43">
        <v>1.0</v>
      </c>
      <c r="I722" s="42"/>
      <c r="J722" s="22"/>
      <c r="K722" s="42"/>
    </row>
    <row r="723" ht="39.75" hidden="1" customHeight="1">
      <c r="A723" s="1">
        <v>722.0</v>
      </c>
      <c r="B723" s="2" t="s">
        <v>41</v>
      </c>
      <c r="C723" s="2" t="s">
        <v>13</v>
      </c>
      <c r="D723" s="13"/>
      <c r="E723" s="13"/>
      <c r="F723" s="45"/>
      <c r="G723" s="42"/>
      <c r="H723" s="42"/>
      <c r="I723" s="42"/>
      <c r="J723" s="22"/>
      <c r="K723" s="42"/>
    </row>
    <row r="724" ht="39.75" customHeight="1">
      <c r="A724" s="1">
        <v>723.0</v>
      </c>
      <c r="B724" s="2" t="s">
        <v>42</v>
      </c>
      <c r="C724" s="2" t="s">
        <v>27</v>
      </c>
      <c r="D724" s="13"/>
      <c r="E724" s="13"/>
      <c r="F724" s="44" t="s">
        <v>3524</v>
      </c>
      <c r="G724" s="43">
        <v>1.0</v>
      </c>
      <c r="H724" s="42"/>
      <c r="I724" s="43">
        <v>1.0</v>
      </c>
      <c r="J724" s="22"/>
      <c r="K724" s="42"/>
    </row>
    <row r="725" ht="39.75" hidden="1" customHeight="1">
      <c r="A725" s="1">
        <v>724.0</v>
      </c>
      <c r="B725" s="2" t="s">
        <v>43</v>
      </c>
      <c r="C725" s="2" t="s">
        <v>13</v>
      </c>
      <c r="D725" s="13"/>
      <c r="E725" s="13"/>
      <c r="F725" s="45"/>
      <c r="G725" s="42"/>
      <c r="H725" s="42"/>
      <c r="I725" s="42"/>
      <c r="J725" s="22"/>
      <c r="K725" s="42"/>
    </row>
    <row r="726" ht="39.75" hidden="1" customHeight="1">
      <c r="A726" s="1">
        <v>725.0</v>
      </c>
      <c r="B726" s="2" t="s">
        <v>45</v>
      </c>
      <c r="C726" s="2" t="s">
        <v>13</v>
      </c>
      <c r="D726" s="13"/>
      <c r="E726" s="13"/>
      <c r="F726" s="45"/>
      <c r="G726" s="42"/>
      <c r="H726" s="42"/>
      <c r="I726" s="42"/>
      <c r="J726" s="22"/>
      <c r="K726" s="42"/>
    </row>
    <row r="727" ht="39.75" hidden="1" customHeight="1">
      <c r="A727" s="1">
        <v>726.0</v>
      </c>
      <c r="B727" s="2" t="s">
        <v>46</v>
      </c>
      <c r="C727" s="2" t="s">
        <v>13</v>
      </c>
      <c r="D727" s="13"/>
      <c r="E727" s="13"/>
      <c r="F727" s="45"/>
      <c r="G727" s="42"/>
      <c r="H727" s="42"/>
      <c r="I727" s="42"/>
      <c r="J727" s="22"/>
      <c r="K727" s="42"/>
    </row>
    <row r="728" ht="39.75" customHeight="1">
      <c r="A728" s="1">
        <v>727.0</v>
      </c>
      <c r="B728" s="2" t="s">
        <v>47</v>
      </c>
      <c r="C728" s="2" t="s">
        <v>49</v>
      </c>
      <c r="D728" s="40"/>
      <c r="E728" s="51">
        <v>0.8541666666666666</v>
      </c>
      <c r="F728" s="44" t="s">
        <v>3525</v>
      </c>
      <c r="G728" s="43">
        <v>1.0</v>
      </c>
      <c r="H728" s="42"/>
      <c r="I728" s="42"/>
      <c r="J728" s="22"/>
      <c r="K728" s="42"/>
    </row>
    <row r="729" ht="39.75" hidden="1" customHeight="1">
      <c r="A729" s="1">
        <v>728.0</v>
      </c>
      <c r="B729" s="2" t="s">
        <v>48</v>
      </c>
      <c r="C729" s="2" t="s">
        <v>13</v>
      </c>
      <c r="D729" s="13"/>
      <c r="E729" s="13"/>
      <c r="F729" s="45"/>
      <c r="G729" s="42"/>
      <c r="H729" s="42"/>
      <c r="I729" s="42"/>
      <c r="J729" s="22"/>
      <c r="K729" s="42"/>
    </row>
    <row r="730" ht="39.75" customHeight="1">
      <c r="A730" s="1">
        <v>729.0</v>
      </c>
      <c r="B730" s="21"/>
      <c r="C730" s="21"/>
      <c r="D730" s="21"/>
      <c r="E730" s="21"/>
      <c r="F730" s="46"/>
      <c r="G730" s="47"/>
      <c r="H730" s="47"/>
      <c r="I730" s="47"/>
      <c r="J730" s="48"/>
      <c r="K730" s="47"/>
      <c r="L730" s="49"/>
      <c r="M730" s="49"/>
      <c r="N730" s="49"/>
    </row>
    <row r="731" ht="39.75" hidden="1" customHeight="1">
      <c r="A731" s="1">
        <v>730.0</v>
      </c>
      <c r="B731" s="2" t="s">
        <v>12</v>
      </c>
      <c r="C731" s="2" t="s">
        <v>13</v>
      </c>
      <c r="D731" s="13"/>
      <c r="E731" s="13"/>
      <c r="F731" s="45"/>
      <c r="G731" s="42"/>
      <c r="H731" s="42"/>
      <c r="I731" s="42"/>
      <c r="J731" s="27" t="s">
        <v>3250</v>
      </c>
      <c r="K731" s="42"/>
      <c r="L731" s="15" t="s">
        <v>452</v>
      </c>
    </row>
    <row r="732" ht="39.75" hidden="1" customHeight="1">
      <c r="A732" s="1">
        <v>731.0</v>
      </c>
      <c r="B732" s="2" t="s">
        <v>16</v>
      </c>
      <c r="C732" s="2" t="s">
        <v>13</v>
      </c>
      <c r="D732" s="13"/>
      <c r="E732" s="13"/>
      <c r="F732" s="45"/>
      <c r="G732" s="42"/>
      <c r="H732" s="42"/>
      <c r="I732" s="42"/>
      <c r="J732" s="27" t="s">
        <v>452</v>
      </c>
      <c r="K732" s="43"/>
    </row>
    <row r="733" ht="39.75" hidden="1" customHeight="1">
      <c r="A733" s="1">
        <v>732.0</v>
      </c>
      <c r="B733" s="2" t="s">
        <v>116</v>
      </c>
      <c r="C733" s="2" t="s">
        <v>13</v>
      </c>
      <c r="D733" s="13"/>
      <c r="E733" s="13"/>
      <c r="F733" s="45"/>
      <c r="G733" s="42"/>
      <c r="H733" s="42"/>
      <c r="I733" s="42"/>
      <c r="J733" s="27" t="s">
        <v>19</v>
      </c>
      <c r="K733" s="42"/>
    </row>
    <row r="734" ht="39.75" hidden="1" customHeight="1">
      <c r="A734" s="1">
        <v>733.0</v>
      </c>
      <c r="B734" s="2" t="s">
        <v>17</v>
      </c>
      <c r="C734" s="2" t="s">
        <v>13</v>
      </c>
      <c r="D734" s="13"/>
      <c r="E734" s="13"/>
      <c r="F734" s="44"/>
      <c r="G734" s="42"/>
      <c r="H734" s="42"/>
      <c r="I734" s="42"/>
      <c r="J734" s="27" t="s">
        <v>410</v>
      </c>
      <c r="K734" s="42"/>
    </row>
    <row r="735" ht="39.75" hidden="1" customHeight="1">
      <c r="A735" s="1">
        <v>734.0</v>
      </c>
      <c r="B735" s="2" t="s">
        <v>331</v>
      </c>
      <c r="C735" s="2" t="s">
        <v>13</v>
      </c>
      <c r="D735" s="13"/>
      <c r="E735" s="13"/>
      <c r="F735" s="45"/>
      <c r="G735" s="42"/>
      <c r="H735" s="42"/>
      <c r="I735" s="42"/>
      <c r="J735" s="27" t="s">
        <v>412</v>
      </c>
      <c r="K735" s="42"/>
    </row>
    <row r="736" ht="39.75" customHeight="1">
      <c r="A736" s="1">
        <v>735.0</v>
      </c>
      <c r="B736" s="2" t="s">
        <v>21</v>
      </c>
      <c r="C736" s="2" t="s">
        <v>63</v>
      </c>
      <c r="D736" s="13"/>
      <c r="E736" s="13"/>
      <c r="F736" s="45"/>
      <c r="G736" s="42"/>
      <c r="H736" s="42"/>
      <c r="I736" s="42"/>
      <c r="J736" s="27" t="s">
        <v>413</v>
      </c>
      <c r="K736" s="42"/>
    </row>
    <row r="737" ht="39.75" customHeight="1">
      <c r="A737" s="1">
        <v>736.0</v>
      </c>
      <c r="B737" s="2" t="s">
        <v>22</v>
      </c>
      <c r="C737" s="2"/>
      <c r="D737" s="40">
        <v>0.375</v>
      </c>
      <c r="E737" s="13"/>
      <c r="F737" s="44" t="s">
        <v>3510</v>
      </c>
      <c r="G737" s="43">
        <v>1.0</v>
      </c>
      <c r="H737" s="42"/>
      <c r="I737" s="42"/>
      <c r="J737" s="22"/>
      <c r="K737" s="42"/>
    </row>
    <row r="738" ht="39.75" hidden="1" customHeight="1">
      <c r="A738" s="1">
        <v>737.0</v>
      </c>
      <c r="B738" s="2" t="s">
        <v>23</v>
      </c>
      <c r="C738" s="2" t="s">
        <v>13</v>
      </c>
      <c r="D738" s="13"/>
      <c r="E738" s="13"/>
      <c r="F738" s="45"/>
      <c r="G738" s="42"/>
      <c r="H738" s="42"/>
      <c r="I738" s="42"/>
      <c r="J738" s="22"/>
      <c r="K738" s="42"/>
    </row>
    <row r="739" ht="39.75" hidden="1" customHeight="1">
      <c r="A739" s="1">
        <v>738.0</v>
      </c>
      <c r="B739" s="2" t="s">
        <v>24</v>
      </c>
      <c r="C739" s="2" t="s">
        <v>13</v>
      </c>
      <c r="D739" s="13"/>
      <c r="E739" s="13"/>
      <c r="F739" s="45"/>
      <c r="G739" s="42"/>
      <c r="H739" s="42"/>
      <c r="I739" s="42"/>
      <c r="J739" s="22"/>
      <c r="K739" s="42"/>
    </row>
    <row r="740" ht="39.75" hidden="1" customHeight="1">
      <c r="A740" s="1">
        <v>739.0</v>
      </c>
      <c r="B740" s="2" t="s">
        <v>25</v>
      </c>
      <c r="C740" s="2" t="s">
        <v>13</v>
      </c>
      <c r="D740" s="13"/>
      <c r="E740" s="13"/>
      <c r="F740" s="45"/>
      <c r="G740" s="42"/>
      <c r="H740" s="42"/>
      <c r="I740" s="42"/>
      <c r="J740" s="22"/>
      <c r="K740" s="42"/>
    </row>
    <row r="741" ht="39.75" customHeight="1">
      <c r="A741" s="1">
        <v>740.0</v>
      </c>
      <c r="B741" s="2" t="s">
        <v>26</v>
      </c>
      <c r="C741" s="2"/>
      <c r="D741" s="13"/>
      <c r="E741" s="13"/>
      <c r="F741" s="44" t="s">
        <v>3490</v>
      </c>
      <c r="G741" s="43">
        <v>1.0</v>
      </c>
      <c r="H741" s="43">
        <v>1.0</v>
      </c>
      <c r="I741" s="42"/>
      <c r="J741" s="22"/>
      <c r="K741" s="42"/>
    </row>
    <row r="742" ht="59.25" customHeight="1">
      <c r="A742" s="1">
        <v>741.0</v>
      </c>
      <c r="B742" s="2" t="s">
        <v>29</v>
      </c>
      <c r="C742" s="2" t="s">
        <v>49</v>
      </c>
      <c r="D742" s="13"/>
      <c r="E742" s="13"/>
      <c r="F742" s="44" t="s">
        <v>3526</v>
      </c>
      <c r="G742" s="43">
        <v>2.0</v>
      </c>
      <c r="H742" s="42"/>
      <c r="I742" s="43"/>
      <c r="J742" s="22"/>
      <c r="K742" s="42"/>
    </row>
    <row r="743" ht="39.75" customHeight="1">
      <c r="A743" s="1">
        <v>742.0</v>
      </c>
      <c r="B743" s="2" t="s">
        <v>30</v>
      </c>
      <c r="C743" s="2" t="s">
        <v>39</v>
      </c>
      <c r="D743" s="13"/>
      <c r="E743" s="13"/>
      <c r="F743" s="44" t="s">
        <v>3527</v>
      </c>
      <c r="G743" s="43">
        <v>1.0</v>
      </c>
      <c r="H743" s="42"/>
      <c r="I743" s="43">
        <v>1.0</v>
      </c>
      <c r="J743" s="22"/>
      <c r="K743" s="42"/>
    </row>
    <row r="744" ht="39.75" customHeight="1">
      <c r="A744" s="1">
        <v>743.0</v>
      </c>
      <c r="B744" s="2" t="s">
        <v>33</v>
      </c>
      <c r="C744" s="2" t="s">
        <v>272</v>
      </c>
      <c r="D744" s="13"/>
      <c r="E744" s="13"/>
      <c r="F744" s="44" t="s">
        <v>1186</v>
      </c>
      <c r="G744" s="43">
        <v>1.0</v>
      </c>
      <c r="H744" s="42"/>
      <c r="I744" s="43">
        <v>1.0</v>
      </c>
      <c r="J744" s="22"/>
      <c r="K744" s="42"/>
    </row>
    <row r="745" ht="39.75" hidden="1" customHeight="1">
      <c r="A745" s="1">
        <v>744.0</v>
      </c>
      <c r="B745" s="2" t="s">
        <v>32</v>
      </c>
      <c r="C745" s="2" t="s">
        <v>13</v>
      </c>
      <c r="D745" s="13"/>
      <c r="E745" s="13"/>
      <c r="F745" s="45"/>
      <c r="G745" s="42"/>
      <c r="H745" s="42"/>
      <c r="I745" s="42"/>
      <c r="J745" s="22"/>
      <c r="K745" s="42"/>
    </row>
    <row r="746" ht="39.75" hidden="1" customHeight="1">
      <c r="A746" s="1">
        <v>745.0</v>
      </c>
      <c r="B746" s="2" t="s">
        <v>67</v>
      </c>
      <c r="C746" s="2" t="s">
        <v>13</v>
      </c>
      <c r="D746" s="13"/>
      <c r="E746" s="13"/>
      <c r="F746" s="45"/>
      <c r="G746" s="42"/>
      <c r="H746" s="42"/>
      <c r="I746" s="42"/>
      <c r="J746" s="22"/>
      <c r="K746" s="42"/>
    </row>
    <row r="747" ht="39.75" hidden="1" customHeight="1">
      <c r="A747" s="1">
        <v>746.0</v>
      </c>
      <c r="B747" s="2" t="s">
        <v>35</v>
      </c>
      <c r="C747" s="2" t="s">
        <v>13</v>
      </c>
      <c r="D747" s="13"/>
      <c r="E747" s="13"/>
      <c r="F747" s="45"/>
      <c r="G747" s="42"/>
      <c r="H747" s="42"/>
      <c r="I747" s="42"/>
      <c r="J747" s="22"/>
      <c r="K747" s="42"/>
    </row>
    <row r="748" ht="39.75" hidden="1" customHeight="1">
      <c r="A748" s="1">
        <v>747.0</v>
      </c>
      <c r="B748" s="2" t="s">
        <v>36</v>
      </c>
      <c r="C748" s="2" t="s">
        <v>13</v>
      </c>
      <c r="D748" s="13"/>
      <c r="E748" s="13"/>
      <c r="F748" s="45"/>
      <c r="G748" s="42"/>
      <c r="H748" s="42"/>
      <c r="I748" s="42"/>
      <c r="J748" s="22"/>
      <c r="K748" s="42"/>
    </row>
    <row r="749" ht="39.75" customHeight="1">
      <c r="A749" s="1">
        <v>748.0</v>
      </c>
      <c r="B749" s="2" t="s">
        <v>38</v>
      </c>
      <c r="C749" s="2"/>
      <c r="D749" s="13"/>
      <c r="E749" s="13"/>
      <c r="F749" s="44" t="s">
        <v>3481</v>
      </c>
      <c r="G749" s="43">
        <v>1.0</v>
      </c>
      <c r="H749" s="43">
        <v>1.0</v>
      </c>
      <c r="I749" s="42"/>
      <c r="J749" s="22"/>
      <c r="K749" s="42"/>
    </row>
    <row r="750" ht="39.75" hidden="1" customHeight="1">
      <c r="A750" s="1">
        <v>749.0</v>
      </c>
      <c r="B750" s="2" t="s">
        <v>41</v>
      </c>
      <c r="C750" s="2" t="s">
        <v>13</v>
      </c>
      <c r="D750" s="13"/>
      <c r="E750" s="13"/>
      <c r="F750" s="45"/>
      <c r="G750" s="42"/>
      <c r="H750" s="42"/>
      <c r="I750" s="42"/>
      <c r="J750" s="22"/>
      <c r="K750" s="42"/>
    </row>
    <row r="751" ht="39.75" customHeight="1">
      <c r="A751" s="1">
        <v>750.0</v>
      </c>
      <c r="B751" s="2" t="s">
        <v>42</v>
      </c>
      <c r="C751" s="2" t="s">
        <v>44</v>
      </c>
      <c r="D751" s="13"/>
      <c r="E751" s="13"/>
      <c r="F751" s="45"/>
      <c r="G751" s="42"/>
      <c r="H751" s="42"/>
      <c r="I751" s="42"/>
      <c r="J751" s="22"/>
      <c r="K751" s="42"/>
    </row>
    <row r="752" ht="39.75" hidden="1" customHeight="1">
      <c r="A752" s="1">
        <v>751.0</v>
      </c>
      <c r="B752" s="2" t="s">
        <v>43</v>
      </c>
      <c r="C752" s="2" t="s">
        <v>13</v>
      </c>
      <c r="D752" s="13"/>
      <c r="E752" s="13"/>
      <c r="F752" s="45"/>
      <c r="G752" s="42"/>
      <c r="H752" s="42"/>
      <c r="I752" s="42"/>
      <c r="J752" s="22"/>
      <c r="K752" s="42"/>
    </row>
    <row r="753" ht="39.75" customHeight="1">
      <c r="A753" s="1">
        <v>752.0</v>
      </c>
      <c r="B753" s="2" t="s">
        <v>45</v>
      </c>
      <c r="C753" s="2"/>
      <c r="D753" s="40">
        <v>0.375</v>
      </c>
      <c r="E753" s="13"/>
      <c r="F753" s="44" t="s">
        <v>3528</v>
      </c>
      <c r="G753" s="43">
        <v>1.0</v>
      </c>
      <c r="H753" s="42"/>
      <c r="I753" s="42"/>
      <c r="J753" s="22"/>
      <c r="K753" s="42"/>
    </row>
    <row r="754" ht="39.75" hidden="1" customHeight="1">
      <c r="A754" s="1">
        <v>753.0</v>
      </c>
      <c r="B754" s="2" t="s">
        <v>46</v>
      </c>
      <c r="C754" s="2" t="s">
        <v>13</v>
      </c>
      <c r="D754" s="13"/>
      <c r="E754" s="13"/>
      <c r="F754" s="45"/>
      <c r="G754" s="42"/>
      <c r="H754" s="42"/>
      <c r="I754" s="42"/>
      <c r="J754" s="22"/>
      <c r="K754" s="42"/>
    </row>
    <row r="755" ht="39.75" hidden="1" customHeight="1">
      <c r="A755" s="1">
        <v>754.0</v>
      </c>
      <c r="B755" s="2" t="s">
        <v>47</v>
      </c>
      <c r="C755" s="2" t="s">
        <v>13</v>
      </c>
      <c r="D755" s="13"/>
      <c r="E755" s="13"/>
      <c r="F755" s="45"/>
      <c r="G755" s="42"/>
      <c r="H755" s="42"/>
      <c r="I755" s="42"/>
      <c r="J755" s="22"/>
      <c r="K755" s="42"/>
    </row>
    <row r="756" ht="39.75" customHeight="1">
      <c r="A756" s="1">
        <v>755.0</v>
      </c>
      <c r="B756" s="2" t="s">
        <v>48</v>
      </c>
      <c r="C756" s="2" t="s">
        <v>27</v>
      </c>
      <c r="D756" s="13"/>
      <c r="E756" s="13"/>
      <c r="F756" s="44" t="s">
        <v>3529</v>
      </c>
      <c r="G756" s="43">
        <v>1.0</v>
      </c>
      <c r="H756" s="42"/>
      <c r="I756" s="42"/>
      <c r="J756" s="22"/>
      <c r="K756" s="42"/>
    </row>
    <row r="757" ht="39.75" customHeight="1">
      <c r="A757" s="1">
        <v>756.0</v>
      </c>
      <c r="B757" s="21"/>
      <c r="C757" s="21"/>
      <c r="D757" s="21"/>
      <c r="E757" s="21"/>
      <c r="F757" s="46"/>
      <c r="G757" s="47"/>
      <c r="H757" s="47"/>
      <c r="I757" s="47"/>
      <c r="J757" s="48"/>
      <c r="K757" s="47"/>
      <c r="L757" s="49"/>
      <c r="M757" s="49"/>
      <c r="N757" s="49"/>
    </row>
    <row r="758" ht="39.75" customHeight="1">
      <c r="A758" s="1">
        <v>757.0</v>
      </c>
      <c r="B758" s="2" t="s">
        <v>12</v>
      </c>
      <c r="C758" s="2" t="s">
        <v>62</v>
      </c>
      <c r="D758" s="13"/>
      <c r="E758" s="13"/>
      <c r="F758" s="44" t="s">
        <v>1543</v>
      </c>
      <c r="G758" s="43">
        <v>1.0</v>
      </c>
      <c r="H758" s="42"/>
      <c r="I758" s="43">
        <v>1.0</v>
      </c>
      <c r="J758" s="27" t="s">
        <v>3250</v>
      </c>
      <c r="K758" s="42"/>
      <c r="L758" s="15" t="s">
        <v>460</v>
      </c>
    </row>
    <row r="759" ht="39.75" customHeight="1">
      <c r="A759" s="1">
        <v>758.0</v>
      </c>
      <c r="B759" s="2" t="s">
        <v>16</v>
      </c>
      <c r="C759" s="2"/>
      <c r="D759" s="13"/>
      <c r="E759" s="13"/>
      <c r="F759" s="44" t="s">
        <v>3530</v>
      </c>
      <c r="G759" s="43">
        <v>3.0</v>
      </c>
      <c r="H759" s="42"/>
      <c r="I759" s="43">
        <v>1.0</v>
      </c>
      <c r="J759" s="27" t="s">
        <v>460</v>
      </c>
      <c r="K759" s="43"/>
    </row>
    <row r="760" ht="39.75" hidden="1" customHeight="1">
      <c r="A760" s="1">
        <v>759.0</v>
      </c>
      <c r="B760" s="2" t="s">
        <v>116</v>
      </c>
      <c r="C760" s="2" t="s">
        <v>58</v>
      </c>
      <c r="D760" s="13"/>
      <c r="E760" s="13"/>
      <c r="F760" s="45"/>
      <c r="G760" s="42"/>
      <c r="H760" s="42"/>
      <c r="I760" s="42"/>
      <c r="J760" s="27" t="s">
        <v>56</v>
      </c>
      <c r="K760" s="42"/>
    </row>
    <row r="761" ht="39.75" hidden="1" customHeight="1">
      <c r="A761" s="1">
        <v>760.0</v>
      </c>
      <c r="B761" s="2" t="s">
        <v>17</v>
      </c>
      <c r="C761" s="2" t="s">
        <v>58</v>
      </c>
      <c r="D761" s="13"/>
      <c r="E761" s="13"/>
      <c r="F761" s="44"/>
      <c r="G761" s="42"/>
      <c r="H761" s="42"/>
      <c r="I761" s="42"/>
      <c r="J761" s="22"/>
      <c r="K761" s="42"/>
    </row>
    <row r="762" ht="39.75" hidden="1" customHeight="1">
      <c r="A762" s="1">
        <v>761.0</v>
      </c>
      <c r="B762" s="2" t="s">
        <v>331</v>
      </c>
      <c r="C762" s="2" t="s">
        <v>66</v>
      </c>
      <c r="D762" s="13"/>
      <c r="E762" s="13"/>
      <c r="F762" s="45"/>
      <c r="G762" s="42"/>
      <c r="H762" s="42"/>
      <c r="I762" s="42"/>
      <c r="J762" s="22"/>
      <c r="K762" s="42"/>
    </row>
    <row r="763" ht="39.75" customHeight="1">
      <c r="A763" s="1">
        <v>762.0</v>
      </c>
      <c r="B763" s="2" t="s">
        <v>21</v>
      </c>
      <c r="C763" s="2" t="s">
        <v>63</v>
      </c>
      <c r="D763" s="13"/>
      <c r="E763" s="13"/>
      <c r="F763" s="45"/>
      <c r="G763" s="42"/>
      <c r="H763" s="42"/>
      <c r="I763" s="42"/>
      <c r="J763" s="22"/>
      <c r="K763" s="42"/>
    </row>
    <row r="764" ht="77.25" customHeight="1">
      <c r="A764" s="1">
        <v>763.0</v>
      </c>
      <c r="B764" s="2" t="s">
        <v>22</v>
      </c>
      <c r="C764" s="2" t="s">
        <v>54</v>
      </c>
      <c r="D764" s="13"/>
      <c r="E764" s="13"/>
      <c r="F764" s="44" t="s">
        <v>3531</v>
      </c>
      <c r="G764" s="43">
        <v>1.0</v>
      </c>
      <c r="H764" s="42"/>
      <c r="I764" s="43">
        <v>1.0</v>
      </c>
      <c r="J764" s="22"/>
      <c r="K764" s="42"/>
    </row>
    <row r="765" ht="39.75" customHeight="1">
      <c r="A765" s="1">
        <v>764.0</v>
      </c>
      <c r="B765" s="2" t="s">
        <v>23</v>
      </c>
      <c r="C765" s="2" t="s">
        <v>39</v>
      </c>
      <c r="D765" s="13"/>
      <c r="E765" s="13"/>
      <c r="F765" s="44" t="s">
        <v>3532</v>
      </c>
      <c r="G765" s="43">
        <v>1.0</v>
      </c>
      <c r="H765" s="42"/>
      <c r="I765" s="43">
        <v>1.0</v>
      </c>
      <c r="J765" s="22"/>
      <c r="K765" s="42"/>
    </row>
    <row r="766" ht="39.75" hidden="1" customHeight="1">
      <c r="A766" s="1">
        <v>765.0</v>
      </c>
      <c r="B766" s="2" t="s">
        <v>24</v>
      </c>
      <c r="C766" s="2" t="s">
        <v>58</v>
      </c>
      <c r="D766" s="13"/>
      <c r="E766" s="13"/>
      <c r="F766" s="45"/>
      <c r="G766" s="42"/>
      <c r="H766" s="42"/>
      <c r="I766" s="42"/>
      <c r="J766" s="22"/>
      <c r="K766" s="42"/>
    </row>
    <row r="767" ht="60.75" customHeight="1">
      <c r="A767" s="1">
        <v>766.0</v>
      </c>
      <c r="B767" s="2" t="s">
        <v>25</v>
      </c>
      <c r="C767" s="2" t="s">
        <v>69</v>
      </c>
      <c r="D767" s="13"/>
      <c r="E767" s="13"/>
      <c r="F767" s="44" t="s">
        <v>3533</v>
      </c>
      <c r="G767" s="43">
        <v>1.0</v>
      </c>
      <c r="H767" s="42"/>
      <c r="I767" s="43">
        <v>1.0</v>
      </c>
      <c r="J767" s="22"/>
      <c r="K767" s="42"/>
    </row>
    <row r="768" ht="39.75" customHeight="1">
      <c r="A768" s="1">
        <v>767.0</v>
      </c>
      <c r="B768" s="2" t="s">
        <v>26</v>
      </c>
      <c r="C768" s="2"/>
      <c r="D768" s="13"/>
      <c r="E768" s="13"/>
      <c r="F768" s="44" t="s">
        <v>3490</v>
      </c>
      <c r="G768" s="43">
        <v>1.0</v>
      </c>
      <c r="H768" s="43">
        <v>1.0</v>
      </c>
      <c r="I768" s="42"/>
      <c r="J768" s="22"/>
      <c r="K768" s="42"/>
    </row>
    <row r="769" ht="39.75" customHeight="1">
      <c r="A769" s="1">
        <v>768.0</v>
      </c>
      <c r="B769" s="2" t="s">
        <v>29</v>
      </c>
      <c r="C769" s="2" t="s">
        <v>54</v>
      </c>
      <c r="D769" s="40">
        <v>0.6666666666666666</v>
      </c>
      <c r="E769" s="51">
        <v>0.9583333333333334</v>
      </c>
      <c r="F769" s="44" t="s">
        <v>3534</v>
      </c>
      <c r="G769" s="43">
        <v>1.0</v>
      </c>
      <c r="H769" s="43">
        <v>1.0</v>
      </c>
      <c r="I769" s="42"/>
      <c r="J769" s="22"/>
      <c r="K769" s="42"/>
    </row>
    <row r="770" ht="39.75" customHeight="1">
      <c r="A770" s="1">
        <v>769.0</v>
      </c>
      <c r="B770" s="2" t="s">
        <v>30</v>
      </c>
      <c r="C770" s="2" t="s">
        <v>64</v>
      </c>
      <c r="D770" s="13"/>
      <c r="E770" s="13"/>
      <c r="F770" s="44" t="s">
        <v>2592</v>
      </c>
      <c r="G770" s="43">
        <v>1.0</v>
      </c>
      <c r="H770" s="42"/>
      <c r="I770" s="43">
        <v>1.0</v>
      </c>
      <c r="J770" s="22"/>
      <c r="K770" s="42"/>
    </row>
    <row r="771" ht="39.75" customHeight="1">
      <c r="A771" s="1">
        <v>770.0</v>
      </c>
      <c r="B771" s="2" t="s">
        <v>31</v>
      </c>
      <c r="C771" s="2" t="s">
        <v>69</v>
      </c>
      <c r="D771" s="13"/>
      <c r="E771" s="13"/>
      <c r="F771" s="44" t="s">
        <v>3535</v>
      </c>
      <c r="G771" s="43">
        <v>3.0</v>
      </c>
      <c r="H771" s="42"/>
      <c r="I771" s="43">
        <v>1.0</v>
      </c>
      <c r="J771" s="22"/>
      <c r="K771" s="42"/>
    </row>
    <row r="772" ht="39.75" customHeight="1">
      <c r="A772" s="1">
        <v>771.0</v>
      </c>
      <c r="B772" s="2" t="s">
        <v>32</v>
      </c>
      <c r="C772" s="2" t="s">
        <v>54</v>
      </c>
      <c r="D772" s="13"/>
      <c r="E772" s="13"/>
      <c r="F772" s="44" t="s">
        <v>3536</v>
      </c>
      <c r="G772" s="43">
        <v>2.0</v>
      </c>
      <c r="H772" s="42"/>
      <c r="I772" s="43">
        <v>1.0</v>
      </c>
      <c r="J772" s="22"/>
      <c r="K772" s="42"/>
    </row>
    <row r="773" ht="39.75" customHeight="1">
      <c r="A773" s="1">
        <v>772.0</v>
      </c>
      <c r="B773" s="2" t="s">
        <v>67</v>
      </c>
      <c r="C773" s="2" t="s">
        <v>69</v>
      </c>
      <c r="D773" s="13"/>
      <c r="E773" s="13"/>
      <c r="F773" s="44" t="s">
        <v>3537</v>
      </c>
      <c r="G773" s="43">
        <v>2.0</v>
      </c>
      <c r="H773" s="42"/>
      <c r="I773" s="42"/>
      <c r="J773" s="22"/>
      <c r="K773" s="42"/>
    </row>
    <row r="774" ht="39.75" customHeight="1">
      <c r="A774" s="1">
        <v>773.0</v>
      </c>
      <c r="B774" s="2" t="s">
        <v>35</v>
      </c>
      <c r="C774" s="2"/>
      <c r="D774" s="13"/>
      <c r="E774" s="13"/>
      <c r="F774" s="44" t="s">
        <v>3538</v>
      </c>
      <c r="G774" s="43">
        <v>1.0</v>
      </c>
      <c r="H774" s="43">
        <v>1.0</v>
      </c>
      <c r="I774" s="42"/>
      <c r="J774" s="22"/>
      <c r="K774" s="42"/>
    </row>
    <row r="775" ht="39.75" customHeight="1">
      <c r="A775" s="1">
        <v>774.0</v>
      </c>
      <c r="B775" s="2" t="s">
        <v>36</v>
      </c>
      <c r="C775" s="2" t="s">
        <v>27</v>
      </c>
      <c r="D775" s="13"/>
      <c r="E775" s="13"/>
      <c r="F775" s="44" t="s">
        <v>3539</v>
      </c>
      <c r="G775" s="43">
        <v>1.0</v>
      </c>
      <c r="H775" s="42"/>
      <c r="I775" s="42"/>
      <c r="J775" s="22"/>
      <c r="K775" s="42"/>
    </row>
    <row r="776" ht="39.75" customHeight="1">
      <c r="A776" s="1">
        <v>775.0</v>
      </c>
      <c r="B776" s="2" t="s">
        <v>38</v>
      </c>
      <c r="C776" s="2"/>
      <c r="D776" s="13"/>
      <c r="E776" s="13"/>
      <c r="F776" s="44" t="s">
        <v>3481</v>
      </c>
      <c r="G776" s="43">
        <v>1.0</v>
      </c>
      <c r="H776" s="43">
        <v>1.0</v>
      </c>
      <c r="I776" s="42"/>
      <c r="J776" s="22"/>
      <c r="K776" s="42"/>
    </row>
    <row r="777" ht="39.75" hidden="1" customHeight="1">
      <c r="A777" s="1">
        <v>776.0</v>
      </c>
      <c r="B777" s="2" t="s">
        <v>41</v>
      </c>
      <c r="C777" s="2" t="s">
        <v>58</v>
      </c>
      <c r="D777" s="13"/>
      <c r="E777" s="13"/>
      <c r="F777" s="45"/>
      <c r="G777" s="42"/>
      <c r="H777" s="42"/>
      <c r="I777" s="42"/>
      <c r="J777" s="22"/>
      <c r="K777" s="42"/>
    </row>
    <row r="778" ht="39.75" customHeight="1">
      <c r="A778" s="1">
        <v>777.0</v>
      </c>
      <c r="B778" s="2" t="s">
        <v>42</v>
      </c>
      <c r="C778" s="2" t="s">
        <v>54</v>
      </c>
      <c r="D778" s="53">
        <v>0.3333333333333333</v>
      </c>
      <c r="E778" s="13"/>
      <c r="F778" s="44" t="s">
        <v>3540</v>
      </c>
      <c r="G778" s="43">
        <v>1.0</v>
      </c>
      <c r="H778" s="43">
        <v>1.0</v>
      </c>
      <c r="I778" s="42"/>
      <c r="J778" s="22"/>
      <c r="K778" s="42"/>
    </row>
    <row r="779" ht="39.75" hidden="1" customHeight="1">
      <c r="A779" s="1">
        <v>778.0</v>
      </c>
      <c r="B779" s="2" t="s">
        <v>43</v>
      </c>
      <c r="C779" s="2" t="s">
        <v>66</v>
      </c>
      <c r="D779" s="13"/>
      <c r="E779" s="13"/>
      <c r="F779" s="45"/>
      <c r="G779" s="42"/>
      <c r="H779" s="42"/>
      <c r="I779" s="42"/>
      <c r="J779" s="22"/>
      <c r="K779" s="42"/>
    </row>
    <row r="780" ht="39.75" customHeight="1">
      <c r="A780" s="1">
        <v>779.0</v>
      </c>
      <c r="B780" s="2" t="s">
        <v>45</v>
      </c>
      <c r="C780" s="2" t="s">
        <v>39</v>
      </c>
      <c r="D780" s="13"/>
      <c r="E780" s="51">
        <v>0.7013888888888888</v>
      </c>
      <c r="F780" s="44" t="s">
        <v>3541</v>
      </c>
      <c r="G780" s="43">
        <v>4.0</v>
      </c>
      <c r="H780" s="42"/>
      <c r="I780" s="43">
        <v>3.0</v>
      </c>
      <c r="J780" s="22"/>
      <c r="K780" s="42"/>
    </row>
    <row r="781" ht="39.75" customHeight="1">
      <c r="A781" s="1">
        <v>780.0</v>
      </c>
      <c r="B781" s="2" t="s">
        <v>46</v>
      </c>
      <c r="C781" s="2"/>
      <c r="D781" s="13"/>
      <c r="E781" s="13"/>
      <c r="F781" s="44" t="s">
        <v>3542</v>
      </c>
      <c r="G781" s="43">
        <v>2.0</v>
      </c>
      <c r="H781" s="42"/>
      <c r="I781" s="42"/>
      <c r="J781" s="22"/>
      <c r="K781" s="42"/>
    </row>
    <row r="782" ht="39.75" hidden="1" customHeight="1">
      <c r="A782" s="1">
        <v>781.0</v>
      </c>
      <c r="B782" s="2" t="s">
        <v>47</v>
      </c>
      <c r="C782" s="2" t="s">
        <v>58</v>
      </c>
      <c r="D782" s="13"/>
      <c r="E782" s="13"/>
      <c r="F782" s="45"/>
      <c r="G782" s="42"/>
      <c r="H782" s="42"/>
      <c r="I782" s="42"/>
      <c r="J782" s="22"/>
      <c r="K782" s="42"/>
    </row>
    <row r="783" ht="39.75" customHeight="1">
      <c r="A783" s="1">
        <v>782.0</v>
      </c>
      <c r="B783" s="2" t="s">
        <v>48</v>
      </c>
      <c r="C783" s="2" t="s">
        <v>44</v>
      </c>
      <c r="D783" s="13"/>
      <c r="E783" s="13"/>
      <c r="F783" s="45"/>
      <c r="G783" s="42"/>
      <c r="H783" s="42"/>
      <c r="I783" s="42"/>
      <c r="J783" s="22"/>
      <c r="K783" s="42"/>
    </row>
    <row r="784" ht="39.75" customHeight="1">
      <c r="A784" s="1">
        <v>783.0</v>
      </c>
      <c r="B784" s="21"/>
      <c r="C784" s="21"/>
      <c r="D784" s="21"/>
      <c r="E784" s="21"/>
      <c r="F784" s="46"/>
      <c r="G784" s="47"/>
      <c r="H784" s="47"/>
      <c r="I784" s="47"/>
      <c r="J784" s="48"/>
      <c r="K784" s="47"/>
      <c r="L784" s="49"/>
      <c r="M784" s="49"/>
      <c r="N784" s="49"/>
    </row>
    <row r="785" ht="39.75" hidden="1" customHeight="1">
      <c r="A785" s="1">
        <v>784.0</v>
      </c>
      <c r="B785" s="2" t="s">
        <v>12</v>
      </c>
      <c r="C785" s="2" t="s">
        <v>58</v>
      </c>
      <c r="D785" s="13"/>
      <c r="E785" s="13"/>
      <c r="F785" s="44"/>
      <c r="G785" s="43"/>
      <c r="H785" s="42"/>
      <c r="I785" s="43"/>
      <c r="J785" s="27" t="s">
        <v>3250</v>
      </c>
      <c r="K785" s="42"/>
      <c r="L785" s="15" t="s">
        <v>467</v>
      </c>
    </row>
    <row r="786" ht="39.75" customHeight="1">
      <c r="A786" s="1">
        <v>785.0</v>
      </c>
      <c r="B786" s="2" t="s">
        <v>16</v>
      </c>
      <c r="C786" s="2" t="s">
        <v>69</v>
      </c>
      <c r="D786" s="13"/>
      <c r="E786" s="13"/>
      <c r="F786" s="44" t="s">
        <v>3543</v>
      </c>
      <c r="G786" s="43">
        <v>1.0</v>
      </c>
      <c r="H786" s="42"/>
      <c r="I786" s="42"/>
      <c r="J786" s="27" t="s">
        <v>467</v>
      </c>
      <c r="K786" s="43"/>
    </row>
    <row r="787" ht="39.75" hidden="1" customHeight="1">
      <c r="A787" s="1">
        <v>786.0</v>
      </c>
      <c r="B787" s="2" t="s">
        <v>116</v>
      </c>
      <c r="C787" s="2" t="s">
        <v>58</v>
      </c>
      <c r="D787" s="13"/>
      <c r="E787" s="13"/>
      <c r="F787" s="45"/>
      <c r="G787" s="42"/>
      <c r="H787" s="42"/>
      <c r="I787" s="42"/>
      <c r="J787" s="27" t="s">
        <v>77</v>
      </c>
      <c r="K787" s="42"/>
    </row>
    <row r="788" ht="39.75" hidden="1" customHeight="1">
      <c r="A788" s="1">
        <v>787.0</v>
      </c>
      <c r="B788" s="2" t="s">
        <v>17</v>
      </c>
      <c r="C788" s="2" t="s">
        <v>58</v>
      </c>
      <c r="D788" s="13"/>
      <c r="E788" s="13"/>
      <c r="F788" s="44"/>
      <c r="G788" s="42"/>
      <c r="H788" s="42"/>
      <c r="I788" s="42"/>
      <c r="J788" s="22"/>
      <c r="K788" s="42"/>
    </row>
    <row r="789" ht="39.75" customHeight="1">
      <c r="A789" s="1">
        <v>788.0</v>
      </c>
      <c r="B789" s="2" t="s">
        <v>331</v>
      </c>
      <c r="C789" s="2" t="s">
        <v>542</v>
      </c>
      <c r="D789" s="13"/>
      <c r="E789" s="13"/>
      <c r="F789" s="44" t="s">
        <v>3544</v>
      </c>
      <c r="G789" s="43">
        <v>1.0</v>
      </c>
      <c r="H789" s="42"/>
      <c r="I789" s="43">
        <v>1.0</v>
      </c>
      <c r="J789" s="22"/>
      <c r="K789" s="42"/>
    </row>
    <row r="790" ht="39.75" customHeight="1">
      <c r="A790" s="1">
        <v>789.0</v>
      </c>
      <c r="B790" s="2" t="s">
        <v>21</v>
      </c>
      <c r="C790" s="2" t="s">
        <v>63</v>
      </c>
      <c r="D790" s="13"/>
      <c r="E790" s="13"/>
      <c r="F790" s="45"/>
      <c r="G790" s="42"/>
      <c r="H790" s="42"/>
      <c r="I790" s="42"/>
      <c r="J790" s="22"/>
      <c r="K790" s="42"/>
    </row>
    <row r="791" ht="39.75" customHeight="1">
      <c r="A791" s="1">
        <v>790.0</v>
      </c>
      <c r="B791" s="2" t="s">
        <v>22</v>
      </c>
      <c r="C791" s="2" t="s">
        <v>39</v>
      </c>
      <c r="D791" s="59">
        <v>0.3472222222222222</v>
      </c>
      <c r="E791" s="13"/>
      <c r="F791" s="44" t="s">
        <v>3545</v>
      </c>
      <c r="G791" s="43">
        <v>2.0</v>
      </c>
      <c r="H791" s="42"/>
      <c r="I791" s="42"/>
      <c r="J791" s="22"/>
      <c r="K791" s="42"/>
    </row>
    <row r="792" ht="39.75" customHeight="1">
      <c r="A792" s="1">
        <v>791.0</v>
      </c>
      <c r="B792" s="2" t="s">
        <v>23</v>
      </c>
      <c r="C792" s="13"/>
      <c r="D792" s="13"/>
      <c r="E792" s="13"/>
      <c r="F792" s="44" t="s">
        <v>3546</v>
      </c>
      <c r="G792" s="43">
        <v>2.0</v>
      </c>
      <c r="H792" s="42"/>
      <c r="I792" s="43">
        <v>1.0</v>
      </c>
      <c r="J792" s="22"/>
      <c r="K792" s="42"/>
    </row>
    <row r="793" ht="39.75" hidden="1" customHeight="1">
      <c r="A793" s="1">
        <v>792.0</v>
      </c>
      <c r="B793" s="2" t="s">
        <v>24</v>
      </c>
      <c r="C793" s="2" t="s">
        <v>58</v>
      </c>
      <c r="D793" s="13"/>
      <c r="E793" s="13"/>
      <c r="F793" s="45"/>
      <c r="G793" s="42"/>
      <c r="H793" s="42"/>
      <c r="I793" s="42"/>
      <c r="J793" s="22"/>
      <c r="K793" s="42"/>
    </row>
    <row r="794" ht="39.75" customHeight="1">
      <c r="A794" s="1">
        <v>793.0</v>
      </c>
      <c r="B794" s="2" t="s">
        <v>25</v>
      </c>
      <c r="C794" s="2" t="s">
        <v>54</v>
      </c>
      <c r="D794" s="13"/>
      <c r="E794" s="13"/>
      <c r="F794" s="44" t="s">
        <v>3547</v>
      </c>
      <c r="G794" s="43">
        <v>1.0</v>
      </c>
      <c r="H794" s="42"/>
      <c r="I794" s="43">
        <v>1.0</v>
      </c>
      <c r="J794" s="22"/>
      <c r="K794" s="42"/>
    </row>
    <row r="795" ht="39.75" customHeight="1">
      <c r="A795" s="1">
        <v>794.0</v>
      </c>
      <c r="B795" s="2" t="s">
        <v>26</v>
      </c>
      <c r="C795" s="2"/>
      <c r="D795" s="13"/>
      <c r="E795" s="13"/>
      <c r="F795" s="44" t="s">
        <v>3490</v>
      </c>
      <c r="G795" s="43">
        <v>1.0</v>
      </c>
      <c r="H795" s="43">
        <v>1.0</v>
      </c>
      <c r="I795" s="42"/>
      <c r="J795" s="22"/>
      <c r="K795" s="42"/>
    </row>
    <row r="796" ht="39.75" customHeight="1">
      <c r="A796" s="1">
        <v>795.0</v>
      </c>
      <c r="B796" s="2" t="s">
        <v>29</v>
      </c>
      <c r="C796" s="2" t="s">
        <v>54</v>
      </c>
      <c r="D796" s="53">
        <v>0.20833333333333334</v>
      </c>
      <c r="E796" s="40">
        <v>0.75</v>
      </c>
      <c r="F796" s="44" t="s">
        <v>3534</v>
      </c>
      <c r="G796" s="43">
        <v>1.0</v>
      </c>
      <c r="H796" s="43">
        <v>1.0</v>
      </c>
      <c r="I796" s="42"/>
      <c r="J796" s="22"/>
      <c r="K796" s="42"/>
    </row>
    <row r="797" ht="39.75" customHeight="1">
      <c r="A797" s="1">
        <v>796.0</v>
      </c>
      <c r="B797" s="2" t="s">
        <v>30</v>
      </c>
      <c r="C797" s="2" t="s">
        <v>64</v>
      </c>
      <c r="D797" s="13"/>
      <c r="E797" s="13"/>
      <c r="F797" s="44" t="s">
        <v>2592</v>
      </c>
      <c r="G797" s="43">
        <v>1.0</v>
      </c>
      <c r="H797" s="42"/>
      <c r="I797" s="43">
        <v>1.0</v>
      </c>
      <c r="J797" s="22"/>
      <c r="K797" s="42"/>
    </row>
    <row r="798" ht="39.75" customHeight="1">
      <c r="A798" s="1">
        <v>797.0</v>
      </c>
      <c r="B798" s="2" t="s">
        <v>31</v>
      </c>
      <c r="C798" s="13"/>
      <c r="D798" s="13"/>
      <c r="E798" s="13"/>
      <c r="F798" s="44" t="s">
        <v>3548</v>
      </c>
      <c r="G798" s="43">
        <v>1.0</v>
      </c>
      <c r="H798" s="42"/>
      <c r="I798" s="43">
        <v>1.0</v>
      </c>
      <c r="J798" s="22"/>
      <c r="K798" s="42"/>
    </row>
    <row r="799" ht="39.75" customHeight="1">
      <c r="A799" s="1">
        <v>798.0</v>
      </c>
      <c r="B799" s="2" t="s">
        <v>32</v>
      </c>
      <c r="C799" s="2" t="s">
        <v>54</v>
      </c>
      <c r="D799" s="13"/>
      <c r="E799" s="13"/>
      <c r="F799" s="44" t="s">
        <v>3549</v>
      </c>
      <c r="G799" s="43">
        <v>2.0</v>
      </c>
      <c r="H799" s="42"/>
      <c r="I799" s="43">
        <v>1.0</v>
      </c>
      <c r="J799" s="22"/>
      <c r="K799" s="42"/>
    </row>
    <row r="800" ht="39.75" customHeight="1">
      <c r="A800" s="1">
        <v>799.0</v>
      </c>
      <c r="B800" s="2" t="s">
        <v>67</v>
      </c>
      <c r="C800" s="2" t="s">
        <v>27</v>
      </c>
      <c r="D800" s="13"/>
      <c r="E800" s="13"/>
      <c r="F800" s="44" t="s">
        <v>3550</v>
      </c>
      <c r="G800" s="43">
        <v>1.0</v>
      </c>
      <c r="H800" s="42"/>
      <c r="I800" s="42"/>
      <c r="J800" s="22"/>
      <c r="K800" s="42"/>
    </row>
    <row r="801" ht="39.75" customHeight="1">
      <c r="A801" s="1">
        <v>800.0</v>
      </c>
      <c r="B801" s="2" t="s">
        <v>35</v>
      </c>
      <c r="C801" s="2"/>
      <c r="D801" s="13"/>
      <c r="E801" s="13"/>
      <c r="F801" s="44" t="s">
        <v>3538</v>
      </c>
      <c r="G801" s="43">
        <v>1.0</v>
      </c>
      <c r="H801" s="43">
        <v>1.0</v>
      </c>
      <c r="I801" s="42"/>
      <c r="J801" s="22"/>
      <c r="K801" s="42"/>
    </row>
    <row r="802" ht="39.75" customHeight="1">
      <c r="A802" s="1">
        <v>801.0</v>
      </c>
      <c r="B802" s="2" t="s">
        <v>36</v>
      </c>
      <c r="C802" s="2" t="s">
        <v>44</v>
      </c>
      <c r="D802" s="13"/>
      <c r="E802" s="13"/>
      <c r="F802" s="45"/>
      <c r="G802" s="42"/>
      <c r="H802" s="42"/>
      <c r="I802" s="42"/>
      <c r="J802" s="22"/>
      <c r="K802" s="42"/>
    </row>
    <row r="803" ht="39.75" customHeight="1">
      <c r="A803" s="1">
        <v>802.0</v>
      </c>
      <c r="B803" s="2" t="s">
        <v>38</v>
      </c>
      <c r="C803" s="2" t="s">
        <v>69</v>
      </c>
      <c r="D803" s="13"/>
      <c r="E803" s="13"/>
      <c r="F803" s="44" t="s">
        <v>3551</v>
      </c>
      <c r="G803" s="43">
        <v>1.0</v>
      </c>
      <c r="H803" s="42"/>
      <c r="I803" s="43">
        <v>1.0</v>
      </c>
      <c r="J803" s="22"/>
      <c r="K803" s="42"/>
    </row>
    <row r="804" ht="39.75" hidden="1" customHeight="1">
      <c r="A804" s="1">
        <v>803.0</v>
      </c>
      <c r="B804" s="2" t="s">
        <v>41</v>
      </c>
      <c r="C804" s="2" t="s">
        <v>58</v>
      </c>
      <c r="D804" s="13"/>
      <c r="E804" s="13"/>
      <c r="F804" s="45"/>
      <c r="G804" s="42"/>
      <c r="H804" s="42"/>
      <c r="I804" s="42"/>
      <c r="J804" s="22"/>
      <c r="K804" s="42"/>
    </row>
    <row r="805" ht="39.75" customHeight="1">
      <c r="A805" s="1">
        <v>804.0</v>
      </c>
      <c r="B805" s="2" t="s">
        <v>42</v>
      </c>
      <c r="C805" s="2" t="s">
        <v>54</v>
      </c>
      <c r="D805" s="13"/>
      <c r="E805" s="13"/>
      <c r="F805" s="44" t="s">
        <v>3552</v>
      </c>
      <c r="G805" s="43">
        <v>1.0</v>
      </c>
      <c r="H805" s="43">
        <v>1.0</v>
      </c>
      <c r="I805" s="42"/>
      <c r="J805" s="22"/>
      <c r="K805" s="42"/>
    </row>
    <row r="806" ht="39.75" hidden="1" customHeight="1">
      <c r="A806" s="1">
        <v>805.0</v>
      </c>
      <c r="B806" s="2" t="s">
        <v>43</v>
      </c>
      <c r="C806" s="2" t="s">
        <v>58</v>
      </c>
      <c r="D806" s="13"/>
      <c r="E806" s="13"/>
      <c r="F806" s="45"/>
      <c r="G806" s="42"/>
      <c r="H806" s="42"/>
      <c r="I806" s="42"/>
      <c r="J806" s="22"/>
      <c r="K806" s="42"/>
    </row>
    <row r="807" ht="39.75" customHeight="1">
      <c r="A807" s="1">
        <v>806.0</v>
      </c>
      <c r="B807" s="2" t="s">
        <v>45</v>
      </c>
      <c r="C807" s="2"/>
      <c r="D807" s="13"/>
      <c r="E807" s="13"/>
      <c r="F807" s="44" t="s">
        <v>3553</v>
      </c>
      <c r="G807" s="43">
        <v>1.0</v>
      </c>
      <c r="H807" s="42"/>
      <c r="I807" s="42"/>
      <c r="J807" s="22"/>
      <c r="K807" s="42"/>
    </row>
    <row r="808" ht="39.75" customHeight="1">
      <c r="A808" s="1">
        <v>807.0</v>
      </c>
      <c r="B808" s="2" t="s">
        <v>46</v>
      </c>
      <c r="C808" s="2" t="s">
        <v>39</v>
      </c>
      <c r="D808" s="13"/>
      <c r="E808" s="13"/>
      <c r="F808" s="44" t="s">
        <v>3554</v>
      </c>
      <c r="G808" s="43">
        <v>2.0</v>
      </c>
      <c r="H808" s="42"/>
      <c r="I808" s="43">
        <v>2.0</v>
      </c>
      <c r="J808" s="22"/>
      <c r="K808" s="42"/>
    </row>
    <row r="809" ht="39.75" customHeight="1">
      <c r="A809" s="1">
        <v>808.0</v>
      </c>
      <c r="B809" s="2" t="s">
        <v>47</v>
      </c>
      <c r="C809" s="2" t="s">
        <v>69</v>
      </c>
      <c r="D809" s="13"/>
      <c r="E809" s="13"/>
      <c r="F809" s="44" t="s">
        <v>3555</v>
      </c>
      <c r="G809" s="43">
        <v>2.0</v>
      </c>
      <c r="H809" s="42"/>
      <c r="I809" s="43">
        <v>1.0</v>
      </c>
      <c r="J809" s="22"/>
      <c r="K809" s="42"/>
    </row>
    <row r="810" ht="39.75" hidden="1" customHeight="1">
      <c r="A810" s="1">
        <v>809.0</v>
      </c>
      <c r="B810" s="2" t="s">
        <v>48</v>
      </c>
      <c r="C810" s="2" t="s">
        <v>58</v>
      </c>
      <c r="D810" s="13"/>
      <c r="E810" s="13"/>
      <c r="F810" s="44" t="s">
        <v>3556</v>
      </c>
      <c r="G810" s="42"/>
      <c r="H810" s="42"/>
      <c r="I810" s="42"/>
      <c r="J810" s="22"/>
      <c r="K810" s="42"/>
    </row>
    <row r="811" ht="39.75" customHeight="1">
      <c r="A811" s="1">
        <v>810.0</v>
      </c>
      <c r="B811" s="21"/>
      <c r="C811" s="21"/>
      <c r="D811" s="21"/>
      <c r="E811" s="21"/>
      <c r="F811" s="46"/>
      <c r="G811" s="47"/>
      <c r="H811" s="47"/>
      <c r="I811" s="47"/>
      <c r="J811" s="48"/>
      <c r="K811" s="47"/>
      <c r="L811" s="49"/>
      <c r="M811" s="49"/>
      <c r="N811" s="49"/>
    </row>
    <row r="812" ht="39.75" customHeight="1">
      <c r="A812" s="1">
        <v>811.0</v>
      </c>
      <c r="B812" s="2" t="s">
        <v>12</v>
      </c>
      <c r="C812" s="2"/>
      <c r="D812" s="13"/>
      <c r="E812" s="13"/>
      <c r="F812" s="45"/>
      <c r="G812" s="42"/>
      <c r="H812" s="42"/>
      <c r="I812" s="42"/>
      <c r="J812" s="22"/>
      <c r="K812" s="42"/>
      <c r="L812" s="15"/>
    </row>
    <row r="813" ht="39.75" customHeight="1">
      <c r="A813" s="1">
        <v>812.0</v>
      </c>
      <c r="B813" s="2" t="s">
        <v>16</v>
      </c>
      <c r="C813" s="2"/>
      <c r="D813" s="13"/>
      <c r="E813" s="13"/>
      <c r="F813" s="45"/>
      <c r="G813" s="42"/>
      <c r="H813" s="42"/>
      <c r="I813" s="42"/>
      <c r="J813" s="27"/>
      <c r="K813" s="43"/>
    </row>
    <row r="814" ht="39.75" customHeight="1">
      <c r="A814" s="1">
        <v>813.0</v>
      </c>
      <c r="B814" s="2" t="s">
        <v>116</v>
      </c>
      <c r="C814" s="2"/>
      <c r="D814" s="13"/>
      <c r="E814" s="13"/>
      <c r="F814" s="45"/>
      <c r="G814" s="42"/>
      <c r="H814" s="42"/>
      <c r="I814" s="42"/>
      <c r="J814" s="22"/>
      <c r="K814" s="42"/>
    </row>
    <row r="815" ht="39.75" customHeight="1">
      <c r="A815" s="1">
        <v>814.0</v>
      </c>
      <c r="B815" s="2" t="s">
        <v>17</v>
      </c>
      <c r="C815" s="2"/>
      <c r="D815" s="13"/>
      <c r="E815" s="13"/>
      <c r="F815" s="44"/>
      <c r="G815" s="42"/>
      <c r="H815" s="42"/>
      <c r="I815" s="42"/>
      <c r="J815" s="22"/>
      <c r="K815" s="42"/>
    </row>
    <row r="816" ht="39.75" customHeight="1">
      <c r="A816" s="1">
        <v>815.0</v>
      </c>
      <c r="B816" s="2" t="s">
        <v>331</v>
      </c>
      <c r="C816" s="2"/>
      <c r="D816" s="13"/>
      <c r="E816" s="13"/>
      <c r="F816" s="45"/>
      <c r="G816" s="42"/>
      <c r="H816" s="42"/>
      <c r="I816" s="42"/>
      <c r="J816" s="22"/>
      <c r="K816" s="42"/>
    </row>
    <row r="817" ht="39.75" customHeight="1">
      <c r="A817" s="1">
        <v>816.0</v>
      </c>
      <c r="B817" s="2" t="s">
        <v>21</v>
      </c>
      <c r="C817" s="2"/>
      <c r="D817" s="13"/>
      <c r="E817" s="13"/>
      <c r="F817" s="45"/>
      <c r="G817" s="42"/>
      <c r="H817" s="42"/>
      <c r="I817" s="42"/>
      <c r="J817" s="22"/>
      <c r="K817" s="42"/>
    </row>
    <row r="818" ht="39.75" customHeight="1">
      <c r="A818" s="1">
        <v>817.0</v>
      </c>
      <c r="B818" s="2" t="s">
        <v>22</v>
      </c>
      <c r="C818" s="2"/>
      <c r="D818" s="13"/>
      <c r="E818" s="13"/>
      <c r="F818" s="45"/>
      <c r="G818" s="42"/>
      <c r="H818" s="42"/>
      <c r="I818" s="42"/>
      <c r="J818" s="22"/>
      <c r="K818" s="42"/>
    </row>
    <row r="819" ht="39.75" customHeight="1">
      <c r="A819" s="1">
        <v>818.0</v>
      </c>
      <c r="B819" s="2" t="s">
        <v>23</v>
      </c>
      <c r="C819" s="13"/>
      <c r="D819" s="13"/>
      <c r="E819" s="13"/>
      <c r="F819" s="45"/>
      <c r="G819" s="42"/>
      <c r="H819" s="42"/>
      <c r="I819" s="42"/>
      <c r="J819" s="22"/>
      <c r="K819" s="42"/>
    </row>
    <row r="820" ht="39.75" customHeight="1">
      <c r="A820" s="1">
        <v>819.0</v>
      </c>
      <c r="B820" s="2" t="s">
        <v>24</v>
      </c>
      <c r="C820" s="2"/>
      <c r="D820" s="13"/>
      <c r="E820" s="13"/>
      <c r="F820" s="45"/>
      <c r="G820" s="42"/>
      <c r="H820" s="42"/>
      <c r="I820" s="42"/>
      <c r="J820" s="22"/>
      <c r="K820" s="42"/>
    </row>
    <row r="821" ht="39.75" customHeight="1">
      <c r="A821" s="1">
        <v>820.0</v>
      </c>
      <c r="B821" s="2" t="s">
        <v>25</v>
      </c>
      <c r="C821" s="2"/>
      <c r="D821" s="13"/>
      <c r="E821" s="13"/>
      <c r="F821" s="45"/>
      <c r="G821" s="42"/>
      <c r="H821" s="42"/>
      <c r="I821" s="42"/>
      <c r="J821" s="22"/>
      <c r="K821" s="42"/>
    </row>
    <row r="822" ht="39.75" customHeight="1">
      <c r="A822" s="1">
        <v>821.0</v>
      </c>
      <c r="B822" s="2" t="s">
        <v>26</v>
      </c>
      <c r="C822" s="2"/>
      <c r="D822" s="13"/>
      <c r="E822" s="13"/>
      <c r="F822" s="44"/>
      <c r="G822" s="42"/>
      <c r="H822" s="42"/>
      <c r="I822" s="42"/>
      <c r="J822" s="22"/>
      <c r="K822" s="42"/>
    </row>
    <row r="823" ht="39.75" customHeight="1">
      <c r="A823" s="1">
        <v>822.0</v>
      </c>
      <c r="B823" s="2" t="s">
        <v>29</v>
      </c>
      <c r="C823" s="2"/>
      <c r="D823" s="13"/>
      <c r="E823" s="13"/>
      <c r="F823" s="45"/>
      <c r="G823" s="42"/>
      <c r="H823" s="42"/>
      <c r="I823" s="42"/>
      <c r="J823" s="22"/>
      <c r="K823" s="42"/>
    </row>
    <row r="824" ht="39.75" customHeight="1">
      <c r="A824" s="1">
        <v>823.0</v>
      </c>
      <c r="B824" s="2" t="s">
        <v>30</v>
      </c>
      <c r="C824" s="2"/>
      <c r="D824" s="13"/>
      <c r="E824" s="13"/>
      <c r="F824" s="45"/>
      <c r="G824" s="42"/>
      <c r="H824" s="42"/>
      <c r="I824" s="42"/>
      <c r="J824" s="22"/>
      <c r="K824" s="42"/>
    </row>
    <row r="825" ht="39.75" customHeight="1">
      <c r="A825" s="1">
        <v>824.0</v>
      </c>
      <c r="B825" s="2" t="s">
        <v>31</v>
      </c>
      <c r="C825" s="13"/>
      <c r="D825" s="13"/>
      <c r="E825" s="13"/>
      <c r="F825" s="45"/>
      <c r="G825" s="42"/>
      <c r="H825" s="42"/>
      <c r="I825" s="42"/>
      <c r="J825" s="22"/>
      <c r="K825" s="42"/>
    </row>
    <row r="826" ht="39.75" customHeight="1">
      <c r="A826" s="1">
        <v>825.0</v>
      </c>
      <c r="B826" s="2" t="s">
        <v>32</v>
      </c>
      <c r="C826" s="2"/>
      <c r="D826" s="13"/>
      <c r="E826" s="13"/>
      <c r="F826" s="45"/>
      <c r="G826" s="42"/>
      <c r="H826" s="42"/>
      <c r="I826" s="42"/>
      <c r="J826" s="22"/>
      <c r="K826" s="42"/>
    </row>
    <row r="827" ht="39.75" customHeight="1">
      <c r="A827" s="1">
        <v>826.0</v>
      </c>
      <c r="B827" s="2" t="s">
        <v>67</v>
      </c>
      <c r="C827" s="2"/>
      <c r="D827" s="13"/>
      <c r="E827" s="13"/>
      <c r="F827" s="45"/>
      <c r="G827" s="42"/>
      <c r="H827" s="42"/>
      <c r="I827" s="42"/>
      <c r="J827" s="22"/>
      <c r="K827" s="42"/>
    </row>
    <row r="828" ht="39.75" customHeight="1">
      <c r="A828" s="1">
        <v>827.0</v>
      </c>
      <c r="B828" s="2" t="s">
        <v>35</v>
      </c>
      <c r="C828" s="2"/>
      <c r="D828" s="13"/>
      <c r="E828" s="13"/>
      <c r="F828" s="44"/>
      <c r="G828" s="42"/>
      <c r="H828" s="42"/>
      <c r="I828" s="42"/>
      <c r="J828" s="22"/>
      <c r="K828" s="42"/>
    </row>
    <row r="829" ht="39.75" customHeight="1">
      <c r="A829" s="1">
        <v>828.0</v>
      </c>
      <c r="B829" s="2" t="s">
        <v>36</v>
      </c>
      <c r="C829" s="2"/>
      <c r="D829" s="13"/>
      <c r="E829" s="13"/>
      <c r="F829" s="45"/>
      <c r="G829" s="42"/>
      <c r="H829" s="42"/>
      <c r="I829" s="42"/>
      <c r="J829" s="22"/>
      <c r="K829" s="42"/>
    </row>
    <row r="830" ht="39.75" customHeight="1">
      <c r="A830" s="1">
        <v>829.0</v>
      </c>
      <c r="B830" s="2" t="s">
        <v>38</v>
      </c>
      <c r="C830" s="2"/>
      <c r="D830" s="13"/>
      <c r="E830" s="13"/>
      <c r="F830" s="45"/>
      <c r="G830" s="42"/>
      <c r="H830" s="42"/>
      <c r="I830" s="42"/>
      <c r="J830" s="22"/>
      <c r="K830" s="42"/>
    </row>
    <row r="831" ht="39.75" customHeight="1">
      <c r="A831" s="1">
        <v>830.0</v>
      </c>
      <c r="B831" s="2" t="s">
        <v>41</v>
      </c>
      <c r="C831" s="13"/>
      <c r="D831" s="13"/>
      <c r="E831" s="13"/>
      <c r="F831" s="45"/>
      <c r="G831" s="42"/>
      <c r="H831" s="42"/>
      <c r="I831" s="42"/>
      <c r="J831" s="22"/>
      <c r="K831" s="42"/>
    </row>
    <row r="832" ht="39.75" customHeight="1">
      <c r="A832" s="1">
        <v>831.0</v>
      </c>
      <c r="B832" s="2" t="s">
        <v>42</v>
      </c>
      <c r="C832" s="2"/>
      <c r="D832" s="13"/>
      <c r="E832" s="13"/>
      <c r="F832" s="45"/>
      <c r="G832" s="42"/>
      <c r="H832" s="42"/>
      <c r="I832" s="42"/>
      <c r="J832" s="22"/>
      <c r="K832" s="42"/>
    </row>
    <row r="833" ht="39.75" customHeight="1">
      <c r="A833" s="1">
        <v>832.0</v>
      </c>
      <c r="B833" s="2" t="s">
        <v>43</v>
      </c>
      <c r="C833" s="2"/>
      <c r="D833" s="13"/>
      <c r="E833" s="13"/>
      <c r="F833" s="45"/>
      <c r="G833" s="42"/>
      <c r="H833" s="42"/>
      <c r="I833" s="42"/>
      <c r="J833" s="22"/>
      <c r="K833" s="42"/>
    </row>
    <row r="834" ht="39.75" customHeight="1">
      <c r="A834" s="1">
        <v>833.0</v>
      </c>
      <c r="B834" s="2" t="s">
        <v>45</v>
      </c>
      <c r="C834" s="2"/>
      <c r="D834" s="13"/>
      <c r="E834" s="13"/>
      <c r="F834" s="45"/>
      <c r="G834" s="42"/>
      <c r="H834" s="42"/>
      <c r="I834" s="42"/>
      <c r="J834" s="22"/>
      <c r="K834" s="42"/>
    </row>
    <row r="835" ht="39.75" customHeight="1">
      <c r="A835" s="1">
        <v>834.0</v>
      </c>
      <c r="B835" s="2" t="s">
        <v>46</v>
      </c>
      <c r="C835" s="2"/>
      <c r="D835" s="13"/>
      <c r="E835" s="13"/>
      <c r="F835" s="45"/>
      <c r="G835" s="42"/>
      <c r="H835" s="42"/>
      <c r="I835" s="42"/>
      <c r="J835" s="22"/>
      <c r="K835" s="42"/>
    </row>
    <row r="836" ht="39.75" customHeight="1">
      <c r="A836" s="1">
        <v>835.0</v>
      </c>
      <c r="B836" s="2" t="s">
        <v>47</v>
      </c>
      <c r="C836" s="2"/>
      <c r="D836" s="13"/>
      <c r="E836" s="13"/>
      <c r="F836" s="45"/>
      <c r="G836" s="42"/>
      <c r="H836" s="42"/>
      <c r="I836" s="42"/>
      <c r="J836" s="22"/>
      <c r="K836" s="42"/>
    </row>
    <row r="837" ht="39.75" customHeight="1">
      <c r="A837" s="1">
        <v>836.0</v>
      </c>
      <c r="B837" s="2" t="s">
        <v>48</v>
      </c>
      <c r="C837" s="2"/>
      <c r="D837" s="13"/>
      <c r="E837" s="13"/>
      <c r="F837" s="45"/>
      <c r="G837" s="42"/>
      <c r="H837" s="42"/>
      <c r="I837" s="42"/>
      <c r="J837" s="22"/>
      <c r="K837" s="42"/>
    </row>
    <row r="838" ht="39.75" customHeight="1">
      <c r="A838" s="1">
        <v>837.0</v>
      </c>
      <c r="B838" s="21"/>
      <c r="C838" s="21"/>
      <c r="D838" s="21"/>
      <c r="E838" s="21"/>
      <c r="F838" s="46"/>
      <c r="G838" s="47"/>
      <c r="H838" s="47"/>
      <c r="I838" s="47"/>
      <c r="J838" s="48"/>
      <c r="K838" s="47"/>
      <c r="L838" s="49"/>
      <c r="M838" s="49"/>
      <c r="N838" s="49"/>
    </row>
    <row r="839" ht="39.75" hidden="1" customHeight="1">
      <c r="A839" s="1"/>
      <c r="B839" s="2" t="s">
        <v>12</v>
      </c>
      <c r="C839" s="21"/>
      <c r="D839" s="21"/>
      <c r="E839" s="21"/>
      <c r="F839" s="46"/>
      <c r="G839" s="62">
        <f>SUMIF(B3:B837,"*이동현*",G3:G837)</f>
        <v>13</v>
      </c>
      <c r="H839" s="47"/>
      <c r="I839" s="47"/>
      <c r="J839" s="48"/>
      <c r="K839" s="47"/>
      <c r="L839" s="49"/>
      <c r="M839" s="49"/>
      <c r="N839" s="49"/>
    </row>
    <row r="840" ht="39.75" hidden="1" customHeight="1">
      <c r="A840" s="1"/>
      <c r="B840" s="2" t="s">
        <v>16</v>
      </c>
      <c r="C840" s="21"/>
      <c r="D840" s="21"/>
      <c r="E840" s="21"/>
      <c r="F840" s="46"/>
      <c r="G840" s="62">
        <f>SUMIF(B4:B837,"*반일훈*",G4:G837)</f>
        <v>20</v>
      </c>
      <c r="H840" s="47"/>
      <c r="I840" s="47"/>
      <c r="J840" s="48"/>
      <c r="K840" s="47"/>
      <c r="L840" s="49"/>
      <c r="M840" s="49"/>
      <c r="N840" s="49"/>
    </row>
    <row r="841" ht="39.75" hidden="1" customHeight="1">
      <c r="A841" s="1"/>
      <c r="B841" s="2" t="s">
        <v>116</v>
      </c>
      <c r="C841" s="21"/>
      <c r="D841" s="21"/>
      <c r="E841" s="21"/>
      <c r="F841" s="46"/>
      <c r="G841" s="62">
        <f>SUMIF(B5:B837,"*김재식*",G5:G837)</f>
        <v>20</v>
      </c>
      <c r="H841" s="47"/>
      <c r="I841" s="47"/>
      <c r="J841" s="48"/>
      <c r="K841" s="47"/>
      <c r="L841" s="49"/>
      <c r="M841" s="49"/>
      <c r="N841" s="49"/>
    </row>
    <row r="842" ht="39.75" hidden="1" customHeight="1">
      <c r="A842" s="1"/>
      <c r="B842" s="2" t="s">
        <v>17</v>
      </c>
      <c r="C842" s="21"/>
      <c r="D842" s="21"/>
      <c r="E842" s="21"/>
      <c r="F842" s="46"/>
      <c r="G842" s="62">
        <f>SUMIF(B5:B837,"*신동환*",G5:G837)</f>
        <v>20</v>
      </c>
      <c r="H842" s="47"/>
      <c r="I842" s="47"/>
      <c r="J842" s="48"/>
      <c r="K842" s="47"/>
      <c r="L842" s="49"/>
      <c r="M842" s="49"/>
      <c r="N842" s="49"/>
    </row>
    <row r="843" ht="39.75" hidden="1" customHeight="1">
      <c r="A843" s="1"/>
      <c r="B843" s="2" t="s">
        <v>331</v>
      </c>
      <c r="C843" s="21"/>
      <c r="D843" s="21"/>
      <c r="E843" s="21"/>
      <c r="F843" s="46"/>
      <c r="G843" s="62">
        <f>SUMIF(B5:B837,"*장후원*",G5:G837)</f>
        <v>11</v>
      </c>
      <c r="H843" s="47"/>
      <c r="I843" s="47"/>
      <c r="J843" s="48"/>
      <c r="K843" s="47"/>
      <c r="L843" s="49"/>
      <c r="M843" s="49"/>
      <c r="N843" s="49"/>
    </row>
    <row r="844" ht="39.75" hidden="1" customHeight="1">
      <c r="A844" s="1"/>
      <c r="B844" s="2" t="s">
        <v>21</v>
      </c>
      <c r="C844" s="21"/>
      <c r="D844" s="21"/>
      <c r="E844" s="21"/>
      <c r="F844" s="46"/>
      <c r="G844" s="62">
        <f>SUMIF(B5:B837,"*구본준*",G5:G837)</f>
        <v>8</v>
      </c>
      <c r="H844" s="47"/>
      <c r="I844" s="47"/>
      <c r="J844" s="48"/>
      <c r="K844" s="47"/>
      <c r="L844" s="49"/>
      <c r="M844" s="49"/>
      <c r="N844" s="49"/>
    </row>
    <row r="845" ht="39.75" hidden="1" customHeight="1">
      <c r="A845" s="1"/>
      <c r="B845" s="2" t="s">
        <v>22</v>
      </c>
      <c r="C845" s="21"/>
      <c r="D845" s="21"/>
      <c r="E845" s="21"/>
      <c r="F845" s="46"/>
      <c r="G845" s="62">
        <f>SUMIF(B5:B837,"*이학진*",G5:G837)</f>
        <v>21</v>
      </c>
      <c r="H845" s="47"/>
      <c r="I845" s="47"/>
      <c r="J845" s="48"/>
      <c r="K845" s="47"/>
      <c r="L845" s="49"/>
      <c r="M845" s="49"/>
      <c r="N845" s="49"/>
    </row>
    <row r="846" ht="39.75" hidden="1" customHeight="1">
      <c r="A846" s="1"/>
      <c r="B846" s="2" t="s">
        <v>23</v>
      </c>
      <c r="C846" s="21"/>
      <c r="D846" s="21"/>
      <c r="E846" s="21"/>
      <c r="F846" s="46"/>
      <c r="G846" s="62">
        <f>SUMIF(B5:B837,"*황현우*",G5:G837)</f>
        <v>25</v>
      </c>
      <c r="H846" s="47"/>
      <c r="I846" s="47"/>
      <c r="J846" s="48"/>
      <c r="K846" s="47"/>
      <c r="L846" s="49"/>
      <c r="M846" s="49"/>
      <c r="N846" s="49"/>
    </row>
    <row r="847" ht="39.75" hidden="1" customHeight="1">
      <c r="A847" s="1"/>
      <c r="B847" s="2" t="s">
        <v>24</v>
      </c>
      <c r="C847" s="21"/>
      <c r="D847" s="21"/>
      <c r="E847" s="21"/>
      <c r="F847" s="46"/>
      <c r="G847" s="62">
        <f>SUMIF(B5:B837,"*김미란*",G5:G837)</f>
        <v>4</v>
      </c>
      <c r="H847" s="47"/>
      <c r="I847" s="47"/>
      <c r="J847" s="48"/>
      <c r="K847" s="47"/>
      <c r="L847" s="49"/>
      <c r="M847" s="49"/>
      <c r="N847" s="49"/>
    </row>
    <row r="848" ht="39.75" hidden="1" customHeight="1">
      <c r="A848" s="1"/>
      <c r="B848" s="2" t="s">
        <v>25</v>
      </c>
      <c r="C848" s="21"/>
      <c r="D848" s="21"/>
      <c r="E848" s="21"/>
      <c r="F848" s="46"/>
      <c r="G848" s="62">
        <f>SUMIF(B5:B837,"*유규열*",G5:G837)</f>
        <v>25</v>
      </c>
      <c r="H848" s="47"/>
      <c r="I848" s="47"/>
      <c r="J848" s="48"/>
      <c r="K848" s="47"/>
      <c r="L848" s="49"/>
      <c r="M848" s="49"/>
      <c r="N848" s="49"/>
    </row>
    <row r="849" ht="39.75" hidden="1" customHeight="1">
      <c r="A849" s="1"/>
      <c r="B849" s="2" t="s">
        <v>26</v>
      </c>
      <c r="C849" s="21"/>
      <c r="D849" s="21"/>
      <c r="E849" s="21"/>
      <c r="F849" s="46"/>
      <c r="G849" s="62">
        <f>SUMIF(B5:B837,"*김준택*",G5:G837)</f>
        <v>25</v>
      </c>
      <c r="H849" s="47"/>
      <c r="I849" s="47"/>
      <c r="J849" s="48"/>
      <c r="K849" s="47"/>
      <c r="L849" s="49"/>
      <c r="M849" s="49"/>
      <c r="N849" s="49"/>
    </row>
    <row r="850" ht="39.75" hidden="1" customHeight="1">
      <c r="A850" s="1"/>
      <c r="B850" s="2" t="s">
        <v>29</v>
      </c>
      <c r="C850" s="21"/>
      <c r="D850" s="21"/>
      <c r="E850" s="21"/>
      <c r="F850" s="46"/>
      <c r="G850" s="62">
        <f>SUMIF(B5:B837,"*방극철*",G5:G837)</f>
        <v>26</v>
      </c>
      <c r="H850" s="47"/>
      <c r="I850" s="47"/>
      <c r="J850" s="48"/>
      <c r="K850" s="47"/>
      <c r="L850" s="49"/>
      <c r="M850" s="49"/>
      <c r="N850" s="49"/>
    </row>
    <row r="851" ht="39.75" hidden="1" customHeight="1">
      <c r="A851" s="1"/>
      <c r="B851" s="2" t="s">
        <v>30</v>
      </c>
      <c r="C851" s="21"/>
      <c r="D851" s="21"/>
      <c r="E851" s="21"/>
      <c r="F851" s="46"/>
      <c r="G851" s="62">
        <f>SUMIF(B5:B837,"*홍승재*",G5:G837)</f>
        <v>22</v>
      </c>
      <c r="H851" s="47"/>
      <c r="I851" s="47"/>
      <c r="J851" s="48"/>
      <c r="K851" s="47"/>
      <c r="L851" s="49"/>
      <c r="M851" s="49"/>
      <c r="N851" s="49"/>
    </row>
    <row r="852" ht="39.75" hidden="1" customHeight="1">
      <c r="A852" s="1"/>
      <c r="B852" s="2" t="s">
        <v>31</v>
      </c>
      <c r="C852" s="21"/>
      <c r="D852" s="21"/>
      <c r="E852" s="21"/>
      <c r="F852" s="46"/>
      <c r="G852" s="62">
        <f>SUMIF(B5:B837,"*이   경*",G5:G837)</f>
        <v>20</v>
      </c>
      <c r="H852" s="47"/>
      <c r="I852" s="47"/>
      <c r="J852" s="48"/>
      <c r="K852" s="47"/>
      <c r="L852" s="49"/>
      <c r="M852" s="49"/>
      <c r="N852" s="49"/>
    </row>
    <row r="853" ht="39.75" hidden="1" customHeight="1">
      <c r="A853" s="1"/>
      <c r="B853" s="2" t="s">
        <v>32</v>
      </c>
      <c r="C853" s="21"/>
      <c r="D853" s="21"/>
      <c r="E853" s="21"/>
      <c r="F853" s="46"/>
      <c r="G853" s="62">
        <f>SUMIF(B5:B837,"*정상원*",G5:G837)</f>
        <v>25</v>
      </c>
      <c r="H853" s="47"/>
      <c r="I853" s="47"/>
      <c r="J853" s="48"/>
      <c r="K853" s="47"/>
      <c r="L853" s="49"/>
      <c r="M853" s="49"/>
      <c r="N853" s="49"/>
    </row>
    <row r="854" ht="39.75" hidden="1" customHeight="1">
      <c r="A854" s="1"/>
      <c r="B854" s="2" t="s">
        <v>67</v>
      </c>
      <c r="C854" s="21"/>
      <c r="D854" s="21"/>
      <c r="E854" s="21"/>
      <c r="F854" s="46"/>
      <c r="G854" s="62">
        <f>SUMIF(B5:B837,"*이주원*",G5:G837)</f>
        <v>20</v>
      </c>
      <c r="H854" s="47"/>
      <c r="I854" s="47"/>
      <c r="J854" s="48"/>
      <c r="K854" s="47"/>
      <c r="L854" s="49"/>
      <c r="M854" s="49"/>
      <c r="N854" s="49"/>
    </row>
    <row r="855" ht="39.75" hidden="1" customHeight="1">
      <c r="A855" s="1"/>
      <c r="B855" s="2" t="s">
        <v>35</v>
      </c>
      <c r="C855" s="21"/>
      <c r="D855" s="21"/>
      <c r="E855" s="21"/>
      <c r="F855" s="46"/>
      <c r="G855" s="62">
        <f>SUMIF(B5:B837,"*최무룡*",G5:G837)</f>
        <v>13</v>
      </c>
      <c r="H855" s="47"/>
      <c r="I855" s="47"/>
      <c r="J855" s="48"/>
      <c r="K855" s="47"/>
      <c r="L855" s="49"/>
      <c r="M855" s="49"/>
      <c r="N855" s="49"/>
    </row>
    <row r="856" ht="39.75" hidden="1" customHeight="1">
      <c r="A856" s="1"/>
      <c r="B856" s="2" t="s">
        <v>36</v>
      </c>
      <c r="C856" s="21"/>
      <c r="D856" s="21"/>
      <c r="E856" s="21"/>
      <c r="F856" s="46"/>
      <c r="G856" s="62">
        <f>SUMIF(B5:B837,"*정철원*",G5:G837)</f>
        <v>23</v>
      </c>
      <c r="H856" s="47"/>
      <c r="I856" s="47"/>
      <c r="J856" s="48"/>
      <c r="K856" s="47"/>
      <c r="L856" s="49"/>
      <c r="M856" s="49"/>
      <c r="N856" s="49"/>
    </row>
    <row r="857" ht="39.75" hidden="1" customHeight="1">
      <c r="A857" s="1"/>
      <c r="B857" s="2" t="s">
        <v>38</v>
      </c>
      <c r="C857" s="21"/>
      <c r="D857" s="21"/>
      <c r="E857" s="21"/>
      <c r="F857" s="46"/>
      <c r="G857" s="62">
        <f>SUMIF(B5:B837,"*김진광*",G5:G837)</f>
        <v>25</v>
      </c>
      <c r="H857" s="47"/>
      <c r="I857" s="47"/>
      <c r="J857" s="48"/>
      <c r="K857" s="47"/>
      <c r="L857" s="49"/>
      <c r="M857" s="49"/>
      <c r="N857" s="49"/>
    </row>
    <row r="858" ht="39.75" hidden="1" customHeight="1">
      <c r="A858" s="1"/>
      <c r="B858" s="2" t="s">
        <v>41</v>
      </c>
      <c r="C858" s="21"/>
      <c r="D858" s="21"/>
      <c r="E858" s="21"/>
      <c r="F858" s="46"/>
      <c r="G858" s="62">
        <f>SUMIF(B5:B837,"*조용희*",G5:G837)</f>
        <v>0</v>
      </c>
      <c r="H858" s="47"/>
      <c r="I858" s="47"/>
      <c r="J858" s="48"/>
      <c r="K858" s="47"/>
      <c r="L858" s="49"/>
      <c r="M858" s="49"/>
      <c r="N858" s="49"/>
    </row>
    <row r="859" ht="39.75" hidden="1" customHeight="1">
      <c r="A859" s="1"/>
      <c r="B859" s="2" t="s">
        <v>42</v>
      </c>
      <c r="C859" s="21"/>
      <c r="D859" s="21"/>
      <c r="E859" s="21"/>
      <c r="F859" s="46"/>
      <c r="G859" s="62">
        <f>SUMIF(B5:B837,"*이완근*",G5:G837)</f>
        <v>23</v>
      </c>
      <c r="H859" s="47"/>
      <c r="I859" s="47"/>
      <c r="J859" s="48"/>
      <c r="K859" s="47"/>
      <c r="L859" s="49"/>
      <c r="M859" s="49"/>
      <c r="N859" s="49"/>
    </row>
    <row r="860" ht="39.75" hidden="1" customHeight="1">
      <c r="A860" s="1"/>
      <c r="B860" s="2" t="s">
        <v>43</v>
      </c>
      <c r="C860" s="21"/>
      <c r="D860" s="21"/>
      <c r="E860" s="21"/>
      <c r="F860" s="46"/>
      <c r="G860" s="62">
        <f>SUMIF(B5:B837,"*박대권*",G5:G837)</f>
        <v>18</v>
      </c>
      <c r="H860" s="47"/>
      <c r="I860" s="47"/>
      <c r="J860" s="48"/>
      <c r="K860" s="47"/>
      <c r="L860" s="49"/>
      <c r="M860" s="49"/>
      <c r="N860" s="49"/>
    </row>
    <row r="861" ht="39.75" hidden="1" customHeight="1">
      <c r="A861" s="1"/>
      <c r="B861" s="2" t="s">
        <v>45</v>
      </c>
      <c r="C861" s="21"/>
      <c r="D861" s="21"/>
      <c r="E861" s="21"/>
      <c r="F861" s="46"/>
      <c r="G861" s="62">
        <f>SUMIF(B5:B837,"*김대호*",G5:G837)</f>
        <v>27</v>
      </c>
      <c r="H861" s="47"/>
      <c r="I861" s="47"/>
      <c r="J861" s="48"/>
      <c r="K861" s="47"/>
      <c r="L861" s="49"/>
      <c r="M861" s="49"/>
      <c r="N861" s="49"/>
    </row>
    <row r="862" ht="39.75" hidden="1" customHeight="1">
      <c r="A862" s="1"/>
      <c r="B862" s="2" t="s">
        <v>46</v>
      </c>
      <c r="C862" s="21"/>
      <c r="D862" s="21"/>
      <c r="E862" s="21"/>
      <c r="F862" s="46"/>
      <c r="G862" s="62">
        <f>SUMIF(B5:B837,"*이현일*",G5:G837)</f>
        <v>26</v>
      </c>
      <c r="H862" s="47"/>
      <c r="I862" s="47"/>
      <c r="J862" s="48"/>
      <c r="K862" s="47"/>
      <c r="L862" s="49"/>
      <c r="M862" s="49"/>
      <c r="N862" s="49"/>
    </row>
    <row r="863" ht="39.75" hidden="1" customHeight="1">
      <c r="A863" s="1"/>
      <c r="B863" s="2" t="s">
        <v>47</v>
      </c>
      <c r="C863" s="21"/>
      <c r="D863" s="21"/>
      <c r="E863" s="21"/>
      <c r="F863" s="46"/>
      <c r="G863" s="62">
        <f>SUMIF(B5:B837,"*유연경*",G5:G837)</f>
        <v>18</v>
      </c>
      <c r="H863" s="47"/>
      <c r="I863" s="47"/>
      <c r="J863" s="48"/>
      <c r="K863" s="47"/>
      <c r="L863" s="49"/>
      <c r="M863" s="49"/>
      <c r="N863" s="49"/>
    </row>
    <row r="864" ht="39.75" hidden="1" customHeight="1">
      <c r="A864" s="1"/>
      <c r="B864" s="2" t="s">
        <v>48</v>
      </c>
      <c r="C864" s="21"/>
      <c r="D864" s="21"/>
      <c r="E864" s="21"/>
      <c r="F864" s="46"/>
      <c r="G864" s="62">
        <f>SUMIF(B5:B837,"*정재우*",G5:G837)</f>
        <v>26</v>
      </c>
      <c r="H864" s="47"/>
      <c r="I864" s="47"/>
      <c r="J864" s="48"/>
      <c r="K864" s="47"/>
      <c r="L864" s="49"/>
      <c r="M864" s="49"/>
      <c r="N864" s="49"/>
    </row>
  </sheetData>
  <mergeCells count="31">
    <mergeCell ref="L2:N27"/>
    <mergeCell ref="L29:N54"/>
    <mergeCell ref="L56:N81"/>
    <mergeCell ref="L83:N108"/>
    <mergeCell ref="L110:N135"/>
    <mergeCell ref="L137:N162"/>
    <mergeCell ref="L164:N189"/>
    <mergeCell ref="L191:N216"/>
    <mergeCell ref="L218:N243"/>
    <mergeCell ref="L245:N270"/>
    <mergeCell ref="L272:N297"/>
    <mergeCell ref="L299:N324"/>
    <mergeCell ref="L326:N351"/>
    <mergeCell ref="L353:N378"/>
    <mergeCell ref="L380:N405"/>
    <mergeCell ref="L407:N432"/>
    <mergeCell ref="L434:N459"/>
    <mergeCell ref="L461:N486"/>
    <mergeCell ref="L488:N513"/>
    <mergeCell ref="L515:N540"/>
    <mergeCell ref="L542:N567"/>
    <mergeCell ref="L758:N783"/>
    <mergeCell ref="L785:N810"/>
    <mergeCell ref="L812:N837"/>
    <mergeCell ref="L569:N594"/>
    <mergeCell ref="L596:N621"/>
    <mergeCell ref="L623:N648"/>
    <mergeCell ref="L650:N675"/>
    <mergeCell ref="L677:N702"/>
    <mergeCell ref="L704:N729"/>
    <mergeCell ref="L731:N756"/>
  </mergeCells>
  <conditionalFormatting sqref="B2:I864">
    <cfRule type="expression" dxfId="6" priority="1">
      <formula>$C2="휴가"</formula>
    </cfRule>
  </conditionalFormatting>
  <conditionalFormatting sqref="B2:I864">
    <cfRule type="expression" dxfId="6" priority="2">
      <formula>$C2="휴무"</formula>
    </cfRule>
  </conditionalFormatting>
  <conditionalFormatting sqref="B2:I864">
    <cfRule type="expression" dxfId="6" priority="3">
      <formula>$C2="제크"</formula>
    </cfRule>
  </conditionalFormatting>
  <conditionalFormatting sqref="B2:I864">
    <cfRule type="expression" dxfId="7" priority="4">
      <formula>$C2="야퇴"</formula>
    </cfRule>
  </conditionalFormatting>
  <conditionalFormatting sqref="B2:I864">
    <cfRule type="expression" dxfId="8" priority="5">
      <formula>$C2="대통령실"</formula>
    </cfRule>
  </conditionalFormatting>
  <conditionalFormatting sqref="B2:I864">
    <cfRule type="expression" dxfId="8" priority="6">
      <formula>$C2="헌법재판소"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8.25"/>
    <col customWidth="1" min="3" max="3" width="10.75"/>
    <col customWidth="1" min="4" max="5" width="8.88"/>
    <col customWidth="1" min="6" max="6" width="50.13"/>
    <col customWidth="1" min="7" max="7" width="8.88"/>
    <col customWidth="1" min="8" max="8" width="10.63"/>
    <col customWidth="1" min="9" max="9" width="11.38"/>
    <col customWidth="1" min="10" max="10" width="12.63"/>
    <col customWidth="1" min="11" max="11" width="11.38"/>
    <col customWidth="1" min="12" max="14" width="12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36"/>
      <c r="K1" s="2" t="s">
        <v>1160</v>
      </c>
      <c r="L1" s="37" t="s">
        <v>490</v>
      </c>
      <c r="M1" s="38" t="s">
        <v>10</v>
      </c>
      <c r="N1" s="39" t="s">
        <v>11</v>
      </c>
    </row>
    <row r="2" ht="39.75" hidden="1" customHeight="1">
      <c r="A2" s="1">
        <v>1.0</v>
      </c>
      <c r="B2" s="2" t="s">
        <v>12</v>
      </c>
      <c r="C2" s="2" t="s">
        <v>13</v>
      </c>
      <c r="D2" s="40"/>
      <c r="E2" s="40"/>
      <c r="F2" s="45"/>
      <c r="G2" s="42"/>
      <c r="H2" s="42"/>
      <c r="I2" s="42"/>
      <c r="J2" s="14" t="s">
        <v>1161</v>
      </c>
      <c r="K2" s="43"/>
      <c r="L2" s="15" t="s">
        <v>15</v>
      </c>
    </row>
    <row r="3" ht="39.75" customHeight="1">
      <c r="A3" s="1">
        <v>2.0</v>
      </c>
      <c r="B3" s="2" t="s">
        <v>16</v>
      </c>
      <c r="C3" s="91" t="s">
        <v>3557</v>
      </c>
      <c r="D3" s="13"/>
      <c r="E3" s="13"/>
      <c r="F3" s="44" t="s">
        <v>3558</v>
      </c>
      <c r="G3" s="43">
        <v>1.0</v>
      </c>
      <c r="H3" s="43">
        <v>1.0</v>
      </c>
      <c r="I3" s="42"/>
      <c r="J3" s="14" t="s">
        <v>15</v>
      </c>
      <c r="K3" s="43"/>
    </row>
    <row r="4" ht="39.75" customHeight="1">
      <c r="A4" s="1">
        <v>3.0</v>
      </c>
      <c r="B4" s="2" t="s">
        <v>116</v>
      </c>
      <c r="C4" s="91" t="s">
        <v>3557</v>
      </c>
      <c r="D4" s="13"/>
      <c r="E4" s="13"/>
      <c r="F4" s="44" t="s">
        <v>3559</v>
      </c>
      <c r="G4" s="43">
        <v>1.0</v>
      </c>
      <c r="H4" s="43">
        <v>1.0</v>
      </c>
      <c r="I4" s="43"/>
      <c r="J4" s="14" t="s">
        <v>19</v>
      </c>
      <c r="K4" s="43"/>
    </row>
    <row r="5" ht="39.75" customHeight="1">
      <c r="A5" s="1">
        <v>4.0</v>
      </c>
      <c r="B5" s="2" t="s">
        <v>263</v>
      </c>
      <c r="C5" s="2" t="s">
        <v>44</v>
      </c>
      <c r="D5" s="13"/>
      <c r="E5" s="13"/>
      <c r="F5" s="44"/>
      <c r="G5" s="42"/>
      <c r="H5" s="42"/>
      <c r="I5" s="42"/>
      <c r="J5" s="14" t="s">
        <v>151</v>
      </c>
      <c r="K5" s="43"/>
    </row>
    <row r="6" ht="39.75" customHeight="1">
      <c r="A6" s="1">
        <v>5.0</v>
      </c>
      <c r="B6" s="2" t="s">
        <v>17</v>
      </c>
      <c r="C6" s="2" t="s">
        <v>3560</v>
      </c>
      <c r="D6" s="13"/>
      <c r="E6" s="13"/>
      <c r="F6" s="44" t="s">
        <v>3561</v>
      </c>
      <c r="G6" s="43">
        <v>1.0</v>
      </c>
      <c r="H6" s="42"/>
      <c r="I6" s="43">
        <v>1.0</v>
      </c>
      <c r="J6" s="14" t="s">
        <v>152</v>
      </c>
      <c r="K6" s="43"/>
    </row>
    <row r="7" ht="39.75" customHeight="1">
      <c r="A7" s="1">
        <v>6.0</v>
      </c>
      <c r="B7" s="92" t="s">
        <v>331</v>
      </c>
      <c r="C7" s="92" t="s">
        <v>3562</v>
      </c>
      <c r="D7" s="92"/>
      <c r="E7" s="93"/>
      <c r="F7" s="94"/>
      <c r="G7" s="95"/>
      <c r="H7" s="95"/>
      <c r="I7" s="95"/>
      <c r="J7" s="14" t="s">
        <v>154</v>
      </c>
      <c r="K7" s="43"/>
    </row>
    <row r="8" ht="39.75" customHeight="1">
      <c r="A8" s="1">
        <v>7.0</v>
      </c>
      <c r="B8" s="2" t="s">
        <v>21</v>
      </c>
      <c r="C8" s="2" t="s">
        <v>27</v>
      </c>
      <c r="D8" s="13"/>
      <c r="E8" s="13"/>
      <c r="F8" s="44"/>
      <c r="G8" s="42"/>
      <c r="H8" s="42"/>
      <c r="I8" s="42"/>
      <c r="J8" s="14"/>
      <c r="K8" s="43"/>
    </row>
    <row r="9" ht="39.75" hidden="1" customHeight="1">
      <c r="A9" s="1">
        <v>8.0</v>
      </c>
      <c r="B9" s="2" t="s">
        <v>22</v>
      </c>
      <c r="C9" s="2" t="s">
        <v>13</v>
      </c>
      <c r="D9" s="13"/>
      <c r="E9" s="13"/>
      <c r="F9" s="45"/>
      <c r="G9" s="42"/>
      <c r="H9" s="42"/>
      <c r="I9" s="42"/>
      <c r="J9" s="14"/>
      <c r="K9" s="43"/>
    </row>
    <row r="10" ht="39.75" hidden="1" customHeight="1">
      <c r="A10" s="1">
        <v>9.0</v>
      </c>
      <c r="B10" s="2" t="s">
        <v>261</v>
      </c>
      <c r="C10" s="2" t="s">
        <v>13</v>
      </c>
      <c r="D10" s="13"/>
      <c r="E10" s="13"/>
      <c r="F10" s="44"/>
      <c r="G10" s="42"/>
      <c r="H10" s="43"/>
      <c r="I10" s="43"/>
      <c r="J10" s="14"/>
      <c r="K10" s="43"/>
    </row>
    <row r="11" ht="39.75" hidden="1" customHeight="1">
      <c r="A11" s="1">
        <v>10.0</v>
      </c>
      <c r="B11" s="2" t="s">
        <v>23</v>
      </c>
      <c r="C11" s="2" t="s">
        <v>13</v>
      </c>
      <c r="D11" s="13"/>
      <c r="E11" s="13"/>
      <c r="F11" s="45"/>
      <c r="G11" s="42"/>
      <c r="H11" s="42"/>
      <c r="I11" s="42"/>
      <c r="J11" s="14"/>
      <c r="K11" s="43"/>
    </row>
    <row r="12" ht="39.75" customHeight="1">
      <c r="A12" s="1">
        <v>11.0</v>
      </c>
      <c r="B12" s="2" t="s">
        <v>24</v>
      </c>
      <c r="C12" s="2" t="s">
        <v>3563</v>
      </c>
      <c r="D12" s="13"/>
      <c r="E12" s="13"/>
      <c r="F12" s="44"/>
      <c r="G12" s="42"/>
      <c r="H12" s="42"/>
      <c r="I12" s="42"/>
      <c r="J12" s="14"/>
      <c r="K12" s="43"/>
    </row>
    <row r="13" ht="39.75" hidden="1" customHeight="1">
      <c r="A13" s="1">
        <v>12.0</v>
      </c>
      <c r="B13" s="2" t="s">
        <v>25</v>
      </c>
      <c r="C13" s="2" t="s">
        <v>13</v>
      </c>
      <c r="D13" s="13"/>
      <c r="E13" s="13"/>
      <c r="F13" s="44"/>
      <c r="G13" s="42"/>
      <c r="H13" s="42"/>
      <c r="I13" s="42"/>
      <c r="J13" s="14"/>
      <c r="K13" s="43"/>
    </row>
    <row r="14" ht="39.75" hidden="1" customHeight="1">
      <c r="A14" s="1">
        <v>13.0</v>
      </c>
      <c r="B14" s="2" t="s">
        <v>26</v>
      </c>
      <c r="C14" s="2" t="s">
        <v>13</v>
      </c>
      <c r="D14" s="13"/>
      <c r="E14" s="13"/>
      <c r="F14" s="44"/>
      <c r="G14" s="43"/>
      <c r="H14" s="42"/>
      <c r="I14" s="43"/>
      <c r="J14" s="14"/>
      <c r="K14" s="43"/>
    </row>
    <row r="15" ht="39.75" customHeight="1">
      <c r="A15" s="1">
        <v>14.0</v>
      </c>
      <c r="B15" s="2" t="s">
        <v>29</v>
      </c>
      <c r="C15" s="2" t="s">
        <v>3560</v>
      </c>
      <c r="D15" s="13"/>
      <c r="E15" s="13"/>
      <c r="F15" s="44" t="s">
        <v>3564</v>
      </c>
      <c r="G15" s="43">
        <v>1.0</v>
      </c>
      <c r="H15" s="42"/>
      <c r="I15" s="43">
        <v>1.0</v>
      </c>
      <c r="J15" s="14"/>
      <c r="K15" s="43"/>
    </row>
    <row r="16" ht="39.75" hidden="1" customHeight="1">
      <c r="A16" s="1">
        <v>15.0</v>
      </c>
      <c r="B16" s="2" t="s">
        <v>32</v>
      </c>
      <c r="C16" s="2" t="s">
        <v>13</v>
      </c>
      <c r="D16" s="13"/>
      <c r="E16" s="13"/>
      <c r="F16" s="45"/>
      <c r="G16" s="42"/>
      <c r="H16" s="42"/>
      <c r="I16" s="42"/>
      <c r="J16" s="14"/>
      <c r="K16" s="43"/>
    </row>
    <row r="17" ht="39.75" hidden="1" customHeight="1">
      <c r="A17" s="1">
        <v>16.0</v>
      </c>
      <c r="B17" s="2" t="s">
        <v>67</v>
      </c>
      <c r="C17" s="2" t="s">
        <v>13</v>
      </c>
      <c r="D17" s="13"/>
      <c r="E17" s="13"/>
      <c r="F17" s="44"/>
      <c r="G17" s="42"/>
      <c r="H17" s="43"/>
      <c r="I17" s="43"/>
      <c r="J17" s="14"/>
      <c r="K17" s="43"/>
    </row>
    <row r="18" ht="39.75" customHeight="1">
      <c r="A18" s="1">
        <v>17.0</v>
      </c>
      <c r="B18" s="2" t="s">
        <v>35</v>
      </c>
      <c r="C18" s="2" t="s">
        <v>3563</v>
      </c>
      <c r="D18" s="13"/>
      <c r="E18" s="13"/>
      <c r="F18" s="45"/>
      <c r="G18" s="42"/>
      <c r="H18" s="42"/>
      <c r="I18" s="42"/>
      <c r="J18" s="14"/>
      <c r="K18" s="43"/>
    </row>
    <row r="19" ht="39.75" hidden="1" customHeight="1">
      <c r="A19" s="1">
        <v>18.0</v>
      </c>
      <c r="B19" s="2" t="s">
        <v>36</v>
      </c>
      <c r="C19" s="2" t="s">
        <v>13</v>
      </c>
      <c r="D19" s="13"/>
      <c r="E19" s="13"/>
      <c r="F19" s="44"/>
      <c r="G19" s="42"/>
      <c r="H19" s="42"/>
      <c r="I19" s="42"/>
      <c r="J19" s="14"/>
      <c r="K19" s="43"/>
    </row>
    <row r="20" ht="39.75" customHeight="1">
      <c r="A20" s="1">
        <v>19.0</v>
      </c>
      <c r="B20" s="2" t="s">
        <v>38</v>
      </c>
      <c r="C20" s="2" t="s">
        <v>49</v>
      </c>
      <c r="D20" s="13"/>
      <c r="E20" s="13"/>
      <c r="F20" s="44" t="s">
        <v>3565</v>
      </c>
      <c r="G20" s="43">
        <v>1.0</v>
      </c>
      <c r="H20" s="42"/>
      <c r="I20" s="42"/>
      <c r="J20" s="14"/>
      <c r="K20" s="43"/>
    </row>
    <row r="21" ht="39.75" hidden="1" customHeight="1">
      <c r="A21" s="1">
        <v>20.0</v>
      </c>
      <c r="B21" s="2" t="s">
        <v>41</v>
      </c>
      <c r="C21" s="2" t="s">
        <v>13</v>
      </c>
      <c r="D21" s="13"/>
      <c r="E21" s="13"/>
      <c r="F21" s="44"/>
      <c r="G21" s="42"/>
      <c r="H21" s="42"/>
      <c r="I21" s="42"/>
      <c r="J21" s="14"/>
      <c r="K21" s="43"/>
    </row>
    <row r="22" ht="39.75" customHeight="1">
      <c r="A22" s="1">
        <v>21.0</v>
      </c>
      <c r="B22" s="2" t="s">
        <v>42</v>
      </c>
      <c r="C22" s="91" t="s">
        <v>3557</v>
      </c>
      <c r="D22" s="13"/>
      <c r="E22" s="13"/>
      <c r="F22" s="44" t="s">
        <v>3566</v>
      </c>
      <c r="G22" s="43">
        <v>1.0</v>
      </c>
      <c r="H22" s="43">
        <v>1.0</v>
      </c>
      <c r="I22" s="42"/>
      <c r="J22" s="14"/>
      <c r="K22" s="43"/>
    </row>
    <row r="23" ht="39.75" hidden="1" customHeight="1">
      <c r="A23" s="1">
        <v>22.0</v>
      </c>
      <c r="B23" s="2" t="s">
        <v>43</v>
      </c>
      <c r="C23" s="2" t="s">
        <v>13</v>
      </c>
      <c r="D23" s="13"/>
      <c r="E23" s="13"/>
      <c r="F23" s="45"/>
      <c r="G23" s="42"/>
      <c r="H23" s="42"/>
      <c r="I23" s="42"/>
      <c r="J23" s="14"/>
      <c r="K23" s="43"/>
    </row>
    <row r="24" ht="39.75" hidden="1" customHeight="1">
      <c r="A24" s="1">
        <v>23.0</v>
      </c>
      <c r="B24" s="2" t="s">
        <v>267</v>
      </c>
      <c r="C24" s="2" t="s">
        <v>13</v>
      </c>
      <c r="D24" s="2"/>
      <c r="E24" s="13"/>
      <c r="F24" s="44"/>
      <c r="G24" s="42"/>
      <c r="H24" s="42"/>
      <c r="I24" s="42"/>
      <c r="J24" s="14"/>
      <c r="K24" s="43"/>
    </row>
    <row r="25" ht="39.75" hidden="1" customHeight="1">
      <c r="A25" s="1">
        <v>24.0</v>
      </c>
      <c r="B25" s="2" t="s">
        <v>46</v>
      </c>
      <c r="C25" s="2" t="s">
        <v>13</v>
      </c>
      <c r="D25" s="40"/>
      <c r="E25" s="13"/>
      <c r="F25" s="44"/>
      <c r="G25" s="42"/>
      <c r="H25" s="42"/>
      <c r="I25" s="42"/>
      <c r="J25" s="14"/>
      <c r="K25" s="43"/>
    </row>
    <row r="26" ht="39.75" customHeight="1">
      <c r="A26" s="1">
        <v>25.0</v>
      </c>
      <c r="B26" s="2" t="s">
        <v>47</v>
      </c>
      <c r="C26" s="91" t="s">
        <v>3557</v>
      </c>
      <c r="D26" s="13"/>
      <c r="E26" s="13"/>
      <c r="F26" s="44" t="s">
        <v>3566</v>
      </c>
      <c r="G26" s="43">
        <v>1.0</v>
      </c>
      <c r="H26" s="43">
        <v>1.0</v>
      </c>
      <c r="I26" s="43"/>
      <c r="J26" s="14"/>
      <c r="K26" s="43"/>
    </row>
    <row r="27" ht="39.75" hidden="1" customHeight="1">
      <c r="A27" s="1">
        <v>26.0</v>
      </c>
      <c r="B27" s="2" t="s">
        <v>48</v>
      </c>
      <c r="C27" s="2" t="s">
        <v>13</v>
      </c>
      <c r="D27" s="13"/>
      <c r="E27" s="13"/>
      <c r="F27" s="45"/>
      <c r="G27" s="42"/>
      <c r="H27" s="42"/>
      <c r="I27" s="42"/>
      <c r="J27" s="14"/>
      <c r="K27" s="43"/>
    </row>
    <row r="28" ht="39.75" customHeight="1">
      <c r="A28" s="1">
        <v>27.0</v>
      </c>
      <c r="B28" s="21"/>
      <c r="C28" s="21"/>
      <c r="D28" s="21"/>
      <c r="E28" s="21"/>
      <c r="F28" s="46"/>
      <c r="G28" s="47"/>
      <c r="H28" s="47"/>
      <c r="I28" s="47"/>
      <c r="J28" s="48"/>
      <c r="K28" s="47"/>
      <c r="L28" s="49"/>
      <c r="M28" s="49"/>
      <c r="N28" s="49"/>
    </row>
    <row r="29" ht="39.75" customHeight="1">
      <c r="A29" s="1">
        <v>28.0</v>
      </c>
      <c r="B29" s="2" t="s">
        <v>12</v>
      </c>
      <c r="C29" s="2" t="s">
        <v>3560</v>
      </c>
      <c r="D29" s="13"/>
      <c r="E29" s="13"/>
      <c r="F29" s="45"/>
      <c r="G29" s="42"/>
      <c r="H29" s="42"/>
      <c r="I29" s="42"/>
      <c r="J29" s="14"/>
      <c r="K29" s="43"/>
      <c r="L29" s="15" t="s">
        <v>52</v>
      </c>
    </row>
    <row r="30" ht="39.75" customHeight="1">
      <c r="A30" s="1">
        <v>29.0</v>
      </c>
      <c r="B30" s="2" t="s">
        <v>16</v>
      </c>
      <c r="C30" s="91" t="s">
        <v>3557</v>
      </c>
      <c r="D30" s="13"/>
      <c r="E30" s="13"/>
      <c r="F30" s="44" t="s">
        <v>3558</v>
      </c>
      <c r="G30" s="43">
        <v>1.0</v>
      </c>
      <c r="H30" s="42"/>
      <c r="I30" s="42"/>
      <c r="J30" s="14" t="s">
        <v>52</v>
      </c>
      <c r="K30" s="43"/>
    </row>
    <row r="31" ht="39.75" customHeight="1">
      <c r="A31" s="1">
        <v>30.0</v>
      </c>
      <c r="B31" s="2" t="s">
        <v>116</v>
      </c>
      <c r="C31" s="91" t="s">
        <v>3557</v>
      </c>
      <c r="D31" s="13"/>
      <c r="E31" s="13"/>
      <c r="F31" s="44" t="s">
        <v>3559</v>
      </c>
      <c r="G31" s="43">
        <v>1.0</v>
      </c>
      <c r="H31" s="42"/>
      <c r="I31" s="42"/>
      <c r="J31" s="14" t="s">
        <v>56</v>
      </c>
      <c r="K31" s="43"/>
    </row>
    <row r="32" ht="39.75" hidden="1" customHeight="1">
      <c r="A32" s="1">
        <v>31.0</v>
      </c>
      <c r="B32" s="2" t="s">
        <v>263</v>
      </c>
      <c r="C32" s="2" t="s">
        <v>13</v>
      </c>
      <c r="D32" s="13"/>
      <c r="E32" s="13"/>
      <c r="F32" s="45"/>
      <c r="G32" s="42"/>
      <c r="H32" s="42"/>
      <c r="I32" s="42"/>
      <c r="J32" s="14"/>
      <c r="K32" s="43"/>
    </row>
    <row r="33" ht="39.75" hidden="1" customHeight="1">
      <c r="A33" s="1">
        <v>32.0</v>
      </c>
      <c r="B33" s="2" t="s">
        <v>17</v>
      </c>
      <c r="C33" s="2" t="s">
        <v>13</v>
      </c>
      <c r="D33" s="13"/>
      <c r="E33" s="13"/>
      <c r="F33" s="45"/>
      <c r="G33" s="42"/>
      <c r="H33" s="42"/>
      <c r="I33" s="42"/>
      <c r="J33" s="14"/>
      <c r="K33" s="43"/>
    </row>
    <row r="34" ht="39.75" hidden="1" customHeight="1">
      <c r="A34" s="1">
        <v>33.0</v>
      </c>
      <c r="B34" s="2" t="s">
        <v>331</v>
      </c>
      <c r="C34" s="2" t="s">
        <v>13</v>
      </c>
      <c r="D34" s="13"/>
      <c r="E34" s="13"/>
      <c r="F34" s="44"/>
      <c r="G34" s="42"/>
      <c r="H34" s="42"/>
      <c r="I34" s="42"/>
      <c r="J34" s="14"/>
      <c r="K34" s="43"/>
    </row>
    <row r="35" ht="39.75" customHeight="1">
      <c r="A35" s="1">
        <v>34.0</v>
      </c>
      <c r="B35" s="2" t="s">
        <v>21</v>
      </c>
      <c r="C35" s="2" t="s">
        <v>44</v>
      </c>
      <c r="D35" s="13"/>
      <c r="E35" s="13"/>
      <c r="F35" s="44"/>
      <c r="G35" s="42"/>
      <c r="H35" s="42"/>
      <c r="I35" s="42"/>
      <c r="J35" s="14" t="s">
        <v>266</v>
      </c>
      <c r="K35" s="43"/>
    </row>
    <row r="36" ht="39.75" customHeight="1">
      <c r="A36" s="1">
        <v>35.0</v>
      </c>
      <c r="B36" s="2" t="s">
        <v>22</v>
      </c>
      <c r="C36" s="2" t="s">
        <v>3560</v>
      </c>
      <c r="D36" s="13"/>
      <c r="E36" s="13"/>
      <c r="F36" s="57" t="s">
        <v>3567</v>
      </c>
      <c r="G36" s="43">
        <v>1.0</v>
      </c>
      <c r="H36" s="42"/>
      <c r="I36" s="43">
        <v>1.0</v>
      </c>
      <c r="J36" s="14"/>
      <c r="K36" s="43"/>
    </row>
    <row r="37" ht="39.75" hidden="1" customHeight="1">
      <c r="A37" s="1">
        <v>36.0</v>
      </c>
      <c r="B37" s="2" t="s">
        <v>261</v>
      </c>
      <c r="C37" s="2" t="s">
        <v>13</v>
      </c>
      <c r="D37" s="13"/>
      <c r="E37" s="13"/>
      <c r="F37" s="45"/>
      <c r="G37" s="42"/>
      <c r="H37" s="42"/>
      <c r="I37" s="42"/>
      <c r="J37" s="14"/>
      <c r="K37" s="43"/>
    </row>
    <row r="38" ht="39.75" hidden="1" customHeight="1">
      <c r="A38" s="1">
        <v>37.0</v>
      </c>
      <c r="B38" s="2" t="s">
        <v>23</v>
      </c>
      <c r="C38" s="2" t="s">
        <v>13</v>
      </c>
      <c r="D38" s="13"/>
      <c r="E38" s="13"/>
      <c r="F38" s="44"/>
      <c r="G38" s="43"/>
      <c r="H38" s="42"/>
      <c r="I38" s="42"/>
      <c r="J38" s="14"/>
      <c r="K38" s="43"/>
    </row>
    <row r="39" ht="39.75" hidden="1" customHeight="1">
      <c r="A39" s="1">
        <v>38.0</v>
      </c>
      <c r="B39" s="2" t="s">
        <v>24</v>
      </c>
      <c r="C39" s="2" t="s">
        <v>13</v>
      </c>
      <c r="D39" s="13"/>
      <c r="E39" s="13"/>
      <c r="F39" s="44"/>
      <c r="G39" s="43"/>
      <c r="H39" s="42"/>
      <c r="I39" s="42"/>
      <c r="J39" s="14"/>
      <c r="K39" s="43"/>
    </row>
    <row r="40" ht="39.75" hidden="1" customHeight="1">
      <c r="A40" s="1">
        <v>39.0</v>
      </c>
      <c r="B40" s="2" t="s">
        <v>25</v>
      </c>
      <c r="C40" s="2" t="s">
        <v>13</v>
      </c>
      <c r="D40" s="13"/>
      <c r="E40" s="13"/>
      <c r="F40" s="44"/>
      <c r="G40" s="43"/>
      <c r="H40" s="42"/>
      <c r="I40" s="42"/>
      <c r="J40" s="14"/>
      <c r="K40" s="43"/>
    </row>
    <row r="41" ht="39.75" customHeight="1">
      <c r="A41" s="1">
        <v>40.0</v>
      </c>
      <c r="B41" s="2" t="s">
        <v>26</v>
      </c>
      <c r="C41" s="2" t="s">
        <v>3560</v>
      </c>
      <c r="D41" s="13"/>
      <c r="E41" s="13"/>
      <c r="F41" s="57" t="s">
        <v>3568</v>
      </c>
      <c r="G41" s="43">
        <v>1.0</v>
      </c>
      <c r="H41" s="42"/>
      <c r="I41" s="43"/>
      <c r="J41" s="14"/>
      <c r="K41" s="43"/>
    </row>
    <row r="42" ht="39.75" customHeight="1">
      <c r="A42" s="1">
        <v>41.0</v>
      </c>
      <c r="B42" s="2" t="s">
        <v>29</v>
      </c>
      <c r="C42" s="2" t="s">
        <v>49</v>
      </c>
      <c r="D42" s="13"/>
      <c r="E42" s="13"/>
      <c r="F42" s="44" t="s">
        <v>3569</v>
      </c>
      <c r="G42" s="43">
        <v>1.0</v>
      </c>
      <c r="H42" s="42"/>
      <c r="I42" s="42"/>
      <c r="J42" s="14"/>
      <c r="K42" s="43"/>
    </row>
    <row r="43" ht="39.75" hidden="1" customHeight="1">
      <c r="A43" s="1">
        <v>42.0</v>
      </c>
      <c r="B43" s="2" t="s">
        <v>32</v>
      </c>
      <c r="C43" s="2" t="s">
        <v>13</v>
      </c>
      <c r="D43" s="13"/>
      <c r="E43" s="13"/>
      <c r="F43" s="44"/>
      <c r="G43" s="43"/>
      <c r="H43" s="42"/>
      <c r="I43" s="43"/>
      <c r="J43" s="14"/>
      <c r="K43" s="43"/>
    </row>
    <row r="44" ht="39.75" customHeight="1">
      <c r="A44" s="1">
        <v>43.0</v>
      </c>
      <c r="B44" s="2" t="s">
        <v>67</v>
      </c>
      <c r="C44" s="2" t="s">
        <v>3560</v>
      </c>
      <c r="D44" s="13"/>
      <c r="E44" s="13"/>
      <c r="F44" s="44"/>
      <c r="G44" s="43"/>
      <c r="H44" s="42"/>
      <c r="I44" s="43"/>
      <c r="J44" s="14"/>
      <c r="K44" s="43"/>
    </row>
    <row r="45" ht="39.75" customHeight="1">
      <c r="A45" s="1">
        <v>44.0</v>
      </c>
      <c r="B45" s="2" t="s">
        <v>35</v>
      </c>
      <c r="C45" s="91" t="s">
        <v>3557</v>
      </c>
      <c r="D45" s="13"/>
      <c r="E45" s="13"/>
      <c r="F45" s="44" t="s">
        <v>3570</v>
      </c>
      <c r="G45" s="42"/>
      <c r="H45" s="42"/>
      <c r="I45" s="42"/>
      <c r="J45" s="14"/>
      <c r="K45" s="43"/>
    </row>
    <row r="46" ht="39.75" customHeight="1">
      <c r="A46" s="1">
        <v>45.0</v>
      </c>
      <c r="B46" s="2" t="s">
        <v>36</v>
      </c>
      <c r="C46" s="2" t="s">
        <v>3571</v>
      </c>
      <c r="D46" s="13"/>
      <c r="E46" s="13"/>
      <c r="F46" s="44"/>
      <c r="G46" s="42"/>
      <c r="H46" s="42"/>
      <c r="I46" s="42"/>
      <c r="J46" s="14"/>
      <c r="K46" s="43"/>
    </row>
    <row r="47" ht="39.75" hidden="1" customHeight="1">
      <c r="A47" s="1">
        <v>46.0</v>
      </c>
      <c r="B47" s="2" t="s">
        <v>38</v>
      </c>
      <c r="C47" s="2" t="s">
        <v>13</v>
      </c>
      <c r="D47" s="13"/>
      <c r="E47" s="13"/>
      <c r="F47" s="52"/>
      <c r="G47" s="42"/>
      <c r="H47" s="42"/>
      <c r="I47" s="42"/>
      <c r="J47" s="14"/>
      <c r="K47" s="43"/>
    </row>
    <row r="48" ht="39.75" customHeight="1">
      <c r="A48" s="1">
        <v>47.0</v>
      </c>
      <c r="B48" s="2" t="s">
        <v>41</v>
      </c>
      <c r="C48" s="2" t="s">
        <v>49</v>
      </c>
      <c r="D48" s="13"/>
      <c r="E48" s="13"/>
      <c r="F48" s="57" t="s">
        <v>3572</v>
      </c>
      <c r="G48" s="43">
        <v>1.0</v>
      </c>
      <c r="H48" s="42"/>
      <c r="I48" s="42"/>
      <c r="J48" s="14"/>
      <c r="K48" s="43"/>
    </row>
    <row r="49" ht="39.75" customHeight="1">
      <c r="A49" s="1">
        <v>48.0</v>
      </c>
      <c r="B49" s="2" t="s">
        <v>42</v>
      </c>
      <c r="C49" s="91" t="s">
        <v>3557</v>
      </c>
      <c r="D49" s="13"/>
      <c r="E49" s="13"/>
      <c r="F49" s="96" t="s">
        <v>3573</v>
      </c>
      <c r="G49" s="43"/>
      <c r="H49" s="42"/>
      <c r="I49" s="42"/>
      <c r="J49" s="14"/>
      <c r="K49" s="43"/>
    </row>
    <row r="50" ht="39.75" customHeight="1">
      <c r="A50" s="1">
        <v>49.0</v>
      </c>
      <c r="B50" s="91" t="s">
        <v>43</v>
      </c>
      <c r="C50" s="91" t="s">
        <v>39</v>
      </c>
      <c r="D50" s="97"/>
      <c r="E50" s="97"/>
      <c r="F50" s="98" t="s">
        <v>579</v>
      </c>
      <c r="G50" s="99">
        <v>1.0</v>
      </c>
      <c r="H50" s="100"/>
      <c r="I50" s="100"/>
      <c r="J50" s="14"/>
      <c r="K50" s="43"/>
    </row>
    <row r="51" ht="39.75" hidden="1" customHeight="1">
      <c r="A51" s="1">
        <v>50.0</v>
      </c>
      <c r="B51" s="2" t="s">
        <v>267</v>
      </c>
      <c r="C51" s="2" t="s">
        <v>13</v>
      </c>
      <c r="D51" s="13"/>
      <c r="E51" s="13"/>
      <c r="F51" s="44"/>
      <c r="G51" s="43"/>
      <c r="H51" s="42"/>
      <c r="I51" s="42"/>
      <c r="J51" s="14"/>
      <c r="K51" s="43"/>
    </row>
    <row r="52" ht="39.75" hidden="1" customHeight="1">
      <c r="A52" s="1">
        <v>51.0</v>
      </c>
      <c r="B52" s="2" t="s">
        <v>46</v>
      </c>
      <c r="C52" s="2" t="s">
        <v>13</v>
      </c>
      <c r="D52" s="13"/>
      <c r="E52" s="13"/>
      <c r="F52" s="44"/>
      <c r="G52" s="43"/>
      <c r="H52" s="42"/>
      <c r="I52" s="42"/>
      <c r="J52" s="14"/>
      <c r="K52" s="43"/>
    </row>
    <row r="53" ht="39.75" customHeight="1">
      <c r="A53" s="1">
        <v>52.0</v>
      </c>
      <c r="B53" s="2" t="s">
        <v>47</v>
      </c>
      <c r="C53" s="91" t="s">
        <v>3557</v>
      </c>
      <c r="D53" s="13"/>
      <c r="E53" s="2"/>
      <c r="F53" s="44" t="s">
        <v>3573</v>
      </c>
      <c r="G53" s="42"/>
      <c r="H53" s="42"/>
      <c r="I53" s="42"/>
      <c r="J53" s="14"/>
      <c r="K53" s="43"/>
    </row>
    <row r="54" ht="39.75" hidden="1" customHeight="1">
      <c r="A54" s="1">
        <v>53.0</v>
      </c>
      <c r="B54" s="2" t="s">
        <v>48</v>
      </c>
      <c r="C54" s="2" t="s">
        <v>13</v>
      </c>
      <c r="D54" s="13"/>
      <c r="E54" s="13"/>
      <c r="F54" s="96"/>
      <c r="G54" s="43"/>
      <c r="H54" s="42"/>
      <c r="I54" s="42"/>
      <c r="J54" s="14"/>
      <c r="K54" s="43"/>
    </row>
    <row r="55" ht="39.75" customHeight="1">
      <c r="A55" s="1">
        <v>54.0</v>
      </c>
      <c r="B55" s="21"/>
      <c r="C55" s="21"/>
      <c r="D55" s="21"/>
      <c r="E55" s="21"/>
      <c r="F55" s="46"/>
      <c r="G55" s="47"/>
      <c r="H55" s="47"/>
      <c r="I55" s="47"/>
      <c r="J55" s="48"/>
      <c r="K55" s="47"/>
      <c r="L55" s="49"/>
      <c r="M55" s="49"/>
      <c r="N55" s="49"/>
    </row>
    <row r="56" ht="39.75" customHeight="1">
      <c r="A56" s="1">
        <v>55.0</v>
      </c>
      <c r="B56" s="2" t="s">
        <v>12</v>
      </c>
      <c r="C56" s="2" t="s">
        <v>62</v>
      </c>
      <c r="D56" s="13"/>
      <c r="E56" s="13"/>
      <c r="F56" s="44" t="s">
        <v>2011</v>
      </c>
      <c r="G56" s="43">
        <v>1.0</v>
      </c>
      <c r="H56" s="42"/>
      <c r="I56" s="42"/>
      <c r="J56" s="14"/>
      <c r="K56" s="43"/>
      <c r="L56" s="15" t="s">
        <v>74</v>
      </c>
    </row>
    <row r="57" ht="39.75" customHeight="1">
      <c r="A57" s="1">
        <v>56.0</v>
      </c>
      <c r="B57" s="2" t="s">
        <v>16</v>
      </c>
      <c r="C57" s="91" t="s">
        <v>3557</v>
      </c>
      <c r="D57" s="13"/>
      <c r="E57" s="13"/>
      <c r="F57" s="44" t="s">
        <v>3574</v>
      </c>
      <c r="G57" s="43">
        <v>1.0</v>
      </c>
      <c r="H57" s="42"/>
      <c r="I57" s="42"/>
      <c r="J57" s="14" t="s">
        <v>74</v>
      </c>
      <c r="K57" s="43"/>
    </row>
    <row r="58" ht="39.75" customHeight="1">
      <c r="A58" s="1">
        <v>57.0</v>
      </c>
      <c r="B58" s="2" t="s">
        <v>116</v>
      </c>
      <c r="C58" s="91" t="s">
        <v>3557</v>
      </c>
      <c r="D58" s="13"/>
      <c r="E58" s="13"/>
      <c r="F58" s="44" t="s">
        <v>3575</v>
      </c>
      <c r="G58" s="43">
        <v>1.0</v>
      </c>
      <c r="H58" s="42"/>
      <c r="I58" s="42"/>
      <c r="J58" s="14" t="s">
        <v>77</v>
      </c>
      <c r="K58" s="43"/>
    </row>
    <row r="59" ht="39.75" customHeight="1">
      <c r="A59" s="1">
        <v>58.0</v>
      </c>
      <c r="B59" s="2" t="s">
        <v>263</v>
      </c>
      <c r="C59" s="2" t="s">
        <v>69</v>
      </c>
      <c r="D59" s="13"/>
      <c r="E59" s="101">
        <v>0.9166666666666666</v>
      </c>
      <c r="F59" s="44" t="s">
        <v>3576</v>
      </c>
      <c r="G59" s="43">
        <v>1.0</v>
      </c>
      <c r="H59" s="42"/>
      <c r="I59" s="42"/>
      <c r="J59" s="14" t="s">
        <v>412</v>
      </c>
      <c r="K59" s="43"/>
    </row>
    <row r="60" ht="39.75" customHeight="1">
      <c r="A60" s="1">
        <v>59.0</v>
      </c>
      <c r="B60" s="2" t="s">
        <v>17</v>
      </c>
      <c r="C60" s="2" t="s">
        <v>66</v>
      </c>
      <c r="D60" s="13"/>
      <c r="E60" s="13"/>
      <c r="F60" s="45"/>
      <c r="G60" s="42"/>
      <c r="H60" s="42"/>
      <c r="I60" s="42"/>
      <c r="J60" s="14"/>
      <c r="K60" s="43"/>
    </row>
    <row r="61" ht="39.75" customHeight="1">
      <c r="A61" s="1">
        <v>60.0</v>
      </c>
      <c r="B61" s="2" t="s">
        <v>331</v>
      </c>
      <c r="C61" s="2"/>
      <c r="D61" s="13"/>
      <c r="E61" s="13"/>
      <c r="F61" s="44" t="s">
        <v>3577</v>
      </c>
      <c r="G61" s="42"/>
      <c r="H61" s="42"/>
      <c r="I61" s="42"/>
      <c r="J61" s="14"/>
      <c r="K61" s="43"/>
    </row>
    <row r="62" ht="39.75" hidden="1" customHeight="1">
      <c r="A62" s="1">
        <v>61.0</v>
      </c>
      <c r="B62" s="2" t="s">
        <v>21</v>
      </c>
      <c r="C62" s="2" t="s">
        <v>13</v>
      </c>
      <c r="D62" s="2"/>
      <c r="E62" s="13"/>
      <c r="F62" s="44"/>
      <c r="G62" s="43"/>
      <c r="H62" s="42"/>
      <c r="I62" s="42"/>
      <c r="J62" s="14"/>
      <c r="K62" s="43"/>
    </row>
    <row r="63" ht="39.75" customHeight="1">
      <c r="A63" s="1">
        <v>62.0</v>
      </c>
      <c r="B63" s="2" t="s">
        <v>22</v>
      </c>
      <c r="C63" s="2" t="s">
        <v>54</v>
      </c>
      <c r="D63" s="2"/>
      <c r="E63" s="13"/>
      <c r="F63" s="44"/>
      <c r="G63" s="43"/>
      <c r="H63" s="42"/>
      <c r="I63" s="42"/>
      <c r="J63" s="14"/>
      <c r="K63" s="43"/>
    </row>
    <row r="64" ht="39.75" hidden="1" customHeight="1">
      <c r="A64" s="1">
        <v>63.0</v>
      </c>
      <c r="B64" s="2" t="s">
        <v>261</v>
      </c>
      <c r="C64" s="2" t="s">
        <v>13</v>
      </c>
      <c r="D64" s="13"/>
      <c r="E64" s="13"/>
      <c r="F64" s="45"/>
      <c r="G64" s="42"/>
      <c r="H64" s="42"/>
      <c r="I64" s="42"/>
      <c r="J64" s="14"/>
      <c r="K64" s="43"/>
    </row>
    <row r="65" ht="39.75" customHeight="1">
      <c r="A65" s="1">
        <v>64.0</v>
      </c>
      <c r="B65" s="2" t="s">
        <v>23</v>
      </c>
      <c r="C65" s="2" t="s">
        <v>69</v>
      </c>
      <c r="D65" s="13"/>
      <c r="E65" s="101">
        <v>0.875</v>
      </c>
      <c r="F65" s="44" t="s">
        <v>3576</v>
      </c>
      <c r="G65" s="43">
        <v>1.0</v>
      </c>
      <c r="H65" s="42"/>
      <c r="I65" s="42"/>
      <c r="J65" s="14"/>
      <c r="K65" s="43"/>
    </row>
    <row r="66" ht="39.75" customHeight="1">
      <c r="A66" s="1">
        <v>65.0</v>
      </c>
      <c r="B66" s="2" t="s">
        <v>24</v>
      </c>
      <c r="C66" s="2" t="s">
        <v>3563</v>
      </c>
      <c r="D66" s="13"/>
      <c r="E66" s="13"/>
      <c r="F66" s="44" t="s">
        <v>3578</v>
      </c>
      <c r="G66" s="43"/>
      <c r="H66" s="42"/>
      <c r="I66" s="43"/>
      <c r="J66" s="14"/>
      <c r="K66" s="43"/>
    </row>
    <row r="67" ht="39.75" customHeight="1">
      <c r="A67" s="1">
        <v>66.0</v>
      </c>
      <c r="B67" s="2" t="s">
        <v>25</v>
      </c>
      <c r="C67" s="2" t="s">
        <v>3560</v>
      </c>
      <c r="D67" s="13"/>
      <c r="E67" s="13"/>
      <c r="F67" s="44" t="s">
        <v>3579</v>
      </c>
      <c r="G67" s="43">
        <v>1.0</v>
      </c>
      <c r="H67" s="42"/>
      <c r="I67" s="42"/>
      <c r="J67" s="14"/>
      <c r="K67" s="43"/>
    </row>
    <row r="68" ht="39.75" customHeight="1">
      <c r="A68" s="1">
        <v>67.0</v>
      </c>
      <c r="B68" s="2" t="s">
        <v>26</v>
      </c>
      <c r="C68" s="2" t="s">
        <v>54</v>
      </c>
      <c r="D68" s="13"/>
      <c r="E68" s="13"/>
      <c r="F68" s="44" t="s">
        <v>3392</v>
      </c>
      <c r="G68" s="43">
        <v>1.0</v>
      </c>
      <c r="H68" s="42"/>
      <c r="I68" s="43"/>
      <c r="J68" s="14"/>
      <c r="K68" s="43"/>
    </row>
    <row r="69" ht="39.75" customHeight="1">
      <c r="A69" s="1">
        <v>68.0</v>
      </c>
      <c r="B69" s="2" t="s">
        <v>29</v>
      </c>
      <c r="C69" s="2" t="s">
        <v>54</v>
      </c>
      <c r="D69" s="13"/>
      <c r="E69" s="13"/>
      <c r="F69" s="45"/>
      <c r="G69" s="42"/>
      <c r="H69" s="42"/>
      <c r="I69" s="42"/>
      <c r="J69" s="14"/>
      <c r="K69" s="43"/>
    </row>
    <row r="70" ht="39.75" customHeight="1">
      <c r="A70" s="1">
        <v>69.0</v>
      </c>
      <c r="B70" s="2" t="s">
        <v>32</v>
      </c>
      <c r="C70" s="2" t="s">
        <v>54</v>
      </c>
      <c r="D70" s="13"/>
      <c r="E70" s="13"/>
      <c r="F70" s="44" t="s">
        <v>3580</v>
      </c>
      <c r="G70" s="43">
        <v>1.0</v>
      </c>
      <c r="H70" s="42"/>
      <c r="I70" s="42"/>
      <c r="J70" s="14"/>
      <c r="K70" s="43"/>
    </row>
    <row r="71" ht="39.75" hidden="1" customHeight="1">
      <c r="A71" s="1">
        <v>70.0</v>
      </c>
      <c r="B71" s="2" t="s">
        <v>67</v>
      </c>
      <c r="C71" s="2" t="s">
        <v>13</v>
      </c>
      <c r="D71" s="13"/>
      <c r="E71" s="13"/>
      <c r="F71" s="44"/>
      <c r="G71" s="42"/>
      <c r="H71" s="42"/>
      <c r="I71" s="42"/>
      <c r="J71" s="14"/>
      <c r="K71" s="43"/>
    </row>
    <row r="72" ht="39.75" customHeight="1">
      <c r="A72" s="1">
        <v>71.0</v>
      </c>
      <c r="B72" s="2" t="s">
        <v>35</v>
      </c>
      <c r="C72" s="91" t="s">
        <v>3557</v>
      </c>
      <c r="D72" s="13"/>
      <c r="E72" s="13"/>
      <c r="F72" s="44" t="s">
        <v>3570</v>
      </c>
      <c r="G72" s="43">
        <v>1.0</v>
      </c>
      <c r="H72" s="42"/>
      <c r="I72" s="42"/>
      <c r="J72" s="14"/>
      <c r="K72" s="43"/>
    </row>
    <row r="73" ht="39.75" customHeight="1">
      <c r="A73" s="1">
        <v>72.0</v>
      </c>
      <c r="B73" s="2" t="s">
        <v>36</v>
      </c>
      <c r="C73" s="2" t="s">
        <v>44</v>
      </c>
      <c r="D73" s="13"/>
      <c r="E73" s="13"/>
      <c r="F73" s="45"/>
      <c r="G73" s="42"/>
      <c r="H73" s="42"/>
      <c r="I73" s="42"/>
      <c r="J73" s="14"/>
      <c r="K73" s="43"/>
    </row>
    <row r="74" ht="39.75" customHeight="1">
      <c r="A74" s="1">
        <v>73.0</v>
      </c>
      <c r="B74" s="2" t="s">
        <v>38</v>
      </c>
      <c r="C74" s="2" t="s">
        <v>66</v>
      </c>
      <c r="D74" s="13"/>
      <c r="E74" s="13"/>
      <c r="F74" s="44"/>
      <c r="G74" s="42"/>
      <c r="H74" s="42"/>
      <c r="I74" s="42"/>
      <c r="J74" s="14"/>
      <c r="K74" s="43"/>
    </row>
    <row r="75" ht="39.75" customHeight="1">
      <c r="A75" s="1">
        <v>74.0</v>
      </c>
      <c r="B75" s="2" t="s">
        <v>41</v>
      </c>
      <c r="C75" s="2" t="s">
        <v>3571</v>
      </c>
      <c r="D75" s="13"/>
      <c r="E75" s="13"/>
      <c r="F75" s="44" t="s">
        <v>3581</v>
      </c>
      <c r="G75" s="43">
        <v>1.0</v>
      </c>
      <c r="H75" s="42"/>
      <c r="I75" s="42"/>
      <c r="J75" s="14"/>
      <c r="K75" s="43"/>
    </row>
    <row r="76" ht="39.75" customHeight="1">
      <c r="A76" s="1">
        <v>75.0</v>
      </c>
      <c r="B76" s="2" t="s">
        <v>42</v>
      </c>
      <c r="C76" s="2" t="s">
        <v>3560</v>
      </c>
      <c r="D76" s="13"/>
      <c r="E76" s="13"/>
      <c r="F76" s="44" t="s">
        <v>3582</v>
      </c>
      <c r="G76" s="43">
        <v>1.0</v>
      </c>
      <c r="H76" s="42"/>
      <c r="I76" s="43">
        <v>1.0</v>
      </c>
      <c r="J76" s="14"/>
      <c r="K76" s="43"/>
    </row>
    <row r="77" ht="39.75" customHeight="1">
      <c r="A77" s="1">
        <v>76.0</v>
      </c>
      <c r="B77" s="2" t="s">
        <v>43</v>
      </c>
      <c r="C77" s="2" t="s">
        <v>39</v>
      </c>
      <c r="D77" s="13"/>
      <c r="E77" s="13"/>
      <c r="F77" s="44" t="s">
        <v>3583</v>
      </c>
      <c r="G77" s="43">
        <v>1.0</v>
      </c>
      <c r="H77" s="42"/>
      <c r="I77" s="43">
        <v>1.0</v>
      </c>
      <c r="J77" s="14"/>
      <c r="K77" s="43"/>
    </row>
    <row r="78" ht="39.75" customHeight="1">
      <c r="A78" s="1">
        <v>77.0</v>
      </c>
      <c r="B78" s="2" t="s">
        <v>267</v>
      </c>
      <c r="C78" s="2" t="s">
        <v>39</v>
      </c>
      <c r="D78" s="13"/>
      <c r="E78" s="13"/>
      <c r="F78" s="44" t="s">
        <v>3584</v>
      </c>
      <c r="G78" s="43">
        <v>1.0</v>
      </c>
      <c r="H78" s="42"/>
      <c r="I78" s="43">
        <v>1.0</v>
      </c>
      <c r="J78" s="14"/>
      <c r="K78" s="43"/>
    </row>
    <row r="79" ht="39.75" customHeight="1">
      <c r="A79" s="1">
        <v>78.0</v>
      </c>
      <c r="B79" s="2" t="s">
        <v>46</v>
      </c>
      <c r="C79" s="2" t="s">
        <v>3560</v>
      </c>
      <c r="D79" s="13"/>
      <c r="E79" s="13"/>
      <c r="F79" s="44" t="s">
        <v>3585</v>
      </c>
      <c r="G79" s="43">
        <v>1.0</v>
      </c>
      <c r="H79" s="42"/>
      <c r="I79" s="43">
        <v>1.0</v>
      </c>
      <c r="J79" s="14"/>
      <c r="K79" s="43"/>
    </row>
    <row r="80" ht="39.75" customHeight="1">
      <c r="A80" s="1">
        <v>79.0</v>
      </c>
      <c r="B80" s="2" t="s">
        <v>47</v>
      </c>
      <c r="C80" s="2" t="s">
        <v>3557</v>
      </c>
      <c r="D80" s="13"/>
      <c r="E80" s="13"/>
      <c r="F80" s="44" t="s">
        <v>3586</v>
      </c>
      <c r="G80" s="43">
        <v>1.0</v>
      </c>
      <c r="H80" s="42"/>
      <c r="I80" s="42"/>
      <c r="J80" s="14"/>
      <c r="K80" s="43"/>
    </row>
    <row r="81" ht="39.75" hidden="1" customHeight="1">
      <c r="A81" s="1">
        <v>80.0</v>
      </c>
      <c r="B81" s="2" t="s">
        <v>48</v>
      </c>
      <c r="C81" s="2" t="s">
        <v>13</v>
      </c>
      <c r="D81" s="13"/>
      <c r="E81" s="13"/>
      <c r="F81" s="45"/>
      <c r="G81" s="42"/>
      <c r="H81" s="42"/>
      <c r="I81" s="42"/>
      <c r="J81" s="14"/>
      <c r="K81" s="43"/>
    </row>
    <row r="82" ht="39.75" customHeight="1">
      <c r="A82" s="1">
        <v>81.0</v>
      </c>
      <c r="B82" s="21"/>
      <c r="C82" s="21"/>
      <c r="D82" s="21"/>
      <c r="E82" s="21"/>
      <c r="F82" s="46"/>
      <c r="G82" s="47"/>
      <c r="H82" s="47"/>
      <c r="I82" s="47"/>
      <c r="J82" s="48"/>
      <c r="K82" s="47"/>
      <c r="L82" s="49"/>
      <c r="M82" s="49"/>
      <c r="N82" s="49"/>
    </row>
    <row r="83" ht="39.75" customHeight="1">
      <c r="A83" s="1">
        <v>82.0</v>
      </c>
      <c r="B83" s="2" t="s">
        <v>12</v>
      </c>
      <c r="C83" s="2" t="s">
        <v>62</v>
      </c>
      <c r="D83" s="13"/>
      <c r="E83" s="13"/>
      <c r="F83" s="44" t="s">
        <v>2011</v>
      </c>
      <c r="G83" s="43">
        <v>1.0</v>
      </c>
      <c r="H83" s="42"/>
      <c r="I83" s="42"/>
      <c r="J83" s="14"/>
      <c r="K83" s="43"/>
      <c r="L83" s="15" t="s">
        <v>94</v>
      </c>
    </row>
    <row r="84" ht="39.75" customHeight="1">
      <c r="A84" s="1">
        <v>83.0</v>
      </c>
      <c r="B84" s="2" t="s">
        <v>16</v>
      </c>
      <c r="C84" s="2" t="s">
        <v>3557</v>
      </c>
      <c r="D84" s="13"/>
      <c r="E84" s="13"/>
      <c r="F84" s="44" t="s">
        <v>3574</v>
      </c>
      <c r="G84" s="43"/>
      <c r="H84" s="43"/>
      <c r="I84" s="43"/>
      <c r="J84" s="14" t="s">
        <v>94</v>
      </c>
      <c r="K84" s="43"/>
    </row>
    <row r="85" ht="39.75" customHeight="1">
      <c r="A85" s="1">
        <v>84.0</v>
      </c>
      <c r="B85" s="2" t="s">
        <v>116</v>
      </c>
      <c r="C85" s="2" t="s">
        <v>3557</v>
      </c>
      <c r="D85" s="13"/>
      <c r="E85" s="13"/>
      <c r="F85" s="44" t="s">
        <v>3575</v>
      </c>
      <c r="G85" s="43"/>
      <c r="H85" s="42"/>
      <c r="I85" s="42"/>
      <c r="J85" s="14" t="s">
        <v>95</v>
      </c>
      <c r="K85" s="43"/>
    </row>
    <row r="86" ht="39.75" customHeight="1">
      <c r="A86" s="1">
        <v>85.0</v>
      </c>
      <c r="B86" s="2" t="s">
        <v>263</v>
      </c>
      <c r="C86" s="2"/>
      <c r="D86" s="13"/>
      <c r="E86" s="13"/>
      <c r="F86" s="44" t="s">
        <v>3587</v>
      </c>
      <c r="G86" s="43">
        <v>2.0</v>
      </c>
      <c r="H86" s="42"/>
      <c r="I86" s="43">
        <v>1.0</v>
      </c>
      <c r="J86" s="14" t="s">
        <v>3588</v>
      </c>
      <c r="K86" s="43"/>
    </row>
    <row r="87" ht="39.75" hidden="1" customHeight="1">
      <c r="A87" s="1">
        <v>86.0</v>
      </c>
      <c r="B87" s="2" t="s">
        <v>17</v>
      </c>
      <c r="C87" s="2" t="s">
        <v>13</v>
      </c>
      <c r="D87" s="13"/>
      <c r="E87" s="13"/>
      <c r="F87" s="45"/>
      <c r="G87" s="42"/>
      <c r="H87" s="42"/>
      <c r="I87" s="42"/>
      <c r="J87" s="14"/>
      <c r="K87" s="43"/>
    </row>
    <row r="88" ht="39.75" customHeight="1">
      <c r="A88" s="1">
        <v>87.0</v>
      </c>
      <c r="B88" s="2" t="s">
        <v>331</v>
      </c>
      <c r="C88" s="2" t="s">
        <v>542</v>
      </c>
      <c r="D88" s="13"/>
      <c r="E88" s="13"/>
      <c r="F88" s="44" t="s">
        <v>3589</v>
      </c>
      <c r="G88" s="42"/>
      <c r="H88" s="42"/>
      <c r="I88" s="42"/>
      <c r="J88" s="14"/>
      <c r="K88" s="43"/>
    </row>
    <row r="89" ht="39.75" customHeight="1">
      <c r="A89" s="1">
        <v>88.0</v>
      </c>
      <c r="B89" s="2" t="s">
        <v>21</v>
      </c>
      <c r="C89" s="2" t="s">
        <v>39</v>
      </c>
      <c r="D89" s="13"/>
      <c r="E89" s="13"/>
      <c r="F89" s="44" t="s">
        <v>3590</v>
      </c>
      <c r="G89" s="43">
        <v>1.0</v>
      </c>
      <c r="H89" s="42"/>
      <c r="I89" s="42"/>
      <c r="J89" s="14"/>
      <c r="K89" s="43"/>
    </row>
    <row r="90" ht="39.75" customHeight="1">
      <c r="A90" s="1">
        <v>89.0</v>
      </c>
      <c r="B90" s="2" t="s">
        <v>22</v>
      </c>
      <c r="C90" s="2" t="s">
        <v>54</v>
      </c>
      <c r="D90" s="13"/>
      <c r="E90" s="13"/>
      <c r="F90" s="44" t="s">
        <v>3591</v>
      </c>
      <c r="G90" s="43">
        <v>2.0</v>
      </c>
      <c r="H90" s="42"/>
      <c r="I90" s="43">
        <v>2.0</v>
      </c>
      <c r="J90" s="14"/>
      <c r="K90" s="43"/>
    </row>
    <row r="91" ht="39.75" hidden="1" customHeight="1">
      <c r="A91" s="1">
        <v>90.0</v>
      </c>
      <c r="B91" s="2" t="s">
        <v>261</v>
      </c>
      <c r="C91" s="2" t="s">
        <v>13</v>
      </c>
      <c r="D91" s="13"/>
      <c r="E91" s="13"/>
      <c r="F91" s="45"/>
      <c r="G91" s="42"/>
      <c r="H91" s="42"/>
      <c r="I91" s="42"/>
      <c r="J91" s="14"/>
      <c r="K91" s="43"/>
    </row>
    <row r="92" ht="39.75" customHeight="1">
      <c r="A92" s="1">
        <v>91.0</v>
      </c>
      <c r="B92" s="2" t="s">
        <v>23</v>
      </c>
      <c r="C92" s="2" t="s">
        <v>69</v>
      </c>
      <c r="D92" s="13"/>
      <c r="E92" s="13"/>
      <c r="F92" s="44" t="s">
        <v>3592</v>
      </c>
      <c r="G92" s="43">
        <v>1.0</v>
      </c>
      <c r="H92" s="42"/>
      <c r="I92" s="42"/>
      <c r="J92" s="14"/>
      <c r="K92" s="43"/>
    </row>
    <row r="93" ht="39.75" customHeight="1">
      <c r="A93" s="1">
        <v>92.0</v>
      </c>
      <c r="B93" s="2" t="s">
        <v>24</v>
      </c>
      <c r="C93" s="2" t="s">
        <v>3563</v>
      </c>
      <c r="D93" s="13"/>
      <c r="E93" s="13"/>
      <c r="F93" s="96"/>
      <c r="G93" s="43"/>
      <c r="H93" s="42"/>
      <c r="I93" s="42"/>
      <c r="J93" s="14"/>
      <c r="K93" s="43"/>
    </row>
    <row r="94" ht="39.75" hidden="1" customHeight="1">
      <c r="A94" s="1">
        <v>93.0</v>
      </c>
      <c r="B94" s="2" t="s">
        <v>25</v>
      </c>
      <c r="C94" s="2" t="s">
        <v>13</v>
      </c>
      <c r="D94" s="13"/>
      <c r="E94" s="13"/>
      <c r="F94" s="96"/>
      <c r="G94" s="43"/>
      <c r="H94" s="42"/>
      <c r="I94" s="43"/>
      <c r="J94" s="14"/>
      <c r="K94" s="43"/>
    </row>
    <row r="95" ht="39.75" customHeight="1">
      <c r="A95" s="1">
        <v>94.0</v>
      </c>
      <c r="B95" s="2" t="s">
        <v>26</v>
      </c>
      <c r="C95" s="2" t="s">
        <v>54</v>
      </c>
      <c r="D95" s="13"/>
      <c r="E95" s="13"/>
      <c r="F95" s="61" t="s">
        <v>385</v>
      </c>
      <c r="G95" s="43">
        <v>1.0</v>
      </c>
      <c r="H95" s="42"/>
      <c r="I95" s="43">
        <v>1.0</v>
      </c>
      <c r="J95" s="14"/>
      <c r="K95" s="43"/>
    </row>
    <row r="96" ht="39.75" customHeight="1">
      <c r="A96" s="1">
        <v>95.0</v>
      </c>
      <c r="B96" s="2" t="s">
        <v>29</v>
      </c>
      <c r="C96" s="2"/>
      <c r="D96" s="13"/>
      <c r="E96" s="13"/>
      <c r="F96" s="44" t="s">
        <v>3593</v>
      </c>
      <c r="G96" s="43">
        <v>1.0</v>
      </c>
      <c r="H96" s="42"/>
      <c r="I96" s="42"/>
      <c r="J96" s="14"/>
      <c r="K96" s="43"/>
    </row>
    <row r="97" ht="39.75" customHeight="1">
      <c r="A97" s="1">
        <v>96.0</v>
      </c>
      <c r="B97" s="2" t="s">
        <v>32</v>
      </c>
      <c r="C97" s="2" t="s">
        <v>54</v>
      </c>
      <c r="D97" s="13"/>
      <c r="E97" s="13"/>
      <c r="F97" s="44" t="s">
        <v>3594</v>
      </c>
      <c r="G97" s="43">
        <v>2.0</v>
      </c>
      <c r="H97" s="42"/>
      <c r="I97" s="42"/>
      <c r="J97" s="14"/>
      <c r="K97" s="43"/>
    </row>
    <row r="98" ht="39.75" customHeight="1">
      <c r="A98" s="1">
        <v>97.0</v>
      </c>
      <c r="B98" s="2" t="s">
        <v>67</v>
      </c>
      <c r="C98" s="2" t="s">
        <v>54</v>
      </c>
      <c r="D98" s="13"/>
      <c r="E98" s="13"/>
      <c r="F98" s="44" t="s">
        <v>3595</v>
      </c>
      <c r="G98" s="43"/>
      <c r="H98" s="42"/>
      <c r="I98" s="43"/>
      <c r="J98" s="14"/>
      <c r="K98" s="43"/>
    </row>
    <row r="99" ht="39.75" customHeight="1">
      <c r="A99" s="1">
        <v>98.0</v>
      </c>
      <c r="B99" s="2" t="s">
        <v>35</v>
      </c>
      <c r="C99" s="2" t="s">
        <v>3557</v>
      </c>
      <c r="D99" s="13"/>
      <c r="E99" s="13"/>
      <c r="F99" s="45"/>
      <c r="G99" s="42"/>
      <c r="H99" s="42"/>
      <c r="I99" s="42"/>
      <c r="J99" s="14"/>
      <c r="K99" s="43"/>
    </row>
    <row r="100" ht="39.75" customHeight="1">
      <c r="A100" s="1">
        <v>99.0</v>
      </c>
      <c r="B100" s="2" t="s">
        <v>36</v>
      </c>
      <c r="C100" s="2" t="s">
        <v>69</v>
      </c>
      <c r="D100" s="13"/>
      <c r="E100" s="13"/>
      <c r="F100" s="44" t="s">
        <v>3596</v>
      </c>
      <c r="G100" s="43">
        <v>1.0</v>
      </c>
      <c r="H100" s="42"/>
      <c r="I100" s="42"/>
      <c r="J100" s="14"/>
      <c r="K100" s="43"/>
    </row>
    <row r="101" ht="39.75" customHeight="1">
      <c r="A101" s="1">
        <v>100.0</v>
      </c>
      <c r="B101" s="2" t="s">
        <v>38</v>
      </c>
      <c r="C101" s="2" t="s">
        <v>3571</v>
      </c>
      <c r="D101" s="13"/>
      <c r="E101" s="13"/>
      <c r="F101" s="44" t="s">
        <v>3597</v>
      </c>
      <c r="G101" s="43">
        <v>1.0</v>
      </c>
      <c r="H101" s="42"/>
      <c r="I101" s="43"/>
      <c r="J101" s="14"/>
      <c r="K101" s="43"/>
    </row>
    <row r="102" ht="39.75" customHeight="1">
      <c r="A102" s="1">
        <v>101.0</v>
      </c>
      <c r="B102" s="2" t="s">
        <v>41</v>
      </c>
      <c r="C102" s="2" t="s">
        <v>44</v>
      </c>
      <c r="D102" s="13"/>
      <c r="E102" s="13"/>
      <c r="F102" s="45"/>
      <c r="G102" s="42"/>
      <c r="H102" s="42"/>
      <c r="I102" s="42"/>
      <c r="J102" s="14"/>
      <c r="K102" s="43"/>
    </row>
    <row r="103" ht="39.75" customHeight="1">
      <c r="A103" s="1">
        <v>102.0</v>
      </c>
      <c r="B103" s="2" t="s">
        <v>42</v>
      </c>
      <c r="C103" s="2" t="s">
        <v>66</v>
      </c>
      <c r="D103" s="13"/>
      <c r="E103" s="13"/>
      <c r="F103" s="44"/>
      <c r="G103" s="42"/>
      <c r="H103" s="42"/>
      <c r="I103" s="42"/>
      <c r="J103" s="14"/>
      <c r="K103" s="43"/>
    </row>
    <row r="104" ht="39.75" customHeight="1">
      <c r="A104" s="1">
        <v>103.0</v>
      </c>
      <c r="B104" s="2" t="s">
        <v>43</v>
      </c>
      <c r="C104" s="2" t="s">
        <v>39</v>
      </c>
      <c r="D104" s="13"/>
      <c r="E104" s="13"/>
      <c r="F104" s="44" t="s">
        <v>3598</v>
      </c>
      <c r="G104" s="43">
        <v>2.0</v>
      </c>
      <c r="H104" s="42"/>
      <c r="I104" s="43">
        <v>2.0</v>
      </c>
      <c r="J104" s="14"/>
      <c r="K104" s="43"/>
    </row>
    <row r="105" ht="39.75" customHeight="1">
      <c r="A105" s="1">
        <v>104.0</v>
      </c>
      <c r="B105" s="2" t="s">
        <v>267</v>
      </c>
      <c r="C105" s="91" t="s">
        <v>69</v>
      </c>
      <c r="D105" s="40"/>
      <c r="E105" s="13"/>
      <c r="F105" s="44" t="s">
        <v>3599</v>
      </c>
      <c r="G105" s="43">
        <v>1.0</v>
      </c>
      <c r="H105" s="42"/>
      <c r="I105" s="42"/>
      <c r="J105" s="14"/>
      <c r="K105" s="43"/>
    </row>
    <row r="106" ht="39.75" customHeight="1">
      <c r="A106" s="1">
        <v>105.0</v>
      </c>
      <c r="B106" s="2" t="s">
        <v>46</v>
      </c>
      <c r="C106" s="2" t="s">
        <v>3600</v>
      </c>
      <c r="D106" s="13"/>
      <c r="E106" s="13"/>
      <c r="F106" s="61" t="s">
        <v>3601</v>
      </c>
      <c r="G106" s="42"/>
      <c r="H106" s="42"/>
      <c r="I106" s="42"/>
      <c r="J106" s="14"/>
      <c r="K106" s="43"/>
    </row>
    <row r="107" ht="39.75" customHeight="1">
      <c r="A107" s="1">
        <v>106.0</v>
      </c>
      <c r="B107" s="2" t="s">
        <v>47</v>
      </c>
      <c r="C107" s="2" t="s">
        <v>3557</v>
      </c>
      <c r="D107" s="13"/>
      <c r="E107" s="13"/>
      <c r="F107" s="44" t="s">
        <v>3602</v>
      </c>
      <c r="G107" s="42"/>
      <c r="H107" s="42"/>
      <c r="I107" s="42"/>
      <c r="J107" s="14"/>
      <c r="K107" s="43"/>
    </row>
    <row r="108" ht="39.75" hidden="1" customHeight="1">
      <c r="A108" s="1">
        <v>107.0</v>
      </c>
      <c r="B108" s="2" t="s">
        <v>48</v>
      </c>
      <c r="C108" s="2" t="s">
        <v>13</v>
      </c>
      <c r="D108" s="13"/>
      <c r="E108" s="13"/>
      <c r="F108" s="44"/>
      <c r="G108" s="43"/>
      <c r="H108" s="42"/>
      <c r="I108" s="42"/>
      <c r="J108" s="14"/>
      <c r="K108" s="43"/>
    </row>
    <row r="109" ht="39.75" customHeight="1">
      <c r="A109" s="1">
        <v>108.0</v>
      </c>
      <c r="B109" s="21"/>
      <c r="C109" s="21"/>
      <c r="D109" s="21"/>
      <c r="E109" s="21"/>
      <c r="F109" s="46"/>
      <c r="G109" s="47"/>
      <c r="H109" s="47"/>
      <c r="I109" s="47"/>
      <c r="J109" s="54"/>
      <c r="K109" s="72"/>
      <c r="L109" s="49"/>
      <c r="M109" s="49"/>
      <c r="N109" s="49"/>
    </row>
    <row r="110" ht="39.75" customHeight="1">
      <c r="A110" s="1">
        <v>109.0</v>
      </c>
      <c r="B110" s="2" t="s">
        <v>12</v>
      </c>
      <c r="C110" s="2" t="s">
        <v>62</v>
      </c>
      <c r="D110" s="13"/>
      <c r="E110" s="13"/>
      <c r="F110" s="44" t="s">
        <v>1543</v>
      </c>
      <c r="G110" s="43"/>
      <c r="H110" s="42"/>
      <c r="I110" s="42"/>
      <c r="J110" s="27"/>
      <c r="K110" s="43"/>
      <c r="L110" s="15" t="s">
        <v>109</v>
      </c>
    </row>
    <row r="111" ht="39.75" customHeight="1">
      <c r="A111" s="1">
        <v>110.0</v>
      </c>
      <c r="B111" s="2" t="s">
        <v>16</v>
      </c>
      <c r="C111" s="2" t="s">
        <v>3557</v>
      </c>
      <c r="D111" s="13"/>
      <c r="E111" s="13"/>
      <c r="F111" s="44" t="s">
        <v>3574</v>
      </c>
      <c r="G111" s="43"/>
      <c r="H111" s="42"/>
      <c r="I111" s="42"/>
      <c r="J111" s="27" t="s">
        <v>109</v>
      </c>
      <c r="K111" s="43"/>
    </row>
    <row r="112" ht="39.75" customHeight="1">
      <c r="A112" s="1">
        <v>111.0</v>
      </c>
      <c r="B112" s="2" t="s">
        <v>116</v>
      </c>
      <c r="C112" s="2" t="s">
        <v>3557</v>
      </c>
      <c r="D112" s="13"/>
      <c r="E112" s="13"/>
      <c r="F112" s="44" t="s">
        <v>3575</v>
      </c>
      <c r="G112" s="42"/>
      <c r="H112" s="42"/>
      <c r="I112" s="42"/>
      <c r="J112" s="27" t="s">
        <v>111</v>
      </c>
      <c r="K112" s="43"/>
    </row>
    <row r="113" ht="39.75" hidden="1" customHeight="1">
      <c r="A113" s="1">
        <v>112.0</v>
      </c>
      <c r="B113" s="2" t="s">
        <v>263</v>
      </c>
      <c r="C113" s="2" t="s">
        <v>13</v>
      </c>
      <c r="D113" s="13"/>
      <c r="E113" s="13"/>
      <c r="F113" s="44"/>
      <c r="G113" s="43"/>
      <c r="H113" s="42"/>
      <c r="I113" s="43"/>
      <c r="J113" s="27" t="s">
        <v>412</v>
      </c>
      <c r="K113" s="42"/>
    </row>
    <row r="114" ht="39.75" customHeight="1">
      <c r="A114" s="1">
        <v>113.0</v>
      </c>
      <c r="B114" s="2" t="s">
        <v>17</v>
      </c>
      <c r="C114" s="2" t="s">
        <v>3603</v>
      </c>
      <c r="D114" s="13"/>
      <c r="E114" s="13"/>
      <c r="F114" s="44" t="s">
        <v>3604</v>
      </c>
      <c r="G114" s="42"/>
      <c r="H114" s="42"/>
      <c r="I114" s="42"/>
      <c r="J114" s="27"/>
      <c r="K114" s="42"/>
    </row>
    <row r="115" ht="39.75" customHeight="1">
      <c r="A115" s="1">
        <v>114.0</v>
      </c>
      <c r="B115" s="2" t="s">
        <v>331</v>
      </c>
      <c r="C115" s="2" t="s">
        <v>542</v>
      </c>
      <c r="D115" s="13"/>
      <c r="E115" s="13"/>
      <c r="F115" s="44" t="s">
        <v>3589</v>
      </c>
      <c r="G115" s="42"/>
      <c r="H115" s="42"/>
      <c r="I115" s="42"/>
      <c r="J115" s="27"/>
      <c r="K115" s="42"/>
    </row>
    <row r="116" ht="39.75" customHeight="1">
      <c r="A116" s="1">
        <v>115.0</v>
      </c>
      <c r="B116" s="2" t="s">
        <v>21</v>
      </c>
      <c r="C116" s="2" t="s">
        <v>3571</v>
      </c>
      <c r="D116" s="40"/>
      <c r="E116" s="40"/>
      <c r="F116" s="96" t="s">
        <v>3605</v>
      </c>
      <c r="G116" s="43">
        <v>1.0</v>
      </c>
      <c r="H116" s="42"/>
      <c r="I116" s="42"/>
      <c r="J116" s="22"/>
      <c r="K116" s="42"/>
    </row>
    <row r="117" ht="39.75" customHeight="1">
      <c r="A117" s="1">
        <v>116.0</v>
      </c>
      <c r="B117" s="2" t="s">
        <v>22</v>
      </c>
      <c r="C117" s="2" t="s">
        <v>54</v>
      </c>
      <c r="D117" s="13"/>
      <c r="E117" s="13"/>
      <c r="F117" s="44" t="s">
        <v>3606</v>
      </c>
      <c r="G117" s="43">
        <v>1.0</v>
      </c>
      <c r="H117" s="42"/>
      <c r="I117" s="42"/>
      <c r="J117" s="22"/>
      <c r="K117" s="42"/>
    </row>
    <row r="118" ht="39.75" hidden="1" customHeight="1">
      <c r="A118" s="1">
        <v>117.0</v>
      </c>
      <c r="B118" s="2" t="s">
        <v>261</v>
      </c>
      <c r="C118" s="2" t="s">
        <v>13</v>
      </c>
      <c r="D118" s="13"/>
      <c r="E118" s="13"/>
      <c r="F118" s="45"/>
      <c r="G118" s="42"/>
      <c r="H118" s="42"/>
      <c r="I118" s="42"/>
      <c r="J118" s="22"/>
      <c r="K118" s="42"/>
    </row>
    <row r="119" ht="39.75" customHeight="1">
      <c r="A119" s="1">
        <v>118.0</v>
      </c>
      <c r="B119" s="2" t="s">
        <v>23</v>
      </c>
      <c r="C119" s="2" t="s">
        <v>54</v>
      </c>
      <c r="D119" s="13"/>
      <c r="E119" s="13"/>
      <c r="F119" s="44" t="s">
        <v>3607</v>
      </c>
      <c r="G119" s="43">
        <v>2.0</v>
      </c>
      <c r="H119" s="42"/>
      <c r="I119" s="42"/>
      <c r="J119" s="22"/>
      <c r="K119" s="42"/>
    </row>
    <row r="120" ht="39.75" customHeight="1">
      <c r="A120" s="1">
        <v>119.0</v>
      </c>
      <c r="B120" s="2" t="s">
        <v>24</v>
      </c>
      <c r="C120" s="2"/>
      <c r="D120" s="13"/>
      <c r="E120" s="13"/>
      <c r="F120" s="44" t="s">
        <v>3608</v>
      </c>
      <c r="G120" s="43">
        <v>1.0</v>
      </c>
      <c r="H120" s="42"/>
      <c r="I120" s="42"/>
      <c r="J120" s="22"/>
      <c r="K120" s="42"/>
    </row>
    <row r="121" ht="39.75" customHeight="1">
      <c r="A121" s="1">
        <v>120.0</v>
      </c>
      <c r="B121" s="2" t="s">
        <v>25</v>
      </c>
      <c r="C121" s="2"/>
      <c r="D121" s="13"/>
      <c r="E121" s="13"/>
      <c r="F121" s="44" t="s">
        <v>3609</v>
      </c>
      <c r="G121" s="43">
        <v>1.0</v>
      </c>
      <c r="H121" s="42"/>
      <c r="I121" s="42"/>
      <c r="J121" s="22"/>
      <c r="K121" s="42"/>
    </row>
    <row r="122" ht="39.75" customHeight="1">
      <c r="A122" s="1">
        <v>121.0</v>
      </c>
      <c r="B122" s="2" t="s">
        <v>26</v>
      </c>
      <c r="C122" s="2" t="s">
        <v>54</v>
      </c>
      <c r="D122" s="13"/>
      <c r="E122" s="13"/>
      <c r="F122" s="44" t="s">
        <v>3610</v>
      </c>
      <c r="G122" s="43">
        <v>1.0</v>
      </c>
      <c r="H122" s="42"/>
      <c r="I122" s="43"/>
      <c r="J122" s="22"/>
      <c r="K122" s="42"/>
    </row>
    <row r="123" ht="39.75" customHeight="1">
      <c r="A123" s="1">
        <v>122.0</v>
      </c>
      <c r="B123" s="2" t="s">
        <v>29</v>
      </c>
      <c r="C123" s="2" t="s">
        <v>69</v>
      </c>
      <c r="D123" s="13"/>
      <c r="E123" s="13"/>
      <c r="F123" s="44" t="s">
        <v>3611</v>
      </c>
      <c r="G123" s="43">
        <v>1.0</v>
      </c>
      <c r="H123" s="42"/>
      <c r="I123" s="43">
        <v>1.0</v>
      </c>
      <c r="J123" s="22"/>
      <c r="K123" s="42"/>
    </row>
    <row r="124" ht="39.75" customHeight="1">
      <c r="A124" s="1">
        <v>123.0</v>
      </c>
      <c r="B124" s="2" t="s">
        <v>32</v>
      </c>
      <c r="C124" s="2"/>
      <c r="D124" s="13"/>
      <c r="E124" s="13"/>
      <c r="F124" s="61" t="s">
        <v>3612</v>
      </c>
      <c r="G124" s="43">
        <v>2.0</v>
      </c>
      <c r="H124" s="42"/>
      <c r="I124" s="43">
        <v>1.0</v>
      </c>
      <c r="J124" s="22"/>
      <c r="K124" s="42"/>
    </row>
    <row r="125" ht="39.75" customHeight="1">
      <c r="A125" s="1">
        <v>124.0</v>
      </c>
      <c r="B125" s="2" t="s">
        <v>67</v>
      </c>
      <c r="C125" s="2" t="s">
        <v>54</v>
      </c>
      <c r="D125" s="13"/>
      <c r="E125" s="13"/>
      <c r="F125" s="44" t="s">
        <v>3595</v>
      </c>
      <c r="G125" s="43"/>
      <c r="H125" s="42"/>
      <c r="I125" s="43"/>
      <c r="J125" s="22"/>
      <c r="K125" s="42"/>
    </row>
    <row r="126" ht="39.75" customHeight="1">
      <c r="A126" s="1">
        <v>125.0</v>
      </c>
      <c r="B126" s="2" t="s">
        <v>35</v>
      </c>
      <c r="C126" s="2" t="s">
        <v>3563</v>
      </c>
      <c r="D126" s="13"/>
      <c r="E126" s="13"/>
      <c r="F126" s="44" t="s">
        <v>3563</v>
      </c>
      <c r="G126" s="42"/>
      <c r="H126" s="42"/>
      <c r="I126" s="42"/>
      <c r="J126" s="22"/>
      <c r="K126" s="42"/>
    </row>
    <row r="127" ht="39.75" hidden="1" customHeight="1">
      <c r="A127" s="1">
        <v>126.0</v>
      </c>
      <c r="B127" s="2" t="s">
        <v>36</v>
      </c>
      <c r="C127" s="2" t="s">
        <v>13</v>
      </c>
      <c r="D127" s="13"/>
      <c r="E127" s="13"/>
      <c r="F127" s="45"/>
      <c r="G127" s="42"/>
      <c r="H127" s="42"/>
      <c r="I127" s="42"/>
      <c r="J127" s="22"/>
      <c r="K127" s="42"/>
    </row>
    <row r="128" ht="39.75" customHeight="1">
      <c r="A128" s="1">
        <v>127.0</v>
      </c>
      <c r="B128" s="2" t="s">
        <v>38</v>
      </c>
      <c r="C128" s="2" t="s">
        <v>44</v>
      </c>
      <c r="D128" s="13"/>
      <c r="E128" s="13"/>
      <c r="F128" s="96"/>
      <c r="G128" s="43"/>
      <c r="H128" s="42"/>
      <c r="I128" s="43"/>
      <c r="J128" s="22"/>
      <c r="K128" s="42"/>
    </row>
    <row r="129" ht="39.75" customHeight="1">
      <c r="A129" s="1">
        <v>128.0</v>
      </c>
      <c r="B129" s="2" t="s">
        <v>41</v>
      </c>
      <c r="C129" s="2" t="s">
        <v>69</v>
      </c>
      <c r="D129" s="13"/>
      <c r="E129" s="13"/>
      <c r="F129" s="44" t="s">
        <v>3613</v>
      </c>
      <c r="G129" s="43">
        <v>2.0</v>
      </c>
      <c r="H129" s="42"/>
      <c r="I129" s="43">
        <v>1.0</v>
      </c>
      <c r="J129" s="22"/>
      <c r="K129" s="42"/>
    </row>
    <row r="130" ht="39.75" hidden="1" customHeight="1">
      <c r="A130" s="1">
        <v>129.0</v>
      </c>
      <c r="B130" s="2" t="s">
        <v>42</v>
      </c>
      <c r="C130" s="2" t="s">
        <v>13</v>
      </c>
      <c r="D130" s="13"/>
      <c r="E130" s="13"/>
      <c r="F130" s="45"/>
      <c r="G130" s="42"/>
      <c r="H130" s="42"/>
      <c r="I130" s="42"/>
      <c r="J130" s="22"/>
      <c r="K130" s="42"/>
    </row>
    <row r="131" ht="39.75" customHeight="1">
      <c r="A131" s="1">
        <v>130.0</v>
      </c>
      <c r="B131" s="2" t="s">
        <v>43</v>
      </c>
      <c r="C131" s="2" t="s">
        <v>39</v>
      </c>
      <c r="D131" s="13"/>
      <c r="E131" s="13"/>
      <c r="F131" s="44" t="s">
        <v>3614</v>
      </c>
      <c r="G131" s="43">
        <v>1.0</v>
      </c>
      <c r="H131" s="42"/>
      <c r="I131" s="42"/>
      <c r="J131" s="22"/>
      <c r="K131" s="42"/>
    </row>
    <row r="132" ht="39.75" customHeight="1">
      <c r="A132" s="1">
        <v>131.0</v>
      </c>
      <c r="B132" s="2" t="s">
        <v>267</v>
      </c>
      <c r="C132" s="2" t="s">
        <v>39</v>
      </c>
      <c r="D132" s="13"/>
      <c r="E132" s="13"/>
      <c r="F132" s="44" t="s">
        <v>3615</v>
      </c>
      <c r="G132" s="43">
        <v>1.0</v>
      </c>
      <c r="H132" s="42"/>
      <c r="I132" s="43">
        <v>1.0</v>
      </c>
      <c r="J132" s="22"/>
      <c r="K132" s="42"/>
    </row>
    <row r="133" ht="39.75" customHeight="1">
      <c r="A133" s="1">
        <v>132.0</v>
      </c>
      <c r="B133" s="2" t="s">
        <v>46</v>
      </c>
      <c r="C133" s="2" t="s">
        <v>3600</v>
      </c>
      <c r="D133" s="13"/>
      <c r="E133" s="13"/>
      <c r="F133" s="44" t="s">
        <v>3601</v>
      </c>
      <c r="G133" s="43">
        <v>1.0</v>
      </c>
      <c r="H133" s="42"/>
      <c r="I133" s="42"/>
      <c r="J133" s="22"/>
      <c r="K133" s="42"/>
    </row>
    <row r="134" ht="39.75" hidden="1" customHeight="1">
      <c r="A134" s="1">
        <v>133.0</v>
      </c>
      <c r="B134" s="2" t="s">
        <v>47</v>
      </c>
      <c r="C134" s="2" t="s">
        <v>13</v>
      </c>
      <c r="D134" s="13"/>
      <c r="E134" s="13"/>
      <c r="F134" s="45"/>
      <c r="G134" s="42"/>
      <c r="H134" s="42"/>
      <c r="I134" s="42"/>
      <c r="J134" s="22"/>
      <c r="K134" s="42"/>
    </row>
    <row r="135" ht="39.75" customHeight="1">
      <c r="A135" s="1">
        <v>134.0</v>
      </c>
      <c r="B135" s="2" t="s">
        <v>48</v>
      </c>
      <c r="C135" s="2" t="s">
        <v>69</v>
      </c>
      <c r="D135" s="13"/>
      <c r="E135" s="13"/>
      <c r="F135" s="44" t="s">
        <v>3616</v>
      </c>
      <c r="G135" s="43">
        <v>1.0</v>
      </c>
      <c r="H135" s="42"/>
      <c r="I135" s="42"/>
      <c r="J135" s="22"/>
      <c r="K135" s="42"/>
    </row>
    <row r="136" ht="39.75" customHeight="1">
      <c r="A136" s="1">
        <v>135.0</v>
      </c>
      <c r="B136" s="21"/>
      <c r="C136" s="21"/>
      <c r="D136" s="21"/>
      <c r="E136" s="21"/>
      <c r="F136" s="46"/>
      <c r="G136" s="47"/>
      <c r="H136" s="47"/>
      <c r="I136" s="47"/>
      <c r="J136" s="48"/>
      <c r="K136" s="47"/>
      <c r="L136" s="49"/>
      <c r="M136" s="49"/>
      <c r="N136" s="49"/>
    </row>
    <row r="137" ht="39.75" customHeight="1">
      <c r="A137" s="1">
        <v>136.0</v>
      </c>
      <c r="B137" s="2" t="s">
        <v>12</v>
      </c>
      <c r="C137" s="2" t="s">
        <v>62</v>
      </c>
      <c r="D137" s="13"/>
      <c r="E137" s="13"/>
      <c r="F137" s="44" t="s">
        <v>3617</v>
      </c>
      <c r="G137" s="43">
        <v>1.0</v>
      </c>
      <c r="H137" s="42"/>
      <c r="I137" s="43"/>
      <c r="J137" s="27"/>
      <c r="K137" s="43"/>
      <c r="L137" s="15" t="s">
        <v>128</v>
      </c>
    </row>
    <row r="138" ht="39.75" customHeight="1">
      <c r="A138" s="1">
        <v>137.0</v>
      </c>
      <c r="B138" s="2" t="s">
        <v>16</v>
      </c>
      <c r="C138" s="2" t="s">
        <v>3557</v>
      </c>
      <c r="D138" s="13"/>
      <c r="E138" s="13"/>
      <c r="F138" s="44" t="s">
        <v>3574</v>
      </c>
      <c r="G138" s="43">
        <v>1.0</v>
      </c>
      <c r="H138" s="42"/>
      <c r="I138" s="42"/>
      <c r="J138" s="27" t="s">
        <v>128</v>
      </c>
      <c r="K138" s="43"/>
    </row>
    <row r="139" ht="39.75" customHeight="1">
      <c r="A139" s="1">
        <v>138.0</v>
      </c>
      <c r="B139" s="2" t="s">
        <v>116</v>
      </c>
      <c r="C139" s="2" t="s">
        <v>3557</v>
      </c>
      <c r="D139" s="13"/>
      <c r="E139" s="13"/>
      <c r="F139" s="44" t="s">
        <v>3618</v>
      </c>
      <c r="G139" s="43">
        <v>1.0</v>
      </c>
      <c r="H139" s="42"/>
      <c r="I139" s="42"/>
      <c r="J139" s="27" t="s">
        <v>131</v>
      </c>
      <c r="K139" s="43"/>
    </row>
    <row r="140" ht="39.75" customHeight="1">
      <c r="A140" s="1">
        <v>139.0</v>
      </c>
      <c r="B140" s="2" t="s">
        <v>263</v>
      </c>
      <c r="C140" s="2"/>
      <c r="D140" s="13"/>
      <c r="E140" s="13"/>
      <c r="F140" s="44" t="s">
        <v>3619</v>
      </c>
      <c r="G140" s="43">
        <v>1.0</v>
      </c>
      <c r="H140" s="42"/>
      <c r="I140" s="42"/>
      <c r="J140" s="27" t="s">
        <v>30</v>
      </c>
      <c r="K140" s="43"/>
    </row>
    <row r="141" ht="39.75" customHeight="1">
      <c r="A141" s="1">
        <v>140.0</v>
      </c>
      <c r="B141" s="2" t="s">
        <v>17</v>
      </c>
      <c r="C141" s="2" t="s">
        <v>3603</v>
      </c>
      <c r="D141" s="13"/>
      <c r="E141" s="13"/>
      <c r="F141" s="44" t="s">
        <v>3392</v>
      </c>
      <c r="G141" s="43">
        <v>1.0</v>
      </c>
      <c r="H141" s="42"/>
      <c r="I141" s="42"/>
      <c r="J141" s="27"/>
      <c r="K141" s="43"/>
    </row>
    <row r="142" ht="39.75" customHeight="1">
      <c r="A142" s="1">
        <v>141.0</v>
      </c>
      <c r="B142" s="2" t="s">
        <v>331</v>
      </c>
      <c r="C142" s="2" t="s">
        <v>542</v>
      </c>
      <c r="D142" s="13"/>
      <c r="E142" s="13"/>
      <c r="F142" s="44"/>
      <c r="G142" s="42"/>
      <c r="H142" s="42"/>
      <c r="I142" s="42"/>
      <c r="J142" s="27"/>
      <c r="K142" s="43"/>
    </row>
    <row r="143" ht="39.75" customHeight="1">
      <c r="A143" s="1">
        <v>142.0</v>
      </c>
      <c r="B143" s="2" t="s">
        <v>21</v>
      </c>
      <c r="C143" s="2" t="s">
        <v>44</v>
      </c>
      <c r="D143" s="13"/>
      <c r="E143" s="13"/>
      <c r="F143" s="44"/>
      <c r="G143" s="43"/>
      <c r="H143" s="42"/>
      <c r="I143" s="42"/>
      <c r="J143" s="22"/>
      <c r="K143" s="42"/>
    </row>
    <row r="144" ht="39.75" customHeight="1">
      <c r="A144" s="1">
        <v>143.0</v>
      </c>
      <c r="B144" s="2" t="s">
        <v>22</v>
      </c>
      <c r="C144" s="2" t="s">
        <v>54</v>
      </c>
      <c r="D144" s="13"/>
      <c r="E144" s="13"/>
      <c r="F144" s="44" t="s">
        <v>3620</v>
      </c>
      <c r="G144" s="43">
        <v>1.0</v>
      </c>
      <c r="H144" s="42"/>
      <c r="I144" s="42"/>
      <c r="J144" s="22"/>
      <c r="K144" s="42"/>
    </row>
    <row r="145" ht="39.75" hidden="1" customHeight="1">
      <c r="A145" s="1">
        <v>144.0</v>
      </c>
      <c r="B145" s="2" t="s">
        <v>261</v>
      </c>
      <c r="C145" s="2" t="s">
        <v>13</v>
      </c>
      <c r="D145" s="13"/>
      <c r="E145" s="13"/>
      <c r="F145" s="45"/>
      <c r="G145" s="42"/>
      <c r="H145" s="42"/>
      <c r="I145" s="42"/>
      <c r="J145" s="22"/>
      <c r="K145" s="42"/>
    </row>
    <row r="146" ht="39.75" customHeight="1">
      <c r="A146" s="1">
        <v>145.0</v>
      </c>
      <c r="B146" s="2" t="s">
        <v>23</v>
      </c>
      <c r="C146" s="2"/>
      <c r="D146" s="13"/>
      <c r="E146" s="13"/>
      <c r="F146" s="44" t="s">
        <v>3621</v>
      </c>
      <c r="G146" s="43">
        <v>1.0</v>
      </c>
      <c r="H146" s="42"/>
      <c r="I146" s="42"/>
      <c r="J146" s="22"/>
      <c r="K146" s="42"/>
    </row>
    <row r="147" ht="39.75" customHeight="1">
      <c r="A147" s="1">
        <v>146.0</v>
      </c>
      <c r="B147" s="2" t="s">
        <v>24</v>
      </c>
      <c r="C147" s="2"/>
      <c r="D147" s="13"/>
      <c r="E147" s="13"/>
      <c r="F147" s="44" t="s">
        <v>3595</v>
      </c>
      <c r="G147" s="43">
        <v>1.0</v>
      </c>
      <c r="H147" s="42"/>
      <c r="I147" s="43"/>
      <c r="J147" s="22"/>
      <c r="K147" s="42"/>
    </row>
    <row r="148" ht="39.75" customHeight="1">
      <c r="A148" s="1">
        <v>147.0</v>
      </c>
      <c r="B148" s="2" t="s">
        <v>25</v>
      </c>
      <c r="C148" s="2"/>
      <c r="D148" s="13"/>
      <c r="E148" s="13"/>
      <c r="F148" s="44" t="s">
        <v>3622</v>
      </c>
      <c r="G148" s="43">
        <v>1.0</v>
      </c>
      <c r="H148" s="42"/>
      <c r="I148" s="42"/>
      <c r="J148" s="22"/>
      <c r="K148" s="42"/>
    </row>
    <row r="149" ht="39.75" customHeight="1">
      <c r="A149" s="1">
        <v>148.0</v>
      </c>
      <c r="B149" s="2" t="s">
        <v>26</v>
      </c>
      <c r="C149" s="2" t="s">
        <v>54</v>
      </c>
      <c r="D149" s="13"/>
      <c r="E149" s="13"/>
      <c r="F149" s="44" t="s">
        <v>3623</v>
      </c>
      <c r="G149" s="43">
        <v>1.0</v>
      </c>
      <c r="H149" s="42"/>
      <c r="I149" s="43"/>
      <c r="J149" s="22"/>
      <c r="K149" s="42"/>
    </row>
    <row r="150" ht="39.75" hidden="1" customHeight="1">
      <c r="A150" s="1">
        <v>149.0</v>
      </c>
      <c r="B150" s="2" t="s">
        <v>29</v>
      </c>
      <c r="C150" s="2" t="s">
        <v>13</v>
      </c>
      <c r="D150" s="13"/>
      <c r="E150" s="13"/>
      <c r="F150" s="45"/>
      <c r="G150" s="42"/>
      <c r="H150" s="42"/>
      <c r="I150" s="42"/>
      <c r="J150" s="22"/>
      <c r="K150" s="42"/>
    </row>
    <row r="151" ht="39.75" hidden="1" customHeight="1">
      <c r="A151" s="1">
        <v>150.0</v>
      </c>
      <c r="B151" s="2" t="s">
        <v>32</v>
      </c>
      <c r="C151" s="2" t="s">
        <v>13</v>
      </c>
      <c r="D151" s="13"/>
      <c r="E151" s="13"/>
      <c r="F151" s="45"/>
      <c r="G151" s="42"/>
      <c r="H151" s="42"/>
      <c r="I151" s="42"/>
      <c r="J151" s="22"/>
      <c r="K151" s="42"/>
    </row>
    <row r="152" ht="39.75" customHeight="1">
      <c r="A152" s="1">
        <v>151.0</v>
      </c>
      <c r="B152" s="2" t="s">
        <v>67</v>
      </c>
      <c r="C152" s="2" t="s">
        <v>69</v>
      </c>
      <c r="D152" s="13"/>
      <c r="E152" s="13"/>
      <c r="F152" s="44" t="s">
        <v>3624</v>
      </c>
      <c r="G152" s="43">
        <v>2.0</v>
      </c>
      <c r="H152" s="42"/>
      <c r="I152" s="43">
        <v>2.0</v>
      </c>
      <c r="J152" s="22"/>
      <c r="K152" s="42"/>
    </row>
    <row r="153" ht="39.75" customHeight="1">
      <c r="A153" s="1">
        <v>152.0</v>
      </c>
      <c r="B153" s="2" t="s">
        <v>35</v>
      </c>
      <c r="C153" s="2" t="s">
        <v>3563</v>
      </c>
      <c r="D153" s="13"/>
      <c r="E153" s="13"/>
      <c r="F153" s="45"/>
      <c r="G153" s="42"/>
      <c r="H153" s="42"/>
      <c r="I153" s="42"/>
      <c r="J153" s="22"/>
      <c r="K153" s="42"/>
    </row>
    <row r="154" ht="39.75" customHeight="1">
      <c r="A154" s="1">
        <v>153.0</v>
      </c>
      <c r="B154" s="2" t="s">
        <v>36</v>
      </c>
      <c r="C154" s="2" t="s">
        <v>27</v>
      </c>
      <c r="D154" s="13"/>
      <c r="E154" s="13"/>
      <c r="F154" s="44" t="s">
        <v>3625</v>
      </c>
      <c r="G154" s="43">
        <v>1.0</v>
      </c>
      <c r="H154" s="42"/>
      <c r="I154" s="42"/>
      <c r="J154" s="22"/>
      <c r="K154" s="42"/>
    </row>
    <row r="155" ht="39.75" customHeight="1">
      <c r="A155" s="1">
        <v>154.0</v>
      </c>
      <c r="B155" s="2" t="s">
        <v>38</v>
      </c>
      <c r="C155" s="2" t="s">
        <v>69</v>
      </c>
      <c r="D155" s="13"/>
      <c r="E155" s="13"/>
      <c r="F155" s="61" t="s">
        <v>3626</v>
      </c>
      <c r="G155" s="43">
        <v>1.0</v>
      </c>
      <c r="H155" s="42"/>
      <c r="I155" s="42"/>
      <c r="J155" s="22"/>
      <c r="K155" s="42"/>
    </row>
    <row r="156" ht="39.75" customHeight="1">
      <c r="A156" s="1">
        <v>155.0</v>
      </c>
      <c r="B156" s="2" t="s">
        <v>41</v>
      </c>
      <c r="C156" s="2" t="s">
        <v>54</v>
      </c>
      <c r="D156" s="13"/>
      <c r="E156" s="13"/>
      <c r="F156" s="44" t="s">
        <v>3627</v>
      </c>
      <c r="G156" s="43">
        <v>2.0</v>
      </c>
      <c r="H156" s="42"/>
      <c r="I156" s="43">
        <v>1.0</v>
      </c>
      <c r="J156" s="22"/>
      <c r="K156" s="42"/>
    </row>
    <row r="157" ht="39.75" hidden="1" customHeight="1">
      <c r="A157" s="1">
        <v>156.0</v>
      </c>
      <c r="B157" s="2" t="s">
        <v>42</v>
      </c>
      <c r="C157" s="2" t="s">
        <v>13</v>
      </c>
      <c r="D157" s="13"/>
      <c r="E157" s="13"/>
      <c r="F157" s="45"/>
      <c r="G157" s="42"/>
      <c r="H157" s="42"/>
      <c r="I157" s="42"/>
      <c r="J157" s="22"/>
      <c r="K157" s="42"/>
    </row>
    <row r="158" ht="39.75" customHeight="1">
      <c r="A158" s="1">
        <v>157.0</v>
      </c>
      <c r="B158" s="2" t="s">
        <v>43</v>
      </c>
      <c r="C158" s="2" t="s">
        <v>39</v>
      </c>
      <c r="D158" s="13"/>
      <c r="E158" s="13"/>
      <c r="F158" s="44" t="s">
        <v>3628</v>
      </c>
      <c r="G158" s="43">
        <v>1.0</v>
      </c>
      <c r="H158" s="42"/>
      <c r="I158" s="42"/>
      <c r="J158" s="22"/>
      <c r="K158" s="42"/>
    </row>
    <row r="159" ht="39.75" customHeight="1">
      <c r="A159" s="1">
        <v>158.0</v>
      </c>
      <c r="B159" s="2" t="s">
        <v>267</v>
      </c>
      <c r="C159" s="2" t="s">
        <v>39</v>
      </c>
      <c r="D159" s="13"/>
      <c r="E159" s="13"/>
      <c r="F159" s="44" t="s">
        <v>3629</v>
      </c>
      <c r="G159" s="43">
        <v>1.0</v>
      </c>
      <c r="H159" s="42"/>
      <c r="I159" s="43"/>
      <c r="J159" s="22"/>
      <c r="K159" s="42"/>
    </row>
    <row r="160" ht="39.75" customHeight="1">
      <c r="A160" s="1">
        <v>159.0</v>
      </c>
      <c r="B160" s="2" t="s">
        <v>46</v>
      </c>
      <c r="C160" s="2" t="s">
        <v>3600</v>
      </c>
      <c r="D160" s="13"/>
      <c r="E160" s="13"/>
      <c r="F160" s="44" t="s">
        <v>3630</v>
      </c>
      <c r="G160" s="43">
        <v>1.0</v>
      </c>
      <c r="H160" s="42"/>
      <c r="I160" s="42"/>
      <c r="J160" s="22"/>
      <c r="K160" s="42"/>
    </row>
    <row r="161" ht="39.75" customHeight="1">
      <c r="A161" s="1">
        <v>160.0</v>
      </c>
      <c r="B161" s="2" t="s">
        <v>47</v>
      </c>
      <c r="C161" s="2" t="s">
        <v>66</v>
      </c>
      <c r="D161" s="13"/>
      <c r="E161" s="13"/>
      <c r="F161" s="45"/>
      <c r="G161" s="42"/>
      <c r="H161" s="42"/>
      <c r="I161" s="42"/>
      <c r="J161" s="22"/>
      <c r="K161" s="42"/>
    </row>
    <row r="162" ht="39.75" customHeight="1">
      <c r="A162" s="1">
        <v>161.0</v>
      </c>
      <c r="B162" s="2" t="s">
        <v>48</v>
      </c>
      <c r="C162" s="2" t="s">
        <v>54</v>
      </c>
      <c r="D162" s="13"/>
      <c r="E162" s="13"/>
      <c r="F162" s="44" t="s">
        <v>3631</v>
      </c>
      <c r="G162" s="43">
        <v>1.0</v>
      </c>
      <c r="H162" s="42"/>
      <c r="I162" s="42"/>
      <c r="J162" s="22"/>
      <c r="K162" s="42"/>
    </row>
    <row r="163" ht="39.75" customHeight="1">
      <c r="A163" s="1">
        <v>162.0</v>
      </c>
      <c r="B163" s="21"/>
      <c r="C163" s="21"/>
      <c r="D163" s="21"/>
      <c r="E163" s="21"/>
      <c r="F163" s="46"/>
      <c r="G163" s="47"/>
      <c r="H163" s="47"/>
      <c r="I163" s="47"/>
      <c r="J163" s="48"/>
      <c r="K163" s="47"/>
      <c r="L163" s="49"/>
      <c r="M163" s="49"/>
      <c r="N163" s="49"/>
    </row>
    <row r="164" ht="39.75" customHeight="1">
      <c r="A164" s="1">
        <v>163.0</v>
      </c>
      <c r="B164" s="91" t="s">
        <v>12</v>
      </c>
      <c r="C164" s="91" t="s">
        <v>3571</v>
      </c>
      <c r="D164" s="97"/>
      <c r="E164" s="97"/>
      <c r="F164" s="98" t="s">
        <v>3632</v>
      </c>
      <c r="G164" s="100"/>
      <c r="H164" s="100"/>
      <c r="I164" s="100"/>
      <c r="J164" s="27"/>
      <c r="K164" s="43"/>
      <c r="L164" s="15" t="s">
        <v>147</v>
      </c>
    </row>
    <row r="165" ht="39.75" customHeight="1">
      <c r="A165" s="1">
        <v>164.0</v>
      </c>
      <c r="B165" s="91" t="s">
        <v>16</v>
      </c>
      <c r="C165" s="91" t="s">
        <v>3557</v>
      </c>
      <c r="D165" s="97"/>
      <c r="E165" s="97"/>
      <c r="F165" s="98" t="s">
        <v>3574</v>
      </c>
      <c r="G165" s="100"/>
      <c r="H165" s="100"/>
      <c r="I165" s="100"/>
      <c r="J165" s="27" t="s">
        <v>147</v>
      </c>
      <c r="K165" s="43"/>
    </row>
    <row r="166" ht="39.75" hidden="1" customHeight="1">
      <c r="A166" s="1">
        <v>165.0</v>
      </c>
      <c r="B166" s="91" t="s">
        <v>116</v>
      </c>
      <c r="C166" s="91" t="s">
        <v>13</v>
      </c>
      <c r="D166" s="97"/>
      <c r="E166" s="97"/>
      <c r="F166" s="102"/>
      <c r="G166" s="100"/>
      <c r="H166" s="100"/>
      <c r="I166" s="100"/>
      <c r="J166" s="27" t="s">
        <v>149</v>
      </c>
      <c r="K166" s="43"/>
    </row>
    <row r="167" ht="39.75" hidden="1" customHeight="1">
      <c r="A167" s="1">
        <v>166.0</v>
      </c>
      <c r="B167" s="91" t="s">
        <v>263</v>
      </c>
      <c r="C167" s="91" t="s">
        <v>13</v>
      </c>
      <c r="D167" s="97"/>
      <c r="E167" s="97"/>
      <c r="F167" s="98"/>
      <c r="G167" s="100"/>
      <c r="H167" s="100"/>
      <c r="I167" s="100"/>
      <c r="J167" s="27" t="s">
        <v>3633</v>
      </c>
      <c r="K167" s="43"/>
    </row>
    <row r="168" ht="39.75" hidden="1" customHeight="1">
      <c r="A168" s="1">
        <v>167.0</v>
      </c>
      <c r="B168" s="91" t="s">
        <v>17</v>
      </c>
      <c r="C168" s="91" t="s">
        <v>13</v>
      </c>
      <c r="D168" s="97"/>
      <c r="E168" s="97"/>
      <c r="F168" s="102"/>
      <c r="G168" s="100"/>
      <c r="H168" s="100"/>
      <c r="I168" s="100"/>
      <c r="J168" s="27"/>
      <c r="K168" s="43"/>
    </row>
    <row r="169" ht="39.75" hidden="1" customHeight="1">
      <c r="A169" s="1">
        <v>168.0</v>
      </c>
      <c r="B169" s="91" t="s">
        <v>331</v>
      </c>
      <c r="C169" s="91" t="s">
        <v>13</v>
      </c>
      <c r="D169" s="97"/>
      <c r="E169" s="97"/>
      <c r="F169" s="102"/>
      <c r="G169" s="100"/>
      <c r="H169" s="100"/>
      <c r="I169" s="100"/>
      <c r="J169" s="27"/>
      <c r="K169" s="43"/>
    </row>
    <row r="170" ht="39.75" hidden="1" customHeight="1">
      <c r="A170" s="1">
        <v>169.0</v>
      </c>
      <c r="B170" s="91" t="s">
        <v>21</v>
      </c>
      <c r="C170" s="91" t="s">
        <v>13</v>
      </c>
      <c r="D170" s="97"/>
      <c r="E170" s="97"/>
      <c r="F170" s="102"/>
      <c r="G170" s="100"/>
      <c r="H170" s="100"/>
      <c r="I170" s="100"/>
      <c r="J170" s="22"/>
      <c r="K170" s="42"/>
    </row>
    <row r="171" ht="39.75" hidden="1" customHeight="1">
      <c r="A171" s="1">
        <v>170.0</v>
      </c>
      <c r="B171" s="91" t="s">
        <v>22</v>
      </c>
      <c r="C171" s="91" t="s">
        <v>13</v>
      </c>
      <c r="D171" s="97"/>
      <c r="E171" s="97"/>
      <c r="F171" s="102"/>
      <c r="G171" s="100"/>
      <c r="H171" s="100"/>
      <c r="I171" s="100"/>
      <c r="J171" s="22"/>
      <c r="K171" s="42"/>
    </row>
    <row r="172" ht="39.75" hidden="1" customHeight="1">
      <c r="A172" s="1">
        <v>171.0</v>
      </c>
      <c r="B172" s="91" t="s">
        <v>261</v>
      </c>
      <c r="C172" s="91" t="s">
        <v>13</v>
      </c>
      <c r="D172" s="97"/>
      <c r="E172" s="97"/>
      <c r="F172" s="102"/>
      <c r="G172" s="100"/>
      <c r="H172" s="100"/>
      <c r="I172" s="100"/>
      <c r="J172" s="22"/>
      <c r="K172" s="42"/>
    </row>
    <row r="173" ht="39.75" customHeight="1">
      <c r="A173" s="1">
        <v>172.0</v>
      </c>
      <c r="B173" s="91" t="s">
        <v>23</v>
      </c>
      <c r="C173" s="91" t="s">
        <v>3560</v>
      </c>
      <c r="D173" s="97"/>
      <c r="E173" s="97"/>
      <c r="F173" s="98" t="s">
        <v>3634</v>
      </c>
      <c r="G173" s="99">
        <v>1.0</v>
      </c>
      <c r="H173" s="100"/>
      <c r="I173" s="100"/>
      <c r="J173" s="22"/>
      <c r="K173" s="42"/>
    </row>
    <row r="174" ht="39.75" hidden="1" customHeight="1">
      <c r="A174" s="1">
        <v>173.0</v>
      </c>
      <c r="B174" s="91" t="s">
        <v>24</v>
      </c>
      <c r="C174" s="91" t="s">
        <v>13</v>
      </c>
      <c r="D174" s="97"/>
      <c r="E174" s="97"/>
      <c r="F174" s="102"/>
      <c r="G174" s="100"/>
      <c r="H174" s="100"/>
      <c r="I174" s="100"/>
      <c r="J174" s="22"/>
      <c r="K174" s="42"/>
    </row>
    <row r="175" ht="39.75" hidden="1" customHeight="1">
      <c r="A175" s="1">
        <v>174.0</v>
      </c>
      <c r="B175" s="91" t="s">
        <v>25</v>
      </c>
      <c r="C175" s="91" t="s">
        <v>13</v>
      </c>
      <c r="D175" s="97"/>
      <c r="E175" s="97"/>
      <c r="F175" s="98"/>
      <c r="G175" s="99"/>
      <c r="H175" s="100"/>
      <c r="I175" s="99"/>
      <c r="J175" s="22"/>
      <c r="K175" s="42"/>
    </row>
    <row r="176" ht="39.75" hidden="1" customHeight="1">
      <c r="A176" s="1">
        <v>175.0</v>
      </c>
      <c r="B176" s="91" t="s">
        <v>26</v>
      </c>
      <c r="C176" s="91" t="s">
        <v>13</v>
      </c>
      <c r="D176" s="97"/>
      <c r="E176" s="97"/>
      <c r="F176" s="102"/>
      <c r="G176" s="100"/>
      <c r="H176" s="100"/>
      <c r="I176" s="100"/>
      <c r="J176" s="22"/>
      <c r="K176" s="42"/>
    </row>
    <row r="177" ht="39.75" hidden="1" customHeight="1">
      <c r="A177" s="1">
        <v>176.0</v>
      </c>
      <c r="B177" s="91" t="s">
        <v>29</v>
      </c>
      <c r="C177" s="91" t="s">
        <v>13</v>
      </c>
      <c r="D177" s="97"/>
      <c r="E177" s="97"/>
      <c r="F177" s="102"/>
      <c r="G177" s="100"/>
      <c r="H177" s="100"/>
      <c r="I177" s="100"/>
      <c r="J177" s="22"/>
      <c r="K177" s="42"/>
    </row>
    <row r="178" ht="39.75" hidden="1" customHeight="1">
      <c r="A178" s="1">
        <v>177.0</v>
      </c>
      <c r="B178" s="91" t="s">
        <v>32</v>
      </c>
      <c r="C178" s="91" t="s">
        <v>13</v>
      </c>
      <c r="D178" s="97"/>
      <c r="E178" s="97"/>
      <c r="F178" s="102"/>
      <c r="G178" s="100"/>
      <c r="H178" s="100"/>
      <c r="I178" s="100"/>
      <c r="J178" s="22"/>
      <c r="K178" s="42"/>
    </row>
    <row r="179" ht="39.75" hidden="1" customHeight="1">
      <c r="A179" s="1">
        <v>178.0</v>
      </c>
      <c r="B179" s="91" t="s">
        <v>67</v>
      </c>
      <c r="C179" s="91" t="s">
        <v>13</v>
      </c>
      <c r="D179" s="97"/>
      <c r="E179" s="97"/>
      <c r="F179" s="98"/>
      <c r="G179" s="99"/>
      <c r="H179" s="100"/>
      <c r="I179" s="99"/>
      <c r="J179" s="22"/>
      <c r="K179" s="42"/>
    </row>
    <row r="180" ht="39.75" hidden="1" customHeight="1">
      <c r="A180" s="1">
        <v>179.0</v>
      </c>
      <c r="B180" s="91" t="s">
        <v>35</v>
      </c>
      <c r="C180" s="91" t="s">
        <v>13</v>
      </c>
      <c r="D180" s="97"/>
      <c r="E180" s="97"/>
      <c r="F180" s="102"/>
      <c r="G180" s="100"/>
      <c r="H180" s="100"/>
      <c r="I180" s="100"/>
      <c r="J180" s="22"/>
      <c r="K180" s="42"/>
    </row>
    <row r="181" ht="39.75" customHeight="1">
      <c r="A181" s="1">
        <v>180.0</v>
      </c>
      <c r="B181" s="91" t="s">
        <v>36</v>
      </c>
      <c r="C181" s="91" t="s">
        <v>44</v>
      </c>
      <c r="D181" s="97"/>
      <c r="E181" s="97"/>
      <c r="F181" s="102"/>
      <c r="G181" s="100"/>
      <c r="H181" s="100"/>
      <c r="I181" s="100"/>
      <c r="J181" s="22"/>
      <c r="K181" s="42"/>
    </row>
    <row r="182" ht="39.75" customHeight="1">
      <c r="A182" s="1">
        <v>181.0</v>
      </c>
      <c r="B182" s="2" t="s">
        <v>38</v>
      </c>
      <c r="C182" s="2" t="s">
        <v>49</v>
      </c>
      <c r="D182" s="13"/>
      <c r="E182" s="13"/>
      <c r="F182" s="44"/>
      <c r="G182" s="43"/>
      <c r="H182" s="42"/>
      <c r="I182" s="42"/>
      <c r="J182" s="22"/>
      <c r="K182" s="42"/>
    </row>
    <row r="183" ht="39.75" hidden="1" customHeight="1">
      <c r="A183" s="1">
        <v>182.0</v>
      </c>
      <c r="B183" s="2" t="s">
        <v>41</v>
      </c>
      <c r="C183" s="2" t="s">
        <v>13</v>
      </c>
      <c r="D183" s="13"/>
      <c r="E183" s="13"/>
      <c r="F183" s="45"/>
      <c r="G183" s="42"/>
      <c r="H183" s="42"/>
      <c r="I183" s="42"/>
      <c r="J183" s="22"/>
      <c r="K183" s="42"/>
    </row>
    <row r="184" ht="39.75" hidden="1" customHeight="1">
      <c r="A184" s="1">
        <v>183.0</v>
      </c>
      <c r="B184" s="2" t="s">
        <v>42</v>
      </c>
      <c r="C184" s="2" t="s">
        <v>13</v>
      </c>
      <c r="D184" s="13"/>
      <c r="E184" s="13"/>
      <c r="F184" s="45"/>
      <c r="G184" s="42"/>
      <c r="H184" s="42"/>
      <c r="I184" s="42"/>
      <c r="J184" s="22"/>
      <c r="K184" s="42"/>
    </row>
    <row r="185" ht="39.75" hidden="1" customHeight="1">
      <c r="A185" s="1">
        <v>184.0</v>
      </c>
      <c r="B185" s="91" t="s">
        <v>43</v>
      </c>
      <c r="C185" s="91" t="s">
        <v>13</v>
      </c>
      <c r="D185" s="97"/>
      <c r="E185" s="97"/>
      <c r="F185" s="102"/>
      <c r="G185" s="100"/>
      <c r="H185" s="100"/>
      <c r="I185" s="100"/>
      <c r="J185" s="22"/>
      <c r="K185" s="42"/>
    </row>
    <row r="186" ht="39.75" customHeight="1">
      <c r="A186" s="1">
        <v>185.0</v>
      </c>
      <c r="B186" s="91" t="s">
        <v>267</v>
      </c>
      <c r="C186" s="91" t="s">
        <v>3560</v>
      </c>
      <c r="D186" s="97"/>
      <c r="E186" s="97"/>
      <c r="F186" s="98" t="s">
        <v>3635</v>
      </c>
      <c r="G186" s="99">
        <v>1.0</v>
      </c>
      <c r="H186" s="99">
        <v>1.0</v>
      </c>
      <c r="I186" s="100"/>
      <c r="J186" s="22"/>
      <c r="K186" s="42"/>
    </row>
    <row r="187" ht="39.75" customHeight="1">
      <c r="A187" s="1">
        <v>186.0</v>
      </c>
      <c r="B187" s="91" t="s">
        <v>46</v>
      </c>
      <c r="C187" s="91" t="s">
        <v>3600</v>
      </c>
      <c r="D187" s="97"/>
      <c r="E187" s="97"/>
      <c r="F187" s="98" t="s">
        <v>3630</v>
      </c>
      <c r="G187" s="100"/>
      <c r="H187" s="100"/>
      <c r="I187" s="100"/>
      <c r="J187" s="22"/>
      <c r="K187" s="42"/>
    </row>
    <row r="188" ht="39.75" hidden="1" customHeight="1">
      <c r="A188" s="1">
        <v>187.0</v>
      </c>
      <c r="B188" s="91" t="s">
        <v>47</v>
      </c>
      <c r="C188" s="91" t="s">
        <v>13</v>
      </c>
      <c r="D188" s="97"/>
      <c r="E188" s="97"/>
      <c r="F188" s="102"/>
      <c r="G188" s="100"/>
      <c r="H188" s="100"/>
      <c r="I188" s="100"/>
      <c r="J188" s="22"/>
      <c r="K188" s="42"/>
    </row>
    <row r="189" ht="39.75" hidden="1" customHeight="1">
      <c r="A189" s="1">
        <v>188.0</v>
      </c>
      <c r="B189" s="103" t="s">
        <v>48</v>
      </c>
      <c r="C189" s="103" t="s">
        <v>13</v>
      </c>
      <c r="D189" s="104"/>
      <c r="E189" s="104"/>
      <c r="F189" s="105"/>
      <c r="G189" s="106"/>
      <c r="H189" s="106"/>
      <c r="I189" s="106"/>
      <c r="J189" s="22"/>
      <c r="K189" s="42"/>
    </row>
    <row r="190" ht="39.75" customHeight="1">
      <c r="A190" s="1">
        <v>189.0</v>
      </c>
      <c r="B190" s="21"/>
      <c r="C190" s="21"/>
      <c r="D190" s="21"/>
      <c r="E190" s="21"/>
      <c r="F190" s="46"/>
      <c r="G190" s="47"/>
      <c r="H190" s="47"/>
      <c r="I190" s="47"/>
      <c r="J190" s="48"/>
      <c r="K190" s="47"/>
      <c r="L190" s="49"/>
      <c r="M190" s="49"/>
      <c r="N190" s="49"/>
    </row>
    <row r="191" ht="39.75" customHeight="1">
      <c r="A191" s="1">
        <v>190.0</v>
      </c>
      <c r="B191" s="2" t="s">
        <v>12</v>
      </c>
      <c r="C191" s="107" t="s">
        <v>3636</v>
      </c>
      <c r="D191" s="13"/>
      <c r="E191" s="108">
        <v>0.3958333333333333</v>
      </c>
      <c r="F191" s="45"/>
      <c r="G191" s="42"/>
      <c r="H191" s="42"/>
      <c r="I191" s="42"/>
      <c r="J191" s="22"/>
      <c r="K191" s="42"/>
      <c r="L191" s="15" t="s">
        <v>163</v>
      </c>
    </row>
    <row r="192" ht="39.75" customHeight="1">
      <c r="A192" s="1">
        <v>191.0</v>
      </c>
      <c r="B192" s="2" t="s">
        <v>16</v>
      </c>
      <c r="C192" s="2" t="s">
        <v>3557</v>
      </c>
      <c r="D192" s="13"/>
      <c r="E192" s="13"/>
      <c r="F192" s="45"/>
      <c r="G192" s="42"/>
      <c r="H192" s="42"/>
      <c r="I192" s="42"/>
      <c r="J192" s="27" t="s">
        <v>163</v>
      </c>
      <c r="K192" s="43"/>
    </row>
    <row r="193" ht="39.75" hidden="1" customHeight="1">
      <c r="A193" s="1">
        <v>192.0</v>
      </c>
      <c r="B193" s="2" t="s">
        <v>116</v>
      </c>
      <c r="C193" s="2" t="s">
        <v>13</v>
      </c>
      <c r="D193" s="13"/>
      <c r="E193" s="13"/>
      <c r="F193" s="44"/>
      <c r="G193" s="42"/>
      <c r="H193" s="42"/>
      <c r="I193" s="42"/>
      <c r="J193" s="27" t="s">
        <v>19</v>
      </c>
      <c r="K193" s="42"/>
    </row>
    <row r="194" ht="39.75" hidden="1" customHeight="1">
      <c r="A194" s="1">
        <v>193.0</v>
      </c>
      <c r="B194" s="2" t="s">
        <v>263</v>
      </c>
      <c r="C194" s="2" t="s">
        <v>13</v>
      </c>
      <c r="D194" s="13"/>
      <c r="E194" s="13"/>
      <c r="F194" s="44"/>
      <c r="G194" s="42"/>
      <c r="H194" s="42"/>
      <c r="I194" s="42"/>
      <c r="J194" s="27" t="s">
        <v>3637</v>
      </c>
      <c r="K194" s="42"/>
    </row>
    <row r="195" ht="39.75" hidden="1" customHeight="1">
      <c r="A195" s="1">
        <v>194.0</v>
      </c>
      <c r="B195" s="2" t="s">
        <v>17</v>
      </c>
      <c r="C195" s="2" t="s">
        <v>13</v>
      </c>
      <c r="D195" s="13"/>
      <c r="E195" s="13"/>
      <c r="F195" s="44"/>
      <c r="G195" s="43"/>
      <c r="H195" s="42"/>
      <c r="I195" s="43"/>
      <c r="J195" s="27"/>
      <c r="K195" s="42"/>
    </row>
    <row r="196" ht="39.75" hidden="1" customHeight="1">
      <c r="A196" s="1">
        <v>195.0</v>
      </c>
      <c r="B196" s="2" t="s">
        <v>331</v>
      </c>
      <c r="C196" s="2" t="s">
        <v>13</v>
      </c>
      <c r="D196" s="13"/>
      <c r="E196" s="13"/>
      <c r="F196" s="44"/>
      <c r="G196" s="42"/>
      <c r="H196" s="42"/>
      <c r="I196" s="42"/>
      <c r="J196" s="27"/>
      <c r="K196" s="42"/>
    </row>
    <row r="197" ht="39.75" hidden="1" customHeight="1">
      <c r="A197" s="1">
        <v>196.0</v>
      </c>
      <c r="B197" s="2" t="s">
        <v>21</v>
      </c>
      <c r="C197" s="2" t="s">
        <v>13</v>
      </c>
      <c r="D197" s="13"/>
      <c r="E197" s="13"/>
      <c r="F197" s="44"/>
      <c r="G197" s="43"/>
      <c r="H197" s="42"/>
      <c r="I197" s="42"/>
      <c r="J197" s="22"/>
      <c r="K197" s="42"/>
    </row>
    <row r="198" ht="39.75" hidden="1" customHeight="1">
      <c r="A198" s="1">
        <v>197.0</v>
      </c>
      <c r="B198" s="2" t="s">
        <v>22</v>
      </c>
      <c r="C198" s="2" t="s">
        <v>13</v>
      </c>
      <c r="D198" s="13"/>
      <c r="E198" s="13"/>
      <c r="F198" s="45"/>
      <c r="G198" s="42"/>
      <c r="H198" s="42"/>
      <c r="I198" s="42"/>
      <c r="J198" s="22"/>
      <c r="K198" s="42"/>
    </row>
    <row r="199" ht="39.75" hidden="1" customHeight="1">
      <c r="A199" s="1">
        <v>198.0</v>
      </c>
      <c r="B199" s="2" t="s">
        <v>261</v>
      </c>
      <c r="C199" s="2" t="s">
        <v>13</v>
      </c>
      <c r="D199" s="13"/>
      <c r="E199" s="13"/>
      <c r="F199" s="45"/>
      <c r="G199" s="42"/>
      <c r="H199" s="42"/>
      <c r="I199" s="42"/>
      <c r="J199" s="22"/>
      <c r="K199" s="42"/>
    </row>
    <row r="200" ht="39.75" hidden="1" customHeight="1">
      <c r="A200" s="1">
        <v>199.0</v>
      </c>
      <c r="B200" s="2" t="s">
        <v>23</v>
      </c>
      <c r="C200" s="2" t="s">
        <v>13</v>
      </c>
      <c r="D200" s="13"/>
      <c r="E200" s="13"/>
      <c r="F200" s="44"/>
      <c r="G200" s="42"/>
      <c r="H200" s="42"/>
      <c r="I200" s="42"/>
      <c r="J200" s="22"/>
      <c r="K200" s="42"/>
    </row>
    <row r="201" ht="39.75" customHeight="1">
      <c r="A201" s="1">
        <v>200.0</v>
      </c>
      <c r="B201" s="2" t="s">
        <v>24</v>
      </c>
      <c r="C201" s="2" t="s">
        <v>3563</v>
      </c>
      <c r="D201" s="13"/>
      <c r="E201" s="13"/>
      <c r="F201" s="45"/>
      <c r="G201" s="42"/>
      <c r="H201" s="42"/>
      <c r="I201" s="42"/>
      <c r="J201" s="22"/>
      <c r="K201" s="42"/>
    </row>
    <row r="202" ht="39.75" customHeight="1">
      <c r="A202" s="1">
        <v>201.0</v>
      </c>
      <c r="B202" s="2" t="s">
        <v>25</v>
      </c>
      <c r="C202" s="2" t="s">
        <v>39</v>
      </c>
      <c r="D202" s="53">
        <v>0.3125</v>
      </c>
      <c r="E202" s="13"/>
      <c r="F202" s="44" t="s">
        <v>3638</v>
      </c>
      <c r="G202" s="43">
        <v>1.0</v>
      </c>
      <c r="H202" s="42"/>
      <c r="I202" s="42"/>
      <c r="J202" s="22"/>
      <c r="K202" s="42"/>
    </row>
    <row r="203" ht="39.75" hidden="1" customHeight="1">
      <c r="A203" s="1">
        <v>202.0</v>
      </c>
      <c r="B203" s="2" t="s">
        <v>26</v>
      </c>
      <c r="C203" s="2" t="s">
        <v>13</v>
      </c>
      <c r="D203" s="13"/>
      <c r="E203" s="13"/>
      <c r="F203" s="44"/>
      <c r="G203" s="43"/>
      <c r="H203" s="42"/>
      <c r="I203" s="42"/>
      <c r="J203" s="22"/>
      <c r="K203" s="42"/>
    </row>
    <row r="204" ht="39.75" hidden="1" customHeight="1">
      <c r="A204" s="1">
        <v>203.0</v>
      </c>
      <c r="B204" s="2" t="s">
        <v>29</v>
      </c>
      <c r="C204" s="2" t="s">
        <v>13</v>
      </c>
      <c r="D204" s="13"/>
      <c r="E204" s="13"/>
      <c r="F204" s="45"/>
      <c r="G204" s="42"/>
      <c r="H204" s="42"/>
      <c r="I204" s="42"/>
      <c r="J204" s="22"/>
      <c r="K204" s="42"/>
    </row>
    <row r="205" ht="39.75" hidden="1" customHeight="1">
      <c r="A205" s="1">
        <v>204.0</v>
      </c>
      <c r="B205" s="2" t="s">
        <v>32</v>
      </c>
      <c r="C205" s="2" t="s">
        <v>13</v>
      </c>
      <c r="D205" s="13"/>
      <c r="E205" s="13"/>
      <c r="F205" s="45"/>
      <c r="G205" s="42"/>
      <c r="H205" s="42"/>
      <c r="I205" s="42"/>
      <c r="J205" s="22"/>
      <c r="K205" s="42"/>
    </row>
    <row r="206" ht="39.75" customHeight="1">
      <c r="A206" s="1">
        <v>205.0</v>
      </c>
      <c r="B206" s="2" t="s">
        <v>67</v>
      </c>
      <c r="C206" s="2" t="s">
        <v>3571</v>
      </c>
      <c r="D206" s="13"/>
      <c r="E206" s="13"/>
      <c r="F206" s="44" t="s">
        <v>3639</v>
      </c>
      <c r="G206" s="43">
        <v>1.0</v>
      </c>
      <c r="H206" s="42"/>
      <c r="I206" s="42"/>
      <c r="J206" s="22"/>
      <c r="K206" s="42"/>
    </row>
    <row r="207" ht="39.75" hidden="1" customHeight="1">
      <c r="A207" s="1">
        <v>206.0</v>
      </c>
      <c r="B207" s="2" t="s">
        <v>35</v>
      </c>
      <c r="C207" s="2" t="s">
        <v>13</v>
      </c>
      <c r="D207" s="13"/>
      <c r="E207" s="13"/>
      <c r="F207" s="45"/>
      <c r="G207" s="42"/>
      <c r="H207" s="42"/>
      <c r="I207" s="42"/>
      <c r="J207" s="22"/>
      <c r="K207" s="42"/>
    </row>
    <row r="208" ht="39.75" customHeight="1">
      <c r="A208" s="1">
        <v>207.0</v>
      </c>
      <c r="B208" s="2" t="s">
        <v>36</v>
      </c>
      <c r="C208" s="2"/>
      <c r="D208" s="13"/>
      <c r="E208" s="13"/>
      <c r="F208" s="44" t="s">
        <v>3640</v>
      </c>
      <c r="G208" s="43">
        <v>1.0</v>
      </c>
      <c r="H208" s="42"/>
      <c r="I208" s="42"/>
      <c r="J208" s="22"/>
      <c r="K208" s="42"/>
    </row>
    <row r="209" ht="39.75" hidden="1" customHeight="1">
      <c r="A209" s="1">
        <v>208.0</v>
      </c>
      <c r="B209" s="2" t="s">
        <v>38</v>
      </c>
      <c r="C209" s="2" t="s">
        <v>13</v>
      </c>
      <c r="D209" s="13"/>
      <c r="E209" s="13"/>
      <c r="F209" s="45"/>
      <c r="G209" s="42"/>
      <c r="H209" s="42"/>
      <c r="I209" s="42"/>
      <c r="J209" s="22"/>
      <c r="K209" s="42"/>
    </row>
    <row r="210" ht="39.75" customHeight="1">
      <c r="A210" s="1">
        <v>209.0</v>
      </c>
      <c r="B210" s="2" t="s">
        <v>41</v>
      </c>
      <c r="C210" s="2"/>
      <c r="D210" s="13"/>
      <c r="E210" s="13"/>
      <c r="F210" s="44" t="s">
        <v>3641</v>
      </c>
      <c r="G210" s="43">
        <v>2.0</v>
      </c>
      <c r="H210" s="42"/>
      <c r="I210" s="43">
        <v>1.0</v>
      </c>
      <c r="J210" s="22"/>
      <c r="K210" s="42"/>
    </row>
    <row r="211" ht="39.75" hidden="1" customHeight="1">
      <c r="A211" s="1">
        <v>210.0</v>
      </c>
      <c r="B211" s="2" t="s">
        <v>42</v>
      </c>
      <c r="C211" s="2" t="s">
        <v>13</v>
      </c>
      <c r="D211" s="13"/>
      <c r="E211" s="13"/>
      <c r="F211" s="45"/>
      <c r="G211" s="42"/>
      <c r="H211" s="42"/>
      <c r="I211" s="42"/>
      <c r="J211" s="22"/>
      <c r="K211" s="42"/>
    </row>
    <row r="212" ht="39.75" hidden="1" customHeight="1">
      <c r="A212" s="1">
        <v>211.0</v>
      </c>
      <c r="B212" s="2" t="s">
        <v>43</v>
      </c>
      <c r="C212" s="2" t="s">
        <v>13</v>
      </c>
      <c r="D212" s="13"/>
      <c r="E212" s="13"/>
      <c r="F212" s="44"/>
      <c r="G212" s="42"/>
      <c r="H212" s="42"/>
      <c r="I212" s="42"/>
      <c r="J212" s="22"/>
      <c r="K212" s="42"/>
    </row>
    <row r="213" ht="39.75" hidden="1" customHeight="1">
      <c r="A213" s="1">
        <v>212.0</v>
      </c>
      <c r="B213" s="2" t="s">
        <v>267</v>
      </c>
      <c r="C213" s="2" t="s">
        <v>13</v>
      </c>
      <c r="D213" s="13"/>
      <c r="E213" s="13"/>
      <c r="F213" s="45"/>
      <c r="G213" s="42"/>
      <c r="H213" s="42"/>
      <c r="I213" s="42"/>
      <c r="J213" s="22"/>
      <c r="K213" s="42"/>
    </row>
    <row r="214" ht="39.75" customHeight="1">
      <c r="A214" s="1">
        <v>213.0</v>
      </c>
      <c r="B214" s="2" t="s">
        <v>46</v>
      </c>
      <c r="C214" s="2" t="s">
        <v>3600</v>
      </c>
      <c r="D214" s="13"/>
      <c r="E214" s="13"/>
      <c r="F214" s="44" t="s">
        <v>3642</v>
      </c>
      <c r="G214" s="43">
        <v>1.0</v>
      </c>
      <c r="H214" s="42"/>
      <c r="I214" s="42"/>
      <c r="J214" s="22"/>
      <c r="K214" s="42"/>
    </row>
    <row r="215" ht="39.75" hidden="1" customHeight="1">
      <c r="A215" s="1">
        <v>214.0</v>
      </c>
      <c r="B215" s="2" t="s">
        <v>47</v>
      </c>
      <c r="C215" s="2" t="s">
        <v>13</v>
      </c>
      <c r="D215" s="13"/>
      <c r="E215" s="13"/>
      <c r="F215" s="45"/>
      <c r="G215" s="42"/>
      <c r="H215" s="42"/>
      <c r="I215" s="42"/>
      <c r="J215" s="22"/>
      <c r="K215" s="42"/>
    </row>
    <row r="216" ht="39.75" hidden="1" customHeight="1">
      <c r="A216" s="1">
        <v>215.0</v>
      </c>
      <c r="B216" s="2" t="s">
        <v>48</v>
      </c>
      <c r="C216" s="2" t="s">
        <v>13</v>
      </c>
      <c r="D216" s="13"/>
      <c r="E216" s="13"/>
      <c r="F216" s="45"/>
      <c r="G216" s="42"/>
      <c r="H216" s="42"/>
      <c r="I216" s="42"/>
      <c r="J216" s="22"/>
      <c r="K216" s="42"/>
    </row>
    <row r="217" ht="39.75" customHeight="1">
      <c r="A217" s="1">
        <v>216.0</v>
      </c>
      <c r="B217" s="21"/>
      <c r="C217" s="21"/>
      <c r="D217" s="21"/>
      <c r="E217" s="21"/>
      <c r="F217" s="46"/>
      <c r="G217" s="47"/>
      <c r="H217" s="47"/>
      <c r="I217" s="47"/>
      <c r="J217" s="48"/>
      <c r="K217" s="47"/>
      <c r="L217" s="49"/>
      <c r="M217" s="49"/>
      <c r="N217" s="49"/>
    </row>
    <row r="218" ht="39.75" customHeight="1">
      <c r="A218" s="1">
        <v>217.0</v>
      </c>
      <c r="B218" s="2" t="s">
        <v>12</v>
      </c>
      <c r="C218" s="2" t="s">
        <v>62</v>
      </c>
      <c r="D218" s="13"/>
      <c r="E218" s="13"/>
      <c r="F218" s="44" t="s">
        <v>1543</v>
      </c>
      <c r="G218" s="42"/>
      <c r="H218" s="42"/>
      <c r="I218" s="42"/>
      <c r="J218" s="22"/>
      <c r="K218" s="42"/>
      <c r="L218" s="15" t="s">
        <v>175</v>
      </c>
    </row>
    <row r="219" ht="39.75" customHeight="1">
      <c r="A219" s="1">
        <v>218.0</v>
      </c>
      <c r="B219" s="2" t="s">
        <v>16</v>
      </c>
      <c r="C219" s="2" t="s">
        <v>3557</v>
      </c>
      <c r="D219" s="13"/>
      <c r="E219" s="13"/>
      <c r="F219" s="44" t="s">
        <v>3574</v>
      </c>
      <c r="G219" s="43">
        <v>1.0</v>
      </c>
      <c r="H219" s="42"/>
      <c r="I219" s="42"/>
      <c r="J219" s="27" t="s">
        <v>175</v>
      </c>
      <c r="K219" s="43"/>
    </row>
    <row r="220" ht="39.75" customHeight="1">
      <c r="A220" s="1">
        <v>219.0</v>
      </c>
      <c r="B220" s="2" t="s">
        <v>116</v>
      </c>
      <c r="C220" s="2" t="s">
        <v>54</v>
      </c>
      <c r="D220" s="13"/>
      <c r="E220" s="13"/>
      <c r="F220" s="44" t="s">
        <v>3643</v>
      </c>
      <c r="G220" s="43">
        <v>1.0</v>
      </c>
      <c r="H220" s="42"/>
      <c r="I220" s="42"/>
      <c r="J220" s="27" t="s">
        <v>165</v>
      </c>
      <c r="K220" s="42"/>
    </row>
    <row r="221" ht="39.75" customHeight="1">
      <c r="A221" s="1">
        <v>220.0</v>
      </c>
      <c r="B221" s="2" t="s">
        <v>263</v>
      </c>
      <c r="C221" s="2"/>
      <c r="D221" s="13"/>
      <c r="E221" s="13"/>
      <c r="F221" s="44" t="s">
        <v>3644</v>
      </c>
      <c r="G221" s="43">
        <v>1.0</v>
      </c>
      <c r="H221" s="42"/>
      <c r="I221" s="42"/>
      <c r="J221" s="27" t="s">
        <v>2637</v>
      </c>
      <c r="K221" s="42"/>
    </row>
    <row r="222" ht="39.75" customHeight="1">
      <c r="A222" s="1">
        <v>221.0</v>
      </c>
      <c r="B222" s="2" t="s">
        <v>17</v>
      </c>
      <c r="C222" s="2" t="s">
        <v>3603</v>
      </c>
      <c r="D222" s="13"/>
      <c r="E222" s="13"/>
      <c r="F222" s="44" t="s">
        <v>3392</v>
      </c>
      <c r="G222" s="43">
        <v>1.0</v>
      </c>
      <c r="H222" s="42"/>
      <c r="I222" s="42"/>
      <c r="J222" s="27" t="s">
        <v>2638</v>
      </c>
      <c r="K222" s="42"/>
    </row>
    <row r="223" ht="39.75" hidden="1" customHeight="1">
      <c r="A223" s="1">
        <v>222.0</v>
      </c>
      <c r="B223" s="2" t="s">
        <v>331</v>
      </c>
      <c r="C223" s="2" t="s">
        <v>13</v>
      </c>
      <c r="D223" s="13"/>
      <c r="E223" s="13"/>
      <c r="F223" s="44"/>
      <c r="G223" s="42"/>
      <c r="H223" s="42"/>
      <c r="I223" s="42"/>
      <c r="J223" s="22"/>
      <c r="K223" s="42"/>
    </row>
    <row r="224" ht="39.75" customHeight="1">
      <c r="A224" s="1">
        <v>223.0</v>
      </c>
      <c r="B224" s="2" t="s">
        <v>21</v>
      </c>
      <c r="C224" s="2" t="s">
        <v>69</v>
      </c>
      <c r="D224" s="13"/>
      <c r="E224" s="13"/>
      <c r="F224" s="44"/>
      <c r="G224" s="43"/>
      <c r="H224" s="42"/>
      <c r="I224" s="42"/>
      <c r="J224" s="22"/>
      <c r="K224" s="42"/>
    </row>
    <row r="225" ht="39.75" customHeight="1">
      <c r="A225" s="1">
        <v>224.0</v>
      </c>
      <c r="B225" s="2" t="s">
        <v>22</v>
      </c>
      <c r="C225" s="2" t="s">
        <v>66</v>
      </c>
      <c r="D225" s="13"/>
      <c r="E225" s="13"/>
      <c r="F225" s="44"/>
      <c r="G225" s="43"/>
      <c r="H225" s="42"/>
      <c r="I225" s="43"/>
      <c r="J225" s="22"/>
      <c r="K225" s="42"/>
    </row>
    <row r="226" ht="39.75" hidden="1" customHeight="1">
      <c r="A226" s="1">
        <v>225.0</v>
      </c>
      <c r="B226" s="2" t="s">
        <v>261</v>
      </c>
      <c r="C226" s="2" t="s">
        <v>13</v>
      </c>
      <c r="D226" s="13"/>
      <c r="E226" s="13"/>
      <c r="F226" s="45"/>
      <c r="G226" s="42"/>
      <c r="H226" s="42"/>
      <c r="I226" s="42"/>
      <c r="J226" s="22"/>
      <c r="K226" s="42"/>
    </row>
    <row r="227" ht="39.75" customHeight="1">
      <c r="A227" s="1">
        <v>226.0</v>
      </c>
      <c r="B227" s="2" t="s">
        <v>23</v>
      </c>
      <c r="C227" s="2" t="s">
        <v>69</v>
      </c>
      <c r="D227" s="13"/>
      <c r="E227" s="13"/>
      <c r="F227" s="44" t="s">
        <v>3645</v>
      </c>
      <c r="G227" s="43">
        <v>1.0</v>
      </c>
      <c r="H227" s="42"/>
      <c r="I227" s="42"/>
      <c r="J227" s="22"/>
      <c r="K227" s="42"/>
    </row>
    <row r="228" ht="39.75" customHeight="1">
      <c r="A228" s="1">
        <v>227.0</v>
      </c>
      <c r="B228" s="2" t="s">
        <v>24</v>
      </c>
      <c r="C228" s="2" t="s">
        <v>3563</v>
      </c>
      <c r="D228" s="13"/>
      <c r="E228" s="13"/>
      <c r="F228" s="45"/>
      <c r="G228" s="42"/>
      <c r="H228" s="42"/>
      <c r="I228" s="42"/>
      <c r="J228" s="22"/>
      <c r="K228" s="42"/>
    </row>
    <row r="229" ht="39.75" customHeight="1">
      <c r="A229" s="1">
        <v>228.0</v>
      </c>
      <c r="B229" s="2" t="s">
        <v>25</v>
      </c>
      <c r="C229" s="2"/>
      <c r="D229" s="13"/>
      <c r="E229" s="13"/>
      <c r="F229" s="44" t="s">
        <v>3646</v>
      </c>
      <c r="G229" s="43">
        <v>1.0</v>
      </c>
      <c r="H229" s="42"/>
      <c r="I229" s="42"/>
      <c r="J229" s="22"/>
      <c r="K229" s="42"/>
    </row>
    <row r="230" ht="39.75" hidden="1" customHeight="1">
      <c r="A230" s="1">
        <v>229.0</v>
      </c>
      <c r="B230" s="2" t="s">
        <v>26</v>
      </c>
      <c r="C230" s="2" t="s">
        <v>13</v>
      </c>
      <c r="D230" s="40"/>
      <c r="E230" s="13"/>
      <c r="F230" s="44"/>
      <c r="G230" s="43"/>
      <c r="H230" s="42"/>
      <c r="I230" s="43"/>
      <c r="J230" s="22"/>
      <c r="K230" s="42"/>
    </row>
    <row r="231" ht="39.75" customHeight="1">
      <c r="A231" s="1">
        <v>230.0</v>
      </c>
      <c r="B231" s="2" t="s">
        <v>29</v>
      </c>
      <c r="C231" s="2" t="s">
        <v>54</v>
      </c>
      <c r="D231" s="13"/>
      <c r="E231" s="13"/>
      <c r="F231" s="44" t="s">
        <v>3647</v>
      </c>
      <c r="G231" s="43">
        <v>1.0</v>
      </c>
      <c r="H231" s="42"/>
      <c r="I231" s="43">
        <v>1.0</v>
      </c>
      <c r="J231" s="22"/>
      <c r="K231" s="42"/>
    </row>
    <row r="232" ht="39.75" customHeight="1">
      <c r="A232" s="1">
        <v>231.0</v>
      </c>
      <c r="B232" s="2" t="s">
        <v>32</v>
      </c>
      <c r="C232" s="2"/>
      <c r="D232" s="13"/>
      <c r="E232" s="13"/>
      <c r="F232" s="44" t="s">
        <v>3648</v>
      </c>
      <c r="G232" s="43">
        <v>1.0</v>
      </c>
      <c r="H232" s="42"/>
      <c r="I232" s="43">
        <v>1.0</v>
      </c>
      <c r="J232" s="22"/>
      <c r="K232" s="42"/>
    </row>
    <row r="233" ht="39.75" customHeight="1">
      <c r="A233" s="1">
        <v>232.0</v>
      </c>
      <c r="B233" s="2" t="s">
        <v>67</v>
      </c>
      <c r="C233" s="2" t="s">
        <v>44</v>
      </c>
      <c r="D233" s="13"/>
      <c r="E233" s="13"/>
      <c r="F233" s="44"/>
      <c r="G233" s="42"/>
      <c r="H233" s="42"/>
      <c r="I233" s="42"/>
      <c r="J233" s="22"/>
      <c r="K233" s="42"/>
    </row>
    <row r="234" ht="39.75" customHeight="1">
      <c r="A234" s="1">
        <v>233.0</v>
      </c>
      <c r="B234" s="2" t="s">
        <v>35</v>
      </c>
      <c r="C234" s="2"/>
      <c r="D234" s="13"/>
      <c r="E234" s="13"/>
      <c r="F234" s="44" t="s">
        <v>3649</v>
      </c>
      <c r="G234" s="43">
        <v>1.0</v>
      </c>
      <c r="H234" s="42"/>
      <c r="I234" s="43">
        <v>1.0</v>
      </c>
      <c r="J234" s="22"/>
      <c r="K234" s="42"/>
    </row>
    <row r="235" ht="39.75" customHeight="1">
      <c r="A235" s="1">
        <v>234.0</v>
      </c>
      <c r="B235" s="2" t="s">
        <v>36</v>
      </c>
      <c r="C235" s="2"/>
      <c r="D235" s="13"/>
      <c r="E235" s="13"/>
      <c r="F235" s="44" t="s">
        <v>3650</v>
      </c>
      <c r="G235" s="43">
        <v>1.0</v>
      </c>
      <c r="H235" s="42"/>
      <c r="I235" s="43">
        <v>1.0</v>
      </c>
      <c r="J235" s="22"/>
      <c r="K235" s="42"/>
    </row>
    <row r="236" ht="39.75" customHeight="1">
      <c r="A236" s="1">
        <v>235.0</v>
      </c>
      <c r="B236" s="2" t="s">
        <v>38</v>
      </c>
      <c r="C236" s="2" t="s">
        <v>54</v>
      </c>
      <c r="D236" s="13"/>
      <c r="E236" s="13"/>
      <c r="F236" s="44" t="s">
        <v>3651</v>
      </c>
      <c r="G236" s="43">
        <v>1.0</v>
      </c>
      <c r="H236" s="42"/>
      <c r="I236" s="43">
        <v>1.0</v>
      </c>
      <c r="J236" s="22"/>
      <c r="K236" s="42"/>
    </row>
    <row r="237" ht="39.75" customHeight="1">
      <c r="A237" s="1">
        <v>236.0</v>
      </c>
      <c r="B237" s="2" t="s">
        <v>41</v>
      </c>
      <c r="C237" s="2"/>
      <c r="D237" s="13"/>
      <c r="E237" s="13"/>
      <c r="F237" s="44" t="s">
        <v>3652</v>
      </c>
      <c r="G237" s="43">
        <v>1.0</v>
      </c>
      <c r="H237" s="42"/>
      <c r="I237" s="43">
        <v>1.0</v>
      </c>
      <c r="J237" s="22"/>
      <c r="K237" s="42"/>
    </row>
    <row r="238" ht="39.75" customHeight="1">
      <c r="A238" s="1">
        <v>237.0</v>
      </c>
      <c r="B238" s="2" t="s">
        <v>42</v>
      </c>
      <c r="C238" s="2" t="s">
        <v>54</v>
      </c>
      <c r="D238" s="13"/>
      <c r="E238" s="13"/>
      <c r="F238" s="44" t="s">
        <v>3653</v>
      </c>
      <c r="G238" s="43">
        <v>1.0</v>
      </c>
      <c r="H238" s="42"/>
      <c r="I238" s="43">
        <v>1.0</v>
      </c>
      <c r="J238" s="22"/>
      <c r="K238" s="42"/>
    </row>
    <row r="239" ht="39.75" customHeight="1">
      <c r="A239" s="1">
        <v>238.0</v>
      </c>
      <c r="B239" s="2" t="s">
        <v>43</v>
      </c>
      <c r="C239" s="2"/>
      <c r="D239" s="13"/>
      <c r="E239" s="13"/>
      <c r="F239" s="44" t="s">
        <v>3654</v>
      </c>
      <c r="G239" s="43">
        <v>1.0</v>
      </c>
      <c r="H239" s="42"/>
      <c r="I239" s="43">
        <v>1.0</v>
      </c>
      <c r="J239" s="22"/>
      <c r="K239" s="42"/>
    </row>
    <row r="240" ht="39.75" customHeight="1">
      <c r="A240" s="1">
        <v>239.0</v>
      </c>
      <c r="B240" s="2" t="s">
        <v>267</v>
      </c>
      <c r="C240" s="2" t="s">
        <v>69</v>
      </c>
      <c r="D240" s="13"/>
      <c r="E240" s="13"/>
      <c r="F240" s="44"/>
      <c r="G240" s="43"/>
      <c r="H240" s="42"/>
      <c r="I240" s="43"/>
      <c r="J240" s="22"/>
      <c r="K240" s="42"/>
    </row>
    <row r="241" ht="39.75" customHeight="1">
      <c r="A241" s="1">
        <v>240.0</v>
      </c>
      <c r="B241" s="2" t="s">
        <v>46</v>
      </c>
      <c r="C241" s="2" t="s">
        <v>3600</v>
      </c>
      <c r="D241" s="13"/>
      <c r="E241" s="13"/>
      <c r="F241" s="44" t="s">
        <v>3642</v>
      </c>
      <c r="G241" s="42"/>
      <c r="H241" s="42"/>
      <c r="I241" s="42"/>
      <c r="J241" s="22"/>
      <c r="K241" s="42"/>
    </row>
    <row r="242" ht="39.75" hidden="1" customHeight="1">
      <c r="A242" s="1">
        <v>241.0</v>
      </c>
      <c r="B242" s="2" t="s">
        <v>47</v>
      </c>
      <c r="C242" s="2" t="s">
        <v>13</v>
      </c>
      <c r="D242" s="13"/>
      <c r="E242" s="13"/>
      <c r="F242" s="45"/>
      <c r="G242" s="42"/>
      <c r="H242" s="42"/>
      <c r="I242" s="42"/>
      <c r="J242" s="22"/>
      <c r="K242" s="42"/>
    </row>
    <row r="243" ht="39.75" customHeight="1">
      <c r="A243" s="1">
        <v>242.0</v>
      </c>
      <c r="B243" s="2" t="s">
        <v>48</v>
      </c>
      <c r="C243" s="2" t="s">
        <v>3571</v>
      </c>
      <c r="D243" s="13"/>
      <c r="E243" s="13"/>
      <c r="F243" s="44"/>
      <c r="G243" s="43"/>
      <c r="H243" s="42"/>
      <c r="I243" s="42"/>
      <c r="J243" s="22"/>
      <c r="K243" s="42"/>
    </row>
    <row r="244" ht="39.75" customHeight="1">
      <c r="A244" s="1">
        <v>243.0</v>
      </c>
      <c r="B244" s="21"/>
      <c r="C244" s="21"/>
      <c r="D244" s="21"/>
      <c r="E244" s="21"/>
      <c r="F244" s="46"/>
      <c r="G244" s="47"/>
      <c r="H244" s="47"/>
      <c r="I244" s="47"/>
      <c r="J244" s="48"/>
      <c r="K244" s="47"/>
      <c r="L244" s="49"/>
      <c r="M244" s="49"/>
      <c r="N244" s="49"/>
    </row>
    <row r="245" ht="39.75" customHeight="1">
      <c r="A245" s="1">
        <v>244.0</v>
      </c>
      <c r="B245" s="2" t="s">
        <v>12</v>
      </c>
      <c r="C245" s="2" t="s">
        <v>62</v>
      </c>
      <c r="D245" s="13"/>
      <c r="E245" s="13"/>
      <c r="F245" s="44" t="s">
        <v>1543</v>
      </c>
      <c r="G245" s="43">
        <v>1.0</v>
      </c>
      <c r="H245" s="42"/>
      <c r="I245" s="42"/>
      <c r="J245" s="22"/>
      <c r="K245" s="42"/>
      <c r="L245" s="15" t="s">
        <v>192</v>
      </c>
    </row>
    <row r="246" ht="39.75" customHeight="1">
      <c r="A246" s="1">
        <v>245.0</v>
      </c>
      <c r="B246" s="2" t="s">
        <v>16</v>
      </c>
      <c r="C246" s="2" t="s">
        <v>3557</v>
      </c>
      <c r="D246" s="13"/>
      <c r="E246" s="13"/>
      <c r="F246" s="44" t="s">
        <v>3574</v>
      </c>
      <c r="G246" s="43">
        <v>1.0</v>
      </c>
      <c r="H246" s="42"/>
      <c r="I246" s="42"/>
      <c r="J246" s="27" t="s">
        <v>192</v>
      </c>
      <c r="K246" s="43"/>
    </row>
    <row r="247" ht="39.75" customHeight="1">
      <c r="A247" s="1">
        <v>246.0</v>
      </c>
      <c r="B247" s="2" t="s">
        <v>116</v>
      </c>
      <c r="C247" s="2" t="s">
        <v>54</v>
      </c>
      <c r="D247" s="13"/>
      <c r="E247" s="13"/>
      <c r="F247" s="44" t="s">
        <v>3655</v>
      </c>
      <c r="G247" s="43">
        <v>1.0</v>
      </c>
      <c r="H247" s="42"/>
      <c r="I247" s="42"/>
      <c r="J247" s="27" t="s">
        <v>266</v>
      </c>
      <c r="K247" s="42"/>
    </row>
    <row r="248" ht="39.75" customHeight="1">
      <c r="A248" s="1">
        <v>247.0</v>
      </c>
      <c r="B248" s="2" t="s">
        <v>263</v>
      </c>
      <c r="C248" s="2" t="s">
        <v>3571</v>
      </c>
      <c r="D248" s="40"/>
      <c r="E248" s="13"/>
      <c r="F248" s="44"/>
      <c r="G248" s="42"/>
      <c r="H248" s="42"/>
      <c r="I248" s="42"/>
      <c r="J248" s="22"/>
      <c r="K248" s="42"/>
    </row>
    <row r="249" ht="39.75" customHeight="1">
      <c r="A249" s="1">
        <v>248.0</v>
      </c>
      <c r="B249" s="2" t="s">
        <v>17</v>
      </c>
      <c r="C249" s="2" t="s">
        <v>3603</v>
      </c>
      <c r="D249" s="13"/>
      <c r="E249" s="13"/>
      <c r="F249" s="44" t="s">
        <v>3604</v>
      </c>
      <c r="G249" s="43">
        <v>1.0</v>
      </c>
      <c r="H249" s="42"/>
      <c r="I249" s="43">
        <v>1.0</v>
      </c>
      <c r="J249" s="22"/>
      <c r="K249" s="42"/>
    </row>
    <row r="250" ht="39.75" customHeight="1">
      <c r="A250" s="1">
        <v>249.0</v>
      </c>
      <c r="B250" s="2" t="s">
        <v>331</v>
      </c>
      <c r="C250" s="2" t="s">
        <v>542</v>
      </c>
      <c r="D250" s="13"/>
      <c r="E250" s="13"/>
      <c r="F250" s="44" t="s">
        <v>3656</v>
      </c>
      <c r="G250" s="43">
        <v>2.0</v>
      </c>
      <c r="H250" s="42"/>
      <c r="I250" s="42"/>
      <c r="J250" s="22"/>
      <c r="K250" s="42"/>
    </row>
    <row r="251" ht="39.75" customHeight="1">
      <c r="A251" s="1">
        <v>250.0</v>
      </c>
      <c r="B251" s="2" t="s">
        <v>21</v>
      </c>
      <c r="C251" s="2" t="s">
        <v>39</v>
      </c>
      <c r="D251" s="13"/>
      <c r="E251" s="13"/>
      <c r="F251" s="44" t="s">
        <v>3657</v>
      </c>
      <c r="G251" s="43">
        <v>1.0</v>
      </c>
      <c r="H251" s="42"/>
      <c r="I251" s="42"/>
      <c r="J251" s="22"/>
      <c r="K251" s="42"/>
    </row>
    <row r="252" ht="39.75" hidden="1" customHeight="1">
      <c r="A252" s="1">
        <v>251.0</v>
      </c>
      <c r="B252" s="2" t="s">
        <v>22</v>
      </c>
      <c r="C252" s="2" t="s">
        <v>13</v>
      </c>
      <c r="D252" s="13"/>
      <c r="E252" s="13"/>
      <c r="F252" s="44"/>
      <c r="G252" s="42"/>
      <c r="H252" s="42"/>
      <c r="I252" s="42"/>
      <c r="J252" s="22"/>
      <c r="K252" s="42"/>
    </row>
    <row r="253" ht="39.75" hidden="1" customHeight="1">
      <c r="A253" s="1">
        <v>252.0</v>
      </c>
      <c r="B253" s="2" t="s">
        <v>261</v>
      </c>
      <c r="C253" s="2" t="s">
        <v>13</v>
      </c>
      <c r="D253" s="13"/>
      <c r="E253" s="13"/>
      <c r="F253" s="45"/>
      <c r="G253" s="42"/>
      <c r="H253" s="42"/>
      <c r="I253" s="42"/>
      <c r="J253" s="22"/>
      <c r="K253" s="42"/>
    </row>
    <row r="254" ht="39.75" customHeight="1">
      <c r="A254" s="1">
        <v>253.0</v>
      </c>
      <c r="B254" s="2" t="s">
        <v>23</v>
      </c>
      <c r="C254" s="2" t="s">
        <v>54</v>
      </c>
      <c r="D254" s="13"/>
      <c r="E254" s="13"/>
      <c r="F254" s="44" t="s">
        <v>3658</v>
      </c>
      <c r="G254" s="43">
        <v>1.0</v>
      </c>
      <c r="H254" s="42"/>
      <c r="I254" s="42"/>
      <c r="J254" s="22"/>
      <c r="K254" s="42"/>
    </row>
    <row r="255" ht="39.75" customHeight="1">
      <c r="A255" s="1">
        <v>254.0</v>
      </c>
      <c r="B255" s="2" t="s">
        <v>24</v>
      </c>
      <c r="C255" s="2" t="s">
        <v>3563</v>
      </c>
      <c r="D255" s="13"/>
      <c r="E255" s="13"/>
      <c r="F255" s="45"/>
      <c r="G255" s="42"/>
      <c r="H255" s="42"/>
      <c r="I255" s="42"/>
      <c r="J255" s="22"/>
      <c r="K255" s="42"/>
    </row>
    <row r="256" ht="39.75" customHeight="1">
      <c r="A256" s="1">
        <v>255.0</v>
      </c>
      <c r="B256" s="2" t="s">
        <v>25</v>
      </c>
      <c r="C256" s="2" t="s">
        <v>69</v>
      </c>
      <c r="D256" s="13"/>
      <c r="E256" s="13"/>
      <c r="F256" s="44" t="s">
        <v>3659</v>
      </c>
      <c r="G256" s="43">
        <v>1.0</v>
      </c>
      <c r="H256" s="42"/>
      <c r="I256" s="42"/>
      <c r="J256" s="22"/>
      <c r="K256" s="42"/>
    </row>
    <row r="257" ht="39.75" customHeight="1">
      <c r="A257" s="1">
        <v>256.0</v>
      </c>
      <c r="B257" s="2" t="s">
        <v>26</v>
      </c>
      <c r="C257" s="91" t="s">
        <v>3557</v>
      </c>
      <c r="D257" s="13"/>
      <c r="E257" s="13"/>
      <c r="F257" s="44" t="s">
        <v>3660</v>
      </c>
      <c r="G257" s="43">
        <v>1.0</v>
      </c>
      <c r="H257" s="42"/>
      <c r="I257" s="42"/>
      <c r="J257" s="22"/>
      <c r="K257" s="42"/>
    </row>
    <row r="258" ht="39.75" hidden="1" customHeight="1">
      <c r="A258" s="1">
        <v>257.0</v>
      </c>
      <c r="B258" s="2" t="s">
        <v>29</v>
      </c>
      <c r="C258" s="2" t="s">
        <v>13</v>
      </c>
      <c r="D258" s="13"/>
      <c r="E258" s="13"/>
      <c r="F258" s="45"/>
      <c r="G258" s="42"/>
      <c r="H258" s="42"/>
      <c r="I258" s="42"/>
      <c r="J258" s="22"/>
      <c r="K258" s="42"/>
    </row>
    <row r="259" ht="39.75" customHeight="1">
      <c r="A259" s="1">
        <v>258.0</v>
      </c>
      <c r="B259" s="2" t="s">
        <v>32</v>
      </c>
      <c r="C259" s="2" t="s">
        <v>69</v>
      </c>
      <c r="D259" s="13"/>
      <c r="E259" s="13"/>
      <c r="F259" s="44" t="s">
        <v>3661</v>
      </c>
      <c r="G259" s="43">
        <v>2.0</v>
      </c>
      <c r="H259" s="42"/>
      <c r="I259" s="43">
        <v>1.0</v>
      </c>
      <c r="J259" s="22"/>
      <c r="K259" s="42"/>
    </row>
    <row r="260" ht="39.75" hidden="1" customHeight="1">
      <c r="A260" s="1">
        <v>259.0</v>
      </c>
      <c r="B260" s="2" t="s">
        <v>67</v>
      </c>
      <c r="C260" s="2" t="s">
        <v>13</v>
      </c>
      <c r="D260" s="13"/>
      <c r="E260" s="13"/>
      <c r="F260" s="44"/>
      <c r="G260" s="43"/>
      <c r="H260" s="42"/>
      <c r="I260" s="42"/>
      <c r="J260" s="22"/>
      <c r="K260" s="42"/>
    </row>
    <row r="261" ht="39.75" customHeight="1">
      <c r="A261" s="1">
        <v>260.0</v>
      </c>
      <c r="B261" s="2" t="s">
        <v>35</v>
      </c>
      <c r="C261" s="2"/>
      <c r="D261" s="13"/>
      <c r="E261" s="13"/>
      <c r="F261" s="44" t="s">
        <v>3662</v>
      </c>
      <c r="G261" s="43">
        <v>1.0</v>
      </c>
      <c r="H261" s="42"/>
      <c r="I261" s="42"/>
      <c r="J261" s="22"/>
      <c r="K261" s="42"/>
    </row>
    <row r="262" ht="39.75" customHeight="1">
      <c r="A262" s="1">
        <v>261.0</v>
      </c>
      <c r="B262" s="2" t="s">
        <v>36</v>
      </c>
      <c r="C262" s="2" t="s">
        <v>66</v>
      </c>
      <c r="D262" s="13"/>
      <c r="E262" s="13"/>
      <c r="F262" s="45"/>
      <c r="G262" s="42"/>
      <c r="H262" s="42"/>
      <c r="I262" s="42"/>
      <c r="J262" s="22"/>
      <c r="K262" s="42"/>
    </row>
    <row r="263" ht="39.75" customHeight="1">
      <c r="A263" s="1">
        <v>262.0</v>
      </c>
      <c r="B263" s="2" t="s">
        <v>38</v>
      </c>
      <c r="C263" s="2"/>
      <c r="D263" s="109">
        <v>0.3020833333333333</v>
      </c>
      <c r="E263" s="13"/>
      <c r="F263" s="44" t="s">
        <v>3663</v>
      </c>
      <c r="G263" s="43">
        <v>1.0</v>
      </c>
      <c r="H263" s="42"/>
      <c r="I263" s="42"/>
      <c r="J263" s="22"/>
      <c r="K263" s="42"/>
    </row>
    <row r="264" ht="39.75" hidden="1" customHeight="1">
      <c r="A264" s="1">
        <v>263.0</v>
      </c>
      <c r="B264" s="2" t="s">
        <v>41</v>
      </c>
      <c r="C264" s="2" t="s">
        <v>13</v>
      </c>
      <c r="D264" s="13"/>
      <c r="E264" s="13"/>
      <c r="F264" s="44"/>
      <c r="G264" s="43"/>
      <c r="H264" s="42"/>
      <c r="I264" s="42"/>
      <c r="J264" s="22"/>
      <c r="K264" s="42"/>
    </row>
    <row r="265" ht="39.75" customHeight="1">
      <c r="A265" s="1">
        <v>264.0</v>
      </c>
      <c r="B265" s="2" t="s">
        <v>42</v>
      </c>
      <c r="C265" s="2" t="s">
        <v>54</v>
      </c>
      <c r="D265" s="109">
        <v>0.3472222222222222</v>
      </c>
      <c r="E265" s="13"/>
      <c r="F265" s="44" t="s">
        <v>3664</v>
      </c>
      <c r="G265" s="43">
        <v>1.0</v>
      </c>
      <c r="H265" s="42"/>
      <c r="I265" s="43">
        <v>1.0</v>
      </c>
      <c r="J265" s="22"/>
      <c r="K265" s="42"/>
    </row>
    <row r="266" ht="39.75" customHeight="1">
      <c r="A266" s="1">
        <v>265.0</v>
      </c>
      <c r="B266" s="2" t="s">
        <v>43</v>
      </c>
      <c r="C266" s="2" t="s">
        <v>54</v>
      </c>
      <c r="D266" s="40">
        <v>0.3888888888888889</v>
      </c>
      <c r="E266" s="13"/>
      <c r="F266" s="44" t="s">
        <v>3665</v>
      </c>
      <c r="G266" s="43">
        <v>1.0</v>
      </c>
      <c r="H266" s="42"/>
      <c r="I266" s="43"/>
      <c r="J266" s="22"/>
      <c r="K266" s="42"/>
    </row>
    <row r="267" ht="39.75" customHeight="1">
      <c r="A267" s="1">
        <v>266.0</v>
      </c>
      <c r="B267" s="2" t="s">
        <v>267</v>
      </c>
      <c r="C267" s="2" t="s">
        <v>69</v>
      </c>
      <c r="D267" s="13"/>
      <c r="E267" s="13"/>
      <c r="F267" s="44" t="s">
        <v>3666</v>
      </c>
      <c r="G267" s="43">
        <v>1.0</v>
      </c>
      <c r="H267" s="42"/>
      <c r="I267" s="42"/>
      <c r="J267" s="22"/>
      <c r="K267" s="42"/>
    </row>
    <row r="268" ht="39.75" customHeight="1">
      <c r="A268" s="1">
        <v>267.0</v>
      </c>
      <c r="B268" s="2" t="s">
        <v>46</v>
      </c>
      <c r="C268" s="2" t="s">
        <v>3600</v>
      </c>
      <c r="D268" s="13"/>
      <c r="E268" s="13"/>
      <c r="F268" s="61" t="s">
        <v>3642</v>
      </c>
      <c r="G268" s="43"/>
      <c r="H268" s="42"/>
      <c r="I268" s="43"/>
      <c r="J268" s="22"/>
      <c r="K268" s="42"/>
    </row>
    <row r="269" ht="39.75" hidden="1" customHeight="1">
      <c r="A269" s="1">
        <v>268.0</v>
      </c>
      <c r="B269" s="2" t="s">
        <v>47</v>
      </c>
      <c r="C269" s="2" t="s">
        <v>13</v>
      </c>
      <c r="D269" s="13"/>
      <c r="E269" s="13"/>
      <c r="F269" s="45"/>
      <c r="G269" s="42"/>
      <c r="H269" s="42"/>
      <c r="I269" s="42"/>
      <c r="J269" s="22"/>
      <c r="K269" s="42"/>
    </row>
    <row r="270" ht="39.75" customHeight="1">
      <c r="A270" s="1">
        <v>269.0</v>
      </c>
      <c r="B270" s="2" t="s">
        <v>48</v>
      </c>
      <c r="C270" s="2" t="s">
        <v>44</v>
      </c>
      <c r="D270" s="13"/>
      <c r="E270" s="13"/>
      <c r="F270" s="44"/>
      <c r="G270" s="43"/>
      <c r="H270" s="42"/>
      <c r="I270" s="42"/>
      <c r="J270" s="22"/>
      <c r="K270" s="42"/>
    </row>
    <row r="271" ht="39.75" customHeight="1">
      <c r="A271" s="1">
        <v>270.0</v>
      </c>
      <c r="B271" s="21"/>
      <c r="C271" s="21"/>
      <c r="D271" s="21"/>
      <c r="E271" s="21"/>
      <c r="F271" s="46"/>
      <c r="G271" s="47"/>
      <c r="H271" s="47"/>
      <c r="I271" s="47"/>
      <c r="J271" s="48"/>
      <c r="K271" s="47"/>
      <c r="L271" s="49"/>
      <c r="M271" s="49"/>
      <c r="N271" s="49"/>
    </row>
    <row r="272" ht="39.75" customHeight="1">
      <c r="A272" s="1">
        <v>271.0</v>
      </c>
      <c r="B272" s="2" t="s">
        <v>12</v>
      </c>
      <c r="C272" s="2" t="s">
        <v>62</v>
      </c>
      <c r="D272" s="91"/>
      <c r="E272" s="13"/>
      <c r="F272" s="44" t="s">
        <v>3617</v>
      </c>
      <c r="G272" s="43">
        <v>1.0</v>
      </c>
      <c r="H272" s="42"/>
      <c r="I272" s="43">
        <v>1.0</v>
      </c>
      <c r="J272" s="27" t="s">
        <v>1161</v>
      </c>
      <c r="K272" s="42"/>
      <c r="L272" s="15" t="s">
        <v>209</v>
      </c>
    </row>
    <row r="273" ht="39.75" customHeight="1">
      <c r="A273" s="1">
        <v>272.0</v>
      </c>
      <c r="B273" s="2" t="s">
        <v>16</v>
      </c>
      <c r="C273" s="2" t="s">
        <v>69</v>
      </c>
      <c r="D273" s="13"/>
      <c r="E273" s="13"/>
      <c r="F273" s="44"/>
      <c r="G273" s="42"/>
      <c r="H273" s="42"/>
      <c r="I273" s="42"/>
      <c r="J273" s="27" t="s">
        <v>209</v>
      </c>
      <c r="K273" s="43"/>
    </row>
    <row r="274" ht="39.75" customHeight="1">
      <c r="A274" s="1">
        <v>273.0</v>
      </c>
      <c r="B274" s="2" t="s">
        <v>116</v>
      </c>
      <c r="C274" s="2" t="s">
        <v>39</v>
      </c>
      <c r="D274" s="110">
        <v>0.25</v>
      </c>
      <c r="E274" s="13"/>
      <c r="F274" s="44" t="s">
        <v>3667</v>
      </c>
      <c r="G274" s="43">
        <v>1.0</v>
      </c>
      <c r="H274" s="42"/>
      <c r="I274" s="42"/>
      <c r="J274" s="27" t="s">
        <v>3637</v>
      </c>
      <c r="K274" s="42"/>
    </row>
    <row r="275" ht="39.75" customHeight="1">
      <c r="A275" s="1">
        <v>274.0</v>
      </c>
      <c r="B275" s="2" t="s">
        <v>263</v>
      </c>
      <c r="C275" s="2" t="s">
        <v>44</v>
      </c>
      <c r="D275" s="13"/>
      <c r="E275" s="13"/>
      <c r="F275" s="44"/>
      <c r="G275" s="42"/>
      <c r="H275" s="42"/>
      <c r="I275" s="42"/>
      <c r="J275" s="22"/>
      <c r="K275" s="42"/>
    </row>
    <row r="276" ht="39.75" customHeight="1">
      <c r="A276" s="1">
        <v>275.0</v>
      </c>
      <c r="B276" s="2" t="s">
        <v>17</v>
      </c>
      <c r="C276" s="2" t="s">
        <v>3603</v>
      </c>
      <c r="D276" s="13"/>
      <c r="E276" s="13"/>
      <c r="F276" s="44" t="s">
        <v>3604</v>
      </c>
      <c r="G276" s="43">
        <v>1.0</v>
      </c>
      <c r="H276" s="42"/>
      <c r="I276" s="42"/>
      <c r="J276" s="22"/>
      <c r="K276" s="42"/>
    </row>
    <row r="277" ht="39.75" customHeight="1">
      <c r="A277" s="1">
        <v>276.0</v>
      </c>
      <c r="B277" s="2" t="s">
        <v>331</v>
      </c>
      <c r="C277" s="2" t="s">
        <v>542</v>
      </c>
      <c r="D277" s="13"/>
      <c r="E277" s="13"/>
      <c r="F277" s="44" t="s">
        <v>3668</v>
      </c>
      <c r="G277" s="43">
        <v>1.0</v>
      </c>
      <c r="H277" s="42"/>
      <c r="I277" s="42"/>
      <c r="J277" s="22"/>
      <c r="K277" s="42"/>
    </row>
    <row r="278" ht="39.75" hidden="1" customHeight="1">
      <c r="A278" s="1">
        <v>277.0</v>
      </c>
      <c r="B278" s="107" t="s">
        <v>21</v>
      </c>
      <c r="C278" s="2" t="s">
        <v>13</v>
      </c>
      <c r="D278" s="13"/>
      <c r="E278" s="13"/>
      <c r="F278" s="45"/>
      <c r="G278" s="42"/>
      <c r="H278" s="42"/>
      <c r="I278" s="42"/>
      <c r="J278" s="22"/>
      <c r="K278" s="42"/>
    </row>
    <row r="279" ht="39.75" hidden="1" customHeight="1">
      <c r="A279" s="1">
        <v>278.0</v>
      </c>
      <c r="B279" s="2" t="s">
        <v>22</v>
      </c>
      <c r="C279" s="2" t="s">
        <v>13</v>
      </c>
      <c r="D279" s="13"/>
      <c r="E279" s="13"/>
      <c r="F279" s="45"/>
      <c r="G279" s="42"/>
      <c r="H279" s="42"/>
      <c r="I279" s="42"/>
      <c r="J279" s="22"/>
      <c r="K279" s="42"/>
    </row>
    <row r="280" ht="39.75" hidden="1" customHeight="1">
      <c r="A280" s="1">
        <v>279.0</v>
      </c>
      <c r="B280" s="2" t="s">
        <v>261</v>
      </c>
      <c r="C280" s="2" t="s">
        <v>13</v>
      </c>
      <c r="D280" s="13"/>
      <c r="E280" s="13"/>
      <c r="F280" s="45"/>
      <c r="G280" s="42"/>
      <c r="H280" s="42"/>
      <c r="I280" s="42"/>
      <c r="J280" s="22"/>
      <c r="K280" s="42"/>
    </row>
    <row r="281" ht="39.75" customHeight="1">
      <c r="A281" s="1">
        <v>280.0</v>
      </c>
      <c r="B281" s="2" t="s">
        <v>23</v>
      </c>
      <c r="C281" s="2" t="s">
        <v>66</v>
      </c>
      <c r="D281" s="13"/>
      <c r="E281" s="13"/>
      <c r="F281" s="45"/>
      <c r="G281" s="42"/>
      <c r="H281" s="42"/>
      <c r="I281" s="42"/>
      <c r="J281" s="22"/>
      <c r="K281" s="42"/>
    </row>
    <row r="282" ht="39.75" customHeight="1">
      <c r="A282" s="1">
        <v>281.0</v>
      </c>
      <c r="B282" s="2" t="s">
        <v>24</v>
      </c>
      <c r="C282" s="2" t="s">
        <v>3563</v>
      </c>
      <c r="D282" s="13"/>
      <c r="E282" s="13"/>
      <c r="F282" s="45"/>
      <c r="G282" s="43">
        <v>1.0</v>
      </c>
      <c r="H282" s="42"/>
      <c r="I282" s="42"/>
      <c r="J282" s="22"/>
      <c r="K282" s="42"/>
    </row>
    <row r="283" ht="39.75" customHeight="1">
      <c r="A283" s="1">
        <v>282.0</v>
      </c>
      <c r="B283" s="2" t="s">
        <v>25</v>
      </c>
      <c r="C283" s="2" t="s">
        <v>39</v>
      </c>
      <c r="D283" s="13"/>
      <c r="E283" s="13"/>
      <c r="F283" s="44" t="s">
        <v>3669</v>
      </c>
      <c r="G283" s="43">
        <v>1.0</v>
      </c>
      <c r="H283" s="42"/>
      <c r="I283" s="42"/>
      <c r="J283" s="22"/>
      <c r="K283" s="42"/>
    </row>
    <row r="284" ht="39.75" customHeight="1">
      <c r="A284" s="1">
        <v>283.0</v>
      </c>
      <c r="B284" s="2" t="s">
        <v>26</v>
      </c>
      <c r="C284" s="2" t="s">
        <v>3557</v>
      </c>
      <c r="D284" s="13"/>
      <c r="E284" s="13"/>
      <c r="F284" s="44" t="s">
        <v>3670</v>
      </c>
      <c r="G284" s="43">
        <v>1.0</v>
      </c>
      <c r="H284" s="42"/>
      <c r="I284" s="43"/>
      <c r="J284" s="22"/>
      <c r="K284" s="42"/>
    </row>
    <row r="285" ht="39.75" customHeight="1">
      <c r="A285" s="1">
        <v>284.0</v>
      </c>
      <c r="B285" s="2" t="s">
        <v>29</v>
      </c>
      <c r="C285" s="2"/>
      <c r="D285" s="13"/>
      <c r="E285" s="13"/>
      <c r="F285" s="44" t="s">
        <v>3671</v>
      </c>
      <c r="G285" s="43">
        <v>2.0</v>
      </c>
      <c r="H285" s="42"/>
      <c r="I285" s="43">
        <v>1.0</v>
      </c>
      <c r="J285" s="22"/>
      <c r="K285" s="42"/>
    </row>
    <row r="286" ht="39.75" customHeight="1">
      <c r="A286" s="1">
        <v>285.0</v>
      </c>
      <c r="B286" s="2" t="s">
        <v>32</v>
      </c>
      <c r="C286" s="2" t="s">
        <v>69</v>
      </c>
      <c r="D286" s="13"/>
      <c r="E286" s="13"/>
      <c r="F286" s="44" t="s">
        <v>3672</v>
      </c>
      <c r="G286" s="43">
        <v>1.0</v>
      </c>
      <c r="H286" s="42"/>
      <c r="I286" s="42"/>
      <c r="J286" s="22"/>
      <c r="K286" s="42"/>
    </row>
    <row r="287" ht="39.75" customHeight="1">
      <c r="A287" s="1">
        <v>286.0</v>
      </c>
      <c r="B287" s="2" t="s">
        <v>67</v>
      </c>
      <c r="C287" s="2"/>
      <c r="D287" s="91"/>
      <c r="E287" s="13"/>
      <c r="F287" s="44" t="s">
        <v>3673</v>
      </c>
      <c r="G287" s="43">
        <v>1.0</v>
      </c>
      <c r="H287" s="42"/>
      <c r="I287" s="42"/>
      <c r="J287" s="22"/>
      <c r="K287" s="42"/>
    </row>
    <row r="288" ht="39.75" customHeight="1">
      <c r="A288" s="1">
        <v>287.0</v>
      </c>
      <c r="B288" s="2" t="s">
        <v>35</v>
      </c>
      <c r="C288" s="2"/>
      <c r="D288" s="13"/>
      <c r="E288" s="13"/>
      <c r="F288" s="44" t="s">
        <v>3674</v>
      </c>
      <c r="G288" s="43">
        <v>1.0</v>
      </c>
      <c r="H288" s="42"/>
      <c r="I288" s="43">
        <v>1.0</v>
      </c>
      <c r="J288" s="22"/>
      <c r="K288" s="42"/>
    </row>
    <row r="289" ht="39.75" customHeight="1">
      <c r="A289" s="1">
        <v>288.0</v>
      </c>
      <c r="B289" s="2" t="s">
        <v>36</v>
      </c>
      <c r="C289" s="2" t="s">
        <v>3571</v>
      </c>
      <c r="D289" s="13"/>
      <c r="E289" s="13"/>
      <c r="F289" s="45"/>
      <c r="G289" s="42"/>
      <c r="H289" s="42"/>
      <c r="I289" s="42"/>
      <c r="J289" s="22"/>
      <c r="K289" s="42"/>
    </row>
    <row r="290" ht="39.75" customHeight="1">
      <c r="A290" s="1">
        <v>289.0</v>
      </c>
      <c r="B290" s="2" t="s">
        <v>38</v>
      </c>
      <c r="C290" s="2" t="s">
        <v>54</v>
      </c>
      <c r="D290" s="13"/>
      <c r="E290" s="13"/>
      <c r="F290" s="57" t="s">
        <v>3675</v>
      </c>
      <c r="G290" s="43">
        <v>1.0</v>
      </c>
      <c r="H290" s="43">
        <v>1.0</v>
      </c>
      <c r="I290" s="43"/>
      <c r="J290" s="22"/>
      <c r="K290" s="42"/>
    </row>
    <row r="291" ht="39.75" customHeight="1">
      <c r="A291" s="1">
        <v>290.0</v>
      </c>
      <c r="B291" s="2" t="s">
        <v>41</v>
      </c>
      <c r="C291" s="2"/>
      <c r="D291" s="13"/>
      <c r="E291" s="13"/>
      <c r="F291" s="57" t="s">
        <v>3676</v>
      </c>
      <c r="G291" s="43">
        <v>1.0</v>
      </c>
      <c r="H291" s="42"/>
      <c r="I291" s="43">
        <v>1.0</v>
      </c>
      <c r="J291" s="22"/>
      <c r="K291" s="42"/>
    </row>
    <row r="292" ht="39.75" customHeight="1">
      <c r="A292" s="1">
        <v>291.0</v>
      </c>
      <c r="B292" s="2" t="s">
        <v>42</v>
      </c>
      <c r="C292" s="2" t="s">
        <v>54</v>
      </c>
      <c r="D292" s="13"/>
      <c r="E292" s="13"/>
      <c r="F292" s="44" t="s">
        <v>3595</v>
      </c>
      <c r="G292" s="43">
        <v>1.0</v>
      </c>
      <c r="H292" s="42"/>
      <c r="I292" s="42"/>
      <c r="J292" s="22"/>
      <c r="K292" s="42"/>
    </row>
    <row r="293" ht="39.75" customHeight="1">
      <c r="A293" s="1">
        <v>292.0</v>
      </c>
      <c r="B293" s="2" t="s">
        <v>43</v>
      </c>
      <c r="C293" s="2" t="s">
        <v>54</v>
      </c>
      <c r="D293" s="13"/>
      <c r="E293" s="13"/>
      <c r="F293" s="44" t="s">
        <v>3677</v>
      </c>
      <c r="G293" s="43">
        <v>1.0</v>
      </c>
      <c r="H293" s="42"/>
      <c r="I293" s="42"/>
      <c r="J293" s="22"/>
      <c r="K293" s="42"/>
    </row>
    <row r="294" ht="39.75" customHeight="1">
      <c r="A294" s="1">
        <v>293.0</v>
      </c>
      <c r="B294" s="2" t="s">
        <v>267</v>
      </c>
      <c r="C294" s="2"/>
      <c r="D294" s="13"/>
      <c r="E294" s="13"/>
      <c r="F294" s="44" t="s">
        <v>3678</v>
      </c>
      <c r="G294" s="43">
        <v>1.0</v>
      </c>
      <c r="H294" s="42"/>
      <c r="I294" s="42"/>
      <c r="J294" s="22"/>
      <c r="K294" s="42"/>
    </row>
    <row r="295" ht="39.75" customHeight="1">
      <c r="A295" s="1">
        <v>294.0</v>
      </c>
      <c r="B295" s="2" t="s">
        <v>46</v>
      </c>
      <c r="C295" s="2" t="s">
        <v>3600</v>
      </c>
      <c r="D295" s="13"/>
      <c r="E295" s="13"/>
      <c r="F295" s="44"/>
      <c r="G295" s="42"/>
      <c r="H295" s="42"/>
      <c r="I295" s="42"/>
      <c r="J295" s="22"/>
      <c r="K295" s="42"/>
    </row>
    <row r="296" ht="39.75" customHeight="1">
      <c r="A296" s="1">
        <v>295.0</v>
      </c>
      <c r="B296" s="2" t="s">
        <v>47</v>
      </c>
      <c r="C296" s="2" t="s">
        <v>69</v>
      </c>
      <c r="D296" s="13"/>
      <c r="E296" s="13"/>
      <c r="F296" s="44" t="s">
        <v>3679</v>
      </c>
      <c r="G296" s="43">
        <v>1.0</v>
      </c>
      <c r="H296" s="42"/>
      <c r="I296" s="43">
        <v>1.0</v>
      </c>
      <c r="J296" s="22"/>
      <c r="K296" s="42"/>
    </row>
    <row r="297" ht="39.75" customHeight="1">
      <c r="A297" s="1">
        <v>296.0</v>
      </c>
      <c r="B297" s="2" t="s">
        <v>48</v>
      </c>
      <c r="C297" s="2" t="s">
        <v>54</v>
      </c>
      <c r="D297" s="13"/>
      <c r="E297" s="13"/>
      <c r="F297" s="44" t="s">
        <v>3680</v>
      </c>
      <c r="G297" s="43">
        <v>1.0</v>
      </c>
      <c r="H297" s="42"/>
      <c r="I297" s="42"/>
      <c r="J297" s="22"/>
      <c r="K297" s="42"/>
    </row>
    <row r="298" ht="39.75" customHeight="1">
      <c r="A298" s="1">
        <v>297.0</v>
      </c>
      <c r="B298" s="21"/>
      <c r="C298" s="21"/>
      <c r="D298" s="21"/>
      <c r="E298" s="21"/>
      <c r="F298" s="46"/>
      <c r="G298" s="47"/>
      <c r="H298" s="47"/>
      <c r="I298" s="47"/>
      <c r="J298" s="48"/>
      <c r="K298" s="47"/>
      <c r="L298" s="49"/>
      <c r="M298" s="49"/>
      <c r="N298" s="49"/>
    </row>
    <row r="299" ht="39.75" hidden="1" customHeight="1">
      <c r="A299" s="1">
        <v>298.0</v>
      </c>
      <c r="B299" s="2" t="s">
        <v>12</v>
      </c>
      <c r="C299" s="2" t="s">
        <v>13</v>
      </c>
      <c r="D299" s="13"/>
      <c r="E299" s="13"/>
      <c r="F299" s="61"/>
      <c r="G299" s="43"/>
      <c r="H299" s="42"/>
      <c r="I299" s="43"/>
      <c r="J299" s="27" t="s">
        <v>1161</v>
      </c>
      <c r="K299" s="42"/>
      <c r="L299" s="15" t="s">
        <v>228</v>
      </c>
    </row>
    <row r="300" ht="39.75" customHeight="1">
      <c r="A300" s="1">
        <v>299.0</v>
      </c>
      <c r="B300" s="2" t="s">
        <v>16</v>
      </c>
      <c r="C300" s="2"/>
      <c r="D300" s="13"/>
      <c r="E300" s="13"/>
      <c r="F300" s="44" t="s">
        <v>3681</v>
      </c>
      <c r="G300" s="43">
        <v>1.0</v>
      </c>
      <c r="H300" s="42"/>
      <c r="I300" s="43">
        <v>1.0</v>
      </c>
      <c r="J300" s="27" t="s">
        <v>228</v>
      </c>
      <c r="K300" s="43"/>
    </row>
    <row r="301" ht="39.75" customHeight="1">
      <c r="A301" s="1">
        <v>300.0</v>
      </c>
      <c r="B301" s="2" t="s">
        <v>116</v>
      </c>
      <c r="C301" s="2"/>
      <c r="D301" s="13"/>
      <c r="E301" s="13"/>
      <c r="F301" s="44" t="s">
        <v>3682</v>
      </c>
      <c r="G301" s="43">
        <v>1.0</v>
      </c>
      <c r="H301" s="42"/>
      <c r="I301" s="42"/>
      <c r="J301" s="27" t="s">
        <v>111</v>
      </c>
      <c r="K301" s="42"/>
    </row>
    <row r="302" ht="39.75" customHeight="1">
      <c r="A302" s="1">
        <v>301.0</v>
      </c>
      <c r="B302" s="2" t="s">
        <v>263</v>
      </c>
      <c r="C302" s="2" t="s">
        <v>66</v>
      </c>
      <c r="D302" s="13"/>
      <c r="E302" s="13"/>
      <c r="F302" s="44"/>
      <c r="G302" s="42"/>
      <c r="H302" s="42"/>
      <c r="I302" s="42"/>
      <c r="J302" s="27" t="s">
        <v>3588</v>
      </c>
      <c r="K302" s="42"/>
    </row>
    <row r="303" ht="39.75" customHeight="1">
      <c r="A303" s="1">
        <v>302.0</v>
      </c>
      <c r="B303" s="2" t="s">
        <v>17</v>
      </c>
      <c r="C303" s="2" t="s">
        <v>3603</v>
      </c>
      <c r="D303" s="13"/>
      <c r="E303" s="13"/>
      <c r="F303" s="44" t="s">
        <v>3392</v>
      </c>
      <c r="G303" s="43">
        <v>1.0</v>
      </c>
      <c r="H303" s="42"/>
      <c r="I303" s="42"/>
      <c r="J303" s="22"/>
      <c r="K303" s="42"/>
    </row>
    <row r="304" ht="39.75" customHeight="1">
      <c r="A304" s="1">
        <v>303.0</v>
      </c>
      <c r="B304" s="2" t="s">
        <v>331</v>
      </c>
      <c r="C304" s="2" t="s">
        <v>542</v>
      </c>
      <c r="D304" s="13"/>
      <c r="E304" s="13"/>
      <c r="F304" s="44" t="s">
        <v>3683</v>
      </c>
      <c r="G304" s="43">
        <v>2.0</v>
      </c>
      <c r="H304" s="42"/>
      <c r="I304" s="42"/>
      <c r="J304" s="22"/>
      <c r="K304" s="42"/>
    </row>
    <row r="305" ht="39.75" hidden="1" customHeight="1">
      <c r="A305" s="1">
        <v>304.0</v>
      </c>
      <c r="B305" s="2" t="s">
        <v>21</v>
      </c>
      <c r="C305" s="2" t="s">
        <v>13</v>
      </c>
      <c r="D305" s="40"/>
      <c r="E305" s="13"/>
      <c r="F305" s="44"/>
      <c r="G305" s="43"/>
      <c r="H305" s="42"/>
      <c r="I305" s="42"/>
      <c r="J305" s="22"/>
      <c r="K305" s="42"/>
    </row>
    <row r="306" ht="39.75" customHeight="1">
      <c r="A306" s="1">
        <v>305.0</v>
      </c>
      <c r="B306" s="2" t="s">
        <v>22</v>
      </c>
      <c r="C306" s="2" t="s">
        <v>69</v>
      </c>
      <c r="D306" s="13"/>
      <c r="E306" s="13"/>
      <c r="F306" s="44"/>
      <c r="G306" s="43"/>
      <c r="H306" s="42"/>
      <c r="I306" s="43"/>
      <c r="J306" s="22"/>
      <c r="K306" s="42"/>
    </row>
    <row r="307" ht="39.75" hidden="1" customHeight="1">
      <c r="A307" s="1">
        <v>306.0</v>
      </c>
      <c r="B307" s="2" t="s">
        <v>261</v>
      </c>
      <c r="C307" s="2" t="s">
        <v>13</v>
      </c>
      <c r="D307" s="13"/>
      <c r="E307" s="13"/>
      <c r="F307" s="45"/>
      <c r="G307" s="42"/>
      <c r="H307" s="42"/>
      <c r="I307" s="42"/>
      <c r="J307" s="22"/>
      <c r="K307" s="42"/>
    </row>
    <row r="308" ht="39.75" customHeight="1">
      <c r="A308" s="1">
        <v>307.0</v>
      </c>
      <c r="B308" s="2" t="s">
        <v>23</v>
      </c>
      <c r="C308" s="2" t="s">
        <v>3571</v>
      </c>
      <c r="D308" s="13"/>
      <c r="E308" s="13"/>
      <c r="F308" s="44" t="s">
        <v>3684</v>
      </c>
      <c r="G308" s="43">
        <v>1.0</v>
      </c>
      <c r="H308" s="42"/>
      <c r="I308" s="42"/>
      <c r="J308" s="22"/>
      <c r="K308" s="42"/>
    </row>
    <row r="309" ht="39.75" customHeight="1">
      <c r="A309" s="1">
        <v>308.0</v>
      </c>
      <c r="B309" s="2" t="s">
        <v>24</v>
      </c>
      <c r="C309" s="2" t="s">
        <v>3563</v>
      </c>
      <c r="D309" s="13"/>
      <c r="E309" s="13"/>
      <c r="F309" s="45"/>
      <c r="G309" s="42"/>
      <c r="H309" s="42"/>
      <c r="I309" s="42"/>
      <c r="J309" s="22"/>
      <c r="K309" s="42"/>
    </row>
    <row r="310" ht="39.75" customHeight="1">
      <c r="A310" s="1">
        <v>309.0</v>
      </c>
      <c r="B310" s="2" t="s">
        <v>25</v>
      </c>
      <c r="C310" s="2"/>
      <c r="D310" s="13"/>
      <c r="E310" s="13"/>
      <c r="F310" s="44" t="s">
        <v>3685</v>
      </c>
      <c r="G310" s="43">
        <v>1.0</v>
      </c>
      <c r="H310" s="42"/>
      <c r="I310" s="42"/>
      <c r="J310" s="22"/>
      <c r="K310" s="42"/>
    </row>
    <row r="311" ht="39.75" customHeight="1">
      <c r="A311" s="1">
        <v>310.0</v>
      </c>
      <c r="B311" s="2" t="s">
        <v>26</v>
      </c>
      <c r="C311" s="2"/>
      <c r="D311" s="13"/>
      <c r="E311" s="13"/>
      <c r="F311" s="44" t="s">
        <v>3686</v>
      </c>
      <c r="G311" s="43">
        <v>1.0</v>
      </c>
      <c r="H311" s="42"/>
      <c r="I311" s="42"/>
      <c r="J311" s="22"/>
      <c r="K311" s="42"/>
    </row>
    <row r="312" ht="39.75" customHeight="1">
      <c r="A312" s="1">
        <v>311.0</v>
      </c>
      <c r="B312" s="2" t="s">
        <v>29</v>
      </c>
      <c r="C312" s="2" t="s">
        <v>54</v>
      </c>
      <c r="D312" s="13"/>
      <c r="E312" s="13"/>
      <c r="F312" s="44" t="s">
        <v>3595</v>
      </c>
      <c r="G312" s="43">
        <v>1.0</v>
      </c>
      <c r="H312" s="42"/>
      <c r="I312" s="42"/>
      <c r="J312" s="22"/>
      <c r="K312" s="42"/>
    </row>
    <row r="313" ht="39.75" customHeight="1">
      <c r="A313" s="1">
        <v>312.0</v>
      </c>
      <c r="B313" s="2" t="s">
        <v>32</v>
      </c>
      <c r="C313" s="2" t="s">
        <v>69</v>
      </c>
      <c r="D313" s="13"/>
      <c r="E313" s="13"/>
      <c r="F313" s="44" t="s">
        <v>3687</v>
      </c>
      <c r="G313" s="43">
        <v>1.0</v>
      </c>
      <c r="H313" s="42"/>
      <c r="I313" s="43">
        <v>1.0</v>
      </c>
      <c r="J313" s="22"/>
      <c r="K313" s="42"/>
    </row>
    <row r="314" ht="39.75" customHeight="1">
      <c r="A314" s="1">
        <v>313.0</v>
      </c>
      <c r="B314" s="2" t="s">
        <v>67</v>
      </c>
      <c r="C314" s="2" t="s">
        <v>39</v>
      </c>
      <c r="D314" s="13"/>
      <c r="E314" s="13"/>
      <c r="F314" s="44" t="s">
        <v>3688</v>
      </c>
      <c r="G314" s="43">
        <v>2.0</v>
      </c>
      <c r="H314" s="42"/>
      <c r="I314" s="42"/>
      <c r="J314" s="22"/>
      <c r="K314" s="42"/>
    </row>
    <row r="315" ht="39.75" customHeight="1">
      <c r="A315" s="1">
        <v>314.0</v>
      </c>
      <c r="B315" s="2" t="s">
        <v>35</v>
      </c>
      <c r="C315" s="2"/>
      <c r="D315" s="13"/>
      <c r="E315" s="13"/>
      <c r="F315" s="44" t="s">
        <v>3689</v>
      </c>
      <c r="G315" s="43">
        <v>1.0</v>
      </c>
      <c r="H315" s="42"/>
      <c r="I315" s="42"/>
      <c r="J315" s="22"/>
      <c r="K315" s="42"/>
    </row>
    <row r="316" ht="39.75" customHeight="1">
      <c r="A316" s="1">
        <v>315.0</v>
      </c>
      <c r="B316" s="2" t="s">
        <v>36</v>
      </c>
      <c r="C316" s="2" t="s">
        <v>44</v>
      </c>
      <c r="D316" s="13"/>
      <c r="E316" s="13"/>
      <c r="F316" s="45"/>
      <c r="G316" s="42"/>
      <c r="H316" s="42"/>
      <c r="I316" s="42"/>
      <c r="J316" s="22"/>
      <c r="K316" s="42"/>
    </row>
    <row r="317" ht="39.75" customHeight="1">
      <c r="A317" s="1">
        <v>316.0</v>
      </c>
      <c r="B317" s="2" t="s">
        <v>38</v>
      </c>
      <c r="C317" s="2" t="s">
        <v>54</v>
      </c>
      <c r="D317" s="13"/>
      <c r="E317" s="13"/>
      <c r="F317" s="44" t="s">
        <v>3690</v>
      </c>
      <c r="G317" s="43">
        <v>1.0</v>
      </c>
      <c r="H317" s="42"/>
      <c r="I317" s="42"/>
      <c r="J317" s="22"/>
      <c r="K317" s="42"/>
    </row>
    <row r="318" ht="39.75" customHeight="1">
      <c r="A318" s="1">
        <v>317.0</v>
      </c>
      <c r="B318" s="2" t="s">
        <v>41</v>
      </c>
      <c r="C318" s="2" t="s">
        <v>39</v>
      </c>
      <c r="D318" s="13"/>
      <c r="E318" s="13"/>
      <c r="F318" s="44" t="s">
        <v>3691</v>
      </c>
      <c r="G318" s="43">
        <v>1.0</v>
      </c>
      <c r="H318" s="42"/>
      <c r="I318" s="42"/>
      <c r="J318" s="22"/>
      <c r="K318" s="42"/>
    </row>
    <row r="319" ht="39.75" customHeight="1">
      <c r="A319" s="1">
        <v>318.0</v>
      </c>
      <c r="B319" s="2" t="s">
        <v>42</v>
      </c>
      <c r="C319" s="2" t="s">
        <v>54</v>
      </c>
      <c r="D319" s="13"/>
      <c r="E319" s="13"/>
      <c r="F319" s="45"/>
      <c r="G319" s="42"/>
      <c r="H319" s="42"/>
      <c r="I319" s="42"/>
      <c r="J319" s="22"/>
      <c r="K319" s="42"/>
    </row>
    <row r="320" ht="39.75" customHeight="1">
      <c r="A320" s="1">
        <v>319.0</v>
      </c>
      <c r="B320" s="2" t="s">
        <v>43</v>
      </c>
      <c r="C320" s="2" t="s">
        <v>54</v>
      </c>
      <c r="D320" s="13"/>
      <c r="E320" s="13"/>
      <c r="F320" s="44" t="s">
        <v>3692</v>
      </c>
      <c r="G320" s="43">
        <v>1.0</v>
      </c>
      <c r="H320" s="42"/>
      <c r="I320" s="43"/>
      <c r="J320" s="22"/>
      <c r="K320" s="42"/>
    </row>
    <row r="321" ht="39.75" hidden="1" customHeight="1">
      <c r="A321" s="1">
        <v>320.0</v>
      </c>
      <c r="B321" s="2" t="s">
        <v>267</v>
      </c>
      <c r="C321" s="2" t="s">
        <v>13</v>
      </c>
      <c r="D321" s="13"/>
      <c r="E321" s="13"/>
      <c r="F321" s="44"/>
      <c r="G321" s="43"/>
      <c r="H321" s="42"/>
      <c r="I321" s="42"/>
      <c r="J321" s="22"/>
      <c r="K321" s="42"/>
    </row>
    <row r="322" ht="39.75" customHeight="1">
      <c r="A322" s="1">
        <v>321.0</v>
      </c>
      <c r="B322" s="2" t="s">
        <v>46</v>
      </c>
      <c r="C322" s="2" t="s">
        <v>3600</v>
      </c>
      <c r="D322" s="13"/>
      <c r="E322" s="13"/>
      <c r="F322" s="61"/>
      <c r="G322" s="43"/>
      <c r="H322" s="42"/>
      <c r="I322" s="43"/>
      <c r="J322" s="22"/>
      <c r="K322" s="42"/>
    </row>
    <row r="323" ht="39.75" customHeight="1">
      <c r="A323" s="1">
        <v>322.0</v>
      </c>
      <c r="B323" s="2" t="s">
        <v>47</v>
      </c>
      <c r="C323" s="2"/>
      <c r="D323" s="13"/>
      <c r="E323" s="13"/>
      <c r="F323" s="44" t="s">
        <v>3684</v>
      </c>
      <c r="G323" s="43">
        <v>1.0</v>
      </c>
      <c r="H323" s="42"/>
      <c r="I323" s="42"/>
      <c r="J323" s="22"/>
      <c r="K323" s="42"/>
    </row>
    <row r="324" ht="39.75" customHeight="1">
      <c r="A324" s="1">
        <v>323.0</v>
      </c>
      <c r="B324" s="2" t="s">
        <v>48</v>
      </c>
      <c r="C324" s="2" t="s">
        <v>69</v>
      </c>
      <c r="D324" s="13"/>
      <c r="E324" s="13"/>
      <c r="F324" s="44" t="s">
        <v>3693</v>
      </c>
      <c r="G324" s="43">
        <v>1.0</v>
      </c>
      <c r="H324" s="42"/>
      <c r="I324" s="43"/>
      <c r="J324" s="22"/>
      <c r="K324" s="42"/>
    </row>
    <row r="325" ht="39.75" customHeight="1">
      <c r="A325" s="1">
        <v>324.0</v>
      </c>
      <c r="B325" s="21"/>
      <c r="C325" s="21"/>
      <c r="D325" s="21"/>
      <c r="E325" s="21"/>
      <c r="F325" s="46"/>
      <c r="G325" s="47"/>
      <c r="H325" s="47"/>
      <c r="I325" s="47"/>
      <c r="J325" s="48"/>
      <c r="K325" s="47"/>
      <c r="L325" s="49"/>
      <c r="M325" s="49"/>
      <c r="N325" s="49"/>
    </row>
    <row r="326" ht="39.75" customHeight="1">
      <c r="A326" s="1">
        <v>325.0</v>
      </c>
      <c r="B326" s="2" t="s">
        <v>12</v>
      </c>
      <c r="C326" s="2" t="s">
        <v>66</v>
      </c>
      <c r="D326" s="13"/>
      <c r="E326" s="13"/>
      <c r="F326" s="45"/>
      <c r="G326" s="42"/>
      <c r="H326" s="42"/>
      <c r="I326" s="42"/>
      <c r="J326" s="22"/>
      <c r="K326" s="42"/>
      <c r="L326" s="15" t="s">
        <v>244</v>
      </c>
    </row>
    <row r="327" ht="39.75" hidden="1" customHeight="1">
      <c r="A327" s="1">
        <v>326.0</v>
      </c>
      <c r="B327" s="2" t="s">
        <v>16</v>
      </c>
      <c r="C327" s="2" t="s">
        <v>13</v>
      </c>
      <c r="D327" s="13"/>
      <c r="E327" s="13"/>
      <c r="F327" s="45"/>
      <c r="G327" s="42"/>
      <c r="H327" s="42"/>
      <c r="I327" s="42"/>
      <c r="J327" s="27" t="s">
        <v>244</v>
      </c>
      <c r="K327" s="43"/>
    </row>
    <row r="328" ht="39.75" customHeight="1">
      <c r="A328" s="1">
        <v>327.0</v>
      </c>
      <c r="B328" s="2" t="s">
        <v>116</v>
      </c>
      <c r="C328" s="2" t="s">
        <v>69</v>
      </c>
      <c r="D328" s="13"/>
      <c r="E328" s="13"/>
      <c r="F328" s="44"/>
      <c r="G328" s="43"/>
      <c r="H328" s="42"/>
      <c r="I328" s="43"/>
      <c r="J328" s="27" t="s">
        <v>131</v>
      </c>
      <c r="K328" s="42"/>
    </row>
    <row r="329" ht="39.75" customHeight="1">
      <c r="A329" s="1">
        <v>328.0</v>
      </c>
      <c r="B329" s="2" t="s">
        <v>263</v>
      </c>
      <c r="C329" s="2" t="s">
        <v>69</v>
      </c>
      <c r="D329" s="13"/>
      <c r="E329" s="13"/>
      <c r="F329" s="44"/>
      <c r="G329" s="42"/>
      <c r="H329" s="42"/>
      <c r="I329" s="42"/>
      <c r="J329" s="27" t="s">
        <v>3633</v>
      </c>
      <c r="K329" s="42"/>
    </row>
    <row r="330" ht="39.75" customHeight="1">
      <c r="A330" s="1">
        <v>329.0</v>
      </c>
      <c r="B330" s="2" t="s">
        <v>17</v>
      </c>
      <c r="C330" s="2" t="s">
        <v>3603</v>
      </c>
      <c r="D330" s="13"/>
      <c r="E330" s="13"/>
      <c r="F330" s="44" t="s">
        <v>3392</v>
      </c>
      <c r="G330" s="43">
        <v>1.0</v>
      </c>
      <c r="H330" s="42"/>
      <c r="I330" s="42"/>
      <c r="J330" s="22"/>
      <c r="K330" s="42"/>
    </row>
    <row r="331" ht="39.75" customHeight="1">
      <c r="A331" s="1">
        <v>330.0</v>
      </c>
      <c r="B331" s="2" t="s">
        <v>331</v>
      </c>
      <c r="C331" s="2" t="s">
        <v>542</v>
      </c>
      <c r="D331" s="13"/>
      <c r="E331" s="13"/>
      <c r="F331" s="44" t="s">
        <v>3694</v>
      </c>
      <c r="G331" s="43">
        <v>1.0</v>
      </c>
      <c r="H331" s="42"/>
      <c r="I331" s="42"/>
      <c r="J331" s="22"/>
      <c r="K331" s="42"/>
    </row>
    <row r="332" ht="39.75" hidden="1" customHeight="1">
      <c r="A332" s="1">
        <v>331.0</v>
      </c>
      <c r="B332" s="2" t="s">
        <v>21</v>
      </c>
      <c r="C332" s="2" t="s">
        <v>13</v>
      </c>
      <c r="D332" s="13"/>
      <c r="E332" s="13"/>
      <c r="F332" s="45"/>
      <c r="G332" s="42"/>
      <c r="H332" s="42"/>
      <c r="I332" s="42"/>
      <c r="J332" s="22"/>
      <c r="K332" s="42"/>
    </row>
    <row r="333" ht="39.75" customHeight="1">
      <c r="A333" s="1">
        <v>332.0</v>
      </c>
      <c r="B333" s="2" t="s">
        <v>22</v>
      </c>
      <c r="C333" s="2"/>
      <c r="D333" s="13"/>
      <c r="E333" s="13"/>
      <c r="F333" s="44" t="s">
        <v>3695</v>
      </c>
      <c r="G333" s="43">
        <v>1.0</v>
      </c>
      <c r="H333" s="42"/>
      <c r="I333" s="42"/>
      <c r="J333" s="22"/>
      <c r="K333" s="42"/>
    </row>
    <row r="334" ht="39.75" hidden="1" customHeight="1">
      <c r="A334" s="1">
        <v>333.0</v>
      </c>
      <c r="B334" s="2" t="s">
        <v>261</v>
      </c>
      <c r="C334" s="2" t="s">
        <v>13</v>
      </c>
      <c r="D334" s="13"/>
      <c r="E334" s="13"/>
      <c r="F334" s="45"/>
      <c r="G334" s="42"/>
      <c r="H334" s="42"/>
      <c r="I334" s="42"/>
      <c r="J334" s="22"/>
      <c r="K334" s="42"/>
    </row>
    <row r="335" ht="39.75" customHeight="1">
      <c r="A335" s="1">
        <v>334.0</v>
      </c>
      <c r="B335" s="2" t="s">
        <v>23</v>
      </c>
      <c r="C335" s="2" t="s">
        <v>44</v>
      </c>
      <c r="D335" s="13"/>
      <c r="E335" s="13"/>
      <c r="F335" s="44"/>
      <c r="G335" s="43"/>
      <c r="H335" s="42"/>
      <c r="I335" s="42"/>
      <c r="J335" s="22"/>
      <c r="K335" s="42"/>
    </row>
    <row r="336" ht="39.75" customHeight="1">
      <c r="A336" s="1">
        <v>335.0</v>
      </c>
      <c r="B336" s="2" t="s">
        <v>24</v>
      </c>
      <c r="C336" s="2" t="s">
        <v>3563</v>
      </c>
      <c r="D336" s="13"/>
      <c r="E336" s="13"/>
      <c r="F336" s="45"/>
      <c r="G336" s="42"/>
      <c r="H336" s="42"/>
      <c r="I336" s="42"/>
      <c r="J336" s="22"/>
      <c r="K336" s="42"/>
    </row>
    <row r="337" ht="39.75" customHeight="1">
      <c r="A337" s="1">
        <v>336.0</v>
      </c>
      <c r="B337" s="2" t="s">
        <v>25</v>
      </c>
      <c r="C337" s="2" t="s">
        <v>66</v>
      </c>
      <c r="D337" s="13"/>
      <c r="E337" s="13"/>
      <c r="F337" s="44"/>
      <c r="G337" s="43"/>
      <c r="H337" s="42"/>
      <c r="I337" s="42"/>
      <c r="J337" s="22"/>
      <c r="K337" s="42"/>
    </row>
    <row r="338" ht="39.75" customHeight="1">
      <c r="A338" s="1">
        <v>337.0</v>
      </c>
      <c r="B338" s="2" t="s">
        <v>26</v>
      </c>
      <c r="C338" s="2" t="s">
        <v>3557</v>
      </c>
      <c r="D338" s="13"/>
      <c r="E338" s="13"/>
      <c r="F338" s="44" t="s">
        <v>3696</v>
      </c>
      <c r="G338" s="43">
        <v>1.0</v>
      </c>
      <c r="H338" s="42"/>
      <c r="I338" s="42"/>
      <c r="J338" s="22"/>
      <c r="K338" s="42"/>
    </row>
    <row r="339" ht="39.75" customHeight="1">
      <c r="A339" s="1">
        <v>338.0</v>
      </c>
      <c r="B339" s="2" t="s">
        <v>29</v>
      </c>
      <c r="C339" s="2" t="s">
        <v>54</v>
      </c>
      <c r="D339" s="13"/>
      <c r="E339" s="13"/>
      <c r="F339" s="44" t="s">
        <v>3697</v>
      </c>
      <c r="G339" s="43">
        <v>1.0</v>
      </c>
      <c r="H339" s="42"/>
      <c r="I339" s="42"/>
      <c r="J339" s="22"/>
      <c r="K339" s="42"/>
    </row>
    <row r="340" ht="39.75" customHeight="1">
      <c r="A340" s="1">
        <v>339.0</v>
      </c>
      <c r="B340" s="2" t="s">
        <v>32</v>
      </c>
      <c r="C340" s="2" t="s">
        <v>39</v>
      </c>
      <c r="D340" s="13"/>
      <c r="E340" s="13"/>
      <c r="F340" s="44" t="s">
        <v>3698</v>
      </c>
      <c r="G340" s="43">
        <v>1.0</v>
      </c>
      <c r="H340" s="42"/>
      <c r="I340" s="42"/>
      <c r="J340" s="22"/>
      <c r="K340" s="42"/>
    </row>
    <row r="341" ht="39.75" hidden="1" customHeight="1">
      <c r="A341" s="1">
        <v>340.0</v>
      </c>
      <c r="B341" s="2" t="s">
        <v>67</v>
      </c>
      <c r="C341" s="2" t="s">
        <v>13</v>
      </c>
      <c r="D341" s="13"/>
      <c r="E341" s="13"/>
      <c r="F341" s="44"/>
      <c r="G341" s="42"/>
      <c r="H341" s="42"/>
      <c r="I341" s="42"/>
      <c r="J341" s="22"/>
      <c r="K341" s="42"/>
    </row>
    <row r="342" ht="39.75" customHeight="1">
      <c r="A342" s="1">
        <v>341.0</v>
      </c>
      <c r="B342" s="2" t="s">
        <v>35</v>
      </c>
      <c r="C342" s="2"/>
      <c r="D342" s="13"/>
      <c r="E342" s="13"/>
      <c r="F342" s="44" t="s">
        <v>3699</v>
      </c>
      <c r="G342" s="43">
        <v>1.0</v>
      </c>
      <c r="H342" s="42"/>
      <c r="I342" s="42"/>
      <c r="J342" s="22"/>
      <c r="K342" s="42"/>
    </row>
    <row r="343" ht="39.75" hidden="1" customHeight="1">
      <c r="A343" s="1">
        <v>342.0</v>
      </c>
      <c r="B343" s="2" t="s">
        <v>36</v>
      </c>
      <c r="C343" s="2" t="s">
        <v>13</v>
      </c>
      <c r="D343" s="13"/>
      <c r="E343" s="13"/>
      <c r="F343" s="45"/>
      <c r="G343" s="42"/>
      <c r="H343" s="42"/>
      <c r="I343" s="42"/>
      <c r="J343" s="22"/>
      <c r="K343" s="42"/>
    </row>
    <row r="344" ht="39.75" customHeight="1">
      <c r="A344" s="1">
        <v>343.0</v>
      </c>
      <c r="B344" s="2" t="s">
        <v>38</v>
      </c>
      <c r="C344" s="2" t="s">
        <v>54</v>
      </c>
      <c r="D344" s="13"/>
      <c r="E344" s="13"/>
      <c r="F344" s="44" t="s">
        <v>3700</v>
      </c>
      <c r="G344" s="43">
        <v>1.0</v>
      </c>
      <c r="H344" s="42"/>
      <c r="I344" s="43">
        <v>1.0</v>
      </c>
      <c r="J344" s="22"/>
      <c r="K344" s="42"/>
    </row>
    <row r="345" ht="39.75" customHeight="1">
      <c r="A345" s="1">
        <v>344.0</v>
      </c>
      <c r="B345" s="2" t="s">
        <v>41</v>
      </c>
      <c r="C345" s="13"/>
      <c r="D345" s="13"/>
      <c r="E345" s="13"/>
      <c r="F345" s="44" t="s">
        <v>3701</v>
      </c>
      <c r="G345" s="43">
        <v>1.0</v>
      </c>
      <c r="H345" s="42"/>
      <c r="I345" s="43">
        <v>1.0</v>
      </c>
      <c r="J345" s="22"/>
      <c r="K345" s="42"/>
    </row>
    <row r="346" ht="39.75" customHeight="1">
      <c r="A346" s="1">
        <v>345.0</v>
      </c>
      <c r="B346" s="2" t="s">
        <v>42</v>
      </c>
      <c r="C346" s="2" t="s">
        <v>54</v>
      </c>
      <c r="D346" s="13"/>
      <c r="E346" s="13"/>
      <c r="F346" s="44" t="s">
        <v>3702</v>
      </c>
      <c r="G346" s="43">
        <v>1.0</v>
      </c>
      <c r="H346" s="42"/>
      <c r="I346" s="42"/>
      <c r="J346" s="22"/>
      <c r="K346" s="42"/>
    </row>
    <row r="347" ht="39.75" customHeight="1">
      <c r="A347" s="1">
        <v>346.0</v>
      </c>
      <c r="B347" s="2" t="s">
        <v>43</v>
      </c>
      <c r="C347" s="2" t="s">
        <v>54</v>
      </c>
      <c r="D347" s="13"/>
      <c r="E347" s="13"/>
      <c r="F347" s="44" t="s">
        <v>3703</v>
      </c>
      <c r="G347" s="43">
        <v>1.0</v>
      </c>
      <c r="H347" s="42"/>
      <c r="I347" s="42"/>
      <c r="J347" s="22"/>
      <c r="K347" s="42"/>
    </row>
    <row r="348" ht="39.75" customHeight="1">
      <c r="A348" s="1">
        <v>347.0</v>
      </c>
      <c r="B348" s="2" t="s">
        <v>267</v>
      </c>
      <c r="C348" s="2" t="s">
        <v>69</v>
      </c>
      <c r="D348" s="13"/>
      <c r="E348" s="13"/>
      <c r="F348" s="45"/>
      <c r="G348" s="42"/>
      <c r="H348" s="42"/>
      <c r="I348" s="42"/>
      <c r="J348" s="22"/>
      <c r="K348" s="42"/>
    </row>
    <row r="349" ht="39.75" customHeight="1">
      <c r="A349" s="1">
        <v>348.0</v>
      </c>
      <c r="B349" s="2" t="s">
        <v>46</v>
      </c>
      <c r="C349" s="2" t="s">
        <v>3600</v>
      </c>
      <c r="D349" s="13"/>
      <c r="E349" s="13"/>
      <c r="F349" s="61"/>
      <c r="G349" s="43"/>
      <c r="H349" s="42"/>
      <c r="I349" s="43"/>
      <c r="J349" s="22"/>
      <c r="K349" s="42"/>
    </row>
    <row r="350" ht="39.75" customHeight="1">
      <c r="A350" s="1">
        <v>349.0</v>
      </c>
      <c r="B350" s="2" t="s">
        <v>47</v>
      </c>
      <c r="C350" s="2" t="s">
        <v>39</v>
      </c>
      <c r="D350" s="13"/>
      <c r="E350" s="13"/>
      <c r="F350" s="44" t="s">
        <v>3704</v>
      </c>
      <c r="G350" s="43">
        <v>1.0</v>
      </c>
      <c r="H350" s="42"/>
      <c r="I350" s="42"/>
      <c r="J350" s="22"/>
      <c r="K350" s="42"/>
    </row>
    <row r="351" ht="39.75" customHeight="1">
      <c r="A351" s="1">
        <v>350.0</v>
      </c>
      <c r="B351" s="2" t="s">
        <v>48</v>
      </c>
      <c r="C351" s="2" t="s">
        <v>3571</v>
      </c>
      <c r="D351" s="13"/>
      <c r="E351" s="13"/>
      <c r="F351" s="44"/>
      <c r="G351" s="43"/>
      <c r="H351" s="42"/>
      <c r="I351" s="43"/>
      <c r="J351" s="22"/>
      <c r="K351" s="42"/>
    </row>
    <row r="352" ht="39.75" customHeight="1">
      <c r="A352" s="1">
        <v>351.0</v>
      </c>
      <c r="B352" s="21"/>
      <c r="C352" s="21"/>
      <c r="D352" s="21"/>
      <c r="E352" s="21"/>
      <c r="F352" s="46"/>
      <c r="G352" s="47"/>
      <c r="H352" s="47"/>
      <c r="I352" s="47"/>
      <c r="J352" s="48"/>
      <c r="K352" s="47"/>
      <c r="L352" s="49"/>
      <c r="M352" s="49"/>
      <c r="N352" s="49"/>
    </row>
    <row r="353" ht="39.75" customHeight="1">
      <c r="A353" s="1">
        <v>352.0</v>
      </c>
      <c r="B353" s="2" t="s">
        <v>12</v>
      </c>
      <c r="C353" s="2"/>
      <c r="D353" s="13"/>
      <c r="E353" s="13"/>
      <c r="F353" s="45"/>
      <c r="G353" s="42"/>
      <c r="H353" s="42"/>
      <c r="I353" s="42"/>
      <c r="J353" s="22"/>
      <c r="K353" s="42"/>
      <c r="L353" s="15" t="s">
        <v>260</v>
      </c>
    </row>
    <row r="354" ht="39.75" hidden="1" customHeight="1">
      <c r="A354" s="1">
        <v>353.0</v>
      </c>
      <c r="B354" s="2" t="s">
        <v>16</v>
      </c>
      <c r="C354" s="2" t="s">
        <v>13</v>
      </c>
      <c r="D354" s="13"/>
      <c r="E354" s="13"/>
      <c r="F354" s="45"/>
      <c r="G354" s="42"/>
      <c r="H354" s="42"/>
      <c r="I354" s="42"/>
      <c r="J354" s="27" t="s">
        <v>260</v>
      </c>
      <c r="K354" s="43"/>
    </row>
    <row r="355" ht="39.75" hidden="1" customHeight="1">
      <c r="A355" s="1">
        <v>354.0</v>
      </c>
      <c r="B355" s="2" t="s">
        <v>116</v>
      </c>
      <c r="C355" s="2" t="s">
        <v>13</v>
      </c>
      <c r="D355" s="13"/>
      <c r="E355" s="13"/>
      <c r="F355" s="45"/>
      <c r="G355" s="42"/>
      <c r="H355" s="42"/>
      <c r="I355" s="42"/>
      <c r="J355" s="27" t="s">
        <v>149</v>
      </c>
      <c r="K355" s="42"/>
    </row>
    <row r="356" ht="39.75" customHeight="1">
      <c r="A356" s="1">
        <v>355.0</v>
      </c>
      <c r="B356" s="2" t="s">
        <v>263</v>
      </c>
      <c r="C356" s="2"/>
      <c r="D356" s="13"/>
      <c r="E356" s="13"/>
      <c r="F356" s="44"/>
      <c r="G356" s="42"/>
      <c r="H356" s="42"/>
      <c r="I356" s="42"/>
      <c r="J356" s="27" t="s">
        <v>3705</v>
      </c>
      <c r="K356" s="42"/>
    </row>
    <row r="357" ht="39.75" customHeight="1">
      <c r="A357" s="1">
        <v>356.0</v>
      </c>
      <c r="B357" s="2" t="s">
        <v>17</v>
      </c>
      <c r="C357" s="2"/>
      <c r="D357" s="13"/>
      <c r="E357" s="13"/>
      <c r="F357" s="45"/>
      <c r="G357" s="42"/>
      <c r="H357" s="42"/>
      <c r="I357" s="42"/>
      <c r="J357" s="27" t="s">
        <v>3706</v>
      </c>
      <c r="K357" s="42"/>
    </row>
    <row r="358" ht="39.75" hidden="1" customHeight="1">
      <c r="A358" s="1">
        <v>357.0</v>
      </c>
      <c r="B358" s="2" t="s">
        <v>331</v>
      </c>
      <c r="C358" s="2" t="s">
        <v>13</v>
      </c>
      <c r="D358" s="13"/>
      <c r="E358" s="13"/>
      <c r="F358" s="44"/>
      <c r="G358" s="42"/>
      <c r="H358" s="42"/>
      <c r="I358" s="42"/>
      <c r="J358" s="27" t="s">
        <v>167</v>
      </c>
      <c r="K358" s="42"/>
    </row>
    <row r="359" ht="39.75" hidden="1" customHeight="1">
      <c r="A359" s="1">
        <v>358.0</v>
      </c>
      <c r="B359" s="2" t="s">
        <v>21</v>
      </c>
      <c r="C359" s="2" t="s">
        <v>13</v>
      </c>
      <c r="D359" s="13"/>
      <c r="E359" s="13"/>
      <c r="F359" s="45"/>
      <c r="G359" s="42"/>
      <c r="H359" s="42"/>
      <c r="I359" s="42"/>
      <c r="J359" s="22"/>
      <c r="K359" s="42"/>
    </row>
    <row r="360" ht="39.75" hidden="1" customHeight="1">
      <c r="A360" s="1">
        <v>359.0</v>
      </c>
      <c r="B360" s="2" t="s">
        <v>22</v>
      </c>
      <c r="C360" s="2" t="s">
        <v>13</v>
      </c>
      <c r="D360" s="13"/>
      <c r="E360" s="13"/>
      <c r="F360" s="45"/>
      <c r="G360" s="42"/>
      <c r="H360" s="42"/>
      <c r="I360" s="42"/>
      <c r="J360" s="22"/>
      <c r="K360" s="42"/>
    </row>
    <row r="361" ht="39.75" hidden="1" customHeight="1">
      <c r="A361" s="1">
        <v>360.0</v>
      </c>
      <c r="B361" s="2" t="s">
        <v>261</v>
      </c>
      <c r="C361" s="2" t="s">
        <v>13</v>
      </c>
      <c r="D361" s="13"/>
      <c r="E361" s="13"/>
      <c r="F361" s="45"/>
      <c r="G361" s="42"/>
      <c r="H361" s="42"/>
      <c r="I361" s="42"/>
      <c r="J361" s="22"/>
      <c r="K361" s="42"/>
    </row>
    <row r="362" ht="39.75" hidden="1" customHeight="1">
      <c r="A362" s="1">
        <v>361.0</v>
      </c>
      <c r="B362" s="2" t="s">
        <v>23</v>
      </c>
      <c r="C362" s="2" t="s">
        <v>13</v>
      </c>
      <c r="D362" s="13"/>
      <c r="E362" s="13"/>
      <c r="F362" s="45"/>
      <c r="G362" s="42"/>
      <c r="H362" s="42"/>
      <c r="I362" s="42"/>
      <c r="J362" s="22"/>
      <c r="K362" s="42"/>
    </row>
    <row r="363" ht="39.75" hidden="1" customHeight="1">
      <c r="A363" s="1">
        <v>362.0</v>
      </c>
      <c r="B363" s="2" t="s">
        <v>24</v>
      </c>
      <c r="C363" s="2" t="s">
        <v>13</v>
      </c>
      <c r="D363" s="13"/>
      <c r="E363" s="13"/>
      <c r="F363" s="45"/>
      <c r="G363" s="42"/>
      <c r="H363" s="42"/>
      <c r="I363" s="42"/>
      <c r="J363" s="22"/>
      <c r="K363" s="42"/>
    </row>
    <row r="364" ht="39.75" hidden="1" customHeight="1">
      <c r="A364" s="1">
        <v>363.0</v>
      </c>
      <c r="B364" s="2" t="s">
        <v>25</v>
      </c>
      <c r="C364" s="2" t="s">
        <v>13</v>
      </c>
      <c r="D364" s="13"/>
      <c r="E364" s="13"/>
      <c r="F364" s="45"/>
      <c r="G364" s="42"/>
      <c r="H364" s="42"/>
      <c r="I364" s="42"/>
      <c r="J364" s="22"/>
      <c r="K364" s="42"/>
    </row>
    <row r="365" ht="39.75" hidden="1" customHeight="1">
      <c r="A365" s="1">
        <v>364.0</v>
      </c>
      <c r="B365" s="2" t="s">
        <v>26</v>
      </c>
      <c r="C365" s="2" t="s">
        <v>13</v>
      </c>
      <c r="D365" s="13"/>
      <c r="E365" s="13"/>
      <c r="F365" s="45"/>
      <c r="G365" s="42"/>
      <c r="H365" s="42"/>
      <c r="I365" s="42"/>
      <c r="J365" s="22"/>
      <c r="K365" s="42"/>
    </row>
    <row r="366" ht="39.75" customHeight="1">
      <c r="A366" s="1">
        <v>365.0</v>
      </c>
      <c r="B366" s="2" t="s">
        <v>29</v>
      </c>
      <c r="C366" s="2"/>
      <c r="D366" s="13"/>
      <c r="E366" s="13"/>
      <c r="F366" s="45"/>
      <c r="G366" s="42"/>
      <c r="H366" s="42"/>
      <c r="I366" s="42"/>
      <c r="J366" s="22"/>
      <c r="K366" s="42"/>
    </row>
    <row r="367" ht="39.75" hidden="1" customHeight="1">
      <c r="A367" s="1">
        <v>366.0</v>
      </c>
      <c r="B367" s="2" t="s">
        <v>32</v>
      </c>
      <c r="C367" s="2" t="s">
        <v>13</v>
      </c>
      <c r="D367" s="13"/>
      <c r="E367" s="13"/>
      <c r="F367" s="45"/>
      <c r="G367" s="42"/>
      <c r="H367" s="42"/>
      <c r="I367" s="42"/>
      <c r="J367" s="22"/>
      <c r="K367" s="42"/>
    </row>
    <row r="368" ht="39.75" hidden="1" customHeight="1">
      <c r="A368" s="1">
        <v>367.0</v>
      </c>
      <c r="B368" s="2" t="s">
        <v>67</v>
      </c>
      <c r="C368" s="2" t="s">
        <v>13</v>
      </c>
      <c r="D368" s="13"/>
      <c r="E368" s="13"/>
      <c r="F368" s="45"/>
      <c r="G368" s="42"/>
      <c r="H368" s="42"/>
      <c r="I368" s="42"/>
      <c r="J368" s="22"/>
      <c r="K368" s="42"/>
    </row>
    <row r="369" ht="39.75" customHeight="1">
      <c r="A369" s="1">
        <v>368.0</v>
      </c>
      <c r="B369" s="2" t="s">
        <v>35</v>
      </c>
      <c r="C369" s="2" t="s">
        <v>3563</v>
      </c>
      <c r="D369" s="13"/>
      <c r="E369" s="13"/>
      <c r="F369" s="45"/>
      <c r="G369" s="42"/>
      <c r="H369" s="42"/>
      <c r="I369" s="42"/>
      <c r="J369" s="22"/>
      <c r="K369" s="42"/>
    </row>
    <row r="370" ht="39.75" hidden="1" customHeight="1">
      <c r="A370" s="1">
        <v>369.0</v>
      </c>
      <c r="B370" s="2" t="s">
        <v>36</v>
      </c>
      <c r="C370" s="2" t="s">
        <v>13</v>
      </c>
      <c r="D370" s="13"/>
      <c r="E370" s="13"/>
      <c r="F370" s="45"/>
      <c r="G370" s="42"/>
      <c r="H370" s="42"/>
      <c r="I370" s="42"/>
      <c r="J370" s="22"/>
      <c r="K370" s="42"/>
    </row>
    <row r="371" ht="39.75" hidden="1" customHeight="1">
      <c r="A371" s="1">
        <v>370.0</v>
      </c>
      <c r="B371" s="2" t="s">
        <v>38</v>
      </c>
      <c r="C371" s="2" t="s">
        <v>13</v>
      </c>
      <c r="D371" s="13"/>
      <c r="E371" s="13"/>
      <c r="F371" s="45"/>
      <c r="G371" s="42"/>
      <c r="H371" s="42"/>
      <c r="I371" s="42"/>
      <c r="J371" s="22"/>
      <c r="K371" s="42"/>
    </row>
    <row r="372" ht="39.75" customHeight="1">
      <c r="A372" s="1">
        <v>371.0</v>
      </c>
      <c r="B372" s="2" t="s">
        <v>41</v>
      </c>
      <c r="C372" s="2" t="s">
        <v>3571</v>
      </c>
      <c r="D372" s="13"/>
      <c r="E372" s="13"/>
      <c r="F372" s="44"/>
      <c r="G372" s="43"/>
      <c r="H372" s="42"/>
      <c r="I372" s="43"/>
      <c r="J372" s="22"/>
      <c r="K372" s="42"/>
    </row>
    <row r="373" ht="39.75" hidden="1" customHeight="1">
      <c r="A373" s="1">
        <v>372.0</v>
      </c>
      <c r="B373" s="2" t="s">
        <v>42</v>
      </c>
      <c r="C373" s="2" t="s">
        <v>13</v>
      </c>
      <c r="D373" s="13"/>
      <c r="E373" s="13"/>
      <c r="F373" s="45"/>
      <c r="G373" s="42"/>
      <c r="H373" s="42"/>
      <c r="I373" s="42"/>
      <c r="J373" s="22"/>
      <c r="K373" s="42"/>
    </row>
    <row r="374" ht="39.75" hidden="1" customHeight="1">
      <c r="A374" s="1">
        <v>373.0</v>
      </c>
      <c r="B374" s="2" t="s">
        <v>43</v>
      </c>
      <c r="C374" s="2" t="s">
        <v>13</v>
      </c>
      <c r="D374" s="13"/>
      <c r="E374" s="13"/>
      <c r="F374" s="45"/>
      <c r="G374" s="42"/>
      <c r="H374" s="42"/>
      <c r="I374" s="42"/>
      <c r="J374" s="22"/>
      <c r="K374" s="42"/>
    </row>
    <row r="375" ht="39.75" hidden="1" customHeight="1">
      <c r="A375" s="1">
        <v>374.0</v>
      </c>
      <c r="B375" s="2" t="s">
        <v>267</v>
      </c>
      <c r="C375" s="2" t="s">
        <v>13</v>
      </c>
      <c r="D375" s="13"/>
      <c r="E375" s="13"/>
      <c r="F375" s="44"/>
      <c r="G375" s="43"/>
      <c r="H375" s="42"/>
      <c r="I375" s="43"/>
      <c r="J375" s="22"/>
      <c r="K375" s="42"/>
    </row>
    <row r="376" ht="39.75" customHeight="1">
      <c r="A376" s="1">
        <v>375.0</v>
      </c>
      <c r="B376" s="2" t="s">
        <v>46</v>
      </c>
      <c r="C376" s="2" t="s">
        <v>3557</v>
      </c>
      <c r="D376" s="13"/>
      <c r="E376" s="13"/>
      <c r="F376" s="44"/>
      <c r="G376" s="42"/>
      <c r="H376" s="42"/>
      <c r="I376" s="42"/>
      <c r="J376" s="22"/>
      <c r="K376" s="42"/>
    </row>
    <row r="377" ht="39.75" hidden="1" customHeight="1">
      <c r="A377" s="1">
        <v>376.0</v>
      </c>
      <c r="B377" s="2" t="s">
        <v>47</v>
      </c>
      <c r="C377" s="2" t="s">
        <v>13</v>
      </c>
      <c r="D377" s="13"/>
      <c r="E377" s="13"/>
      <c r="F377" s="45"/>
      <c r="G377" s="42"/>
      <c r="H377" s="42"/>
      <c r="I377" s="42"/>
      <c r="J377" s="22"/>
      <c r="K377" s="42"/>
    </row>
    <row r="378" ht="39.75" customHeight="1">
      <c r="A378" s="1">
        <v>377.0</v>
      </c>
      <c r="B378" s="2" t="s">
        <v>48</v>
      </c>
      <c r="C378" s="2" t="s">
        <v>44</v>
      </c>
      <c r="D378" s="13"/>
      <c r="E378" s="13"/>
      <c r="F378" s="44"/>
      <c r="G378" s="43"/>
      <c r="H378" s="42"/>
      <c r="I378" s="42"/>
      <c r="J378" s="22"/>
      <c r="K378" s="42"/>
    </row>
    <row r="379" ht="39.75" customHeight="1">
      <c r="A379" s="1">
        <v>378.0</v>
      </c>
      <c r="B379" s="21"/>
      <c r="C379" s="21"/>
      <c r="D379" s="21"/>
      <c r="E379" s="21"/>
      <c r="F379" s="46"/>
      <c r="G379" s="47"/>
      <c r="H379" s="47"/>
      <c r="I379" s="47"/>
      <c r="J379" s="48"/>
      <c r="K379" s="47"/>
      <c r="L379" s="49"/>
      <c r="M379" s="49"/>
      <c r="N379" s="49"/>
    </row>
    <row r="380" ht="39.75" hidden="1" customHeight="1">
      <c r="A380" s="1">
        <v>379.0</v>
      </c>
      <c r="B380" s="2" t="s">
        <v>12</v>
      </c>
      <c r="C380" s="2" t="s">
        <v>13</v>
      </c>
      <c r="D380" s="13"/>
      <c r="E380" s="2"/>
      <c r="F380" s="45"/>
      <c r="G380" s="42"/>
      <c r="H380" s="42"/>
      <c r="I380" s="42"/>
      <c r="J380" s="22"/>
      <c r="K380" s="42"/>
      <c r="L380" s="15" t="s">
        <v>269</v>
      </c>
    </row>
    <row r="381" ht="39.75" customHeight="1">
      <c r="A381" s="1">
        <v>380.0</v>
      </c>
      <c r="B381" s="2" t="s">
        <v>16</v>
      </c>
      <c r="C381" s="2" t="s">
        <v>3560</v>
      </c>
      <c r="D381" s="13"/>
      <c r="E381" s="13"/>
      <c r="F381" s="44" t="s">
        <v>1178</v>
      </c>
      <c r="G381" s="43">
        <v>1.0</v>
      </c>
      <c r="H381" s="42"/>
      <c r="I381" s="43">
        <v>1.0</v>
      </c>
      <c r="J381" s="27" t="s">
        <v>269</v>
      </c>
      <c r="K381" s="43"/>
    </row>
    <row r="382" ht="39.75" hidden="1" customHeight="1">
      <c r="A382" s="1">
        <v>381.0</v>
      </c>
      <c r="B382" s="2" t="s">
        <v>116</v>
      </c>
      <c r="C382" s="2" t="s">
        <v>13</v>
      </c>
      <c r="D382" s="13"/>
      <c r="E382" s="13"/>
      <c r="F382" s="45"/>
      <c r="G382" s="42"/>
      <c r="H382" s="42"/>
      <c r="I382" s="42"/>
      <c r="J382" s="27" t="s">
        <v>19</v>
      </c>
      <c r="K382" s="42"/>
    </row>
    <row r="383" ht="39.75" hidden="1" customHeight="1">
      <c r="A383" s="1">
        <v>382.0</v>
      </c>
      <c r="B383" s="2" t="s">
        <v>263</v>
      </c>
      <c r="C383" s="2" t="s">
        <v>13</v>
      </c>
      <c r="D383" s="13"/>
      <c r="E383" s="13"/>
      <c r="F383" s="44"/>
      <c r="G383" s="42"/>
      <c r="H383" s="42"/>
      <c r="I383" s="42"/>
      <c r="J383" s="27" t="s">
        <v>151</v>
      </c>
      <c r="K383" s="42"/>
    </row>
    <row r="384" ht="39.75" hidden="1" customHeight="1">
      <c r="A384" s="1">
        <v>383.0</v>
      </c>
      <c r="B384" s="2" t="s">
        <v>17</v>
      </c>
      <c r="C384" s="2" t="s">
        <v>13</v>
      </c>
      <c r="D384" s="13"/>
      <c r="E384" s="13"/>
      <c r="F384" s="45"/>
      <c r="G384" s="42"/>
      <c r="H384" s="42"/>
      <c r="I384" s="42"/>
      <c r="J384" s="27" t="s">
        <v>152</v>
      </c>
      <c r="K384" s="42"/>
    </row>
    <row r="385" ht="39.75" hidden="1" customHeight="1">
      <c r="A385" s="1">
        <v>384.0</v>
      </c>
      <c r="B385" s="2" t="s">
        <v>331</v>
      </c>
      <c r="C385" s="2" t="s">
        <v>13</v>
      </c>
      <c r="D385" s="13"/>
      <c r="E385" s="13"/>
      <c r="F385" s="45"/>
      <c r="G385" s="42"/>
      <c r="H385" s="42"/>
      <c r="I385" s="42"/>
      <c r="J385" s="27" t="s">
        <v>154</v>
      </c>
      <c r="K385" s="42"/>
    </row>
    <row r="386" ht="39.75" hidden="1" customHeight="1">
      <c r="A386" s="1">
        <v>385.0</v>
      </c>
      <c r="B386" s="2" t="s">
        <v>21</v>
      </c>
      <c r="C386" s="2" t="s">
        <v>13</v>
      </c>
      <c r="D386" s="13"/>
      <c r="E386" s="13"/>
      <c r="F386" s="45"/>
      <c r="G386" s="42"/>
      <c r="H386" s="42"/>
      <c r="I386" s="42"/>
      <c r="J386" s="22"/>
      <c r="K386" s="42"/>
    </row>
    <row r="387" ht="39.75" hidden="1" customHeight="1">
      <c r="A387" s="1">
        <v>386.0</v>
      </c>
      <c r="B387" s="2" t="s">
        <v>22</v>
      </c>
      <c r="C387" s="2" t="s">
        <v>13</v>
      </c>
      <c r="D387" s="40"/>
      <c r="E387" s="40"/>
      <c r="F387" s="44"/>
      <c r="G387" s="43"/>
      <c r="H387" s="42"/>
      <c r="I387" s="43"/>
      <c r="J387" s="22"/>
      <c r="K387" s="42"/>
    </row>
    <row r="388" ht="39.75" hidden="1" customHeight="1">
      <c r="A388" s="1">
        <v>387.0</v>
      </c>
      <c r="B388" s="2" t="s">
        <v>261</v>
      </c>
      <c r="C388" s="2" t="s">
        <v>13</v>
      </c>
      <c r="D388" s="13"/>
      <c r="E388" s="13"/>
      <c r="F388" s="45"/>
      <c r="G388" s="42"/>
      <c r="H388" s="42"/>
      <c r="I388" s="42"/>
      <c r="J388" s="22"/>
      <c r="K388" s="42"/>
    </row>
    <row r="389" ht="39.75" hidden="1" customHeight="1">
      <c r="A389" s="1">
        <v>388.0</v>
      </c>
      <c r="B389" s="2" t="s">
        <v>23</v>
      </c>
      <c r="C389" s="2" t="s">
        <v>13</v>
      </c>
      <c r="D389" s="40"/>
      <c r="E389" s="40"/>
      <c r="F389" s="44"/>
      <c r="G389" s="43"/>
      <c r="H389" s="42"/>
      <c r="I389" s="42"/>
      <c r="J389" s="22"/>
      <c r="K389" s="42"/>
    </row>
    <row r="390" ht="39.75" hidden="1" customHeight="1">
      <c r="A390" s="1">
        <v>389.0</v>
      </c>
      <c r="B390" s="2" t="s">
        <v>24</v>
      </c>
      <c r="C390" s="2" t="s">
        <v>13</v>
      </c>
      <c r="D390" s="13"/>
      <c r="E390" s="13"/>
      <c r="F390" s="45"/>
      <c r="G390" s="42"/>
      <c r="H390" s="42"/>
      <c r="I390" s="42"/>
      <c r="J390" s="22"/>
      <c r="K390" s="42"/>
    </row>
    <row r="391" ht="39.75" hidden="1" customHeight="1">
      <c r="A391" s="1">
        <v>390.0</v>
      </c>
      <c r="B391" s="2" t="s">
        <v>25</v>
      </c>
      <c r="C391" s="2" t="s">
        <v>13</v>
      </c>
      <c r="D391" s="13"/>
      <c r="E391" s="13"/>
      <c r="F391" s="45"/>
      <c r="G391" s="42"/>
      <c r="H391" s="42"/>
      <c r="I391" s="42"/>
      <c r="J391" s="22"/>
      <c r="K391" s="42"/>
    </row>
    <row r="392" ht="39.75" hidden="1" customHeight="1">
      <c r="A392" s="1">
        <v>391.0</v>
      </c>
      <c r="B392" s="2" t="s">
        <v>26</v>
      </c>
      <c r="C392" s="2" t="s">
        <v>13</v>
      </c>
      <c r="D392" s="40"/>
      <c r="E392" s="40"/>
      <c r="F392" s="44"/>
      <c r="G392" s="43"/>
      <c r="H392" s="42"/>
      <c r="I392" s="42"/>
      <c r="J392" s="22"/>
      <c r="K392" s="42"/>
    </row>
    <row r="393" ht="39.75" hidden="1" customHeight="1">
      <c r="A393" s="1">
        <v>392.0</v>
      </c>
      <c r="B393" s="2" t="s">
        <v>29</v>
      </c>
      <c r="C393" s="2" t="s">
        <v>13</v>
      </c>
      <c r="D393" s="13"/>
      <c r="E393" s="13"/>
      <c r="F393" s="45"/>
      <c r="G393" s="42"/>
      <c r="H393" s="42"/>
      <c r="I393" s="42"/>
      <c r="J393" s="22"/>
      <c r="K393" s="42"/>
    </row>
    <row r="394" ht="39.75" hidden="1" customHeight="1">
      <c r="A394" s="1">
        <v>393.0</v>
      </c>
      <c r="B394" s="2" t="s">
        <v>32</v>
      </c>
      <c r="C394" s="107" t="s">
        <v>13</v>
      </c>
      <c r="D394" s="40"/>
      <c r="E394" s="13"/>
      <c r="F394" s="45"/>
      <c r="G394" s="42"/>
      <c r="H394" s="42"/>
      <c r="I394" s="42"/>
      <c r="J394" s="22"/>
      <c r="K394" s="42"/>
    </row>
    <row r="395" ht="39.75" customHeight="1">
      <c r="A395" s="1">
        <v>394.0</v>
      </c>
      <c r="B395" s="2" t="s">
        <v>67</v>
      </c>
      <c r="C395" s="2" t="s">
        <v>3707</v>
      </c>
      <c r="D395" s="40">
        <v>0.4583333333333333</v>
      </c>
      <c r="E395" s="13"/>
      <c r="F395" s="44" t="s">
        <v>3708</v>
      </c>
      <c r="G395" s="43">
        <v>1.0</v>
      </c>
      <c r="H395" s="42"/>
      <c r="I395" s="42"/>
      <c r="J395" s="22"/>
      <c r="K395" s="42"/>
    </row>
    <row r="396" ht="39.75" hidden="1" customHeight="1">
      <c r="A396" s="1">
        <v>395.0</v>
      </c>
      <c r="B396" s="2" t="s">
        <v>35</v>
      </c>
      <c r="C396" s="2" t="s">
        <v>13</v>
      </c>
      <c r="D396" s="13"/>
      <c r="E396" s="13"/>
      <c r="F396" s="45"/>
      <c r="G396" s="42"/>
      <c r="H396" s="42"/>
      <c r="I396" s="42"/>
      <c r="J396" s="22"/>
      <c r="K396" s="42"/>
    </row>
    <row r="397" ht="39.75" hidden="1" customHeight="1">
      <c r="A397" s="1">
        <v>396.0</v>
      </c>
      <c r="B397" s="2" t="s">
        <v>36</v>
      </c>
      <c r="C397" s="2" t="s">
        <v>13</v>
      </c>
      <c r="D397" s="13"/>
      <c r="E397" s="13"/>
      <c r="F397" s="45"/>
      <c r="G397" s="42"/>
      <c r="H397" s="42"/>
      <c r="I397" s="42"/>
      <c r="J397" s="22"/>
      <c r="K397" s="42"/>
    </row>
    <row r="398" ht="39.75" hidden="1" customHeight="1">
      <c r="A398" s="1">
        <v>397.0</v>
      </c>
      <c r="B398" s="2" t="s">
        <v>38</v>
      </c>
      <c r="C398" s="2" t="s">
        <v>13</v>
      </c>
      <c r="D398" s="40"/>
      <c r="E398" s="13"/>
      <c r="F398" s="45"/>
      <c r="G398" s="42"/>
      <c r="H398" s="42"/>
      <c r="I398" s="42"/>
      <c r="J398" s="22"/>
      <c r="K398" s="42"/>
    </row>
    <row r="399" ht="39.75" customHeight="1">
      <c r="A399" s="1">
        <v>398.0</v>
      </c>
      <c r="B399" s="2" t="s">
        <v>41</v>
      </c>
      <c r="C399" s="2" t="s">
        <v>44</v>
      </c>
      <c r="D399" s="13"/>
      <c r="E399" s="13"/>
      <c r="F399" s="45"/>
      <c r="G399" s="42"/>
      <c r="H399" s="42"/>
      <c r="I399" s="42"/>
      <c r="J399" s="22"/>
      <c r="K399" s="42"/>
    </row>
    <row r="400" ht="39.75" hidden="1" customHeight="1">
      <c r="A400" s="1">
        <v>399.0</v>
      </c>
      <c r="B400" s="2" t="s">
        <v>42</v>
      </c>
      <c r="C400" s="2" t="s">
        <v>13</v>
      </c>
      <c r="D400" s="13"/>
      <c r="E400" s="13"/>
      <c r="F400" s="45"/>
      <c r="G400" s="42"/>
      <c r="H400" s="42"/>
      <c r="I400" s="42"/>
      <c r="J400" s="22"/>
      <c r="K400" s="42"/>
    </row>
    <row r="401" ht="39.75" hidden="1" customHeight="1">
      <c r="A401" s="1">
        <v>400.0</v>
      </c>
      <c r="B401" s="2" t="s">
        <v>43</v>
      </c>
      <c r="C401" s="2" t="s">
        <v>13</v>
      </c>
      <c r="D401" s="13"/>
      <c r="E401" s="13"/>
      <c r="F401" s="45"/>
      <c r="G401" s="42"/>
      <c r="H401" s="42"/>
      <c r="I401" s="42"/>
      <c r="J401" s="22"/>
      <c r="K401" s="42"/>
    </row>
    <row r="402" ht="39.75" customHeight="1">
      <c r="A402" s="1">
        <v>401.0</v>
      </c>
      <c r="B402" s="2" t="s">
        <v>267</v>
      </c>
      <c r="C402" s="2" t="s">
        <v>3571</v>
      </c>
      <c r="D402" s="13"/>
      <c r="E402" s="13"/>
      <c r="F402" s="44" t="s">
        <v>3709</v>
      </c>
      <c r="G402" s="43">
        <v>1.0</v>
      </c>
      <c r="H402" s="42"/>
      <c r="I402" s="43"/>
      <c r="J402" s="22"/>
      <c r="K402" s="42"/>
    </row>
    <row r="403" ht="39.75" customHeight="1">
      <c r="A403" s="1">
        <v>402.0</v>
      </c>
      <c r="B403" s="2" t="s">
        <v>46</v>
      </c>
      <c r="C403" s="2" t="s">
        <v>3557</v>
      </c>
      <c r="D403" s="40"/>
      <c r="E403" s="40"/>
      <c r="F403" s="44" t="s">
        <v>3710</v>
      </c>
      <c r="G403" s="43"/>
      <c r="H403" s="42"/>
      <c r="I403" s="43"/>
      <c r="J403" s="22"/>
      <c r="K403" s="42"/>
    </row>
    <row r="404" ht="39.75" customHeight="1">
      <c r="A404" s="1">
        <v>403.0</v>
      </c>
      <c r="B404" s="2" t="s">
        <v>47</v>
      </c>
      <c r="C404" s="2" t="s">
        <v>3560</v>
      </c>
      <c r="D404" s="13"/>
      <c r="E404" s="13"/>
      <c r="F404" s="44" t="s">
        <v>3711</v>
      </c>
      <c r="G404" s="43">
        <v>1.0</v>
      </c>
      <c r="H404" s="42"/>
      <c r="I404" s="42"/>
      <c r="J404" s="22"/>
      <c r="K404" s="42"/>
    </row>
    <row r="405" ht="39.75" hidden="1" customHeight="1">
      <c r="A405" s="1">
        <v>404.0</v>
      </c>
      <c r="B405" s="2" t="s">
        <v>48</v>
      </c>
      <c r="C405" s="2" t="s">
        <v>13</v>
      </c>
      <c r="D405" s="13"/>
      <c r="E405" s="13"/>
      <c r="F405" s="45"/>
      <c r="G405" s="42"/>
      <c r="H405" s="42"/>
      <c r="I405" s="42"/>
      <c r="J405" s="22"/>
      <c r="K405" s="42"/>
    </row>
    <row r="406" ht="39.75" customHeight="1">
      <c r="A406" s="1">
        <v>405.0</v>
      </c>
      <c r="B406" s="21"/>
      <c r="C406" s="21"/>
      <c r="D406" s="21"/>
      <c r="E406" s="21"/>
      <c r="F406" s="46"/>
      <c r="G406" s="47"/>
      <c r="H406" s="47"/>
      <c r="I406" s="47"/>
      <c r="J406" s="48"/>
      <c r="K406" s="47"/>
      <c r="L406" s="49"/>
      <c r="M406" s="49"/>
      <c r="N406" s="49"/>
    </row>
    <row r="407" ht="39.75" hidden="1" customHeight="1">
      <c r="A407" s="1">
        <v>406.0</v>
      </c>
      <c r="B407" s="2" t="s">
        <v>12</v>
      </c>
      <c r="C407" s="2" t="s">
        <v>13</v>
      </c>
      <c r="D407" s="13"/>
      <c r="E407" s="2"/>
      <c r="F407" s="45"/>
      <c r="G407" s="42"/>
      <c r="H407" s="42"/>
      <c r="I407" s="42"/>
      <c r="J407" s="22"/>
      <c r="K407" s="42"/>
      <c r="L407" s="15" t="s">
        <v>274</v>
      </c>
    </row>
    <row r="408" ht="39.75" customHeight="1">
      <c r="A408" s="1">
        <v>407.0</v>
      </c>
      <c r="B408" s="2" t="s">
        <v>16</v>
      </c>
      <c r="C408" s="2" t="s">
        <v>54</v>
      </c>
      <c r="D408" s="13"/>
      <c r="E408" s="13"/>
      <c r="F408" s="44" t="s">
        <v>3712</v>
      </c>
      <c r="G408" s="43">
        <v>1.0</v>
      </c>
      <c r="H408" s="42"/>
      <c r="I408" s="42"/>
      <c r="J408" s="27" t="s">
        <v>274</v>
      </c>
      <c r="K408" s="43"/>
    </row>
    <row r="409" ht="39.75" customHeight="1">
      <c r="A409" s="1">
        <v>408.0</v>
      </c>
      <c r="B409" s="2" t="s">
        <v>116</v>
      </c>
      <c r="C409" s="2"/>
      <c r="D409" s="13"/>
      <c r="E409" s="13"/>
      <c r="F409" s="44" t="s">
        <v>3713</v>
      </c>
      <c r="G409" s="43">
        <v>1.0</v>
      </c>
      <c r="H409" s="42"/>
      <c r="I409" s="42"/>
      <c r="J409" s="27" t="s">
        <v>56</v>
      </c>
      <c r="K409" s="42"/>
    </row>
    <row r="410" ht="39.75" customHeight="1">
      <c r="A410" s="1">
        <v>409.0</v>
      </c>
      <c r="B410" s="2" t="s">
        <v>263</v>
      </c>
      <c r="C410" s="2" t="s">
        <v>54</v>
      </c>
      <c r="D410" s="13"/>
      <c r="E410" s="13"/>
      <c r="F410" s="44" t="s">
        <v>3714</v>
      </c>
      <c r="G410" s="43">
        <v>1.0</v>
      </c>
      <c r="H410" s="42"/>
      <c r="I410" s="42"/>
      <c r="J410" s="27" t="s">
        <v>3715</v>
      </c>
      <c r="K410" s="42"/>
    </row>
    <row r="411" ht="39.75" customHeight="1">
      <c r="A411" s="1">
        <v>410.0</v>
      </c>
      <c r="B411" s="2" t="s">
        <v>17</v>
      </c>
      <c r="C411" s="2" t="s">
        <v>3603</v>
      </c>
      <c r="D411" s="13"/>
      <c r="E411" s="13"/>
      <c r="F411" s="44" t="s">
        <v>3716</v>
      </c>
      <c r="G411" s="43">
        <v>1.0</v>
      </c>
      <c r="H411" s="42"/>
      <c r="I411" s="43">
        <v>1.0</v>
      </c>
      <c r="J411" s="27" t="s">
        <v>412</v>
      </c>
      <c r="K411" s="42"/>
    </row>
    <row r="412" ht="39.75" hidden="1" customHeight="1">
      <c r="A412" s="1">
        <v>411.0</v>
      </c>
      <c r="B412" s="2" t="s">
        <v>331</v>
      </c>
      <c r="C412" s="2" t="s">
        <v>13</v>
      </c>
      <c r="D412" s="13"/>
      <c r="E412" s="13"/>
      <c r="F412" s="45"/>
      <c r="G412" s="42"/>
      <c r="H412" s="42"/>
      <c r="I412" s="42"/>
      <c r="J412" s="27"/>
      <c r="K412" s="42"/>
    </row>
    <row r="413" ht="39.75" hidden="1" customHeight="1">
      <c r="A413" s="1">
        <v>412.0</v>
      </c>
      <c r="B413" s="2" t="s">
        <v>21</v>
      </c>
      <c r="C413" s="2" t="s">
        <v>13</v>
      </c>
      <c r="D413" s="13"/>
      <c r="E413" s="13"/>
      <c r="F413" s="45"/>
      <c r="G413" s="42"/>
      <c r="H413" s="42"/>
      <c r="I413" s="42"/>
      <c r="J413" s="22"/>
      <c r="K413" s="42"/>
    </row>
    <row r="414" ht="39.75" customHeight="1">
      <c r="A414" s="1">
        <v>413.0</v>
      </c>
      <c r="B414" s="2" t="s">
        <v>22</v>
      </c>
      <c r="C414" s="2"/>
      <c r="D414" s="13"/>
      <c r="E414" s="13"/>
      <c r="F414" s="44" t="s">
        <v>3717</v>
      </c>
      <c r="G414" s="43">
        <v>1.0</v>
      </c>
      <c r="H414" s="42"/>
      <c r="I414" s="42"/>
      <c r="J414" s="22"/>
      <c r="K414" s="42"/>
    </row>
    <row r="415" ht="39.75" hidden="1" customHeight="1">
      <c r="A415" s="1">
        <v>414.0</v>
      </c>
      <c r="B415" s="2" t="s">
        <v>261</v>
      </c>
      <c r="C415" s="2" t="s">
        <v>13</v>
      </c>
      <c r="D415" s="13"/>
      <c r="E415" s="13"/>
      <c r="F415" s="45"/>
      <c r="G415" s="42"/>
      <c r="H415" s="42"/>
      <c r="I415" s="42"/>
      <c r="J415" s="22"/>
      <c r="K415" s="42"/>
    </row>
    <row r="416" ht="39.75" customHeight="1">
      <c r="A416" s="1">
        <v>415.0</v>
      </c>
      <c r="B416" s="2" t="s">
        <v>23</v>
      </c>
      <c r="C416" s="2" t="s">
        <v>54</v>
      </c>
      <c r="D416" s="40"/>
      <c r="E416" s="40"/>
      <c r="F416" s="44" t="s">
        <v>3718</v>
      </c>
      <c r="G416" s="43">
        <v>1.0</v>
      </c>
      <c r="H416" s="42"/>
      <c r="I416" s="42"/>
      <c r="J416" s="22"/>
      <c r="K416" s="42"/>
    </row>
    <row r="417" ht="39.75" customHeight="1">
      <c r="A417" s="1">
        <v>416.0</v>
      </c>
      <c r="B417" s="2" t="s">
        <v>24</v>
      </c>
      <c r="C417" s="2"/>
      <c r="D417" s="13"/>
      <c r="E417" s="13"/>
      <c r="F417" s="44" t="s">
        <v>3719</v>
      </c>
      <c r="G417" s="43">
        <v>1.0</v>
      </c>
      <c r="H417" s="42"/>
      <c r="I417" s="42"/>
      <c r="J417" s="22"/>
      <c r="K417" s="42"/>
    </row>
    <row r="418" ht="39.75" hidden="1" customHeight="1">
      <c r="A418" s="1">
        <v>417.0</v>
      </c>
      <c r="B418" s="2" t="s">
        <v>25</v>
      </c>
      <c r="C418" s="2" t="s">
        <v>13</v>
      </c>
      <c r="D418" s="13"/>
      <c r="E418" s="13"/>
      <c r="F418" s="45"/>
      <c r="G418" s="42"/>
      <c r="H418" s="42"/>
      <c r="I418" s="42"/>
      <c r="J418" s="22"/>
      <c r="K418" s="42"/>
    </row>
    <row r="419" ht="39.75" customHeight="1">
      <c r="A419" s="1">
        <v>418.0</v>
      </c>
      <c r="B419" s="2" t="s">
        <v>26</v>
      </c>
      <c r="C419" s="2" t="s">
        <v>3557</v>
      </c>
      <c r="D419" s="40"/>
      <c r="E419" s="40"/>
      <c r="F419" s="44" t="s">
        <v>3720</v>
      </c>
      <c r="G419" s="43">
        <v>1.0</v>
      </c>
      <c r="H419" s="42"/>
      <c r="I419" s="42"/>
      <c r="J419" s="22"/>
      <c r="K419" s="42"/>
    </row>
    <row r="420" ht="39.75" customHeight="1">
      <c r="A420" s="1">
        <v>419.0</v>
      </c>
      <c r="B420" s="2" t="s">
        <v>29</v>
      </c>
      <c r="C420" s="2" t="s">
        <v>69</v>
      </c>
      <c r="D420" s="13"/>
      <c r="E420" s="13"/>
      <c r="F420" s="44" t="s">
        <v>3721</v>
      </c>
      <c r="G420" s="42"/>
      <c r="H420" s="42"/>
      <c r="I420" s="42"/>
      <c r="J420" s="22"/>
      <c r="K420" s="42"/>
    </row>
    <row r="421" ht="39.75" customHeight="1">
      <c r="A421" s="1">
        <v>420.0</v>
      </c>
      <c r="B421" s="2" t="s">
        <v>32</v>
      </c>
      <c r="C421" s="2"/>
      <c r="D421" s="13"/>
      <c r="E421" s="13"/>
      <c r="F421" s="44" t="s">
        <v>3722</v>
      </c>
      <c r="G421" s="43">
        <v>1.0</v>
      </c>
      <c r="H421" s="42"/>
      <c r="I421" s="43">
        <v>1.0</v>
      </c>
      <c r="J421" s="22"/>
      <c r="K421" s="42"/>
    </row>
    <row r="422" ht="39.75" customHeight="1">
      <c r="A422" s="1">
        <v>421.0</v>
      </c>
      <c r="B422" s="2" t="s">
        <v>67</v>
      </c>
      <c r="C422" s="2" t="s">
        <v>54</v>
      </c>
      <c r="D422" s="13"/>
      <c r="E422" s="13"/>
      <c r="F422" s="44" t="s">
        <v>3723</v>
      </c>
      <c r="G422" s="43">
        <v>1.0</v>
      </c>
      <c r="H422" s="42"/>
      <c r="I422" s="42"/>
      <c r="J422" s="22"/>
      <c r="K422" s="42"/>
    </row>
    <row r="423" ht="39.75" customHeight="1">
      <c r="A423" s="1">
        <v>422.0</v>
      </c>
      <c r="B423" s="2" t="s">
        <v>35</v>
      </c>
      <c r="C423" s="2" t="s">
        <v>3563</v>
      </c>
      <c r="D423" s="13"/>
      <c r="E423" s="13"/>
      <c r="F423" s="45"/>
      <c r="G423" s="42"/>
      <c r="H423" s="42"/>
      <c r="I423" s="42"/>
      <c r="J423" s="22"/>
      <c r="K423" s="42"/>
    </row>
    <row r="424" ht="39.75" hidden="1" customHeight="1">
      <c r="A424" s="1">
        <v>423.0</v>
      </c>
      <c r="B424" s="2" t="s">
        <v>36</v>
      </c>
      <c r="C424" s="2" t="s">
        <v>13</v>
      </c>
      <c r="D424" s="13"/>
      <c r="E424" s="13"/>
      <c r="F424" s="45"/>
      <c r="G424" s="42"/>
      <c r="H424" s="42"/>
      <c r="I424" s="42"/>
      <c r="J424" s="22"/>
      <c r="K424" s="42"/>
    </row>
    <row r="425" ht="39.75" customHeight="1">
      <c r="A425" s="1">
        <v>424.0</v>
      </c>
      <c r="B425" s="2" t="s">
        <v>38</v>
      </c>
      <c r="C425" s="2" t="s">
        <v>39</v>
      </c>
      <c r="D425" s="40"/>
      <c r="E425" s="13"/>
      <c r="F425" s="44" t="s">
        <v>3724</v>
      </c>
      <c r="G425" s="43">
        <v>1.0</v>
      </c>
      <c r="H425" s="42"/>
      <c r="I425" s="43">
        <v>1.0</v>
      </c>
      <c r="J425" s="22"/>
      <c r="K425" s="42"/>
    </row>
    <row r="426" ht="39.75" customHeight="1">
      <c r="A426" s="1">
        <v>425.0</v>
      </c>
      <c r="B426" s="2" t="s">
        <v>41</v>
      </c>
      <c r="C426" s="2" t="s">
        <v>69</v>
      </c>
      <c r="D426" s="13"/>
      <c r="E426" s="13"/>
      <c r="F426" s="44" t="s">
        <v>3725</v>
      </c>
      <c r="G426" s="43">
        <v>1.0</v>
      </c>
      <c r="H426" s="42"/>
      <c r="I426" s="43">
        <v>1.0</v>
      </c>
      <c r="J426" s="22"/>
      <c r="K426" s="42"/>
    </row>
    <row r="427" ht="39.75" customHeight="1">
      <c r="A427" s="1">
        <v>426.0</v>
      </c>
      <c r="B427" s="2" t="s">
        <v>42</v>
      </c>
      <c r="C427" s="2" t="s">
        <v>69</v>
      </c>
      <c r="D427" s="13"/>
      <c r="E427" s="13"/>
      <c r="F427" s="44" t="s">
        <v>3726</v>
      </c>
      <c r="G427" s="43">
        <v>1.0</v>
      </c>
      <c r="H427" s="42"/>
      <c r="I427" s="42"/>
      <c r="J427" s="22"/>
      <c r="K427" s="42"/>
    </row>
    <row r="428" ht="39.75" customHeight="1">
      <c r="A428" s="1">
        <v>427.0</v>
      </c>
      <c r="B428" s="2" t="s">
        <v>43</v>
      </c>
      <c r="C428" s="2" t="s">
        <v>27</v>
      </c>
      <c r="D428" s="13"/>
      <c r="E428" s="13"/>
      <c r="F428" s="45"/>
      <c r="G428" s="42"/>
      <c r="H428" s="42"/>
      <c r="I428" s="42"/>
      <c r="J428" s="22"/>
      <c r="K428" s="42"/>
    </row>
    <row r="429" ht="39.75" customHeight="1">
      <c r="A429" s="1">
        <v>428.0</v>
      </c>
      <c r="B429" s="2" t="s">
        <v>267</v>
      </c>
      <c r="C429" s="2" t="s">
        <v>44</v>
      </c>
      <c r="D429" s="13"/>
      <c r="E429" s="13"/>
      <c r="F429" s="45"/>
      <c r="G429" s="42"/>
      <c r="H429" s="42"/>
      <c r="I429" s="42"/>
      <c r="J429" s="22"/>
      <c r="K429" s="42"/>
    </row>
    <row r="430" ht="39.75" customHeight="1">
      <c r="A430" s="1">
        <v>429.0</v>
      </c>
      <c r="B430" s="2" t="s">
        <v>46</v>
      </c>
      <c r="C430" s="2"/>
      <c r="D430" s="13"/>
      <c r="E430" s="13"/>
      <c r="F430" s="44" t="s">
        <v>3630</v>
      </c>
      <c r="G430" s="43">
        <v>1.0</v>
      </c>
      <c r="H430" s="42"/>
      <c r="I430" s="42"/>
      <c r="J430" s="22"/>
      <c r="K430" s="42"/>
    </row>
    <row r="431" ht="39.75" customHeight="1">
      <c r="A431" s="1">
        <v>430.0</v>
      </c>
      <c r="B431" s="2" t="s">
        <v>47</v>
      </c>
      <c r="C431" s="2" t="s">
        <v>39</v>
      </c>
      <c r="D431" s="13"/>
      <c r="E431" s="13"/>
      <c r="F431" s="44"/>
      <c r="G431" s="43"/>
      <c r="H431" s="42"/>
      <c r="I431" s="42"/>
      <c r="J431" s="22"/>
      <c r="K431" s="42"/>
    </row>
    <row r="432" ht="39.75" hidden="1" customHeight="1">
      <c r="A432" s="1">
        <v>431.0</v>
      </c>
      <c r="B432" s="2" t="s">
        <v>48</v>
      </c>
      <c r="C432" s="2" t="s">
        <v>13</v>
      </c>
      <c r="D432" s="13"/>
      <c r="E432" s="13"/>
      <c r="F432" s="45"/>
      <c r="G432" s="42"/>
      <c r="H432" s="42"/>
      <c r="I432" s="42"/>
      <c r="J432" s="22"/>
      <c r="K432" s="42"/>
    </row>
    <row r="433" ht="39.75" customHeight="1">
      <c r="A433" s="1">
        <v>432.0</v>
      </c>
      <c r="B433" s="21"/>
      <c r="C433" s="21"/>
      <c r="D433" s="21"/>
      <c r="E433" s="21"/>
      <c r="F433" s="46"/>
      <c r="G433" s="47"/>
      <c r="H433" s="47"/>
      <c r="I433" s="47"/>
      <c r="J433" s="48"/>
      <c r="K433" s="47"/>
      <c r="L433" s="49"/>
      <c r="M433" s="49"/>
      <c r="N433" s="49"/>
    </row>
    <row r="434" ht="39.75" customHeight="1">
      <c r="A434" s="1">
        <v>433.0</v>
      </c>
      <c r="B434" s="2" t="s">
        <v>12</v>
      </c>
      <c r="C434" s="2" t="s">
        <v>62</v>
      </c>
      <c r="D434" s="13"/>
      <c r="E434" s="13"/>
      <c r="F434" s="44" t="s">
        <v>3727</v>
      </c>
      <c r="G434" s="43">
        <v>1.0</v>
      </c>
      <c r="H434" s="42"/>
      <c r="I434" s="42"/>
      <c r="J434" s="22"/>
      <c r="K434" s="42"/>
      <c r="L434" s="15" t="s">
        <v>294</v>
      </c>
    </row>
    <row r="435" ht="39.75" customHeight="1">
      <c r="A435" s="1">
        <v>434.0</v>
      </c>
      <c r="B435" s="2" t="s">
        <v>16</v>
      </c>
      <c r="C435" s="2" t="s">
        <v>54</v>
      </c>
      <c r="D435" s="40"/>
      <c r="E435" s="13"/>
      <c r="F435" s="44" t="s">
        <v>3728</v>
      </c>
      <c r="G435" s="43">
        <v>1.0</v>
      </c>
      <c r="H435" s="42"/>
      <c r="I435" s="43">
        <v>1.0</v>
      </c>
      <c r="J435" s="27" t="s">
        <v>294</v>
      </c>
      <c r="K435" s="43"/>
    </row>
    <row r="436" ht="39.75" customHeight="1">
      <c r="A436" s="1">
        <v>435.0</v>
      </c>
      <c r="B436" s="2" t="s">
        <v>116</v>
      </c>
      <c r="C436" s="2"/>
      <c r="D436" s="13"/>
      <c r="E436" s="13"/>
      <c r="F436" s="44" t="s">
        <v>3729</v>
      </c>
      <c r="G436" s="43">
        <v>1.0</v>
      </c>
      <c r="H436" s="42"/>
      <c r="I436" s="42"/>
      <c r="J436" s="27" t="s">
        <v>77</v>
      </c>
      <c r="K436" s="42"/>
    </row>
    <row r="437" ht="39.75" customHeight="1">
      <c r="A437" s="1">
        <v>436.0</v>
      </c>
      <c r="B437" s="2" t="s">
        <v>263</v>
      </c>
      <c r="C437" s="2" t="s">
        <v>54</v>
      </c>
      <c r="D437" s="13"/>
      <c r="E437" s="13"/>
      <c r="F437" s="45"/>
      <c r="G437" s="42"/>
      <c r="H437" s="42"/>
      <c r="I437" s="42"/>
      <c r="J437" s="27" t="s">
        <v>3633</v>
      </c>
      <c r="K437" s="42"/>
    </row>
    <row r="438" ht="39.75" customHeight="1">
      <c r="A438" s="1">
        <v>437.0</v>
      </c>
      <c r="B438" s="2" t="s">
        <v>17</v>
      </c>
      <c r="C438" s="2" t="s">
        <v>3603</v>
      </c>
      <c r="D438" s="13"/>
      <c r="E438" s="13"/>
      <c r="F438" s="44" t="s">
        <v>3392</v>
      </c>
      <c r="G438" s="42"/>
      <c r="H438" s="42"/>
      <c r="I438" s="42"/>
      <c r="J438" s="27" t="s">
        <v>3730</v>
      </c>
      <c r="K438" s="42"/>
    </row>
    <row r="439" ht="39.75" customHeight="1">
      <c r="A439" s="1">
        <v>438.0</v>
      </c>
      <c r="B439" s="2" t="s">
        <v>331</v>
      </c>
      <c r="C439" s="2" t="s">
        <v>542</v>
      </c>
      <c r="D439" s="13"/>
      <c r="E439" s="13"/>
      <c r="F439" s="44" t="s">
        <v>3731</v>
      </c>
      <c r="G439" s="43">
        <v>1.0</v>
      </c>
      <c r="H439" s="42"/>
      <c r="I439" s="42"/>
      <c r="J439" s="27" t="s">
        <v>3706</v>
      </c>
      <c r="K439" s="42"/>
    </row>
    <row r="440" ht="39.75" customHeight="1">
      <c r="A440" s="1">
        <v>439.0</v>
      </c>
      <c r="B440" s="2" t="s">
        <v>21</v>
      </c>
      <c r="C440" s="2" t="s">
        <v>69</v>
      </c>
      <c r="D440" s="13"/>
      <c r="E440" s="13"/>
      <c r="F440" s="45"/>
      <c r="G440" s="42"/>
      <c r="H440" s="42"/>
      <c r="I440" s="42"/>
      <c r="J440" s="22"/>
      <c r="K440" s="42"/>
    </row>
    <row r="441" ht="39.75" customHeight="1">
      <c r="A441" s="1">
        <v>440.0</v>
      </c>
      <c r="B441" s="2" t="s">
        <v>22</v>
      </c>
      <c r="C441" s="2" t="s">
        <v>39</v>
      </c>
      <c r="D441" s="13"/>
      <c r="E441" s="13"/>
      <c r="F441" s="44" t="s">
        <v>3732</v>
      </c>
      <c r="G441" s="43">
        <v>1.0</v>
      </c>
      <c r="H441" s="42"/>
      <c r="I441" s="42"/>
      <c r="J441" s="22"/>
      <c r="K441" s="42"/>
    </row>
    <row r="442" ht="39.75" hidden="1" customHeight="1">
      <c r="A442" s="1">
        <v>441.0</v>
      </c>
      <c r="B442" s="2" t="s">
        <v>261</v>
      </c>
      <c r="C442" s="2" t="s">
        <v>13</v>
      </c>
      <c r="D442" s="13"/>
      <c r="E442" s="13"/>
      <c r="F442" s="45"/>
      <c r="G442" s="42"/>
      <c r="H442" s="42"/>
      <c r="I442" s="42"/>
      <c r="J442" s="22"/>
      <c r="K442" s="42"/>
    </row>
    <row r="443" ht="39.75" customHeight="1">
      <c r="A443" s="1">
        <v>442.0</v>
      </c>
      <c r="B443" s="2" t="s">
        <v>23</v>
      </c>
      <c r="C443" s="2"/>
      <c r="D443" s="13"/>
      <c r="E443" s="13"/>
      <c r="F443" s="44" t="s">
        <v>3733</v>
      </c>
      <c r="G443" s="43">
        <v>1.0</v>
      </c>
      <c r="H443" s="42"/>
      <c r="I443" s="42"/>
      <c r="J443" s="22"/>
      <c r="K443" s="42"/>
    </row>
    <row r="444" ht="39.75" customHeight="1">
      <c r="A444" s="1">
        <v>443.0</v>
      </c>
      <c r="B444" s="2" t="s">
        <v>24</v>
      </c>
      <c r="C444" s="2"/>
      <c r="D444" s="13"/>
      <c r="E444" s="13"/>
      <c r="F444" s="44" t="s">
        <v>3734</v>
      </c>
      <c r="G444" s="43">
        <v>1.0</v>
      </c>
      <c r="H444" s="42"/>
      <c r="I444" s="42"/>
      <c r="J444" s="22"/>
      <c r="K444" s="42"/>
    </row>
    <row r="445" ht="39.75" hidden="1" customHeight="1">
      <c r="A445" s="1">
        <v>444.0</v>
      </c>
      <c r="B445" s="2" t="s">
        <v>25</v>
      </c>
      <c r="C445" s="2" t="s">
        <v>13</v>
      </c>
      <c r="D445" s="13"/>
      <c r="E445" s="13"/>
      <c r="F445" s="45"/>
      <c r="G445" s="42"/>
      <c r="H445" s="42"/>
      <c r="I445" s="42"/>
      <c r="J445" s="22"/>
      <c r="K445" s="42"/>
    </row>
    <row r="446" ht="39.75" customHeight="1">
      <c r="A446" s="1">
        <v>445.0</v>
      </c>
      <c r="B446" s="2" t="s">
        <v>26</v>
      </c>
      <c r="C446" s="2" t="s">
        <v>69</v>
      </c>
      <c r="D446" s="13"/>
      <c r="E446" s="13"/>
      <c r="F446" s="44" t="s">
        <v>3735</v>
      </c>
      <c r="G446" s="43">
        <v>1.0</v>
      </c>
      <c r="H446" s="42"/>
      <c r="I446" s="42"/>
      <c r="J446" s="22"/>
      <c r="K446" s="42"/>
    </row>
    <row r="447" ht="39.75" customHeight="1">
      <c r="A447" s="1">
        <v>446.0</v>
      </c>
      <c r="B447" s="2" t="s">
        <v>29</v>
      </c>
      <c r="C447" s="2" t="s">
        <v>54</v>
      </c>
      <c r="D447" s="13"/>
      <c r="E447" s="13"/>
      <c r="F447" s="44" t="s">
        <v>3736</v>
      </c>
      <c r="G447" s="43">
        <v>1.0</v>
      </c>
      <c r="H447" s="42"/>
      <c r="I447" s="42"/>
      <c r="J447" s="22"/>
      <c r="K447" s="42"/>
    </row>
    <row r="448" ht="39.75" customHeight="1">
      <c r="A448" s="1">
        <v>447.0</v>
      </c>
      <c r="B448" s="2" t="s">
        <v>32</v>
      </c>
      <c r="C448" s="2"/>
      <c r="D448" s="40"/>
      <c r="E448" s="13"/>
      <c r="F448" s="44" t="s">
        <v>3737</v>
      </c>
      <c r="G448" s="43">
        <v>1.0</v>
      </c>
      <c r="H448" s="42"/>
      <c r="I448" s="42"/>
      <c r="J448" s="22"/>
      <c r="K448" s="42"/>
    </row>
    <row r="449" ht="39.75" customHeight="1">
      <c r="A449" s="1">
        <v>448.0</v>
      </c>
      <c r="B449" s="2" t="s">
        <v>67</v>
      </c>
      <c r="C449" s="2" t="s">
        <v>3571</v>
      </c>
      <c r="D449" s="40"/>
      <c r="E449" s="13"/>
      <c r="F449" s="44" t="s">
        <v>3738</v>
      </c>
      <c r="G449" s="43">
        <v>1.0</v>
      </c>
      <c r="H449" s="42"/>
      <c r="I449" s="43"/>
      <c r="J449" s="22"/>
      <c r="K449" s="42"/>
    </row>
    <row r="450" ht="39.75" customHeight="1">
      <c r="A450" s="1">
        <v>449.0</v>
      </c>
      <c r="B450" s="2" t="s">
        <v>35</v>
      </c>
      <c r="C450" s="2" t="s">
        <v>3563</v>
      </c>
      <c r="D450" s="13"/>
      <c r="E450" s="13"/>
      <c r="F450" s="45"/>
      <c r="G450" s="42"/>
      <c r="H450" s="42"/>
      <c r="I450" s="42"/>
      <c r="J450" s="22"/>
      <c r="K450" s="42"/>
    </row>
    <row r="451" ht="39.75" customHeight="1">
      <c r="A451" s="1">
        <v>450.0</v>
      </c>
      <c r="B451" s="2" t="s">
        <v>36</v>
      </c>
      <c r="C451" s="2" t="s">
        <v>39</v>
      </c>
      <c r="D451" s="13"/>
      <c r="E451" s="13"/>
      <c r="F451" s="44" t="s">
        <v>3739</v>
      </c>
      <c r="G451" s="43">
        <v>1.0</v>
      </c>
      <c r="H451" s="42"/>
      <c r="I451" s="42"/>
      <c r="J451" s="22"/>
      <c r="K451" s="42"/>
    </row>
    <row r="452" ht="39.75" customHeight="1">
      <c r="A452" s="1">
        <v>451.0</v>
      </c>
      <c r="B452" s="2" t="s">
        <v>38</v>
      </c>
      <c r="C452" s="2"/>
      <c r="D452" s="13"/>
      <c r="E452" s="13"/>
      <c r="F452" s="44" t="s">
        <v>3595</v>
      </c>
      <c r="G452" s="43">
        <v>1.0</v>
      </c>
      <c r="H452" s="42"/>
      <c r="I452" s="42"/>
      <c r="J452" s="22"/>
      <c r="K452" s="42"/>
    </row>
    <row r="453" ht="39.75" customHeight="1">
      <c r="A453" s="1">
        <v>452.0</v>
      </c>
      <c r="B453" s="2" t="s">
        <v>41</v>
      </c>
      <c r="C453" s="2"/>
      <c r="D453" s="13"/>
      <c r="E453" s="13"/>
      <c r="F453" s="44" t="s">
        <v>3740</v>
      </c>
      <c r="G453" s="43">
        <v>1.0</v>
      </c>
      <c r="H453" s="42"/>
      <c r="I453" s="42"/>
      <c r="J453" s="22"/>
      <c r="K453" s="42"/>
    </row>
    <row r="454" ht="39.75" hidden="1" customHeight="1">
      <c r="A454" s="1">
        <v>453.0</v>
      </c>
      <c r="B454" s="2" t="s">
        <v>42</v>
      </c>
      <c r="C454" s="2" t="s">
        <v>13</v>
      </c>
      <c r="D454" s="13"/>
      <c r="E454" s="13"/>
      <c r="F454" s="45"/>
      <c r="G454" s="42"/>
      <c r="H454" s="42"/>
      <c r="I454" s="42"/>
      <c r="J454" s="22"/>
      <c r="K454" s="42"/>
    </row>
    <row r="455" ht="39.75" customHeight="1">
      <c r="A455" s="1">
        <v>454.0</v>
      </c>
      <c r="B455" s="2" t="s">
        <v>43</v>
      </c>
      <c r="C455" s="2" t="s">
        <v>44</v>
      </c>
      <c r="D455" s="40"/>
      <c r="E455" s="13"/>
      <c r="F455" s="44"/>
      <c r="G455" s="42"/>
      <c r="H455" s="42"/>
      <c r="I455" s="42"/>
      <c r="J455" s="22"/>
      <c r="K455" s="42"/>
    </row>
    <row r="456" ht="39.75" hidden="1" customHeight="1">
      <c r="A456" s="1">
        <v>455.0</v>
      </c>
      <c r="B456" s="2" t="s">
        <v>267</v>
      </c>
      <c r="C456" s="2" t="s">
        <v>13</v>
      </c>
      <c r="D456" s="13"/>
      <c r="E456" s="13"/>
      <c r="F456" s="45"/>
      <c r="G456" s="42"/>
      <c r="H456" s="42"/>
      <c r="I456" s="42"/>
      <c r="J456" s="22"/>
      <c r="K456" s="42"/>
    </row>
    <row r="457" ht="39.75" customHeight="1">
      <c r="A457" s="1">
        <v>456.0</v>
      </c>
      <c r="B457" s="2" t="s">
        <v>46</v>
      </c>
      <c r="C457" s="2"/>
      <c r="D457" s="13"/>
      <c r="E457" s="13"/>
      <c r="F457" s="44" t="s">
        <v>3741</v>
      </c>
      <c r="G457" s="43">
        <v>1.0</v>
      </c>
      <c r="H457" s="42"/>
      <c r="I457" s="42"/>
      <c r="J457" s="22"/>
      <c r="K457" s="42"/>
    </row>
    <row r="458" ht="39.75" customHeight="1">
      <c r="A458" s="1">
        <v>457.0</v>
      </c>
      <c r="B458" s="2" t="s">
        <v>47</v>
      </c>
      <c r="C458" s="2" t="s">
        <v>69</v>
      </c>
      <c r="D458" s="13"/>
      <c r="E458" s="13"/>
      <c r="F458" s="44" t="s">
        <v>3742</v>
      </c>
      <c r="G458" s="43">
        <v>1.0</v>
      </c>
      <c r="H458" s="42"/>
      <c r="I458" s="43">
        <v>1.0</v>
      </c>
      <c r="J458" s="22"/>
      <c r="K458" s="42"/>
    </row>
    <row r="459" ht="39.75" customHeight="1">
      <c r="A459" s="1">
        <v>458.0</v>
      </c>
      <c r="B459" s="2" t="s">
        <v>48</v>
      </c>
      <c r="C459" s="2" t="s">
        <v>54</v>
      </c>
      <c r="D459" s="13"/>
      <c r="E459" s="13"/>
      <c r="F459" s="44" t="s">
        <v>3743</v>
      </c>
      <c r="G459" s="43">
        <v>1.0</v>
      </c>
      <c r="H459" s="42"/>
      <c r="I459" s="42"/>
      <c r="J459" s="22"/>
      <c r="K459" s="42"/>
    </row>
    <row r="460" ht="39.75" customHeight="1">
      <c r="A460" s="1">
        <v>459.0</v>
      </c>
      <c r="B460" s="21"/>
      <c r="C460" s="21"/>
      <c r="D460" s="21"/>
      <c r="E460" s="21"/>
      <c r="F460" s="46"/>
      <c r="G460" s="47"/>
      <c r="H460" s="47"/>
      <c r="I460" s="47"/>
      <c r="J460" s="48"/>
      <c r="K460" s="47"/>
      <c r="L460" s="49"/>
      <c r="M460" s="49"/>
      <c r="N460" s="49"/>
    </row>
    <row r="461" ht="39.75" customHeight="1">
      <c r="A461" s="1">
        <v>460.0</v>
      </c>
      <c r="B461" s="2" t="s">
        <v>12</v>
      </c>
      <c r="C461" s="2" t="s">
        <v>62</v>
      </c>
      <c r="D461" s="13"/>
      <c r="E461" s="13"/>
      <c r="F461" s="44" t="s">
        <v>3744</v>
      </c>
      <c r="G461" s="43">
        <v>2.0</v>
      </c>
      <c r="H461" s="42"/>
      <c r="I461" s="42"/>
      <c r="J461" s="27" t="s">
        <v>309</v>
      </c>
      <c r="K461" s="42"/>
      <c r="L461" s="15" t="s">
        <v>309</v>
      </c>
    </row>
    <row r="462" ht="39.75" customHeight="1">
      <c r="A462" s="1">
        <v>461.0</v>
      </c>
      <c r="B462" s="2" t="s">
        <v>16</v>
      </c>
      <c r="C462" s="2" t="s">
        <v>54</v>
      </c>
      <c r="D462" s="40"/>
      <c r="E462" s="13"/>
      <c r="F462" s="44" t="s">
        <v>3745</v>
      </c>
      <c r="G462" s="43">
        <v>1.0</v>
      </c>
      <c r="H462" s="42"/>
      <c r="I462" s="42"/>
      <c r="J462" s="27" t="s">
        <v>95</v>
      </c>
      <c r="K462" s="43"/>
    </row>
    <row r="463" ht="39.75" customHeight="1">
      <c r="A463" s="1">
        <v>462.0</v>
      </c>
      <c r="B463" s="2" t="s">
        <v>116</v>
      </c>
      <c r="C463" s="2"/>
      <c r="D463" s="13"/>
      <c r="E463" s="13"/>
      <c r="F463" s="44" t="s">
        <v>3746</v>
      </c>
      <c r="G463" s="43">
        <v>2.0</v>
      </c>
      <c r="H463" s="42"/>
      <c r="I463" s="43">
        <v>2.0</v>
      </c>
      <c r="J463" s="27" t="s">
        <v>2638</v>
      </c>
      <c r="K463" s="42"/>
    </row>
    <row r="464" ht="39.75" customHeight="1">
      <c r="A464" s="1">
        <v>463.0</v>
      </c>
      <c r="B464" s="2" t="s">
        <v>263</v>
      </c>
      <c r="C464" s="2" t="s">
        <v>54</v>
      </c>
      <c r="D464" s="13"/>
      <c r="E464" s="13"/>
      <c r="F464" s="45"/>
      <c r="G464" s="42"/>
      <c r="H464" s="42"/>
      <c r="I464" s="42"/>
      <c r="J464" s="27"/>
      <c r="K464" s="42"/>
    </row>
    <row r="465" ht="39.75" customHeight="1">
      <c r="A465" s="1">
        <v>464.0</v>
      </c>
      <c r="B465" s="2" t="s">
        <v>17</v>
      </c>
      <c r="C465" s="2" t="s">
        <v>3603</v>
      </c>
      <c r="D465" s="13"/>
      <c r="E465" s="13"/>
      <c r="F465" s="44" t="s">
        <v>3604</v>
      </c>
      <c r="G465" s="43">
        <v>1.0</v>
      </c>
      <c r="H465" s="42"/>
      <c r="I465" s="42"/>
      <c r="J465" s="27"/>
      <c r="K465" s="42"/>
    </row>
    <row r="466" ht="39.75" hidden="1" customHeight="1">
      <c r="A466" s="1">
        <v>465.0</v>
      </c>
      <c r="B466" s="2" t="s">
        <v>331</v>
      </c>
      <c r="C466" s="2" t="s">
        <v>13</v>
      </c>
      <c r="D466" s="13"/>
      <c r="E466" s="13"/>
      <c r="F466" s="44"/>
      <c r="G466" s="42"/>
      <c r="H466" s="42"/>
      <c r="I466" s="42"/>
      <c r="J466" s="111"/>
      <c r="K466" s="42"/>
    </row>
    <row r="467" ht="39.75" customHeight="1">
      <c r="A467" s="1">
        <v>466.0</v>
      </c>
      <c r="B467" s="2" t="s">
        <v>21</v>
      </c>
      <c r="C467" s="2"/>
      <c r="D467" s="13"/>
      <c r="E467" s="13"/>
      <c r="F467" s="44" t="s">
        <v>3747</v>
      </c>
      <c r="G467" s="42"/>
      <c r="H467" s="42"/>
      <c r="I467" s="42"/>
      <c r="J467" s="22"/>
      <c r="K467" s="42"/>
    </row>
    <row r="468" ht="39.75" customHeight="1">
      <c r="A468" s="1">
        <v>467.0</v>
      </c>
      <c r="B468" s="2" t="s">
        <v>22</v>
      </c>
      <c r="C468" s="2" t="s">
        <v>69</v>
      </c>
      <c r="D468" s="13"/>
      <c r="E468" s="13"/>
      <c r="F468" s="44" t="s">
        <v>3748</v>
      </c>
      <c r="G468" s="43">
        <v>1.0</v>
      </c>
      <c r="H468" s="42"/>
      <c r="I468" s="42"/>
      <c r="J468" s="22"/>
      <c r="K468" s="42"/>
    </row>
    <row r="469" ht="39.75" hidden="1" customHeight="1">
      <c r="A469" s="1">
        <v>468.0</v>
      </c>
      <c r="B469" s="2" t="s">
        <v>261</v>
      </c>
      <c r="C469" s="2" t="s">
        <v>13</v>
      </c>
      <c r="D469" s="13"/>
      <c r="E469" s="13"/>
      <c r="F469" s="45"/>
      <c r="G469" s="42"/>
      <c r="H469" s="42"/>
      <c r="I469" s="42"/>
      <c r="J469" s="22"/>
      <c r="K469" s="42"/>
    </row>
    <row r="470" ht="39.75" customHeight="1">
      <c r="A470" s="1">
        <v>469.0</v>
      </c>
      <c r="B470" s="2" t="s">
        <v>23</v>
      </c>
      <c r="C470" s="2"/>
      <c r="D470" s="13"/>
      <c r="E470" s="13"/>
      <c r="F470" s="44" t="s">
        <v>3749</v>
      </c>
      <c r="G470" s="43">
        <v>1.0</v>
      </c>
      <c r="H470" s="42"/>
      <c r="I470" s="42"/>
      <c r="J470" s="111"/>
      <c r="K470" s="42"/>
    </row>
    <row r="471" ht="39.75" customHeight="1">
      <c r="A471" s="1">
        <v>470.0</v>
      </c>
      <c r="B471" s="2" t="s">
        <v>24</v>
      </c>
      <c r="C471" s="2"/>
      <c r="D471" s="13"/>
      <c r="E471" s="13"/>
      <c r="F471" s="44" t="s">
        <v>3595</v>
      </c>
      <c r="G471" s="43">
        <v>1.0</v>
      </c>
      <c r="H471" s="42"/>
      <c r="I471" s="42"/>
      <c r="J471" s="22"/>
      <c r="K471" s="42"/>
    </row>
    <row r="472" ht="39.75" customHeight="1">
      <c r="A472" s="1">
        <v>471.0</v>
      </c>
      <c r="B472" s="2" t="s">
        <v>25</v>
      </c>
      <c r="C472" s="2" t="s">
        <v>39</v>
      </c>
      <c r="D472" s="13"/>
      <c r="E472" s="13"/>
      <c r="F472" s="44" t="s">
        <v>3750</v>
      </c>
      <c r="G472" s="43">
        <v>1.0</v>
      </c>
      <c r="H472" s="42"/>
      <c r="I472" s="42"/>
      <c r="J472" s="22"/>
      <c r="K472" s="42"/>
    </row>
    <row r="473" ht="39.75" customHeight="1">
      <c r="A473" s="1">
        <v>472.0</v>
      </c>
      <c r="B473" s="2" t="s">
        <v>26</v>
      </c>
      <c r="C473" s="2" t="s">
        <v>3557</v>
      </c>
      <c r="D473" s="13"/>
      <c r="E473" s="13"/>
      <c r="F473" s="44" t="s">
        <v>3751</v>
      </c>
      <c r="G473" s="43">
        <v>1.0</v>
      </c>
      <c r="H473" s="42"/>
      <c r="I473" s="42"/>
      <c r="J473" s="111"/>
      <c r="K473" s="42"/>
    </row>
    <row r="474" ht="39.75" customHeight="1">
      <c r="A474" s="1">
        <v>473.0</v>
      </c>
      <c r="B474" s="2" t="s">
        <v>29</v>
      </c>
      <c r="C474" s="2" t="s">
        <v>3571</v>
      </c>
      <c r="D474" s="13"/>
      <c r="E474" s="13"/>
      <c r="F474" s="45"/>
      <c r="G474" s="42"/>
      <c r="H474" s="42"/>
      <c r="I474" s="42"/>
      <c r="J474" s="22"/>
      <c r="K474" s="42"/>
    </row>
    <row r="475" ht="39.75" customHeight="1">
      <c r="A475" s="1">
        <v>474.0</v>
      </c>
      <c r="B475" s="2" t="s">
        <v>32</v>
      </c>
      <c r="C475" s="2" t="s">
        <v>69</v>
      </c>
      <c r="D475" s="40"/>
      <c r="E475" s="13"/>
      <c r="F475" s="44"/>
      <c r="G475" s="43"/>
      <c r="H475" s="42"/>
      <c r="I475" s="42"/>
      <c r="J475" s="111"/>
      <c r="K475" s="42"/>
    </row>
    <row r="476" ht="39.75" customHeight="1">
      <c r="A476" s="1">
        <v>475.0</v>
      </c>
      <c r="B476" s="2" t="s">
        <v>67</v>
      </c>
      <c r="C476" s="2" t="s">
        <v>44</v>
      </c>
      <c r="D476" s="40"/>
      <c r="E476" s="13"/>
      <c r="F476" s="44"/>
      <c r="G476" s="43"/>
      <c r="H476" s="42"/>
      <c r="I476" s="43"/>
      <c r="J476" s="111"/>
      <c r="K476" s="42"/>
    </row>
    <row r="477" ht="39.75" customHeight="1">
      <c r="A477" s="1">
        <v>476.0</v>
      </c>
      <c r="B477" s="2" t="s">
        <v>35</v>
      </c>
      <c r="C477" s="2" t="s">
        <v>3563</v>
      </c>
      <c r="D477" s="13"/>
      <c r="E477" s="13"/>
      <c r="F477" s="45"/>
      <c r="G477" s="42"/>
      <c r="H477" s="42"/>
      <c r="I477" s="42"/>
      <c r="J477" s="111"/>
      <c r="K477" s="42"/>
    </row>
    <row r="478" ht="39.75" customHeight="1">
      <c r="A478" s="1">
        <v>477.0</v>
      </c>
      <c r="B478" s="2" t="s">
        <v>36</v>
      </c>
      <c r="C478" s="2" t="s">
        <v>69</v>
      </c>
      <c r="D478" s="13"/>
      <c r="E478" s="13"/>
      <c r="F478" s="44" t="s">
        <v>3752</v>
      </c>
      <c r="G478" s="43">
        <v>1.0</v>
      </c>
      <c r="H478" s="42"/>
      <c r="I478" s="42"/>
      <c r="J478" s="22"/>
      <c r="K478" s="42"/>
    </row>
    <row r="479" ht="39.75" customHeight="1">
      <c r="A479" s="1">
        <v>478.0</v>
      </c>
      <c r="B479" s="2" t="s">
        <v>38</v>
      </c>
      <c r="C479" s="2" t="s">
        <v>54</v>
      </c>
      <c r="D479" s="13"/>
      <c r="E479" s="13"/>
      <c r="F479" s="44" t="s">
        <v>3753</v>
      </c>
      <c r="G479" s="43">
        <v>1.0</v>
      </c>
      <c r="H479" s="42"/>
      <c r="I479" s="43">
        <v>1.0</v>
      </c>
      <c r="J479" s="111"/>
      <c r="K479" s="42"/>
    </row>
    <row r="480" ht="39.75" customHeight="1">
      <c r="A480" s="1">
        <v>479.0</v>
      </c>
      <c r="B480" s="2" t="s">
        <v>41</v>
      </c>
      <c r="C480" s="2" t="s">
        <v>39</v>
      </c>
      <c r="D480" s="13"/>
      <c r="E480" s="13"/>
      <c r="F480" s="44" t="s">
        <v>3754</v>
      </c>
      <c r="G480" s="43">
        <v>1.0</v>
      </c>
      <c r="H480" s="42"/>
      <c r="I480" s="42"/>
      <c r="J480" s="22"/>
      <c r="K480" s="42"/>
    </row>
    <row r="481" ht="39.75" customHeight="1">
      <c r="A481" s="1">
        <v>480.0</v>
      </c>
      <c r="B481" s="2" t="s">
        <v>42</v>
      </c>
      <c r="C481" s="2"/>
      <c r="D481" s="13"/>
      <c r="E481" s="13"/>
      <c r="F481" s="44" t="s">
        <v>3755</v>
      </c>
      <c r="G481" s="43">
        <v>1.0</v>
      </c>
      <c r="H481" s="42"/>
      <c r="I481" s="42"/>
      <c r="J481" s="22"/>
      <c r="K481" s="42"/>
    </row>
    <row r="482" ht="39.75" hidden="1" customHeight="1">
      <c r="A482" s="1">
        <v>481.0</v>
      </c>
      <c r="B482" s="2" t="s">
        <v>43</v>
      </c>
      <c r="C482" s="2" t="s">
        <v>13</v>
      </c>
      <c r="D482" s="40"/>
      <c r="E482" s="13"/>
      <c r="F482" s="44"/>
      <c r="G482" s="42"/>
      <c r="H482" s="42"/>
      <c r="I482" s="42"/>
      <c r="J482" s="22"/>
      <c r="K482" s="42"/>
    </row>
    <row r="483" ht="39.75" customHeight="1">
      <c r="A483" s="1">
        <v>482.0</v>
      </c>
      <c r="B483" s="2" t="s">
        <v>267</v>
      </c>
      <c r="C483" s="2" t="s">
        <v>66</v>
      </c>
      <c r="D483" s="13"/>
      <c r="E483" s="13"/>
      <c r="F483" s="45"/>
      <c r="G483" s="42"/>
      <c r="H483" s="42"/>
      <c r="I483" s="42"/>
      <c r="J483" s="111"/>
      <c r="K483" s="42"/>
    </row>
    <row r="484" ht="39.75" customHeight="1">
      <c r="A484" s="1">
        <v>483.0</v>
      </c>
      <c r="B484" s="2" t="s">
        <v>46</v>
      </c>
      <c r="C484" s="2" t="s">
        <v>3756</v>
      </c>
      <c r="D484" s="13"/>
      <c r="E484" s="13"/>
      <c r="F484" s="44" t="s">
        <v>3757</v>
      </c>
      <c r="G484" s="43">
        <v>1.0</v>
      </c>
      <c r="H484" s="42"/>
      <c r="I484" s="42"/>
      <c r="J484" s="111"/>
      <c r="K484" s="42"/>
    </row>
    <row r="485" ht="39.75" hidden="1" customHeight="1">
      <c r="A485" s="1">
        <v>484.0</v>
      </c>
      <c r="B485" s="2" t="s">
        <v>47</v>
      </c>
      <c r="C485" s="2" t="s">
        <v>13</v>
      </c>
      <c r="D485" s="13"/>
      <c r="E485" s="13"/>
      <c r="F485" s="45"/>
      <c r="G485" s="42"/>
      <c r="H485" s="42"/>
      <c r="I485" s="42"/>
      <c r="J485" s="22"/>
      <c r="K485" s="42"/>
    </row>
    <row r="486" ht="39.75" customHeight="1">
      <c r="A486" s="1">
        <v>485.0</v>
      </c>
      <c r="B486" s="2" t="s">
        <v>48</v>
      </c>
      <c r="C486" s="2" t="s">
        <v>54</v>
      </c>
      <c r="D486" s="13"/>
      <c r="E486" s="13"/>
      <c r="F486" s="44" t="s">
        <v>3758</v>
      </c>
      <c r="G486" s="43">
        <v>1.0</v>
      </c>
      <c r="H486" s="42"/>
      <c r="I486" s="42"/>
      <c r="J486" s="22"/>
      <c r="K486" s="42"/>
    </row>
    <row r="487" ht="39.75" customHeight="1">
      <c r="A487" s="1">
        <v>486.0</v>
      </c>
      <c r="B487" s="21"/>
      <c r="C487" s="21"/>
      <c r="D487" s="21"/>
      <c r="E487" s="21"/>
      <c r="F487" s="46"/>
      <c r="G487" s="47"/>
      <c r="H487" s="47"/>
      <c r="I487" s="47"/>
      <c r="J487" s="48"/>
      <c r="K487" s="47"/>
      <c r="L487" s="49"/>
      <c r="M487" s="49"/>
      <c r="N487" s="49"/>
    </row>
    <row r="488" ht="39.75" customHeight="1">
      <c r="A488" s="1">
        <v>487.0</v>
      </c>
      <c r="B488" s="2" t="s">
        <v>12</v>
      </c>
      <c r="C488" s="2" t="s">
        <v>62</v>
      </c>
      <c r="D488" s="13"/>
      <c r="E488" s="13"/>
      <c r="F488" s="44" t="s">
        <v>3727</v>
      </c>
      <c r="G488" s="43">
        <v>1.0</v>
      </c>
      <c r="H488" s="42"/>
      <c r="I488" s="42"/>
      <c r="J488" s="22"/>
      <c r="K488" s="42"/>
      <c r="L488" s="15" t="s">
        <v>328</v>
      </c>
    </row>
    <row r="489" ht="39.75" customHeight="1">
      <c r="A489" s="1">
        <v>488.0</v>
      </c>
      <c r="B489" s="2" t="s">
        <v>16</v>
      </c>
      <c r="C489" s="2" t="s">
        <v>54</v>
      </c>
      <c r="D489" s="40"/>
      <c r="E489" s="13"/>
      <c r="F489" s="44" t="s">
        <v>3759</v>
      </c>
      <c r="G489" s="43">
        <v>1.0</v>
      </c>
      <c r="H489" s="42"/>
      <c r="I489" s="43">
        <v>1.0</v>
      </c>
      <c r="J489" s="27" t="s">
        <v>328</v>
      </c>
      <c r="K489" s="43"/>
    </row>
    <row r="490" ht="39.75" customHeight="1">
      <c r="A490" s="1">
        <v>489.0</v>
      </c>
      <c r="B490" s="2" t="s">
        <v>116</v>
      </c>
      <c r="C490" s="2" t="s">
        <v>69</v>
      </c>
      <c r="D490" s="13"/>
      <c r="E490" s="13"/>
      <c r="F490" s="44" t="s">
        <v>3760</v>
      </c>
      <c r="G490" s="43">
        <v>1.0</v>
      </c>
      <c r="H490" s="42"/>
      <c r="I490" s="43">
        <v>1.0</v>
      </c>
      <c r="J490" s="27" t="s">
        <v>111</v>
      </c>
      <c r="K490" s="42"/>
    </row>
    <row r="491" ht="39.75" customHeight="1">
      <c r="A491" s="1">
        <v>490.0</v>
      </c>
      <c r="B491" s="2" t="s">
        <v>263</v>
      </c>
      <c r="C491" s="2" t="s">
        <v>54</v>
      </c>
      <c r="D491" s="13"/>
      <c r="E491" s="13"/>
      <c r="F491" s="44" t="s">
        <v>3761</v>
      </c>
      <c r="G491" s="43">
        <v>1.0</v>
      </c>
      <c r="H491" s="42"/>
      <c r="I491" s="42"/>
      <c r="J491" s="27" t="s">
        <v>3715</v>
      </c>
      <c r="K491" s="42"/>
    </row>
    <row r="492" ht="39.75" customHeight="1">
      <c r="A492" s="1">
        <v>491.0</v>
      </c>
      <c r="B492" s="2" t="s">
        <v>17</v>
      </c>
      <c r="C492" s="2" t="s">
        <v>3603</v>
      </c>
      <c r="D492" s="13"/>
      <c r="E492" s="13"/>
      <c r="F492" s="44" t="s">
        <v>3392</v>
      </c>
      <c r="G492" s="43">
        <v>1.0</v>
      </c>
      <c r="H492" s="42"/>
      <c r="I492" s="42"/>
      <c r="J492" s="27" t="s">
        <v>412</v>
      </c>
      <c r="K492" s="42"/>
    </row>
    <row r="493" ht="39.75" hidden="1" customHeight="1">
      <c r="A493" s="1">
        <v>492.0</v>
      </c>
      <c r="B493" s="2" t="s">
        <v>331</v>
      </c>
      <c r="C493" s="2" t="s">
        <v>13</v>
      </c>
      <c r="D493" s="13"/>
      <c r="E493" s="13"/>
      <c r="F493" s="44"/>
      <c r="G493" s="42"/>
      <c r="H493" s="42"/>
      <c r="I493" s="42"/>
      <c r="J493" s="27"/>
      <c r="K493" s="42"/>
    </row>
    <row r="494" ht="39.75" customHeight="1">
      <c r="A494" s="1">
        <v>493.0</v>
      </c>
      <c r="B494" s="2" t="s">
        <v>21</v>
      </c>
      <c r="C494" s="2"/>
      <c r="D494" s="13"/>
      <c r="E494" s="13"/>
      <c r="F494" s="44" t="s">
        <v>3762</v>
      </c>
      <c r="G494" s="43">
        <v>1.0</v>
      </c>
      <c r="H494" s="42"/>
      <c r="I494" s="42"/>
      <c r="J494" s="22"/>
      <c r="K494" s="42"/>
    </row>
    <row r="495" ht="39.75" customHeight="1">
      <c r="A495" s="1">
        <v>494.0</v>
      </c>
      <c r="B495" s="2" t="s">
        <v>22</v>
      </c>
      <c r="C495" s="2"/>
      <c r="D495" s="13"/>
      <c r="E495" s="13"/>
      <c r="F495" s="44" t="s">
        <v>3763</v>
      </c>
      <c r="G495" s="43">
        <v>1.0</v>
      </c>
      <c r="H495" s="42"/>
      <c r="I495" s="42"/>
      <c r="J495" s="22"/>
      <c r="K495" s="42"/>
    </row>
    <row r="496" ht="39.75" hidden="1" customHeight="1">
      <c r="A496" s="1">
        <v>495.0</v>
      </c>
      <c r="B496" s="2" t="s">
        <v>261</v>
      </c>
      <c r="C496" s="2" t="s">
        <v>13</v>
      </c>
      <c r="D496" s="13"/>
      <c r="E496" s="13"/>
      <c r="F496" s="45"/>
      <c r="G496" s="42"/>
      <c r="H496" s="42"/>
      <c r="I496" s="42"/>
      <c r="J496" s="22"/>
      <c r="K496" s="42"/>
    </row>
    <row r="497" ht="39.75" customHeight="1">
      <c r="A497" s="1">
        <v>496.0</v>
      </c>
      <c r="B497" s="2" t="s">
        <v>23</v>
      </c>
      <c r="C497" s="2" t="s">
        <v>54</v>
      </c>
      <c r="D497" s="13"/>
      <c r="E497" s="13"/>
      <c r="F497" s="44" t="s">
        <v>3764</v>
      </c>
      <c r="G497" s="43">
        <v>1.0</v>
      </c>
      <c r="H497" s="42"/>
      <c r="I497" s="42"/>
      <c r="J497" s="22"/>
      <c r="K497" s="42"/>
    </row>
    <row r="498" ht="39.75" hidden="1" customHeight="1">
      <c r="A498" s="1">
        <v>497.0</v>
      </c>
      <c r="B498" s="2" t="s">
        <v>24</v>
      </c>
      <c r="C498" s="2" t="s">
        <v>13</v>
      </c>
      <c r="D498" s="13"/>
      <c r="E498" s="13"/>
      <c r="F498" s="45"/>
      <c r="G498" s="42"/>
      <c r="H498" s="42"/>
      <c r="I498" s="42"/>
      <c r="J498" s="22"/>
      <c r="K498" s="42"/>
    </row>
    <row r="499" ht="39.75" customHeight="1">
      <c r="A499" s="1">
        <v>498.0</v>
      </c>
      <c r="B499" s="2" t="s">
        <v>25</v>
      </c>
      <c r="C499" s="2" t="s">
        <v>3571</v>
      </c>
      <c r="D499" s="13"/>
      <c r="E499" s="13"/>
      <c r="F499" s="45"/>
      <c r="G499" s="42"/>
      <c r="H499" s="42"/>
      <c r="I499" s="42"/>
      <c r="J499" s="22"/>
      <c r="K499" s="42"/>
    </row>
    <row r="500" ht="39.75" customHeight="1">
      <c r="A500" s="1">
        <v>499.0</v>
      </c>
      <c r="B500" s="2" t="s">
        <v>26</v>
      </c>
      <c r="C500" s="2" t="s">
        <v>3557</v>
      </c>
      <c r="D500" s="13"/>
      <c r="E500" s="13"/>
      <c r="F500" s="44" t="s">
        <v>3765</v>
      </c>
      <c r="G500" s="43">
        <v>1.0</v>
      </c>
      <c r="H500" s="42"/>
      <c r="I500" s="42"/>
      <c r="J500" s="22"/>
      <c r="K500" s="42"/>
    </row>
    <row r="501" ht="39.75" customHeight="1">
      <c r="A501" s="1">
        <v>500.0</v>
      </c>
      <c r="B501" s="2" t="s">
        <v>29</v>
      </c>
      <c r="C501" s="2" t="s">
        <v>44</v>
      </c>
      <c r="D501" s="13"/>
      <c r="E501" s="13"/>
      <c r="F501" s="45"/>
      <c r="G501" s="42"/>
      <c r="H501" s="42"/>
      <c r="I501" s="42"/>
      <c r="J501" s="22"/>
      <c r="K501" s="42"/>
    </row>
    <row r="502" ht="39.75" customHeight="1">
      <c r="A502" s="1">
        <v>501.0</v>
      </c>
      <c r="B502" s="2" t="s">
        <v>32</v>
      </c>
      <c r="C502" s="2"/>
      <c r="D502" s="40"/>
      <c r="E502" s="13"/>
      <c r="F502" s="44" t="s">
        <v>3766</v>
      </c>
      <c r="G502" s="43">
        <v>1.0</v>
      </c>
      <c r="H502" s="42"/>
      <c r="I502" s="42"/>
      <c r="J502" s="22"/>
      <c r="K502" s="42"/>
    </row>
    <row r="503" ht="39.75" customHeight="1">
      <c r="A503" s="1">
        <v>502.0</v>
      </c>
      <c r="B503" s="2" t="s">
        <v>67</v>
      </c>
      <c r="C503" s="2" t="s">
        <v>39</v>
      </c>
      <c r="D503" s="40"/>
      <c r="E503" s="13"/>
      <c r="F503" s="44" t="s">
        <v>3767</v>
      </c>
      <c r="G503" s="43">
        <v>1.0</v>
      </c>
      <c r="H503" s="42"/>
      <c r="I503" s="43"/>
      <c r="J503" s="22"/>
      <c r="K503" s="42"/>
    </row>
    <row r="504" ht="39.75" customHeight="1">
      <c r="A504" s="1">
        <v>503.0</v>
      </c>
      <c r="B504" s="2" t="s">
        <v>35</v>
      </c>
      <c r="C504" s="2" t="s">
        <v>3563</v>
      </c>
      <c r="D504" s="13"/>
      <c r="E504" s="13"/>
      <c r="F504" s="45"/>
      <c r="G504" s="42"/>
      <c r="H504" s="42"/>
      <c r="I504" s="42"/>
      <c r="J504" s="22"/>
      <c r="K504" s="42"/>
    </row>
    <row r="505" ht="39.75" customHeight="1">
      <c r="A505" s="1">
        <v>504.0</v>
      </c>
      <c r="B505" s="2" t="s">
        <v>36</v>
      </c>
      <c r="C505" s="2" t="s">
        <v>69</v>
      </c>
      <c r="D505" s="13"/>
      <c r="E505" s="13"/>
      <c r="F505" s="44" t="s">
        <v>3768</v>
      </c>
      <c r="G505" s="43">
        <v>1.0</v>
      </c>
      <c r="H505" s="42"/>
      <c r="I505" s="43">
        <v>1.0</v>
      </c>
      <c r="J505" s="22"/>
      <c r="K505" s="42"/>
    </row>
    <row r="506" ht="39.75" customHeight="1">
      <c r="A506" s="1">
        <v>505.0</v>
      </c>
      <c r="B506" s="2" t="s">
        <v>38</v>
      </c>
      <c r="C506" s="2"/>
      <c r="D506" s="13"/>
      <c r="E506" s="13"/>
      <c r="F506" s="44" t="s">
        <v>3769</v>
      </c>
      <c r="G506" s="43">
        <v>1.0</v>
      </c>
      <c r="H506" s="42"/>
      <c r="I506" s="42"/>
      <c r="J506" s="22"/>
      <c r="K506" s="42"/>
    </row>
    <row r="507" ht="39.75" customHeight="1">
      <c r="A507" s="1">
        <v>506.0</v>
      </c>
      <c r="B507" s="2" t="s">
        <v>41</v>
      </c>
      <c r="C507" s="2" t="s">
        <v>69</v>
      </c>
      <c r="D507" s="13"/>
      <c r="E507" s="13"/>
      <c r="F507" s="44" t="s">
        <v>3770</v>
      </c>
      <c r="G507" s="43">
        <v>1.0</v>
      </c>
      <c r="H507" s="42"/>
      <c r="I507" s="42"/>
      <c r="J507" s="22"/>
      <c r="K507" s="42"/>
    </row>
    <row r="508" ht="39.75" customHeight="1">
      <c r="A508" s="1">
        <v>507.0</v>
      </c>
      <c r="B508" s="2" t="s">
        <v>42</v>
      </c>
      <c r="C508" s="2"/>
      <c r="D508" s="13"/>
      <c r="E508" s="13"/>
      <c r="F508" s="45"/>
      <c r="G508" s="42"/>
      <c r="H508" s="42"/>
      <c r="I508" s="42"/>
      <c r="J508" s="22"/>
      <c r="K508" s="42"/>
    </row>
    <row r="509" ht="39.75" customHeight="1">
      <c r="A509" s="1">
        <v>508.0</v>
      </c>
      <c r="B509" s="2" t="s">
        <v>43</v>
      </c>
      <c r="C509" s="2" t="s">
        <v>66</v>
      </c>
      <c r="D509" s="40"/>
      <c r="E509" s="13"/>
      <c r="F509" s="44"/>
      <c r="G509" s="42"/>
      <c r="H509" s="42"/>
      <c r="I509" s="42"/>
      <c r="J509" s="22"/>
      <c r="K509" s="42"/>
    </row>
    <row r="510" ht="39.75" customHeight="1">
      <c r="A510" s="1">
        <v>509.0</v>
      </c>
      <c r="B510" s="2" t="s">
        <v>267</v>
      </c>
      <c r="C510" s="2"/>
      <c r="D510" s="13"/>
      <c r="E510" s="13"/>
      <c r="F510" s="44" t="s">
        <v>3595</v>
      </c>
      <c r="G510" s="43">
        <v>1.0</v>
      </c>
      <c r="H510" s="42"/>
      <c r="I510" s="42"/>
      <c r="J510" s="22"/>
      <c r="K510" s="42"/>
    </row>
    <row r="511" ht="39.75" hidden="1" customHeight="1">
      <c r="A511" s="1">
        <v>510.0</v>
      </c>
      <c r="B511" s="2" t="s">
        <v>46</v>
      </c>
      <c r="C511" s="2" t="s">
        <v>13</v>
      </c>
      <c r="D511" s="13"/>
      <c r="E511" s="13"/>
      <c r="F511" s="45"/>
      <c r="G511" s="42"/>
      <c r="H511" s="42"/>
      <c r="I511" s="42"/>
      <c r="J511" s="22"/>
      <c r="K511" s="42"/>
    </row>
    <row r="512" ht="39.75" customHeight="1">
      <c r="A512" s="1">
        <v>511.0</v>
      </c>
      <c r="B512" s="2" t="s">
        <v>47</v>
      </c>
      <c r="C512" s="2"/>
      <c r="D512" s="13"/>
      <c r="E512" s="13"/>
      <c r="F512" s="44" t="s">
        <v>3771</v>
      </c>
      <c r="G512" s="43">
        <v>1.0</v>
      </c>
      <c r="H512" s="42"/>
      <c r="I512" s="43">
        <v>1.0</v>
      </c>
      <c r="J512" s="22"/>
      <c r="K512" s="42"/>
    </row>
    <row r="513" ht="39.75" customHeight="1">
      <c r="A513" s="1">
        <v>512.0</v>
      </c>
      <c r="B513" s="2" t="s">
        <v>48</v>
      </c>
      <c r="C513" s="2" t="s">
        <v>54</v>
      </c>
      <c r="D513" s="13"/>
      <c r="E513" s="13"/>
      <c r="F513" s="44" t="s">
        <v>3772</v>
      </c>
      <c r="G513" s="43">
        <v>1.0</v>
      </c>
      <c r="H513" s="42"/>
      <c r="I513" s="42"/>
      <c r="J513" s="22"/>
      <c r="K513" s="42"/>
    </row>
    <row r="514" ht="39.75" customHeight="1">
      <c r="A514" s="1">
        <v>513.0</v>
      </c>
      <c r="B514" s="21"/>
      <c r="C514" s="21"/>
      <c r="D514" s="21"/>
      <c r="E514" s="21"/>
      <c r="F514" s="46"/>
      <c r="G514" s="47"/>
      <c r="H514" s="47"/>
      <c r="I514" s="47"/>
      <c r="J514" s="48"/>
      <c r="K514" s="47"/>
      <c r="L514" s="49"/>
      <c r="M514" s="49"/>
      <c r="N514" s="49"/>
    </row>
    <row r="515" ht="39.75" customHeight="1">
      <c r="A515" s="1">
        <v>514.0</v>
      </c>
      <c r="B515" s="2" t="s">
        <v>12</v>
      </c>
      <c r="C515" s="2" t="s">
        <v>62</v>
      </c>
      <c r="D515" s="13"/>
      <c r="E515" s="13"/>
      <c r="F515" s="44" t="s">
        <v>3773</v>
      </c>
      <c r="G515" s="43">
        <v>1.0</v>
      </c>
      <c r="H515" s="42"/>
      <c r="I515" s="42"/>
      <c r="J515" s="22"/>
      <c r="K515" s="42"/>
      <c r="L515" s="15" t="s">
        <v>347</v>
      </c>
    </row>
    <row r="516" ht="39.75" customHeight="1">
      <c r="A516" s="1">
        <v>515.0</v>
      </c>
      <c r="B516" s="2" t="s">
        <v>16</v>
      </c>
      <c r="C516" s="2" t="s">
        <v>54</v>
      </c>
      <c r="D516" s="40"/>
      <c r="E516" s="13"/>
      <c r="F516" s="44" t="s">
        <v>3774</v>
      </c>
      <c r="G516" s="43">
        <v>1.0</v>
      </c>
      <c r="H516" s="42"/>
      <c r="I516" s="43">
        <v>1.0</v>
      </c>
      <c r="J516" s="27" t="s">
        <v>347</v>
      </c>
      <c r="K516" s="43"/>
    </row>
    <row r="517" ht="39.75" customHeight="1">
      <c r="A517" s="1">
        <v>516.0</v>
      </c>
      <c r="B517" s="2" t="s">
        <v>116</v>
      </c>
      <c r="C517" s="2" t="s">
        <v>69</v>
      </c>
      <c r="D517" s="13"/>
      <c r="E517" s="13"/>
      <c r="F517" s="45"/>
      <c r="G517" s="42"/>
      <c r="H517" s="42"/>
      <c r="I517" s="42"/>
      <c r="J517" s="27" t="s">
        <v>131</v>
      </c>
      <c r="K517" s="42"/>
    </row>
    <row r="518" ht="39.75" customHeight="1">
      <c r="A518" s="1">
        <v>517.0</v>
      </c>
      <c r="B518" s="2" t="s">
        <v>263</v>
      </c>
      <c r="C518" s="2" t="s">
        <v>54</v>
      </c>
      <c r="D518" s="13"/>
      <c r="E518" s="13"/>
      <c r="F518" s="45"/>
      <c r="G518" s="42"/>
      <c r="H518" s="42"/>
      <c r="I518" s="42"/>
      <c r="J518" s="27" t="s">
        <v>165</v>
      </c>
      <c r="K518" s="42"/>
    </row>
    <row r="519" ht="39.75" customHeight="1">
      <c r="A519" s="1">
        <v>518.0</v>
      </c>
      <c r="B519" s="2" t="s">
        <v>17</v>
      </c>
      <c r="C519" s="2" t="s">
        <v>3603</v>
      </c>
      <c r="D519" s="13"/>
      <c r="E519" s="13"/>
      <c r="F519" s="44" t="s">
        <v>3392</v>
      </c>
      <c r="G519" s="43">
        <v>1.0</v>
      </c>
      <c r="H519" s="42"/>
      <c r="I519" s="42"/>
      <c r="J519" s="27" t="s">
        <v>2637</v>
      </c>
      <c r="K519" s="42"/>
    </row>
    <row r="520" ht="39.75" customHeight="1">
      <c r="A520" s="1">
        <v>519.0</v>
      </c>
      <c r="B520" s="2" t="s">
        <v>331</v>
      </c>
      <c r="C520" s="2" t="s">
        <v>542</v>
      </c>
      <c r="D520" s="13"/>
      <c r="E520" s="13"/>
      <c r="F520" s="44"/>
      <c r="G520" s="42"/>
      <c r="H520" s="42"/>
      <c r="I520" s="42"/>
      <c r="J520" s="27" t="s">
        <v>2638</v>
      </c>
      <c r="K520" s="42"/>
    </row>
    <row r="521" ht="39.75" customHeight="1">
      <c r="A521" s="1">
        <v>520.0</v>
      </c>
      <c r="B521" s="2" t="s">
        <v>21</v>
      </c>
      <c r="C521" s="2" t="s">
        <v>66</v>
      </c>
      <c r="D521" s="13"/>
      <c r="E521" s="13"/>
      <c r="F521" s="45"/>
      <c r="G521" s="42"/>
      <c r="H521" s="42"/>
      <c r="I521" s="42"/>
      <c r="J521" s="22"/>
      <c r="K521" s="42"/>
    </row>
    <row r="522" ht="39.75" customHeight="1">
      <c r="A522" s="1">
        <v>521.0</v>
      </c>
      <c r="B522" s="2" t="s">
        <v>22</v>
      </c>
      <c r="C522" s="2"/>
      <c r="D522" s="13"/>
      <c r="E522" s="13"/>
      <c r="F522" s="44" t="s">
        <v>3775</v>
      </c>
      <c r="G522" s="43">
        <v>1.0</v>
      </c>
      <c r="H522" s="42"/>
      <c r="I522" s="42"/>
      <c r="J522" s="22"/>
      <c r="K522" s="42"/>
    </row>
    <row r="523" ht="39.75" hidden="1" customHeight="1">
      <c r="A523" s="1">
        <v>522.0</v>
      </c>
      <c r="B523" s="2" t="s">
        <v>261</v>
      </c>
      <c r="C523" s="2" t="s">
        <v>13</v>
      </c>
      <c r="D523" s="13"/>
      <c r="E523" s="13"/>
      <c r="F523" s="45"/>
      <c r="G523" s="42"/>
      <c r="H523" s="42"/>
      <c r="I523" s="42"/>
      <c r="J523" s="22"/>
      <c r="K523" s="42"/>
    </row>
    <row r="524" ht="39.75" hidden="1" customHeight="1">
      <c r="A524" s="1">
        <v>523.0</v>
      </c>
      <c r="B524" s="2" t="s">
        <v>23</v>
      </c>
      <c r="C524" s="2" t="s">
        <v>13</v>
      </c>
      <c r="D524" s="13"/>
      <c r="E524" s="13"/>
      <c r="F524" s="45"/>
      <c r="G524" s="42"/>
      <c r="H524" s="42"/>
      <c r="I524" s="42"/>
      <c r="J524" s="22"/>
      <c r="K524" s="42"/>
    </row>
    <row r="525" ht="39.75" hidden="1" customHeight="1">
      <c r="A525" s="1">
        <v>524.0</v>
      </c>
      <c r="B525" s="2" t="s">
        <v>24</v>
      </c>
      <c r="C525" s="2" t="s">
        <v>13</v>
      </c>
      <c r="D525" s="13"/>
      <c r="E525" s="13"/>
      <c r="F525" s="45"/>
      <c r="G525" s="42"/>
      <c r="H525" s="42"/>
      <c r="I525" s="42"/>
      <c r="J525" s="22"/>
      <c r="K525" s="42"/>
    </row>
    <row r="526" ht="39.75" customHeight="1">
      <c r="A526" s="1">
        <v>525.0</v>
      </c>
      <c r="B526" s="2" t="s">
        <v>25</v>
      </c>
      <c r="C526" s="2" t="s">
        <v>44</v>
      </c>
      <c r="D526" s="13"/>
      <c r="E526" s="112">
        <v>0.375</v>
      </c>
      <c r="F526" s="44" t="s">
        <v>3776</v>
      </c>
      <c r="G526" s="56">
        <v>1.0</v>
      </c>
      <c r="H526" s="42"/>
      <c r="I526" s="42"/>
      <c r="J526" s="22"/>
      <c r="K526" s="42"/>
    </row>
    <row r="527" ht="39.75" customHeight="1">
      <c r="A527" s="1">
        <v>526.0</v>
      </c>
      <c r="B527" s="2" t="s">
        <v>26</v>
      </c>
      <c r="C527" s="2" t="s">
        <v>3557</v>
      </c>
      <c r="D527" s="13"/>
      <c r="E527" s="13"/>
      <c r="F527" s="44" t="s">
        <v>3765</v>
      </c>
      <c r="G527" s="43">
        <v>1.0</v>
      </c>
      <c r="H527" s="42"/>
      <c r="I527" s="42"/>
      <c r="J527" s="22"/>
      <c r="K527" s="42"/>
    </row>
    <row r="528" ht="39.75" customHeight="1">
      <c r="A528" s="1">
        <v>527.0</v>
      </c>
      <c r="B528" s="2" t="s">
        <v>29</v>
      </c>
      <c r="C528" s="2" t="s">
        <v>66</v>
      </c>
      <c r="D528" s="13"/>
      <c r="E528" s="13"/>
      <c r="F528" s="45"/>
      <c r="G528" s="42"/>
      <c r="H528" s="42"/>
      <c r="I528" s="42"/>
      <c r="J528" s="22"/>
      <c r="K528" s="42"/>
    </row>
    <row r="529" ht="39.75" customHeight="1">
      <c r="A529" s="1">
        <v>528.0</v>
      </c>
      <c r="B529" s="2" t="s">
        <v>32</v>
      </c>
      <c r="C529" s="2" t="s">
        <v>3571</v>
      </c>
      <c r="D529" s="40"/>
      <c r="E529" s="13"/>
      <c r="F529" s="44"/>
      <c r="G529" s="43"/>
      <c r="H529" s="42"/>
      <c r="I529" s="42"/>
      <c r="J529" s="22"/>
      <c r="K529" s="42"/>
    </row>
    <row r="530" ht="39.75" customHeight="1">
      <c r="A530" s="1">
        <v>529.0</v>
      </c>
      <c r="B530" s="2" t="s">
        <v>67</v>
      </c>
      <c r="C530" s="2" t="s">
        <v>54</v>
      </c>
      <c r="D530" s="40"/>
      <c r="E530" s="13"/>
      <c r="F530" s="44" t="s">
        <v>3777</v>
      </c>
      <c r="G530" s="43">
        <v>1.0</v>
      </c>
      <c r="H530" s="43"/>
      <c r="I530" s="43"/>
      <c r="J530" s="22"/>
      <c r="K530" s="42"/>
    </row>
    <row r="531" ht="39.75" customHeight="1">
      <c r="A531" s="1">
        <v>530.0</v>
      </c>
      <c r="B531" s="2" t="s">
        <v>35</v>
      </c>
      <c r="C531" s="2" t="s">
        <v>3563</v>
      </c>
      <c r="D531" s="13"/>
      <c r="E531" s="13"/>
      <c r="F531" s="45"/>
      <c r="G531" s="42"/>
      <c r="H531" s="42"/>
      <c r="I531" s="42"/>
      <c r="J531" s="22"/>
      <c r="K531" s="42"/>
    </row>
    <row r="532" ht="39.75" hidden="1" customHeight="1">
      <c r="A532" s="1">
        <v>531.0</v>
      </c>
      <c r="B532" s="2" t="s">
        <v>36</v>
      </c>
      <c r="C532" s="2" t="s">
        <v>13</v>
      </c>
      <c r="D532" s="13"/>
      <c r="E532" s="13"/>
      <c r="F532" s="45"/>
      <c r="G532" s="42"/>
      <c r="H532" s="42"/>
      <c r="I532" s="42"/>
      <c r="J532" s="22"/>
      <c r="K532" s="42"/>
    </row>
    <row r="533" ht="39.75" customHeight="1">
      <c r="A533" s="1">
        <v>532.0</v>
      </c>
      <c r="B533" s="2" t="s">
        <v>38</v>
      </c>
      <c r="C533" s="2" t="s">
        <v>54</v>
      </c>
      <c r="D533" s="2">
        <v>700.0</v>
      </c>
      <c r="E533" s="13"/>
      <c r="F533" s="44" t="s">
        <v>3778</v>
      </c>
      <c r="G533" s="43">
        <v>1.0</v>
      </c>
      <c r="H533" s="43">
        <v>1.0</v>
      </c>
      <c r="I533" s="42"/>
      <c r="J533" s="22"/>
      <c r="K533" s="42"/>
    </row>
    <row r="534" ht="39.75" customHeight="1">
      <c r="A534" s="1">
        <v>533.0</v>
      </c>
      <c r="B534" s="2" t="s">
        <v>41</v>
      </c>
      <c r="C534" s="2"/>
      <c r="D534" s="13"/>
      <c r="E534" s="13"/>
      <c r="F534" s="44" t="s">
        <v>3779</v>
      </c>
      <c r="G534" s="43">
        <v>1.0</v>
      </c>
      <c r="H534" s="42"/>
      <c r="I534" s="42"/>
      <c r="J534" s="22"/>
      <c r="K534" s="42"/>
    </row>
    <row r="535" ht="39.75" customHeight="1">
      <c r="A535" s="1">
        <v>534.0</v>
      </c>
      <c r="B535" s="2" t="s">
        <v>42</v>
      </c>
      <c r="C535" s="2" t="s">
        <v>39</v>
      </c>
      <c r="D535" s="13"/>
      <c r="E535" s="13"/>
      <c r="F535" s="44" t="s">
        <v>3780</v>
      </c>
      <c r="G535" s="43">
        <v>1.0</v>
      </c>
      <c r="H535" s="42"/>
      <c r="I535" s="43">
        <v>1.0</v>
      </c>
      <c r="J535" s="22"/>
      <c r="K535" s="42"/>
    </row>
    <row r="536" ht="39.75" customHeight="1">
      <c r="A536" s="1">
        <v>535.0</v>
      </c>
      <c r="B536" s="2" t="s">
        <v>43</v>
      </c>
      <c r="C536" s="2" t="s">
        <v>69</v>
      </c>
      <c r="D536" s="40"/>
      <c r="E536" s="13"/>
      <c r="F536" s="44"/>
      <c r="G536" s="42"/>
      <c r="H536" s="42"/>
      <c r="I536" s="42"/>
      <c r="J536" s="22"/>
      <c r="K536" s="42"/>
    </row>
    <row r="537" ht="39.75" customHeight="1">
      <c r="A537" s="1">
        <v>536.0</v>
      </c>
      <c r="B537" s="2" t="s">
        <v>267</v>
      </c>
      <c r="C537" s="2" t="s">
        <v>39</v>
      </c>
      <c r="D537" s="13"/>
      <c r="E537" s="13"/>
      <c r="F537" s="44" t="s">
        <v>3781</v>
      </c>
      <c r="G537" s="43">
        <v>1.0</v>
      </c>
      <c r="H537" s="42"/>
      <c r="I537" s="43">
        <v>1.0</v>
      </c>
      <c r="J537" s="22"/>
      <c r="K537" s="42"/>
    </row>
    <row r="538" ht="39.75" customHeight="1">
      <c r="A538" s="1">
        <v>537.0</v>
      </c>
      <c r="B538" s="2" t="s">
        <v>46</v>
      </c>
      <c r="C538" s="2"/>
      <c r="D538" s="13"/>
      <c r="E538" s="13"/>
      <c r="F538" s="44" t="s">
        <v>3782</v>
      </c>
      <c r="G538" s="43">
        <v>1.0</v>
      </c>
      <c r="H538" s="42"/>
      <c r="I538" s="42"/>
      <c r="J538" s="22"/>
      <c r="K538" s="42"/>
    </row>
    <row r="539" ht="39.75" customHeight="1">
      <c r="A539" s="1">
        <v>538.0</v>
      </c>
      <c r="B539" s="2" t="s">
        <v>47</v>
      </c>
      <c r="C539" s="2"/>
      <c r="D539" s="13"/>
      <c r="E539" s="13"/>
      <c r="F539" s="44" t="s">
        <v>3783</v>
      </c>
      <c r="G539" s="43">
        <v>1.0</v>
      </c>
      <c r="H539" s="42"/>
      <c r="I539" s="42"/>
      <c r="J539" s="22"/>
      <c r="K539" s="42"/>
    </row>
    <row r="540" ht="39.75" customHeight="1">
      <c r="A540" s="1">
        <v>539.0</v>
      </c>
      <c r="B540" s="2" t="s">
        <v>48</v>
      </c>
      <c r="C540" s="2" t="s">
        <v>69</v>
      </c>
      <c r="D540" s="13"/>
      <c r="E540" s="13"/>
      <c r="F540" s="45"/>
      <c r="G540" s="42"/>
      <c r="H540" s="42"/>
      <c r="I540" s="42"/>
      <c r="J540" s="22"/>
      <c r="K540" s="42"/>
    </row>
    <row r="541" ht="39.75" customHeight="1">
      <c r="A541" s="1">
        <v>540.0</v>
      </c>
      <c r="B541" s="21"/>
      <c r="C541" s="21"/>
      <c r="D541" s="21"/>
      <c r="E541" s="21"/>
      <c r="F541" s="46"/>
      <c r="G541" s="47"/>
      <c r="H541" s="47"/>
      <c r="I541" s="47"/>
      <c r="J541" s="48"/>
      <c r="K541" s="47"/>
      <c r="L541" s="49"/>
      <c r="M541" s="49"/>
      <c r="N541" s="49"/>
    </row>
    <row r="542" ht="39.75" hidden="1" customHeight="1">
      <c r="A542" s="1">
        <v>541.0</v>
      </c>
      <c r="B542" s="2" t="s">
        <v>12</v>
      </c>
      <c r="C542" s="2" t="s">
        <v>13</v>
      </c>
      <c r="D542" s="13"/>
      <c r="E542" s="13"/>
      <c r="F542" s="45"/>
      <c r="G542" s="42"/>
      <c r="H542" s="42"/>
      <c r="I542" s="42"/>
      <c r="J542" s="22"/>
      <c r="K542" s="42"/>
      <c r="L542" s="15" t="s">
        <v>362</v>
      </c>
    </row>
    <row r="543" ht="39.75" hidden="1" customHeight="1">
      <c r="A543" s="1">
        <v>542.0</v>
      </c>
      <c r="B543" s="2" t="s">
        <v>16</v>
      </c>
      <c r="C543" s="2" t="s">
        <v>13</v>
      </c>
      <c r="D543" s="40"/>
      <c r="E543" s="13"/>
      <c r="F543" s="45"/>
      <c r="G543" s="42"/>
      <c r="H543" s="42"/>
      <c r="I543" s="42"/>
      <c r="J543" s="27" t="s">
        <v>362</v>
      </c>
      <c r="K543" s="43"/>
    </row>
    <row r="544" ht="39.75" hidden="1" customHeight="1">
      <c r="A544" s="1">
        <v>543.0</v>
      </c>
      <c r="B544" s="2" t="s">
        <v>116</v>
      </c>
      <c r="C544" s="2" t="s">
        <v>13</v>
      </c>
      <c r="D544" s="13"/>
      <c r="E544" s="13"/>
      <c r="F544" s="45"/>
      <c r="G544" s="42"/>
      <c r="H544" s="42"/>
      <c r="I544" s="42"/>
      <c r="J544" s="27" t="s">
        <v>149</v>
      </c>
      <c r="K544" s="42"/>
    </row>
    <row r="545" ht="39.75" hidden="1" customHeight="1">
      <c r="A545" s="1">
        <v>544.0</v>
      </c>
      <c r="B545" s="2" t="s">
        <v>263</v>
      </c>
      <c r="C545" s="2" t="s">
        <v>13</v>
      </c>
      <c r="D545" s="13"/>
      <c r="E545" s="13"/>
      <c r="F545" s="45"/>
      <c r="G545" s="42"/>
      <c r="H545" s="42"/>
      <c r="I545" s="42"/>
      <c r="J545" s="27" t="s">
        <v>266</v>
      </c>
      <c r="K545" s="42"/>
    </row>
    <row r="546" ht="39.75" hidden="1" customHeight="1">
      <c r="A546" s="1">
        <v>545.0</v>
      </c>
      <c r="B546" s="2" t="s">
        <v>17</v>
      </c>
      <c r="C546" s="2" t="s">
        <v>13</v>
      </c>
      <c r="D546" s="13"/>
      <c r="E546" s="13"/>
      <c r="F546" s="45"/>
      <c r="G546" s="42"/>
      <c r="H546" s="42"/>
      <c r="I546" s="42"/>
      <c r="J546" s="27"/>
      <c r="K546" s="42"/>
    </row>
    <row r="547" ht="39.75" hidden="1" customHeight="1">
      <c r="A547" s="1">
        <v>546.0</v>
      </c>
      <c r="B547" s="2" t="s">
        <v>331</v>
      </c>
      <c r="C547" s="2" t="s">
        <v>13</v>
      </c>
      <c r="D547" s="13"/>
      <c r="E547" s="13"/>
      <c r="F547" s="44"/>
      <c r="G547" s="42"/>
      <c r="H547" s="42"/>
      <c r="I547" s="42"/>
      <c r="J547" s="22"/>
      <c r="K547" s="42"/>
    </row>
    <row r="548" ht="39.75" hidden="1" customHeight="1">
      <c r="A548" s="1">
        <v>547.0</v>
      </c>
      <c r="B548" s="2" t="s">
        <v>21</v>
      </c>
      <c r="C548" s="2" t="s">
        <v>13</v>
      </c>
      <c r="D548" s="13"/>
      <c r="E548" s="13"/>
      <c r="F548" s="45"/>
      <c r="G548" s="42"/>
      <c r="H548" s="42"/>
      <c r="I548" s="42"/>
      <c r="J548" s="22"/>
      <c r="K548" s="42"/>
    </row>
    <row r="549" ht="39.75" customHeight="1">
      <c r="A549" s="1">
        <v>548.0</v>
      </c>
      <c r="B549" s="2" t="s">
        <v>22</v>
      </c>
      <c r="C549" s="2"/>
      <c r="D549" s="40">
        <v>0.5416666666666666</v>
      </c>
      <c r="E549" s="59">
        <v>0.041666666666666664</v>
      </c>
      <c r="F549" s="44" t="s">
        <v>3784</v>
      </c>
      <c r="G549" s="43">
        <v>2.0</v>
      </c>
      <c r="H549" s="43">
        <v>1.0</v>
      </c>
      <c r="I549" s="43">
        <v>1.0</v>
      </c>
      <c r="J549" s="22"/>
      <c r="K549" s="42"/>
    </row>
    <row r="550" ht="39.75" hidden="1" customHeight="1">
      <c r="A550" s="1">
        <v>549.0</v>
      </c>
      <c r="B550" s="2" t="s">
        <v>261</v>
      </c>
      <c r="C550" s="2" t="s">
        <v>13</v>
      </c>
      <c r="D550" s="13"/>
      <c r="E550" s="13"/>
      <c r="F550" s="45"/>
      <c r="G550" s="42"/>
      <c r="H550" s="42"/>
      <c r="I550" s="42"/>
      <c r="J550" s="22"/>
      <c r="K550" s="42"/>
    </row>
    <row r="551" ht="39.75" hidden="1" customHeight="1">
      <c r="A551" s="1">
        <v>550.0</v>
      </c>
      <c r="B551" s="2" t="s">
        <v>23</v>
      </c>
      <c r="C551" s="2" t="s">
        <v>13</v>
      </c>
      <c r="D551" s="13"/>
      <c r="E551" s="13"/>
      <c r="F551" s="45"/>
      <c r="G551" s="42"/>
      <c r="H551" s="42"/>
      <c r="I551" s="42"/>
      <c r="J551" s="22"/>
      <c r="K551" s="42"/>
    </row>
    <row r="552" ht="39.75" hidden="1" customHeight="1">
      <c r="A552" s="1">
        <v>551.0</v>
      </c>
      <c r="B552" s="2" t="s">
        <v>24</v>
      </c>
      <c r="C552" s="2" t="s">
        <v>13</v>
      </c>
      <c r="D552" s="13"/>
      <c r="E552" s="13"/>
      <c r="F552" s="45"/>
      <c r="G552" s="42"/>
      <c r="H552" s="42"/>
      <c r="I552" s="42"/>
      <c r="J552" s="22"/>
      <c r="K552" s="42"/>
    </row>
    <row r="553" ht="39.75" customHeight="1">
      <c r="A553" s="1">
        <v>552.0</v>
      </c>
      <c r="B553" s="2" t="s">
        <v>25</v>
      </c>
      <c r="C553" s="2" t="s">
        <v>39</v>
      </c>
      <c r="D553" s="2">
        <v>900.0</v>
      </c>
      <c r="E553" s="2">
        <v>1600.0</v>
      </c>
      <c r="F553" s="44" t="s">
        <v>3785</v>
      </c>
      <c r="G553" s="43">
        <v>1.0</v>
      </c>
      <c r="H553" s="42"/>
      <c r="I553" s="43">
        <v>1.0</v>
      </c>
      <c r="J553" s="22"/>
      <c r="K553" s="42"/>
    </row>
    <row r="554" ht="39.75" customHeight="1">
      <c r="A554" s="1">
        <v>553.0</v>
      </c>
      <c r="B554" s="2" t="s">
        <v>26</v>
      </c>
      <c r="C554" s="2"/>
      <c r="D554" s="13"/>
      <c r="E554" s="13"/>
      <c r="F554" s="44" t="s">
        <v>3786</v>
      </c>
      <c r="G554" s="43">
        <v>1.0</v>
      </c>
      <c r="H554" s="43">
        <v>1.0</v>
      </c>
      <c r="I554" s="42"/>
      <c r="J554" s="22"/>
      <c r="K554" s="42"/>
    </row>
    <row r="555" ht="39.75" hidden="1" customHeight="1">
      <c r="A555" s="1">
        <v>554.0</v>
      </c>
      <c r="B555" s="2" t="s">
        <v>29</v>
      </c>
      <c r="C555" s="2" t="s">
        <v>13</v>
      </c>
      <c r="D555" s="13"/>
      <c r="E555" s="13"/>
      <c r="F555" s="45"/>
      <c r="G555" s="42"/>
      <c r="H555" s="42"/>
      <c r="I555" s="42"/>
      <c r="J555" s="22"/>
      <c r="K555" s="42"/>
    </row>
    <row r="556" ht="39.75" customHeight="1">
      <c r="A556" s="1">
        <v>555.0</v>
      </c>
      <c r="B556" s="2" t="s">
        <v>32</v>
      </c>
      <c r="C556" s="2" t="s">
        <v>44</v>
      </c>
      <c r="D556" s="40"/>
      <c r="E556" s="13"/>
      <c r="F556" s="44"/>
      <c r="G556" s="43"/>
      <c r="H556" s="42"/>
      <c r="I556" s="42"/>
      <c r="J556" s="22"/>
      <c r="K556" s="42"/>
    </row>
    <row r="557" ht="39.75" hidden="1" customHeight="1">
      <c r="A557" s="1">
        <v>556.0</v>
      </c>
      <c r="B557" s="2" t="s">
        <v>67</v>
      </c>
      <c r="C557" s="2" t="s">
        <v>13</v>
      </c>
      <c r="D557" s="40"/>
      <c r="E557" s="13"/>
      <c r="F557" s="44"/>
      <c r="G557" s="43"/>
      <c r="H557" s="42"/>
      <c r="I557" s="43"/>
      <c r="J557" s="22"/>
      <c r="K557" s="42"/>
    </row>
    <row r="558" ht="39.75" customHeight="1">
      <c r="A558" s="1">
        <v>557.0</v>
      </c>
      <c r="B558" s="2" t="s">
        <v>35</v>
      </c>
      <c r="C558" s="2" t="s">
        <v>3563</v>
      </c>
      <c r="D558" s="13"/>
      <c r="E558" s="13"/>
      <c r="F558" s="45"/>
      <c r="G558" s="42"/>
      <c r="H558" s="42"/>
      <c r="I558" s="42"/>
      <c r="J558" s="22"/>
      <c r="K558" s="42"/>
    </row>
    <row r="559" ht="39.75" hidden="1" customHeight="1">
      <c r="A559" s="1">
        <v>558.0</v>
      </c>
      <c r="B559" s="2" t="s">
        <v>36</v>
      </c>
      <c r="C559" s="2" t="s">
        <v>13</v>
      </c>
      <c r="D559" s="13"/>
      <c r="E559" s="13"/>
      <c r="F559" s="45"/>
      <c r="G559" s="42"/>
      <c r="H559" s="42"/>
      <c r="I559" s="42"/>
      <c r="J559" s="22"/>
      <c r="K559" s="42"/>
    </row>
    <row r="560" ht="39.75" hidden="1" customHeight="1">
      <c r="A560" s="1">
        <v>559.0</v>
      </c>
      <c r="B560" s="2" t="s">
        <v>38</v>
      </c>
      <c r="C560" s="2" t="s">
        <v>13</v>
      </c>
      <c r="D560" s="13"/>
      <c r="E560" s="13"/>
      <c r="F560" s="45"/>
      <c r="G560" s="42"/>
      <c r="H560" s="42"/>
      <c r="I560" s="42"/>
      <c r="J560" s="22"/>
      <c r="K560" s="42"/>
    </row>
    <row r="561" ht="39.75" customHeight="1">
      <c r="A561" s="1">
        <v>560.0</v>
      </c>
      <c r="B561" s="2" t="s">
        <v>41</v>
      </c>
      <c r="C561" s="2" t="s">
        <v>49</v>
      </c>
      <c r="D561" s="40">
        <v>0.625</v>
      </c>
      <c r="E561" s="59">
        <v>0.9791666666666666</v>
      </c>
      <c r="F561" s="44" t="s">
        <v>3787</v>
      </c>
      <c r="G561" s="43">
        <v>1.0</v>
      </c>
      <c r="H561" s="42"/>
      <c r="I561" s="42"/>
      <c r="J561" s="22"/>
      <c r="K561" s="42"/>
    </row>
    <row r="562" ht="39.75" customHeight="1">
      <c r="A562" s="1">
        <v>561.0</v>
      </c>
      <c r="B562" s="2" t="s">
        <v>42</v>
      </c>
      <c r="C562" s="2"/>
      <c r="D562" s="40">
        <v>0.5416666666666666</v>
      </c>
      <c r="E562" s="59">
        <v>0.9444444444444444</v>
      </c>
      <c r="F562" s="44" t="s">
        <v>3788</v>
      </c>
      <c r="G562" s="43">
        <v>1.0</v>
      </c>
      <c r="H562" s="42"/>
      <c r="I562" s="43">
        <v>1.0</v>
      </c>
      <c r="J562" s="22"/>
      <c r="K562" s="42"/>
    </row>
    <row r="563" ht="39.75" hidden="1" customHeight="1">
      <c r="A563" s="1">
        <v>562.0</v>
      </c>
      <c r="B563" s="2" t="s">
        <v>43</v>
      </c>
      <c r="C563" s="2" t="s">
        <v>13</v>
      </c>
      <c r="D563" s="40"/>
      <c r="E563" s="13"/>
      <c r="F563" s="44"/>
      <c r="G563" s="42"/>
      <c r="H563" s="42"/>
      <c r="I563" s="42"/>
      <c r="J563" s="22"/>
      <c r="K563" s="42"/>
    </row>
    <row r="564" ht="39.75" hidden="1" customHeight="1">
      <c r="A564" s="1">
        <v>563.0</v>
      </c>
      <c r="B564" s="2" t="s">
        <v>267</v>
      </c>
      <c r="C564" s="2" t="s">
        <v>13</v>
      </c>
      <c r="D564" s="13"/>
      <c r="E564" s="13"/>
      <c r="F564" s="45"/>
      <c r="G564" s="42"/>
      <c r="H564" s="42"/>
      <c r="I564" s="42"/>
      <c r="J564" s="22"/>
      <c r="K564" s="42"/>
    </row>
    <row r="565" ht="39.75" hidden="1" customHeight="1">
      <c r="A565" s="1">
        <v>564.0</v>
      </c>
      <c r="B565" s="2" t="s">
        <v>46</v>
      </c>
      <c r="C565" s="2" t="s">
        <v>13</v>
      </c>
      <c r="D565" s="13"/>
      <c r="E565" s="13"/>
      <c r="F565" s="45"/>
      <c r="G565" s="42"/>
      <c r="H565" s="42"/>
      <c r="I565" s="42"/>
      <c r="J565" s="22"/>
      <c r="K565" s="42"/>
    </row>
    <row r="566" ht="39.75" customHeight="1">
      <c r="A566" s="1">
        <v>565.0</v>
      </c>
      <c r="B566" s="2" t="s">
        <v>47</v>
      </c>
      <c r="C566" s="2" t="s">
        <v>3571</v>
      </c>
      <c r="D566" s="82">
        <v>0.625</v>
      </c>
      <c r="E566" s="2" t="s">
        <v>3789</v>
      </c>
      <c r="F566" s="44" t="s">
        <v>3790</v>
      </c>
      <c r="G566" s="43">
        <v>1.0</v>
      </c>
      <c r="H566" s="42"/>
      <c r="I566" s="42"/>
      <c r="J566" s="22"/>
      <c r="K566" s="42"/>
    </row>
    <row r="567" ht="39.75" hidden="1" customHeight="1">
      <c r="A567" s="1">
        <v>566.0</v>
      </c>
      <c r="B567" s="2" t="s">
        <v>48</v>
      </c>
      <c r="C567" s="2" t="s">
        <v>13</v>
      </c>
      <c r="D567" s="13"/>
      <c r="E567" s="13"/>
      <c r="F567" s="45"/>
      <c r="G567" s="42"/>
      <c r="H567" s="42"/>
      <c r="I567" s="42"/>
      <c r="J567" s="22"/>
      <c r="K567" s="42"/>
    </row>
    <row r="568" ht="39.75" customHeight="1">
      <c r="A568" s="1">
        <v>567.0</v>
      </c>
      <c r="B568" s="21"/>
      <c r="C568" s="21"/>
      <c r="D568" s="21"/>
      <c r="E568" s="21"/>
      <c r="F568" s="46"/>
      <c r="G568" s="47"/>
      <c r="H568" s="47"/>
      <c r="I568" s="47"/>
      <c r="J568" s="48"/>
      <c r="K568" s="47"/>
      <c r="L568" s="49"/>
      <c r="M568" s="49"/>
      <c r="N568" s="49"/>
    </row>
    <row r="569" ht="39.75" hidden="1" customHeight="1">
      <c r="A569" s="1">
        <v>568.0</v>
      </c>
      <c r="B569" s="2" t="s">
        <v>12</v>
      </c>
      <c r="C569" s="2" t="s">
        <v>13</v>
      </c>
      <c r="D569" s="2"/>
      <c r="E569" s="2"/>
      <c r="F569" s="45"/>
      <c r="G569" s="42"/>
      <c r="H569" s="42"/>
      <c r="I569" s="42"/>
      <c r="J569" s="22"/>
      <c r="K569" s="42"/>
      <c r="L569" s="15" t="s">
        <v>369</v>
      </c>
    </row>
    <row r="570" ht="39.75" customHeight="1">
      <c r="A570" s="1">
        <v>569.0</v>
      </c>
      <c r="B570" s="2" t="s">
        <v>16</v>
      </c>
      <c r="C570" s="2" t="s">
        <v>3571</v>
      </c>
      <c r="D570" s="2">
        <v>1630.0</v>
      </c>
      <c r="E570" s="2" t="s">
        <v>3789</v>
      </c>
      <c r="F570" s="44" t="s">
        <v>3791</v>
      </c>
      <c r="G570" s="43">
        <v>1.0</v>
      </c>
      <c r="H570" s="42"/>
      <c r="I570" s="42"/>
      <c r="J570" s="27" t="s">
        <v>369</v>
      </c>
      <c r="K570" s="43"/>
    </row>
    <row r="571" ht="39.75" customHeight="1">
      <c r="A571" s="1">
        <v>570.0</v>
      </c>
      <c r="B571" s="2" t="s">
        <v>116</v>
      </c>
      <c r="C571" s="2"/>
      <c r="D571" s="2">
        <v>900.0</v>
      </c>
      <c r="E571" s="2">
        <v>1800.0</v>
      </c>
      <c r="F571" s="44" t="s">
        <v>926</v>
      </c>
      <c r="G571" s="43">
        <v>1.0</v>
      </c>
      <c r="H571" s="42"/>
      <c r="I571" s="43">
        <v>1.0</v>
      </c>
      <c r="J571" s="27" t="s">
        <v>19</v>
      </c>
      <c r="K571" s="42"/>
    </row>
    <row r="572" ht="39.75" hidden="1" customHeight="1">
      <c r="A572" s="1">
        <v>571.0</v>
      </c>
      <c r="B572" s="2" t="s">
        <v>263</v>
      </c>
      <c r="C572" s="2" t="s">
        <v>13</v>
      </c>
      <c r="D572" s="13"/>
      <c r="E572" s="13"/>
      <c r="F572" s="44"/>
      <c r="G572" s="42"/>
      <c r="H572" s="42"/>
      <c r="I572" s="42"/>
      <c r="J572" s="27" t="s">
        <v>263</v>
      </c>
      <c r="K572" s="42"/>
    </row>
    <row r="573" ht="39.75" hidden="1" customHeight="1">
      <c r="A573" s="1">
        <v>572.0</v>
      </c>
      <c r="B573" s="2" t="s">
        <v>17</v>
      </c>
      <c r="C573" s="2" t="s">
        <v>13</v>
      </c>
      <c r="D573" s="13"/>
      <c r="E573" s="13"/>
      <c r="F573" s="45"/>
      <c r="G573" s="42"/>
      <c r="H573" s="42"/>
      <c r="I573" s="42"/>
      <c r="J573" s="22"/>
      <c r="K573" s="42"/>
    </row>
    <row r="574" ht="39.75" hidden="1" customHeight="1">
      <c r="A574" s="1">
        <v>573.0</v>
      </c>
      <c r="B574" s="2" t="s">
        <v>331</v>
      </c>
      <c r="C574" s="2" t="s">
        <v>13</v>
      </c>
      <c r="D574" s="13"/>
      <c r="E574" s="13"/>
      <c r="F574" s="45"/>
      <c r="G574" s="42"/>
      <c r="H574" s="42"/>
      <c r="I574" s="42"/>
      <c r="J574" s="22"/>
      <c r="K574" s="42"/>
    </row>
    <row r="575" ht="39.75" customHeight="1">
      <c r="A575" s="1">
        <v>574.0</v>
      </c>
      <c r="B575" s="2" t="s">
        <v>21</v>
      </c>
      <c r="C575" s="2"/>
      <c r="D575" s="2">
        <v>900.0</v>
      </c>
      <c r="E575" s="13"/>
      <c r="F575" s="44" t="s">
        <v>3792</v>
      </c>
      <c r="G575" s="43">
        <v>1.0</v>
      </c>
      <c r="H575" s="43">
        <v>1.0</v>
      </c>
      <c r="I575" s="42"/>
      <c r="J575" s="22"/>
      <c r="K575" s="42"/>
    </row>
    <row r="576" ht="39.75" customHeight="1">
      <c r="A576" s="1">
        <v>575.0</v>
      </c>
      <c r="B576" s="2" t="s">
        <v>22</v>
      </c>
      <c r="C576" s="2"/>
      <c r="D576" s="77">
        <v>1200.0</v>
      </c>
      <c r="E576" s="2"/>
      <c r="F576" s="113" t="s">
        <v>3793</v>
      </c>
      <c r="G576" s="43">
        <v>1.0</v>
      </c>
      <c r="H576" s="43">
        <v>1.0</v>
      </c>
      <c r="I576" s="42"/>
      <c r="J576" s="22"/>
      <c r="K576" s="42"/>
    </row>
    <row r="577" ht="39.75" hidden="1" customHeight="1">
      <c r="A577" s="1">
        <v>576.0</v>
      </c>
      <c r="B577" s="2" t="s">
        <v>261</v>
      </c>
      <c r="C577" s="2" t="s">
        <v>13</v>
      </c>
      <c r="D577" s="13"/>
      <c r="E577" s="13"/>
      <c r="F577" s="45"/>
      <c r="G577" s="42"/>
      <c r="H577" s="42"/>
      <c r="I577" s="42"/>
      <c r="J577" s="22"/>
      <c r="K577" s="42"/>
    </row>
    <row r="578" ht="39.75" hidden="1" customHeight="1">
      <c r="A578" s="1">
        <v>577.0</v>
      </c>
      <c r="B578" s="2" t="s">
        <v>23</v>
      </c>
      <c r="C578" s="2" t="s">
        <v>13</v>
      </c>
      <c r="D578" s="13"/>
      <c r="E578" s="13"/>
      <c r="F578" s="45"/>
      <c r="G578" s="42"/>
      <c r="H578" s="42"/>
      <c r="I578" s="42"/>
      <c r="J578" s="22"/>
      <c r="K578" s="42"/>
    </row>
    <row r="579" ht="39.75" hidden="1" customHeight="1">
      <c r="A579" s="1">
        <v>578.0</v>
      </c>
      <c r="B579" s="2" t="s">
        <v>24</v>
      </c>
      <c r="C579" s="2" t="s">
        <v>13</v>
      </c>
      <c r="D579" s="13"/>
      <c r="E579" s="13"/>
      <c r="F579" s="45"/>
      <c r="G579" s="42"/>
      <c r="H579" s="42"/>
      <c r="I579" s="42"/>
      <c r="J579" s="22"/>
      <c r="K579" s="42"/>
    </row>
    <row r="580" ht="39.75" hidden="1" customHeight="1">
      <c r="A580" s="1">
        <v>579.0</v>
      </c>
      <c r="B580" s="2" t="s">
        <v>25</v>
      </c>
      <c r="C580" s="2" t="s">
        <v>13</v>
      </c>
      <c r="D580" s="13"/>
      <c r="E580" s="13"/>
      <c r="F580" s="45"/>
      <c r="G580" s="42"/>
      <c r="H580" s="42"/>
      <c r="I580" s="42"/>
      <c r="J580" s="22"/>
      <c r="K580" s="42"/>
    </row>
    <row r="581" ht="39.75" customHeight="1">
      <c r="A581" s="1">
        <v>580.0</v>
      </c>
      <c r="B581" s="2" t="s">
        <v>26</v>
      </c>
      <c r="C581" s="2"/>
      <c r="D581" s="13"/>
      <c r="E581" s="13"/>
      <c r="F581" s="44" t="s">
        <v>3794</v>
      </c>
      <c r="G581" s="43">
        <v>1.0</v>
      </c>
      <c r="H581" s="43">
        <v>1.0</v>
      </c>
      <c r="I581" s="42"/>
      <c r="J581" s="22"/>
      <c r="K581" s="42"/>
    </row>
    <row r="582" ht="39.75" hidden="1" customHeight="1">
      <c r="A582" s="1">
        <v>581.0</v>
      </c>
      <c r="B582" s="2" t="s">
        <v>29</v>
      </c>
      <c r="C582" s="2" t="s">
        <v>13</v>
      </c>
      <c r="D582" s="13"/>
      <c r="E582" s="13"/>
      <c r="F582" s="45"/>
      <c r="G582" s="42"/>
      <c r="H582" s="42"/>
      <c r="I582" s="42"/>
      <c r="J582" s="22"/>
      <c r="K582" s="42"/>
    </row>
    <row r="583" ht="39.75" hidden="1" customHeight="1">
      <c r="A583" s="1">
        <v>582.0</v>
      </c>
      <c r="B583" s="2" t="s">
        <v>32</v>
      </c>
      <c r="C583" s="2" t="s">
        <v>13</v>
      </c>
      <c r="D583" s="2"/>
      <c r="E583" s="2"/>
      <c r="F583" s="57"/>
      <c r="G583" s="43"/>
      <c r="H583" s="42"/>
      <c r="I583" s="43"/>
      <c r="J583" s="22"/>
      <c r="K583" s="42"/>
    </row>
    <row r="584" ht="39.75" hidden="1" customHeight="1">
      <c r="A584" s="1">
        <v>583.0</v>
      </c>
      <c r="B584" s="2" t="s">
        <v>67</v>
      </c>
      <c r="C584" s="2" t="s">
        <v>13</v>
      </c>
      <c r="D584" s="2"/>
      <c r="E584" s="13"/>
      <c r="F584" s="45"/>
      <c r="G584" s="42"/>
      <c r="H584" s="42"/>
      <c r="I584" s="42"/>
      <c r="J584" s="22"/>
      <c r="K584" s="42"/>
    </row>
    <row r="585" ht="39.75" hidden="1" customHeight="1">
      <c r="A585" s="1">
        <v>584.0</v>
      </c>
      <c r="B585" s="2" t="s">
        <v>35</v>
      </c>
      <c r="C585" s="2" t="s">
        <v>13</v>
      </c>
      <c r="D585" s="2"/>
      <c r="E585" s="13"/>
      <c r="F585" s="45"/>
      <c r="G585" s="42"/>
      <c r="H585" s="42"/>
      <c r="I585" s="42"/>
      <c r="J585" s="22"/>
      <c r="K585" s="42"/>
    </row>
    <row r="586" ht="39.75" hidden="1" customHeight="1">
      <c r="A586" s="1">
        <v>585.0</v>
      </c>
      <c r="B586" s="2" t="s">
        <v>36</v>
      </c>
      <c r="C586" s="2" t="s">
        <v>13</v>
      </c>
      <c r="D586" s="13"/>
      <c r="E586" s="13"/>
      <c r="F586" s="45"/>
      <c r="G586" s="42"/>
      <c r="H586" s="42"/>
      <c r="I586" s="42"/>
      <c r="J586" s="22"/>
      <c r="K586" s="42"/>
    </row>
    <row r="587" ht="39.75" customHeight="1">
      <c r="A587" s="1">
        <v>586.0</v>
      </c>
      <c r="B587" s="2" t="s">
        <v>38</v>
      </c>
      <c r="C587" s="2" t="s">
        <v>49</v>
      </c>
      <c r="D587" s="2">
        <v>1000.0</v>
      </c>
      <c r="E587" s="2">
        <v>1630.0</v>
      </c>
      <c r="F587" s="44" t="s">
        <v>3778</v>
      </c>
      <c r="G587" s="43">
        <v>1.0</v>
      </c>
      <c r="H587" s="43">
        <v>1.0</v>
      </c>
      <c r="I587" s="42"/>
      <c r="J587" s="22"/>
      <c r="K587" s="42"/>
    </row>
    <row r="588" ht="39.75" hidden="1" customHeight="1">
      <c r="A588" s="1">
        <v>587.0</v>
      </c>
      <c r="B588" s="2" t="s">
        <v>41</v>
      </c>
      <c r="C588" s="2" t="s">
        <v>13</v>
      </c>
      <c r="D588" s="13"/>
      <c r="E588" s="13"/>
      <c r="F588" s="45"/>
      <c r="G588" s="42"/>
      <c r="H588" s="42"/>
      <c r="I588" s="42"/>
      <c r="J588" s="22"/>
      <c r="K588" s="42"/>
    </row>
    <row r="589" ht="39.75" hidden="1" customHeight="1">
      <c r="A589" s="1">
        <v>588.0</v>
      </c>
      <c r="B589" s="2" t="s">
        <v>42</v>
      </c>
      <c r="C589" s="2" t="s">
        <v>13</v>
      </c>
      <c r="D589" s="13"/>
      <c r="E589" s="13"/>
      <c r="F589" s="45"/>
      <c r="G589" s="42"/>
      <c r="H589" s="42"/>
      <c r="I589" s="42"/>
      <c r="J589" s="22"/>
      <c r="K589" s="42"/>
    </row>
    <row r="590" ht="39.75" hidden="1" customHeight="1">
      <c r="A590" s="1">
        <v>589.0</v>
      </c>
      <c r="B590" s="2" t="s">
        <v>43</v>
      </c>
      <c r="C590" s="2" t="s">
        <v>13</v>
      </c>
      <c r="D590" s="13"/>
      <c r="E590" s="13"/>
      <c r="F590" s="45"/>
      <c r="G590" s="42"/>
      <c r="H590" s="42"/>
      <c r="I590" s="42"/>
      <c r="J590" s="22"/>
      <c r="K590" s="42"/>
    </row>
    <row r="591" ht="39.75" hidden="1" customHeight="1">
      <c r="A591" s="1">
        <v>590.0</v>
      </c>
      <c r="B591" s="2" t="s">
        <v>267</v>
      </c>
      <c r="C591" s="2" t="s">
        <v>13</v>
      </c>
      <c r="D591" s="13"/>
      <c r="E591" s="13"/>
      <c r="F591" s="45"/>
      <c r="G591" s="42"/>
      <c r="H591" s="42"/>
      <c r="I591" s="42"/>
      <c r="J591" s="22"/>
      <c r="K591" s="42"/>
    </row>
    <row r="592" ht="39.75" hidden="1" customHeight="1">
      <c r="A592" s="1">
        <v>591.0</v>
      </c>
      <c r="B592" s="2" t="s">
        <v>46</v>
      </c>
      <c r="C592" s="2" t="s">
        <v>13</v>
      </c>
      <c r="D592" s="13"/>
      <c r="E592" s="13"/>
      <c r="F592" s="45"/>
      <c r="G592" s="42"/>
      <c r="H592" s="42"/>
      <c r="I592" s="42"/>
      <c r="J592" s="22"/>
      <c r="K592" s="42"/>
    </row>
    <row r="593" ht="39.75" customHeight="1">
      <c r="A593" s="1">
        <v>592.0</v>
      </c>
      <c r="B593" s="2" t="s">
        <v>47</v>
      </c>
      <c r="C593" s="2" t="s">
        <v>44</v>
      </c>
      <c r="D593" s="13"/>
      <c r="E593" s="13"/>
      <c r="F593" s="45"/>
      <c r="G593" s="42"/>
      <c r="H593" s="42"/>
      <c r="I593" s="42"/>
      <c r="J593" s="22"/>
      <c r="K593" s="42"/>
    </row>
    <row r="594" ht="39.75" customHeight="1">
      <c r="A594" s="1">
        <v>593.0</v>
      </c>
      <c r="B594" s="2" t="s">
        <v>48</v>
      </c>
      <c r="C594" s="2"/>
      <c r="D594" s="82">
        <v>0.2777777777777778</v>
      </c>
      <c r="E594" s="13"/>
      <c r="F594" s="57" t="s">
        <v>3795</v>
      </c>
      <c r="G594" s="43">
        <v>1.0</v>
      </c>
      <c r="H594" s="42"/>
      <c r="I594" s="42"/>
      <c r="J594" s="22"/>
      <c r="K594" s="42"/>
    </row>
    <row r="595" ht="39.75" customHeight="1">
      <c r="A595" s="1">
        <v>594.0</v>
      </c>
      <c r="B595" s="21"/>
      <c r="C595" s="21"/>
      <c r="D595" s="21"/>
      <c r="E595" s="21"/>
      <c r="F595" s="46"/>
      <c r="G595" s="47"/>
      <c r="H595" s="47"/>
      <c r="I595" s="47"/>
      <c r="J595" s="48"/>
      <c r="K595" s="47"/>
      <c r="L595" s="49"/>
      <c r="M595" s="49"/>
      <c r="N595" s="49"/>
    </row>
    <row r="596" ht="39.75" customHeight="1">
      <c r="A596" s="1">
        <v>595.0</v>
      </c>
      <c r="B596" s="2" t="s">
        <v>12</v>
      </c>
      <c r="C596" s="2" t="s">
        <v>62</v>
      </c>
      <c r="D596" s="13"/>
      <c r="E596" s="13"/>
      <c r="F596" s="44" t="s">
        <v>1993</v>
      </c>
      <c r="G596" s="43">
        <v>1.0</v>
      </c>
      <c r="H596" s="42"/>
      <c r="I596" s="43">
        <v>1.0</v>
      </c>
      <c r="J596" s="22"/>
      <c r="K596" s="42"/>
      <c r="L596" s="15" t="s">
        <v>376</v>
      </c>
    </row>
    <row r="597" ht="39.75" customHeight="1">
      <c r="A597" s="1">
        <v>596.0</v>
      </c>
      <c r="B597" s="2" t="s">
        <v>16</v>
      </c>
      <c r="C597" s="2" t="s">
        <v>44</v>
      </c>
      <c r="D597" s="13"/>
      <c r="E597" s="13"/>
      <c r="F597" s="44"/>
      <c r="G597" s="43"/>
      <c r="H597" s="42"/>
      <c r="I597" s="43"/>
      <c r="J597" s="27" t="s">
        <v>376</v>
      </c>
      <c r="K597" s="43"/>
    </row>
    <row r="598" ht="39.75" customHeight="1">
      <c r="A598" s="1">
        <v>597.0</v>
      </c>
      <c r="B598" s="2" t="s">
        <v>116</v>
      </c>
      <c r="C598" s="2" t="s">
        <v>39</v>
      </c>
      <c r="D598" s="114">
        <v>630.0</v>
      </c>
      <c r="E598" s="13"/>
      <c r="F598" s="75" t="s">
        <v>3796</v>
      </c>
      <c r="G598" s="43">
        <v>1.0</v>
      </c>
      <c r="H598" s="42"/>
      <c r="I598" s="42"/>
      <c r="J598" s="27" t="s">
        <v>56</v>
      </c>
      <c r="K598" s="42"/>
    </row>
    <row r="599" ht="39.75" customHeight="1">
      <c r="A599" s="1">
        <v>598.0</v>
      </c>
      <c r="B599" s="2" t="s">
        <v>263</v>
      </c>
      <c r="C599" s="2" t="s">
        <v>69</v>
      </c>
      <c r="D599" s="2">
        <v>1300.0</v>
      </c>
      <c r="E599" s="13"/>
      <c r="F599" s="44" t="s">
        <v>3797</v>
      </c>
      <c r="G599" s="43">
        <v>1.0</v>
      </c>
      <c r="H599" s="42"/>
      <c r="I599" s="42"/>
      <c r="J599" s="27" t="s">
        <v>30</v>
      </c>
      <c r="K599" s="42"/>
    </row>
    <row r="600" ht="39.75" customHeight="1">
      <c r="A600" s="1">
        <v>599.0</v>
      </c>
      <c r="B600" s="2" t="s">
        <v>17</v>
      </c>
      <c r="C600" s="2" t="s">
        <v>3603</v>
      </c>
      <c r="D600" s="2">
        <v>900.0</v>
      </c>
      <c r="E600" s="13"/>
      <c r="F600" s="44" t="s">
        <v>3392</v>
      </c>
      <c r="G600" s="43">
        <v>1.0</v>
      </c>
      <c r="H600" s="42"/>
      <c r="I600" s="42"/>
      <c r="J600" s="27"/>
      <c r="K600" s="42"/>
    </row>
    <row r="601" ht="39.75" customHeight="1">
      <c r="A601" s="1">
        <v>600.0</v>
      </c>
      <c r="B601" s="2" t="s">
        <v>331</v>
      </c>
      <c r="C601" s="2" t="s">
        <v>542</v>
      </c>
      <c r="D601" s="2">
        <v>900.0</v>
      </c>
      <c r="E601" s="13"/>
      <c r="F601" s="44"/>
      <c r="G601" s="42"/>
      <c r="H601" s="42"/>
      <c r="I601" s="42"/>
      <c r="J601" s="27"/>
      <c r="K601" s="42"/>
    </row>
    <row r="602" ht="39.75" customHeight="1">
      <c r="A602" s="1">
        <v>601.0</v>
      </c>
      <c r="B602" s="2" t="s">
        <v>21</v>
      </c>
      <c r="C602" s="2" t="s">
        <v>54</v>
      </c>
      <c r="D602" s="13"/>
      <c r="E602" s="13"/>
      <c r="F602" s="44" t="s">
        <v>3798</v>
      </c>
      <c r="G602" s="43">
        <v>1.0</v>
      </c>
      <c r="H602" s="43">
        <v>1.0</v>
      </c>
      <c r="I602" s="42"/>
      <c r="J602" s="27"/>
      <c r="K602" s="42"/>
    </row>
    <row r="603" ht="39.75" customHeight="1">
      <c r="A603" s="1">
        <v>602.0</v>
      </c>
      <c r="B603" s="2" t="s">
        <v>22</v>
      </c>
      <c r="C603" s="2"/>
      <c r="D603" s="13"/>
      <c r="E603" s="13"/>
      <c r="F603" s="64" t="s">
        <v>3799</v>
      </c>
      <c r="G603" s="43">
        <v>1.0</v>
      </c>
      <c r="H603" s="43">
        <v>1.0</v>
      </c>
      <c r="I603" s="42"/>
      <c r="J603" s="22"/>
      <c r="K603" s="42"/>
    </row>
    <row r="604" ht="39.75" hidden="1" customHeight="1">
      <c r="A604" s="1">
        <v>603.0</v>
      </c>
      <c r="B604" s="2" t="s">
        <v>261</v>
      </c>
      <c r="C604" s="2" t="s">
        <v>13</v>
      </c>
      <c r="D604" s="13"/>
      <c r="E604" s="13"/>
      <c r="F604" s="45"/>
      <c r="G604" s="42"/>
      <c r="H604" s="42"/>
      <c r="I604" s="42"/>
      <c r="J604" s="22"/>
      <c r="K604" s="42"/>
    </row>
    <row r="605" ht="39.75" customHeight="1">
      <c r="A605" s="1">
        <v>604.0</v>
      </c>
      <c r="B605" s="2" t="s">
        <v>23</v>
      </c>
      <c r="C605" s="2" t="s">
        <v>69</v>
      </c>
      <c r="D605" s="2">
        <v>1300.0</v>
      </c>
      <c r="E605" s="13"/>
      <c r="F605" s="44"/>
      <c r="G605" s="42"/>
      <c r="H605" s="42"/>
      <c r="I605" s="42"/>
      <c r="J605" s="22"/>
      <c r="K605" s="42"/>
    </row>
    <row r="606" ht="39.75" customHeight="1">
      <c r="A606" s="1">
        <v>605.0</v>
      </c>
      <c r="B606" s="2" t="s">
        <v>24</v>
      </c>
      <c r="C606" s="2" t="s">
        <v>3563</v>
      </c>
      <c r="D606" s="13"/>
      <c r="E606" s="13"/>
      <c r="F606" s="45"/>
      <c r="G606" s="42"/>
      <c r="H606" s="42"/>
      <c r="I606" s="42"/>
      <c r="J606" s="22"/>
      <c r="K606" s="42"/>
    </row>
    <row r="607" ht="39.75" customHeight="1">
      <c r="A607" s="1">
        <v>606.0</v>
      </c>
      <c r="B607" s="2" t="s">
        <v>25</v>
      </c>
      <c r="C607" s="2"/>
      <c r="D607" s="2">
        <v>900.0</v>
      </c>
      <c r="E607" s="13"/>
      <c r="F607" s="61" t="s">
        <v>3800</v>
      </c>
      <c r="G607" s="43">
        <v>1.0</v>
      </c>
      <c r="H607" s="42"/>
      <c r="I607" s="43">
        <v>1.0</v>
      </c>
      <c r="J607" s="22"/>
      <c r="K607" s="42"/>
    </row>
    <row r="608" ht="39.75" customHeight="1">
      <c r="A608" s="1">
        <v>607.0</v>
      </c>
      <c r="B608" s="2" t="s">
        <v>26</v>
      </c>
      <c r="C608" s="2" t="s">
        <v>39</v>
      </c>
      <c r="D608" s="13"/>
      <c r="E608" s="13"/>
      <c r="F608" s="44" t="s">
        <v>3794</v>
      </c>
      <c r="G608" s="43">
        <v>1.0</v>
      </c>
      <c r="H608" s="43">
        <v>1.0</v>
      </c>
      <c r="I608" s="42"/>
      <c r="J608" s="22"/>
      <c r="K608" s="42"/>
    </row>
    <row r="609" ht="39.75" hidden="1" customHeight="1">
      <c r="A609" s="1">
        <v>608.0</v>
      </c>
      <c r="B609" s="2" t="s">
        <v>29</v>
      </c>
      <c r="C609" s="2" t="s">
        <v>13</v>
      </c>
      <c r="D609" s="13"/>
      <c r="E609" s="13"/>
      <c r="F609" s="45"/>
      <c r="G609" s="42"/>
      <c r="H609" s="42"/>
      <c r="I609" s="42"/>
      <c r="J609" s="22"/>
      <c r="K609" s="42"/>
    </row>
    <row r="610" ht="39.75" hidden="1" customHeight="1">
      <c r="A610" s="1">
        <v>609.0</v>
      </c>
      <c r="B610" s="2" t="s">
        <v>32</v>
      </c>
      <c r="C610" s="2" t="s">
        <v>13</v>
      </c>
      <c r="D610" s="40"/>
      <c r="E610" s="40"/>
      <c r="F610" s="57"/>
      <c r="G610" s="43"/>
      <c r="H610" s="43"/>
      <c r="I610" s="42"/>
      <c r="J610" s="22"/>
      <c r="K610" s="42"/>
    </row>
    <row r="611" ht="39.75" customHeight="1">
      <c r="A611" s="1">
        <v>610.0</v>
      </c>
      <c r="B611" s="2" t="s">
        <v>67</v>
      </c>
      <c r="C611" s="2" t="s">
        <v>3571</v>
      </c>
      <c r="D611" s="13"/>
      <c r="E611" s="13"/>
      <c r="F611" s="44" t="s">
        <v>3801</v>
      </c>
      <c r="G611" s="43">
        <v>1.0</v>
      </c>
      <c r="H611" s="42"/>
      <c r="I611" s="42"/>
      <c r="J611" s="22"/>
      <c r="K611" s="42"/>
    </row>
    <row r="612" ht="39.75" hidden="1" customHeight="1">
      <c r="A612" s="1">
        <v>611.0</v>
      </c>
      <c r="B612" s="2" t="s">
        <v>35</v>
      </c>
      <c r="C612" s="2" t="s">
        <v>13</v>
      </c>
      <c r="D612" s="13"/>
      <c r="E612" s="13"/>
      <c r="F612" s="44"/>
      <c r="G612" s="43"/>
      <c r="H612" s="42"/>
      <c r="I612" s="42"/>
      <c r="J612" s="22"/>
      <c r="K612" s="42"/>
    </row>
    <row r="613" ht="39.75" customHeight="1">
      <c r="A613" s="1">
        <v>612.0</v>
      </c>
      <c r="B613" s="2" t="s">
        <v>36</v>
      </c>
      <c r="C613" s="2" t="s">
        <v>54</v>
      </c>
      <c r="D613" s="2">
        <v>1000.0</v>
      </c>
      <c r="E613" s="13"/>
      <c r="F613" s="44" t="s">
        <v>3802</v>
      </c>
      <c r="G613" s="43">
        <v>1.0</v>
      </c>
      <c r="H613" s="42"/>
      <c r="I613" s="42"/>
      <c r="J613" s="22"/>
      <c r="K613" s="42"/>
    </row>
    <row r="614" ht="39.75" hidden="1" customHeight="1">
      <c r="A614" s="1">
        <v>613.0</v>
      </c>
      <c r="B614" s="2" t="s">
        <v>38</v>
      </c>
      <c r="C614" s="2" t="s">
        <v>13</v>
      </c>
      <c r="D614" s="13"/>
      <c r="E614" s="13"/>
      <c r="F614" s="45"/>
      <c r="G614" s="42"/>
      <c r="H614" s="42"/>
      <c r="I614" s="42"/>
      <c r="J614" s="22"/>
      <c r="K614" s="42"/>
    </row>
    <row r="615" ht="39.75" customHeight="1">
      <c r="A615" s="1">
        <v>614.0</v>
      </c>
      <c r="B615" s="2" t="s">
        <v>41</v>
      </c>
      <c r="C615" s="2" t="s">
        <v>54</v>
      </c>
      <c r="D615" s="2">
        <v>1000.0</v>
      </c>
      <c r="E615" s="13"/>
      <c r="F615" s="44" t="s">
        <v>3803</v>
      </c>
      <c r="G615" s="43">
        <v>1.0</v>
      </c>
      <c r="H615" s="42"/>
      <c r="I615" s="42"/>
      <c r="J615" s="22"/>
      <c r="K615" s="42"/>
    </row>
    <row r="616" ht="39.75" customHeight="1">
      <c r="A616" s="1">
        <v>615.0</v>
      </c>
      <c r="B616" s="2" t="s">
        <v>42</v>
      </c>
      <c r="C616" s="2" t="s">
        <v>69</v>
      </c>
      <c r="D616" s="2">
        <v>1300.0</v>
      </c>
      <c r="E616" s="13"/>
      <c r="F616" s="44" t="s">
        <v>3804</v>
      </c>
      <c r="G616" s="43">
        <v>1.0</v>
      </c>
      <c r="H616" s="42"/>
      <c r="I616" s="43">
        <v>1.0</v>
      </c>
      <c r="J616" s="22"/>
      <c r="K616" s="42"/>
    </row>
    <row r="617" ht="39.75" customHeight="1">
      <c r="A617" s="1">
        <v>616.0</v>
      </c>
      <c r="B617" s="2" t="s">
        <v>43</v>
      </c>
      <c r="C617" s="2"/>
      <c r="D617" s="114">
        <v>600.0</v>
      </c>
      <c r="E617" s="13"/>
      <c r="F617" s="44" t="s">
        <v>3805</v>
      </c>
      <c r="G617" s="43">
        <v>1.0</v>
      </c>
      <c r="H617" s="42"/>
      <c r="I617" s="42"/>
      <c r="J617" s="22"/>
      <c r="K617" s="42"/>
    </row>
    <row r="618" ht="39.75" customHeight="1">
      <c r="A618" s="1">
        <v>617.0</v>
      </c>
      <c r="B618" s="2" t="s">
        <v>267</v>
      </c>
      <c r="C618" s="2"/>
      <c r="D618" s="2">
        <v>900.0</v>
      </c>
      <c r="E618" s="13"/>
      <c r="F618" s="44" t="s">
        <v>3806</v>
      </c>
      <c r="G618" s="43">
        <v>1.0</v>
      </c>
      <c r="H618" s="42"/>
      <c r="I618" s="43">
        <v>1.0</v>
      </c>
      <c r="J618" s="22"/>
      <c r="K618" s="42"/>
    </row>
    <row r="619" ht="39.75" customHeight="1">
      <c r="A619" s="1">
        <v>618.0</v>
      </c>
      <c r="B619" s="2" t="s">
        <v>46</v>
      </c>
      <c r="C619" s="2" t="s">
        <v>3756</v>
      </c>
      <c r="D619" s="2">
        <v>900.0</v>
      </c>
      <c r="E619" s="40"/>
      <c r="F619" s="44" t="s">
        <v>3807</v>
      </c>
      <c r="G619" s="43">
        <v>1.0</v>
      </c>
      <c r="H619" s="42"/>
      <c r="I619" s="43"/>
      <c r="J619" s="22"/>
      <c r="K619" s="42"/>
    </row>
    <row r="620" ht="39.75" customHeight="1">
      <c r="A620" s="1">
        <v>619.0</v>
      </c>
      <c r="B620" s="2" t="s">
        <v>47</v>
      </c>
      <c r="C620" s="2" t="s">
        <v>54</v>
      </c>
      <c r="D620" s="2">
        <v>1000.0</v>
      </c>
      <c r="E620" s="13"/>
      <c r="F620" s="44" t="s">
        <v>3808</v>
      </c>
      <c r="G620" s="43">
        <v>1.0</v>
      </c>
      <c r="H620" s="42"/>
      <c r="I620" s="42"/>
      <c r="J620" s="22"/>
      <c r="K620" s="42"/>
    </row>
    <row r="621" ht="39.75" customHeight="1">
      <c r="A621" s="1">
        <v>620.0</v>
      </c>
      <c r="B621" s="2" t="s">
        <v>48</v>
      </c>
      <c r="C621" s="2" t="s">
        <v>66</v>
      </c>
      <c r="D621" s="40"/>
      <c r="E621" s="40"/>
      <c r="F621" s="64"/>
      <c r="G621" s="43"/>
      <c r="H621" s="43"/>
      <c r="I621" s="43"/>
      <c r="J621" s="22"/>
      <c r="K621" s="42"/>
    </row>
    <row r="622" ht="39.75" customHeight="1">
      <c r="A622" s="1">
        <v>621.0</v>
      </c>
      <c r="B622" s="21"/>
      <c r="C622" s="21"/>
      <c r="D622" s="21"/>
      <c r="E622" s="21"/>
      <c r="F622" s="46"/>
      <c r="G622" s="47"/>
      <c r="H622" s="47"/>
      <c r="I622" s="47"/>
      <c r="J622" s="48"/>
      <c r="K622" s="47"/>
      <c r="L622" s="49"/>
      <c r="M622" s="49"/>
      <c r="N622" s="49"/>
    </row>
    <row r="623" ht="39.75" customHeight="1">
      <c r="A623" s="1">
        <v>622.0</v>
      </c>
      <c r="B623" s="2" t="s">
        <v>12</v>
      </c>
      <c r="C623" s="2" t="s">
        <v>62</v>
      </c>
      <c r="D623" s="13"/>
      <c r="E623" s="13"/>
      <c r="F623" s="44" t="s">
        <v>3809</v>
      </c>
      <c r="G623" s="43">
        <v>1.0</v>
      </c>
      <c r="H623" s="42"/>
      <c r="I623" s="42"/>
      <c r="J623" s="22"/>
      <c r="K623" s="42"/>
      <c r="L623" s="15" t="s">
        <v>3810</v>
      </c>
    </row>
    <row r="624" ht="39.75" customHeight="1">
      <c r="A624" s="1">
        <v>623.0</v>
      </c>
      <c r="B624" s="2" t="s">
        <v>16</v>
      </c>
      <c r="C624" s="2"/>
      <c r="D624" s="13"/>
      <c r="E624" s="13"/>
      <c r="F624" s="44" t="s">
        <v>3595</v>
      </c>
      <c r="G624" s="43">
        <v>1.0</v>
      </c>
      <c r="H624" s="42"/>
      <c r="I624" s="43"/>
      <c r="J624" s="27" t="s">
        <v>389</v>
      </c>
      <c r="K624" s="43"/>
    </row>
    <row r="625" ht="39.75" customHeight="1">
      <c r="A625" s="1">
        <v>624.0</v>
      </c>
      <c r="B625" s="2" t="s">
        <v>116</v>
      </c>
      <c r="C625" s="2" t="s">
        <v>39</v>
      </c>
      <c r="D625" s="13"/>
      <c r="E625" s="13"/>
      <c r="F625" s="44" t="s">
        <v>3811</v>
      </c>
      <c r="G625" s="43">
        <v>1.0</v>
      </c>
      <c r="H625" s="42"/>
      <c r="I625" s="43">
        <v>1.0</v>
      </c>
      <c r="J625" s="27" t="s">
        <v>77</v>
      </c>
      <c r="K625" s="42"/>
    </row>
    <row r="626" ht="39.75" customHeight="1">
      <c r="A626" s="1">
        <v>625.0</v>
      </c>
      <c r="B626" s="2" t="s">
        <v>263</v>
      </c>
      <c r="C626" s="2" t="s">
        <v>39</v>
      </c>
      <c r="D626" s="13"/>
      <c r="E626" s="13"/>
      <c r="F626" s="44" t="s">
        <v>3812</v>
      </c>
      <c r="G626" s="43">
        <v>1.0</v>
      </c>
      <c r="H626" s="42"/>
      <c r="I626" s="42"/>
      <c r="J626" s="27" t="s">
        <v>3637</v>
      </c>
      <c r="K626" s="42"/>
    </row>
    <row r="627" ht="39.75" customHeight="1">
      <c r="A627" s="1">
        <v>626.0</v>
      </c>
      <c r="B627" s="2" t="s">
        <v>17</v>
      </c>
      <c r="C627" s="2" t="s">
        <v>3603</v>
      </c>
      <c r="D627" s="13"/>
      <c r="E627" s="13"/>
      <c r="F627" s="44" t="s">
        <v>3813</v>
      </c>
      <c r="G627" s="43">
        <v>2.0</v>
      </c>
      <c r="H627" s="42"/>
      <c r="I627" s="42"/>
      <c r="J627" s="27"/>
      <c r="K627" s="42"/>
    </row>
    <row r="628" ht="39.75" customHeight="1">
      <c r="A628" s="1">
        <v>627.0</v>
      </c>
      <c r="B628" s="2" t="s">
        <v>331</v>
      </c>
      <c r="C628" s="2" t="s">
        <v>542</v>
      </c>
      <c r="D628" s="13"/>
      <c r="E628" s="13"/>
      <c r="F628" s="44" t="s">
        <v>3814</v>
      </c>
      <c r="G628" s="43">
        <v>1.0</v>
      </c>
      <c r="H628" s="42"/>
      <c r="I628" s="42"/>
      <c r="J628" s="27"/>
      <c r="K628" s="42"/>
    </row>
    <row r="629" ht="39.75" customHeight="1">
      <c r="A629" s="1">
        <v>628.0</v>
      </c>
      <c r="B629" s="2" t="s">
        <v>21</v>
      </c>
      <c r="C629" s="2" t="s">
        <v>54</v>
      </c>
      <c r="D629" s="40"/>
      <c r="E629" s="13"/>
      <c r="F629" s="44" t="s">
        <v>3815</v>
      </c>
      <c r="G629" s="43">
        <v>1.0</v>
      </c>
      <c r="H629" s="42"/>
      <c r="I629" s="42"/>
      <c r="J629" s="22"/>
      <c r="K629" s="42"/>
    </row>
    <row r="630" ht="39.75" customHeight="1">
      <c r="A630" s="1">
        <v>629.0</v>
      </c>
      <c r="B630" s="2" t="s">
        <v>22</v>
      </c>
      <c r="C630" s="2"/>
      <c r="D630" s="13"/>
      <c r="E630" s="13"/>
      <c r="F630" s="44" t="s">
        <v>3816</v>
      </c>
      <c r="G630" s="43">
        <v>1.0</v>
      </c>
      <c r="H630" s="42"/>
      <c r="I630" s="43"/>
      <c r="J630" s="22"/>
      <c r="K630" s="42"/>
    </row>
    <row r="631" ht="39.75" hidden="1" customHeight="1">
      <c r="A631" s="1">
        <v>630.0</v>
      </c>
      <c r="B631" s="2" t="s">
        <v>261</v>
      </c>
      <c r="C631" s="2" t="s">
        <v>13</v>
      </c>
      <c r="D631" s="13"/>
      <c r="E631" s="13"/>
      <c r="F631" s="45"/>
      <c r="G631" s="42"/>
      <c r="H631" s="42"/>
      <c r="I631" s="42"/>
      <c r="J631" s="22"/>
      <c r="K631" s="42"/>
    </row>
    <row r="632" ht="39.75" customHeight="1">
      <c r="A632" s="1">
        <v>631.0</v>
      </c>
      <c r="B632" s="2" t="s">
        <v>23</v>
      </c>
      <c r="C632" s="2" t="s">
        <v>54</v>
      </c>
      <c r="D632" s="13"/>
      <c r="E632" s="13"/>
      <c r="F632" s="44" t="s">
        <v>3817</v>
      </c>
      <c r="G632" s="43">
        <v>1.0</v>
      </c>
      <c r="H632" s="42"/>
      <c r="I632" s="42"/>
      <c r="J632" s="22"/>
      <c r="K632" s="42"/>
    </row>
    <row r="633" ht="39.75" customHeight="1">
      <c r="A633" s="1">
        <v>632.0</v>
      </c>
      <c r="B633" s="2" t="s">
        <v>24</v>
      </c>
      <c r="C633" s="2" t="s">
        <v>3563</v>
      </c>
      <c r="D633" s="13"/>
      <c r="E633" s="13"/>
      <c r="F633" s="45"/>
      <c r="G633" s="42"/>
      <c r="H633" s="42"/>
      <c r="I633" s="42"/>
      <c r="J633" s="22"/>
      <c r="K633" s="42"/>
    </row>
    <row r="634" ht="39.75" customHeight="1">
      <c r="A634" s="1">
        <v>633.0</v>
      </c>
      <c r="B634" s="2" t="s">
        <v>25</v>
      </c>
      <c r="C634" s="2"/>
      <c r="D634" s="13"/>
      <c r="E634" s="13"/>
      <c r="F634" s="44" t="s">
        <v>3818</v>
      </c>
      <c r="G634" s="43">
        <v>1.0</v>
      </c>
      <c r="H634" s="42"/>
      <c r="I634" s="43">
        <v>1.0</v>
      </c>
      <c r="J634" s="22"/>
      <c r="K634" s="42"/>
    </row>
    <row r="635" ht="39.75" customHeight="1">
      <c r="A635" s="1">
        <v>634.0</v>
      </c>
      <c r="B635" s="2" t="s">
        <v>26</v>
      </c>
      <c r="C635" s="2"/>
      <c r="D635" s="13"/>
      <c r="E635" s="13"/>
      <c r="F635" s="44" t="s">
        <v>3819</v>
      </c>
      <c r="G635" s="42"/>
      <c r="H635" s="42"/>
      <c r="I635" s="42"/>
      <c r="J635" s="22"/>
      <c r="K635" s="42"/>
    </row>
    <row r="636" ht="39.75" customHeight="1">
      <c r="A636" s="1">
        <v>635.0</v>
      </c>
      <c r="B636" s="2" t="s">
        <v>29</v>
      </c>
      <c r="C636" s="2" t="s">
        <v>69</v>
      </c>
      <c r="D636" s="13"/>
      <c r="E636" s="13"/>
      <c r="F636" s="44" t="s">
        <v>3820</v>
      </c>
      <c r="G636" s="43">
        <v>2.0</v>
      </c>
      <c r="H636" s="42"/>
      <c r="I636" s="42"/>
      <c r="J636" s="22"/>
      <c r="K636" s="42"/>
    </row>
    <row r="637" ht="39.75" customHeight="1">
      <c r="A637" s="1">
        <v>636.0</v>
      </c>
      <c r="B637" s="2" t="s">
        <v>32</v>
      </c>
      <c r="C637" s="2" t="s">
        <v>66</v>
      </c>
      <c r="D637" s="13"/>
      <c r="E637" s="13"/>
      <c r="F637" s="44"/>
      <c r="G637" s="43"/>
      <c r="H637" s="42"/>
      <c r="I637" s="43"/>
      <c r="J637" s="22"/>
      <c r="K637" s="42"/>
    </row>
    <row r="638" ht="39.75" customHeight="1">
      <c r="A638" s="1">
        <v>637.0</v>
      </c>
      <c r="B638" s="2" t="s">
        <v>67</v>
      </c>
      <c r="C638" s="2" t="s">
        <v>44</v>
      </c>
      <c r="D638" s="13"/>
      <c r="E638" s="13"/>
      <c r="F638" s="45"/>
      <c r="G638" s="42"/>
      <c r="H638" s="42"/>
      <c r="I638" s="42"/>
      <c r="J638" s="22"/>
      <c r="K638" s="42"/>
    </row>
    <row r="639" ht="39.75" hidden="1" customHeight="1">
      <c r="A639" s="1">
        <v>638.0</v>
      </c>
      <c r="B639" s="2" t="s">
        <v>35</v>
      </c>
      <c r="C639" s="2" t="s">
        <v>13</v>
      </c>
      <c r="D639" s="13"/>
      <c r="E639" s="13"/>
      <c r="F639" s="44"/>
      <c r="G639" s="42"/>
      <c r="H639" s="42"/>
      <c r="I639" s="42"/>
      <c r="J639" s="22"/>
      <c r="K639" s="42"/>
    </row>
    <row r="640" ht="39.75" customHeight="1">
      <c r="A640" s="1">
        <v>639.0</v>
      </c>
      <c r="B640" s="2" t="s">
        <v>36</v>
      </c>
      <c r="C640" s="2" t="s">
        <v>54</v>
      </c>
      <c r="D640" s="13"/>
      <c r="E640" s="13"/>
      <c r="F640" s="44" t="s">
        <v>3821</v>
      </c>
      <c r="G640" s="43">
        <v>2.0</v>
      </c>
      <c r="H640" s="42"/>
      <c r="I640" s="43">
        <v>1.0</v>
      </c>
      <c r="J640" s="22"/>
      <c r="K640" s="42"/>
    </row>
    <row r="641" ht="39.75" hidden="1" customHeight="1">
      <c r="A641" s="1">
        <v>640.0</v>
      </c>
      <c r="B641" s="2" t="s">
        <v>38</v>
      </c>
      <c r="C641" s="2" t="s">
        <v>13</v>
      </c>
      <c r="D641" s="13"/>
      <c r="E641" s="13"/>
      <c r="F641" s="45"/>
      <c r="G641" s="42"/>
      <c r="H641" s="42"/>
      <c r="I641" s="42"/>
      <c r="J641" s="22"/>
      <c r="K641" s="42"/>
    </row>
    <row r="642" ht="39.75" customHeight="1">
      <c r="A642" s="1">
        <v>641.0</v>
      </c>
      <c r="B642" s="2" t="s">
        <v>41</v>
      </c>
      <c r="C642" s="115" t="s">
        <v>3571</v>
      </c>
      <c r="D642" s="40"/>
      <c r="E642" s="13"/>
      <c r="F642" s="44" t="s">
        <v>3822</v>
      </c>
      <c r="G642" s="43">
        <v>1.0</v>
      </c>
      <c r="H642" s="42"/>
      <c r="I642" s="42"/>
      <c r="J642" s="22"/>
      <c r="K642" s="42"/>
    </row>
    <row r="643" ht="39.75" customHeight="1">
      <c r="A643" s="1">
        <v>642.0</v>
      </c>
      <c r="B643" s="2" t="s">
        <v>42</v>
      </c>
      <c r="C643" s="2"/>
      <c r="D643" s="13"/>
      <c r="E643" s="13"/>
      <c r="F643" s="44" t="s">
        <v>3823</v>
      </c>
      <c r="G643" s="43">
        <v>1.0</v>
      </c>
      <c r="H643" s="42"/>
      <c r="I643" s="42"/>
      <c r="J643" s="22"/>
      <c r="K643" s="42"/>
    </row>
    <row r="644" ht="39.75" customHeight="1">
      <c r="A644" s="1">
        <v>643.0</v>
      </c>
      <c r="B644" s="2" t="s">
        <v>43</v>
      </c>
      <c r="C644" s="2"/>
      <c r="D644" s="13"/>
      <c r="E644" s="13"/>
      <c r="F644" s="44" t="s">
        <v>3824</v>
      </c>
      <c r="G644" s="43">
        <v>1.0</v>
      </c>
      <c r="H644" s="42"/>
      <c r="I644" s="42"/>
      <c r="J644" s="22"/>
      <c r="K644" s="42"/>
    </row>
    <row r="645" ht="39.75" customHeight="1">
      <c r="A645" s="1">
        <v>644.0</v>
      </c>
      <c r="B645" s="2" t="s">
        <v>267</v>
      </c>
      <c r="C645" s="2"/>
      <c r="D645" s="13"/>
      <c r="E645" s="13"/>
      <c r="F645" s="44" t="s">
        <v>3825</v>
      </c>
      <c r="G645" s="42"/>
      <c r="H645" s="42"/>
      <c r="I645" s="42"/>
      <c r="J645" s="22"/>
      <c r="K645" s="42"/>
    </row>
    <row r="646" ht="39.75" customHeight="1">
      <c r="A646" s="1">
        <v>645.0</v>
      </c>
      <c r="B646" s="2" t="s">
        <v>46</v>
      </c>
      <c r="C646" s="2" t="s">
        <v>3756</v>
      </c>
      <c r="D646" s="13"/>
      <c r="E646" s="13"/>
      <c r="F646" s="44" t="s">
        <v>3826</v>
      </c>
      <c r="G646" s="43"/>
      <c r="H646" s="42"/>
      <c r="I646" s="42"/>
      <c r="J646" s="22"/>
      <c r="K646" s="42"/>
    </row>
    <row r="647" ht="39.75" customHeight="1">
      <c r="A647" s="1">
        <v>646.0</v>
      </c>
      <c r="B647" s="2" t="s">
        <v>47</v>
      </c>
      <c r="C647" s="2" t="s">
        <v>54</v>
      </c>
      <c r="D647" s="13"/>
      <c r="E647" s="13"/>
      <c r="F647" s="44" t="s">
        <v>3826</v>
      </c>
      <c r="G647" s="42"/>
      <c r="H647" s="42"/>
      <c r="I647" s="42"/>
      <c r="J647" s="22"/>
      <c r="K647" s="42"/>
    </row>
    <row r="648" ht="39.75" customHeight="1">
      <c r="A648" s="1">
        <v>647.0</v>
      </c>
      <c r="B648" s="2" t="s">
        <v>48</v>
      </c>
      <c r="C648" s="2" t="s">
        <v>69</v>
      </c>
      <c r="D648" s="13"/>
      <c r="E648" s="40"/>
      <c r="F648" s="44" t="s">
        <v>3826</v>
      </c>
      <c r="G648" s="43"/>
      <c r="H648" s="42"/>
      <c r="I648" s="42"/>
      <c r="J648" s="22"/>
      <c r="K648" s="42"/>
    </row>
    <row r="649" ht="39.75" customHeight="1">
      <c r="A649" s="1">
        <v>648.0</v>
      </c>
      <c r="B649" s="21"/>
      <c r="C649" s="21"/>
      <c r="D649" s="21"/>
      <c r="E649" s="21"/>
      <c r="F649" s="46"/>
      <c r="G649" s="47"/>
      <c r="H649" s="47"/>
      <c r="I649" s="47"/>
      <c r="J649" s="48"/>
      <c r="K649" s="47"/>
      <c r="L649" s="49"/>
      <c r="M649" s="49"/>
      <c r="N649" s="49"/>
    </row>
    <row r="650" ht="39.75" customHeight="1">
      <c r="A650" s="1">
        <v>649.0</v>
      </c>
      <c r="B650" s="2" t="s">
        <v>12</v>
      </c>
      <c r="C650" s="2" t="s">
        <v>62</v>
      </c>
      <c r="D650" s="13"/>
      <c r="E650" s="13"/>
      <c r="F650" s="44" t="s">
        <v>3727</v>
      </c>
      <c r="G650" s="43"/>
      <c r="H650" s="42"/>
      <c r="I650" s="43"/>
      <c r="J650" s="22"/>
      <c r="K650" s="42"/>
      <c r="L650" s="15" t="s">
        <v>406</v>
      </c>
    </row>
    <row r="651" ht="39.75" customHeight="1">
      <c r="A651" s="1">
        <v>650.0</v>
      </c>
      <c r="B651" s="2" t="s">
        <v>16</v>
      </c>
      <c r="C651" s="2" t="s">
        <v>69</v>
      </c>
      <c r="D651" s="13"/>
      <c r="E651" s="13"/>
      <c r="F651" s="44"/>
      <c r="G651" s="43"/>
      <c r="H651" s="42"/>
      <c r="I651" s="43"/>
      <c r="J651" s="27" t="s">
        <v>406</v>
      </c>
      <c r="K651" s="43"/>
    </row>
    <row r="652" ht="39.75" hidden="1" customHeight="1">
      <c r="A652" s="1">
        <v>651.0</v>
      </c>
      <c r="B652" s="2" t="s">
        <v>116</v>
      </c>
      <c r="C652" s="2" t="s">
        <v>13</v>
      </c>
      <c r="D652" s="13"/>
      <c r="E652" s="13"/>
      <c r="F652" s="44"/>
      <c r="G652" s="43"/>
      <c r="H652" s="42"/>
      <c r="I652" s="42"/>
      <c r="J652" s="27" t="s">
        <v>95</v>
      </c>
      <c r="K652" s="42"/>
    </row>
    <row r="653" ht="39.75" customHeight="1">
      <c r="A653" s="1">
        <v>652.0</v>
      </c>
      <c r="B653" s="2" t="s">
        <v>263</v>
      </c>
      <c r="C653" s="2" t="s">
        <v>69</v>
      </c>
      <c r="D653" s="13"/>
      <c r="E653" s="13"/>
      <c r="F653" s="44"/>
      <c r="G653" s="42"/>
      <c r="H653" s="42"/>
      <c r="I653" s="42"/>
      <c r="J653" s="27" t="s">
        <v>266</v>
      </c>
      <c r="K653" s="42"/>
    </row>
    <row r="654" ht="39.75" customHeight="1">
      <c r="A654" s="1">
        <v>653.0</v>
      </c>
      <c r="B654" s="2" t="s">
        <v>17</v>
      </c>
      <c r="C654" s="2" t="s">
        <v>3603</v>
      </c>
      <c r="D654" s="13"/>
      <c r="E654" s="13"/>
      <c r="F654" s="44" t="s">
        <v>3392</v>
      </c>
      <c r="G654" s="43">
        <v>1.0</v>
      </c>
      <c r="H654" s="42"/>
      <c r="I654" s="42"/>
      <c r="J654" s="22"/>
      <c r="K654" s="42"/>
    </row>
    <row r="655" ht="39.75" customHeight="1">
      <c r="A655" s="1">
        <v>654.0</v>
      </c>
      <c r="B655" s="2" t="s">
        <v>331</v>
      </c>
      <c r="C655" s="2" t="s">
        <v>542</v>
      </c>
      <c r="D655" s="13"/>
      <c r="E655" s="13"/>
      <c r="F655" s="44"/>
      <c r="G655" s="43"/>
      <c r="H655" s="42"/>
      <c r="I655" s="42"/>
      <c r="J655" s="22"/>
      <c r="K655" s="42"/>
    </row>
    <row r="656" ht="39.75" customHeight="1">
      <c r="A656" s="1">
        <v>655.0</v>
      </c>
      <c r="B656" s="2" t="s">
        <v>21</v>
      </c>
      <c r="C656" s="91"/>
      <c r="D656" s="13"/>
      <c r="E656" s="13"/>
      <c r="F656" s="44" t="s">
        <v>3827</v>
      </c>
      <c r="G656" s="43">
        <v>1.0</v>
      </c>
      <c r="H656" s="42"/>
      <c r="I656" s="42"/>
      <c r="J656" s="22"/>
      <c r="K656" s="42"/>
    </row>
    <row r="657" ht="39.75" customHeight="1">
      <c r="A657" s="1">
        <v>656.0</v>
      </c>
      <c r="B657" s="2" t="s">
        <v>22</v>
      </c>
      <c r="C657" s="2" t="s">
        <v>3557</v>
      </c>
      <c r="D657" s="13"/>
      <c r="E657" s="13"/>
      <c r="F657" s="44" t="s">
        <v>3828</v>
      </c>
      <c r="G657" s="43">
        <v>1.0</v>
      </c>
      <c r="H657" s="43">
        <v>1.0</v>
      </c>
      <c r="I657" s="42"/>
      <c r="J657" s="22"/>
      <c r="K657" s="42"/>
    </row>
    <row r="658" ht="39.75" hidden="1" customHeight="1">
      <c r="A658" s="1">
        <v>657.0</v>
      </c>
      <c r="B658" s="2" t="s">
        <v>261</v>
      </c>
      <c r="C658" s="2" t="s">
        <v>13</v>
      </c>
      <c r="D658" s="13"/>
      <c r="E658" s="13"/>
      <c r="F658" s="45"/>
      <c r="G658" s="42"/>
      <c r="H658" s="42"/>
      <c r="I658" s="42"/>
      <c r="J658" s="22"/>
      <c r="K658" s="42"/>
    </row>
    <row r="659" ht="39.75" customHeight="1">
      <c r="A659" s="1">
        <v>658.0</v>
      </c>
      <c r="B659" s="2" t="s">
        <v>23</v>
      </c>
      <c r="C659" s="2" t="s">
        <v>39</v>
      </c>
      <c r="D659" s="13"/>
      <c r="E659" s="13"/>
      <c r="F659" s="44" t="s">
        <v>3829</v>
      </c>
      <c r="G659" s="43">
        <v>1.0</v>
      </c>
      <c r="H659" s="42"/>
      <c r="I659" s="42"/>
      <c r="J659" s="22"/>
      <c r="K659" s="42"/>
    </row>
    <row r="660" ht="39.75" customHeight="1">
      <c r="A660" s="1">
        <v>659.0</v>
      </c>
      <c r="B660" s="2" t="s">
        <v>24</v>
      </c>
      <c r="C660" s="2" t="s">
        <v>3563</v>
      </c>
      <c r="D660" s="13"/>
      <c r="E660" s="13"/>
      <c r="F660" s="45"/>
      <c r="G660" s="42"/>
      <c r="H660" s="42"/>
      <c r="I660" s="42"/>
      <c r="J660" s="22"/>
      <c r="K660" s="42"/>
    </row>
    <row r="661" ht="39.75" customHeight="1">
      <c r="A661" s="1">
        <v>660.0</v>
      </c>
      <c r="B661" s="2" t="s">
        <v>25</v>
      </c>
      <c r="C661" s="2" t="s">
        <v>39</v>
      </c>
      <c r="D661" s="13"/>
      <c r="E661" s="13"/>
      <c r="F661" s="44" t="s">
        <v>3830</v>
      </c>
      <c r="G661" s="43">
        <v>1.0</v>
      </c>
      <c r="H661" s="42"/>
      <c r="I661" s="42"/>
      <c r="J661" s="22"/>
      <c r="K661" s="42"/>
    </row>
    <row r="662" ht="39.75" customHeight="1">
      <c r="A662" s="1">
        <v>661.0</v>
      </c>
      <c r="B662" s="2" t="s">
        <v>26</v>
      </c>
      <c r="C662" s="2" t="s">
        <v>3571</v>
      </c>
      <c r="D662" s="13"/>
      <c r="E662" s="13"/>
      <c r="F662" s="45"/>
      <c r="G662" s="42"/>
      <c r="H662" s="42"/>
      <c r="I662" s="42"/>
      <c r="J662" s="22"/>
      <c r="K662" s="42"/>
    </row>
    <row r="663" ht="39.75" customHeight="1">
      <c r="A663" s="1">
        <v>662.0</v>
      </c>
      <c r="B663" s="2" t="s">
        <v>29</v>
      </c>
      <c r="C663" s="2" t="s">
        <v>69</v>
      </c>
      <c r="D663" s="13"/>
      <c r="E663" s="13"/>
      <c r="F663" s="44" t="s">
        <v>3831</v>
      </c>
      <c r="G663" s="43">
        <v>1.0</v>
      </c>
      <c r="H663" s="42"/>
      <c r="I663" s="42"/>
      <c r="J663" s="22"/>
      <c r="K663" s="42"/>
    </row>
    <row r="664" ht="39.75" customHeight="1">
      <c r="A664" s="1">
        <v>663.0</v>
      </c>
      <c r="B664" s="2" t="s">
        <v>32</v>
      </c>
      <c r="C664" s="2" t="s">
        <v>54</v>
      </c>
      <c r="D664" s="13"/>
      <c r="E664" s="13"/>
      <c r="F664" s="44" t="s">
        <v>3832</v>
      </c>
      <c r="G664" s="43">
        <v>1.0</v>
      </c>
      <c r="H664" s="43">
        <v>1.0</v>
      </c>
      <c r="I664" s="42"/>
      <c r="J664" s="22"/>
      <c r="K664" s="42"/>
    </row>
    <row r="665" ht="39.75" customHeight="1">
      <c r="A665" s="1">
        <v>664.0</v>
      </c>
      <c r="B665" s="2" t="s">
        <v>67</v>
      </c>
      <c r="C665" s="2" t="s">
        <v>54</v>
      </c>
      <c r="D665" s="13"/>
      <c r="E665" s="13"/>
      <c r="F665" s="44" t="s">
        <v>3833</v>
      </c>
      <c r="G665" s="43">
        <v>1.0</v>
      </c>
      <c r="H665" s="43">
        <v>1.0</v>
      </c>
      <c r="I665" s="42"/>
      <c r="J665" s="22"/>
      <c r="K665" s="42"/>
    </row>
    <row r="666" ht="39.75" customHeight="1">
      <c r="A666" s="1">
        <v>665.0</v>
      </c>
      <c r="B666" s="2" t="s">
        <v>35</v>
      </c>
      <c r="C666" s="2" t="s">
        <v>66</v>
      </c>
      <c r="D666" s="40"/>
      <c r="E666" s="13"/>
      <c r="F666" s="44"/>
      <c r="G666" s="43"/>
      <c r="H666" s="42"/>
      <c r="I666" s="43"/>
      <c r="J666" s="22"/>
      <c r="K666" s="42"/>
    </row>
    <row r="667" ht="39.75" customHeight="1">
      <c r="A667" s="1">
        <v>666.0</v>
      </c>
      <c r="B667" s="2" t="s">
        <v>36</v>
      </c>
      <c r="C667" s="2"/>
      <c r="D667" s="13"/>
      <c r="E667" s="13"/>
      <c r="F667" s="44" t="s">
        <v>3834</v>
      </c>
      <c r="G667" s="43">
        <v>1.0</v>
      </c>
      <c r="H667" s="42"/>
      <c r="I667" s="42"/>
      <c r="J667" s="22"/>
      <c r="K667" s="42"/>
    </row>
    <row r="668" ht="39.75" hidden="1" customHeight="1">
      <c r="A668" s="1">
        <v>667.0</v>
      </c>
      <c r="B668" s="2" t="s">
        <v>38</v>
      </c>
      <c r="C668" s="2" t="s">
        <v>13</v>
      </c>
      <c r="D668" s="13"/>
      <c r="E668" s="13"/>
      <c r="F668" s="44"/>
      <c r="G668" s="43"/>
      <c r="H668" s="42"/>
      <c r="I668" s="42"/>
      <c r="J668" s="22"/>
      <c r="K668" s="42"/>
    </row>
    <row r="669" ht="39.75" customHeight="1">
      <c r="A669" s="1">
        <v>668.0</v>
      </c>
      <c r="B669" s="2" t="s">
        <v>41</v>
      </c>
      <c r="C669" s="2" t="s">
        <v>44</v>
      </c>
      <c r="D669" s="13"/>
      <c r="E669" s="13"/>
      <c r="F669" s="44"/>
      <c r="G669" s="43"/>
      <c r="H669" s="42"/>
      <c r="I669" s="42"/>
      <c r="J669" s="22"/>
      <c r="K669" s="42"/>
    </row>
    <row r="670" ht="39.75" customHeight="1">
      <c r="A670" s="1">
        <v>669.0</v>
      </c>
      <c r="B670" s="2" t="s">
        <v>42</v>
      </c>
      <c r="C670" s="2"/>
      <c r="D670" s="13"/>
      <c r="E670" s="13"/>
      <c r="F670" s="44" t="s">
        <v>3835</v>
      </c>
      <c r="G670" s="43">
        <v>2.0</v>
      </c>
      <c r="H670" s="42"/>
      <c r="I670" s="42"/>
      <c r="J670" s="22"/>
      <c r="K670" s="42"/>
    </row>
    <row r="671" ht="39.75" customHeight="1">
      <c r="A671" s="1">
        <v>670.0</v>
      </c>
      <c r="B671" s="2" t="s">
        <v>43</v>
      </c>
      <c r="C671" s="2" t="s">
        <v>3557</v>
      </c>
      <c r="D671" s="13"/>
      <c r="E671" s="13"/>
      <c r="F671" s="116" t="s">
        <v>3836</v>
      </c>
      <c r="G671" s="43">
        <v>1.0</v>
      </c>
      <c r="H671" s="42"/>
      <c r="I671" s="43"/>
      <c r="J671" s="22"/>
      <c r="K671" s="42"/>
    </row>
    <row r="672" ht="39.75" hidden="1" customHeight="1">
      <c r="A672" s="1">
        <v>671.0</v>
      </c>
      <c r="B672" s="2" t="s">
        <v>267</v>
      </c>
      <c r="C672" s="2" t="s">
        <v>13</v>
      </c>
      <c r="D672" s="13"/>
      <c r="E672" s="13"/>
      <c r="F672" s="44"/>
      <c r="G672" s="42"/>
      <c r="H672" s="42"/>
      <c r="I672" s="42"/>
      <c r="J672" s="22"/>
      <c r="K672" s="42"/>
    </row>
    <row r="673" ht="39.75" customHeight="1">
      <c r="A673" s="1">
        <v>672.0</v>
      </c>
      <c r="B673" s="2" t="s">
        <v>46</v>
      </c>
      <c r="C673" s="2" t="s">
        <v>3756</v>
      </c>
      <c r="D673" s="13"/>
      <c r="E673" s="13"/>
      <c r="F673" s="44" t="s">
        <v>881</v>
      </c>
      <c r="G673" s="43">
        <v>1.0</v>
      </c>
      <c r="H673" s="42"/>
      <c r="I673" s="42"/>
      <c r="J673" s="22"/>
      <c r="K673" s="42"/>
    </row>
    <row r="674" ht="39.75" customHeight="1">
      <c r="A674" s="1">
        <v>673.0</v>
      </c>
      <c r="B674" s="2" t="s">
        <v>47</v>
      </c>
      <c r="C674" s="2" t="s">
        <v>54</v>
      </c>
      <c r="D674" s="13"/>
      <c r="E674" s="13"/>
      <c r="F674" s="44" t="s">
        <v>3837</v>
      </c>
      <c r="G674" s="43">
        <v>1.0</v>
      </c>
      <c r="H674" s="42"/>
      <c r="I674" s="42"/>
      <c r="J674" s="22"/>
      <c r="K674" s="42"/>
    </row>
    <row r="675" ht="39.75" hidden="1" customHeight="1">
      <c r="A675" s="1">
        <v>674.0</v>
      </c>
      <c r="B675" s="2" t="s">
        <v>48</v>
      </c>
      <c r="C675" s="2" t="s">
        <v>13</v>
      </c>
      <c r="D675" s="40"/>
      <c r="E675" s="13"/>
      <c r="F675" s="44"/>
      <c r="G675" s="43"/>
      <c r="H675" s="42"/>
      <c r="I675" s="42"/>
      <c r="J675" s="22"/>
      <c r="K675" s="42"/>
    </row>
    <row r="676" ht="39.75" customHeight="1">
      <c r="A676" s="1">
        <v>675.0</v>
      </c>
      <c r="B676" s="21"/>
      <c r="C676" s="21"/>
      <c r="D676" s="21"/>
      <c r="E676" s="21"/>
      <c r="F676" s="46"/>
      <c r="G676" s="47"/>
      <c r="H676" s="47"/>
      <c r="I676" s="47"/>
      <c r="J676" s="48"/>
      <c r="K676" s="47"/>
      <c r="L676" s="49"/>
      <c r="M676" s="49"/>
      <c r="N676" s="49"/>
    </row>
    <row r="677" ht="39.75" hidden="1" customHeight="1">
      <c r="A677" s="1">
        <v>676.0</v>
      </c>
      <c r="B677" s="2" t="s">
        <v>12</v>
      </c>
      <c r="C677" s="2" t="s">
        <v>13</v>
      </c>
      <c r="D677" s="13"/>
      <c r="E677" s="13"/>
      <c r="F677" s="96"/>
      <c r="G677" s="43"/>
      <c r="H677" s="43"/>
      <c r="I677" s="43"/>
      <c r="J677" s="22"/>
      <c r="K677" s="42"/>
      <c r="L677" s="15" t="s">
        <v>3838</v>
      </c>
    </row>
    <row r="678" ht="39.75" customHeight="1">
      <c r="A678" s="1">
        <v>677.0</v>
      </c>
      <c r="B678" s="2" t="s">
        <v>16</v>
      </c>
      <c r="C678" s="2"/>
      <c r="D678" s="13"/>
      <c r="E678" s="13"/>
      <c r="F678" s="44" t="s">
        <v>3839</v>
      </c>
      <c r="G678" s="43">
        <v>1.0</v>
      </c>
      <c r="H678" s="42"/>
      <c r="I678" s="43"/>
      <c r="J678" s="27" t="s">
        <v>423</v>
      </c>
      <c r="K678" s="43"/>
    </row>
    <row r="679" ht="39.75" hidden="1" customHeight="1">
      <c r="A679" s="1">
        <v>678.0</v>
      </c>
      <c r="B679" s="2" t="s">
        <v>116</v>
      </c>
      <c r="C679" s="2" t="s">
        <v>13</v>
      </c>
      <c r="D679" s="40"/>
      <c r="E679" s="13"/>
      <c r="F679" s="44"/>
      <c r="G679" s="43"/>
      <c r="H679" s="42"/>
      <c r="I679" s="43"/>
      <c r="J679" s="27" t="s">
        <v>111</v>
      </c>
      <c r="K679" s="42"/>
    </row>
    <row r="680" ht="39.75" customHeight="1">
      <c r="A680" s="1">
        <v>679.0</v>
      </c>
      <c r="B680" s="2" t="s">
        <v>263</v>
      </c>
      <c r="C680" s="2" t="s">
        <v>39</v>
      </c>
      <c r="D680" s="13"/>
      <c r="E680" s="13"/>
      <c r="F680" s="44" t="s">
        <v>3840</v>
      </c>
      <c r="G680" s="43">
        <v>1.0</v>
      </c>
      <c r="H680" s="42"/>
      <c r="I680" s="42"/>
      <c r="J680" s="27" t="s">
        <v>30</v>
      </c>
      <c r="K680" s="42"/>
    </row>
    <row r="681" ht="39.75" customHeight="1">
      <c r="A681" s="1">
        <v>680.0</v>
      </c>
      <c r="B681" s="2" t="s">
        <v>17</v>
      </c>
      <c r="C681" s="2" t="s">
        <v>3603</v>
      </c>
      <c r="D681" s="13"/>
      <c r="E681" s="13"/>
      <c r="F681" s="44" t="s">
        <v>3392</v>
      </c>
      <c r="G681" s="42"/>
      <c r="H681" s="42"/>
      <c r="I681" s="42"/>
      <c r="J681" s="27"/>
      <c r="K681" s="42"/>
    </row>
    <row r="682" ht="39.75" customHeight="1">
      <c r="A682" s="1">
        <v>681.0</v>
      </c>
      <c r="B682" s="2" t="s">
        <v>331</v>
      </c>
      <c r="C682" s="2" t="s">
        <v>66</v>
      </c>
      <c r="D682" s="13"/>
      <c r="E682" s="13"/>
      <c r="F682" s="44"/>
      <c r="G682" s="42"/>
      <c r="H682" s="42"/>
      <c r="I682" s="42"/>
      <c r="J682" s="27"/>
      <c r="K682" s="42"/>
    </row>
    <row r="683" ht="39.75" customHeight="1">
      <c r="A683" s="1">
        <v>682.0</v>
      </c>
      <c r="B683" s="2" t="s">
        <v>21</v>
      </c>
      <c r="C683" s="2" t="s">
        <v>54</v>
      </c>
      <c r="D683" s="13"/>
      <c r="E683" s="13"/>
      <c r="F683" s="44" t="s">
        <v>3841</v>
      </c>
      <c r="G683" s="43">
        <v>1.0</v>
      </c>
      <c r="H683" s="42"/>
      <c r="I683" s="42"/>
      <c r="J683" s="27"/>
      <c r="K683" s="42"/>
    </row>
    <row r="684" ht="39.75" customHeight="1">
      <c r="A684" s="1">
        <v>683.0</v>
      </c>
      <c r="B684" s="2" t="s">
        <v>22</v>
      </c>
      <c r="C684" s="2" t="s">
        <v>3557</v>
      </c>
      <c r="D684" s="13"/>
      <c r="E684" s="13"/>
      <c r="F684" s="44" t="s">
        <v>3842</v>
      </c>
      <c r="G684" s="43">
        <v>1.0</v>
      </c>
      <c r="H684" s="43">
        <v>1.0</v>
      </c>
      <c r="I684" s="42"/>
      <c r="J684" s="27"/>
      <c r="K684" s="42"/>
    </row>
    <row r="685" ht="39.75" hidden="1" customHeight="1">
      <c r="A685" s="1">
        <v>684.0</v>
      </c>
      <c r="B685" s="2" t="s">
        <v>261</v>
      </c>
      <c r="C685" s="2" t="s">
        <v>13</v>
      </c>
      <c r="D685" s="13"/>
      <c r="E685" s="13"/>
      <c r="F685" s="45"/>
      <c r="G685" s="42"/>
      <c r="H685" s="42"/>
      <c r="I685" s="42"/>
      <c r="J685" s="22"/>
      <c r="K685" s="42"/>
    </row>
    <row r="686" ht="39.75" customHeight="1">
      <c r="A686" s="1">
        <v>685.0</v>
      </c>
      <c r="B686" s="2" t="s">
        <v>23</v>
      </c>
      <c r="C686" s="2"/>
      <c r="D686" s="13"/>
      <c r="E686" s="13"/>
      <c r="F686" s="44" t="s">
        <v>3843</v>
      </c>
      <c r="G686" s="43">
        <v>1.0</v>
      </c>
      <c r="H686" s="42"/>
      <c r="I686" s="42"/>
      <c r="J686" s="22"/>
      <c r="K686" s="42"/>
    </row>
    <row r="687" ht="39.75" customHeight="1">
      <c r="A687" s="1">
        <v>686.0</v>
      </c>
      <c r="B687" s="2" t="s">
        <v>24</v>
      </c>
      <c r="C687" s="2" t="s">
        <v>3563</v>
      </c>
      <c r="D687" s="13"/>
      <c r="E687" s="13"/>
      <c r="F687" s="45"/>
      <c r="G687" s="42"/>
      <c r="H687" s="42"/>
      <c r="I687" s="42"/>
      <c r="J687" s="22"/>
      <c r="K687" s="42"/>
    </row>
    <row r="688" ht="39.75" customHeight="1">
      <c r="A688" s="1">
        <v>687.0</v>
      </c>
      <c r="B688" s="2" t="s">
        <v>25</v>
      </c>
      <c r="C688" s="2" t="s">
        <v>69</v>
      </c>
      <c r="D688" s="13"/>
      <c r="E688" s="13"/>
      <c r="F688" s="44" t="s">
        <v>3844</v>
      </c>
      <c r="G688" s="43">
        <v>1.0</v>
      </c>
      <c r="H688" s="42"/>
      <c r="I688" s="43"/>
      <c r="J688" s="22"/>
      <c r="K688" s="42"/>
    </row>
    <row r="689" ht="39.75" customHeight="1">
      <c r="A689" s="1">
        <v>688.0</v>
      </c>
      <c r="B689" s="2" t="s">
        <v>26</v>
      </c>
      <c r="C689" s="2" t="s">
        <v>44</v>
      </c>
      <c r="D689" s="40"/>
      <c r="E689" s="13"/>
      <c r="F689" s="44"/>
      <c r="G689" s="43"/>
      <c r="H689" s="42"/>
      <c r="I689" s="42"/>
      <c r="J689" s="22"/>
      <c r="K689" s="42"/>
    </row>
    <row r="690" ht="39.75" customHeight="1">
      <c r="A690" s="1">
        <v>689.0</v>
      </c>
      <c r="B690" s="2" t="s">
        <v>29</v>
      </c>
      <c r="C690" s="2" t="s">
        <v>39</v>
      </c>
      <c r="D690" s="13"/>
      <c r="E690" s="13"/>
      <c r="F690" s="44" t="s">
        <v>3845</v>
      </c>
      <c r="G690" s="43">
        <v>1.0</v>
      </c>
      <c r="H690" s="42"/>
      <c r="I690" s="42"/>
      <c r="J690" s="22"/>
      <c r="K690" s="42"/>
    </row>
    <row r="691" ht="39.75" customHeight="1">
      <c r="A691" s="1">
        <v>690.0</v>
      </c>
      <c r="B691" s="2" t="s">
        <v>32</v>
      </c>
      <c r="C691" s="2"/>
      <c r="D691" s="13"/>
      <c r="E691" s="40"/>
      <c r="F691" s="44" t="s">
        <v>3832</v>
      </c>
      <c r="G691" s="43">
        <v>1.0</v>
      </c>
      <c r="H691" s="43"/>
      <c r="I691" s="43"/>
      <c r="J691" s="22"/>
      <c r="K691" s="42"/>
    </row>
    <row r="692" ht="39.75" customHeight="1">
      <c r="A692" s="1">
        <v>691.0</v>
      </c>
      <c r="B692" s="2" t="s">
        <v>67</v>
      </c>
      <c r="C692" s="2"/>
      <c r="D692" s="13"/>
      <c r="E692" s="13"/>
      <c r="F692" s="44" t="s">
        <v>3833</v>
      </c>
      <c r="G692" s="43">
        <v>1.0</v>
      </c>
      <c r="H692" s="42"/>
      <c r="I692" s="42"/>
      <c r="J692" s="22"/>
      <c r="K692" s="42"/>
    </row>
    <row r="693" ht="39.75" customHeight="1">
      <c r="A693" s="1">
        <v>692.0</v>
      </c>
      <c r="B693" s="2" t="s">
        <v>35</v>
      </c>
      <c r="C693" s="2"/>
      <c r="D693" s="13"/>
      <c r="E693" s="13"/>
      <c r="F693" s="44" t="s">
        <v>3595</v>
      </c>
      <c r="G693" s="43">
        <v>1.0</v>
      </c>
      <c r="H693" s="42"/>
      <c r="I693" s="43"/>
      <c r="J693" s="22"/>
      <c r="K693" s="42"/>
    </row>
    <row r="694" ht="39.75" customHeight="1">
      <c r="A694" s="1">
        <v>693.0</v>
      </c>
      <c r="B694" s="2" t="s">
        <v>36</v>
      </c>
      <c r="C694" s="2" t="s">
        <v>54</v>
      </c>
      <c r="D694" s="13"/>
      <c r="E694" s="13"/>
      <c r="F694" s="44" t="s">
        <v>3846</v>
      </c>
      <c r="G694" s="43">
        <v>1.0</v>
      </c>
      <c r="H694" s="42"/>
      <c r="I694" s="42"/>
      <c r="J694" s="22"/>
      <c r="K694" s="42"/>
    </row>
    <row r="695" ht="39.75" hidden="1" customHeight="1">
      <c r="A695" s="1">
        <v>694.0</v>
      </c>
      <c r="B695" s="2" t="s">
        <v>38</v>
      </c>
      <c r="C695" s="2" t="s">
        <v>13</v>
      </c>
      <c r="D695" s="13"/>
      <c r="E695" s="13"/>
      <c r="F695" s="44"/>
      <c r="G695" s="43"/>
      <c r="H695" s="43"/>
      <c r="I695" s="42"/>
      <c r="J695" s="22"/>
      <c r="K695" s="42"/>
    </row>
    <row r="696" ht="39.75" customHeight="1">
      <c r="A696" s="1">
        <v>695.0</v>
      </c>
      <c r="B696" s="2" t="s">
        <v>41</v>
      </c>
      <c r="C696" s="2" t="s">
        <v>54</v>
      </c>
      <c r="D696" s="13"/>
      <c r="E696" s="13"/>
      <c r="F696" s="44" t="s">
        <v>3847</v>
      </c>
      <c r="G696" s="43">
        <v>1.0</v>
      </c>
      <c r="H696" s="42"/>
      <c r="I696" s="42"/>
      <c r="J696" s="22"/>
      <c r="K696" s="42"/>
    </row>
    <row r="697" ht="39.75" customHeight="1">
      <c r="A697" s="1">
        <v>696.0</v>
      </c>
      <c r="B697" s="2" t="s">
        <v>42</v>
      </c>
      <c r="C697" s="2" t="s">
        <v>69</v>
      </c>
      <c r="D697" s="13"/>
      <c r="E697" s="13"/>
      <c r="F697" s="44" t="s">
        <v>3848</v>
      </c>
      <c r="G697" s="43">
        <v>1.0</v>
      </c>
      <c r="H697" s="42"/>
      <c r="I697" s="42"/>
      <c r="J697" s="22"/>
      <c r="K697" s="42"/>
    </row>
    <row r="698" ht="39.75" customHeight="1">
      <c r="A698" s="1">
        <v>697.0</v>
      </c>
      <c r="B698" s="2" t="s">
        <v>43</v>
      </c>
      <c r="C698" s="2" t="s">
        <v>3557</v>
      </c>
      <c r="D698" s="13"/>
      <c r="E698" s="13"/>
      <c r="F698" s="44" t="s">
        <v>3849</v>
      </c>
      <c r="G698" s="43">
        <v>1.0</v>
      </c>
      <c r="H698" s="42"/>
      <c r="I698" s="42"/>
      <c r="J698" s="22"/>
      <c r="K698" s="42"/>
    </row>
    <row r="699" ht="39.75" customHeight="1">
      <c r="A699" s="1">
        <v>698.0</v>
      </c>
      <c r="B699" s="2" t="s">
        <v>267</v>
      </c>
      <c r="C699" s="2" t="s">
        <v>3571</v>
      </c>
      <c r="D699" s="13"/>
      <c r="E699" s="13"/>
      <c r="F699" s="44"/>
      <c r="G699" s="42"/>
      <c r="H699" s="42"/>
      <c r="I699" s="42"/>
      <c r="J699" s="22"/>
      <c r="K699" s="42"/>
    </row>
    <row r="700" ht="39.75" hidden="1" customHeight="1">
      <c r="A700" s="1">
        <v>699.0</v>
      </c>
      <c r="B700" s="2" t="s">
        <v>46</v>
      </c>
      <c r="C700" s="2" t="s">
        <v>13</v>
      </c>
      <c r="D700" s="13"/>
      <c r="E700" s="13"/>
      <c r="F700" s="44"/>
      <c r="G700" s="43"/>
      <c r="H700" s="42"/>
      <c r="I700" s="43"/>
      <c r="J700" s="22"/>
      <c r="K700" s="42"/>
    </row>
    <row r="701" ht="39.75" customHeight="1">
      <c r="A701" s="1">
        <v>700.0</v>
      </c>
      <c r="B701" s="2" t="s">
        <v>47</v>
      </c>
      <c r="C701" s="2" t="s">
        <v>54</v>
      </c>
      <c r="D701" s="13"/>
      <c r="E701" s="13"/>
      <c r="F701" s="44" t="s">
        <v>3850</v>
      </c>
      <c r="G701" s="43">
        <v>1.0</v>
      </c>
      <c r="H701" s="42"/>
      <c r="I701" s="42"/>
      <c r="J701" s="22"/>
      <c r="K701" s="42"/>
    </row>
    <row r="702" ht="39.75" customHeight="1">
      <c r="A702" s="1">
        <v>701.0</v>
      </c>
      <c r="B702" s="2" t="s">
        <v>48</v>
      </c>
      <c r="C702" s="2"/>
      <c r="D702" s="13"/>
      <c r="E702" s="13"/>
      <c r="F702" s="44" t="s">
        <v>3851</v>
      </c>
      <c r="G702" s="43">
        <v>2.0</v>
      </c>
      <c r="H702" s="42"/>
      <c r="I702" s="43">
        <v>1.0</v>
      </c>
      <c r="J702" s="22"/>
      <c r="K702" s="42"/>
    </row>
    <row r="703" ht="39.75" customHeight="1">
      <c r="A703" s="1">
        <v>702.0</v>
      </c>
      <c r="B703" s="21"/>
      <c r="C703" s="21"/>
      <c r="D703" s="21"/>
      <c r="E703" s="21"/>
      <c r="F703" s="46"/>
      <c r="G703" s="47"/>
      <c r="H703" s="47"/>
      <c r="I703" s="47"/>
      <c r="J703" s="48"/>
      <c r="K703" s="47"/>
      <c r="L703" s="49"/>
      <c r="M703" s="49"/>
      <c r="N703" s="49"/>
    </row>
    <row r="704" ht="39.75" customHeight="1">
      <c r="A704" s="1">
        <v>703.0</v>
      </c>
      <c r="B704" s="2" t="s">
        <v>12</v>
      </c>
      <c r="C704" s="2" t="s">
        <v>62</v>
      </c>
      <c r="D704" s="13"/>
      <c r="E704" s="13"/>
      <c r="F704" s="44" t="s">
        <v>2011</v>
      </c>
      <c r="G704" s="43">
        <v>1.0</v>
      </c>
      <c r="H704" s="42"/>
      <c r="I704" s="42"/>
      <c r="J704" s="22"/>
      <c r="K704" s="42"/>
      <c r="L704" s="15" t="s">
        <v>3852</v>
      </c>
    </row>
    <row r="705" ht="39.75" hidden="1" customHeight="1">
      <c r="A705" s="1">
        <v>704.0</v>
      </c>
      <c r="B705" s="2" t="s">
        <v>16</v>
      </c>
      <c r="C705" s="2" t="s">
        <v>13</v>
      </c>
      <c r="D705" s="13"/>
      <c r="E705" s="13"/>
      <c r="F705" s="44"/>
      <c r="G705" s="43"/>
      <c r="H705" s="42"/>
      <c r="I705" s="43"/>
      <c r="J705" s="27" t="s">
        <v>438</v>
      </c>
      <c r="K705" s="43"/>
    </row>
    <row r="706" ht="39.75" customHeight="1">
      <c r="A706" s="1">
        <v>705.0</v>
      </c>
      <c r="B706" s="2" t="s">
        <v>116</v>
      </c>
      <c r="C706" s="2" t="s">
        <v>66</v>
      </c>
      <c r="D706" s="13"/>
      <c r="E706" s="13"/>
      <c r="F706" s="44"/>
      <c r="G706" s="43"/>
      <c r="H706" s="42"/>
      <c r="I706" s="42"/>
      <c r="J706" s="27" t="s">
        <v>131</v>
      </c>
      <c r="K706" s="42"/>
    </row>
    <row r="707" ht="39.75" customHeight="1">
      <c r="A707" s="1">
        <v>706.0</v>
      </c>
      <c r="B707" s="2" t="s">
        <v>263</v>
      </c>
      <c r="C707" s="2" t="s">
        <v>69</v>
      </c>
      <c r="D707" s="13"/>
      <c r="E707" s="13"/>
      <c r="F707" s="44" t="s">
        <v>3853</v>
      </c>
      <c r="G707" s="43">
        <v>1.0</v>
      </c>
      <c r="H707" s="42"/>
      <c r="I707" s="43">
        <v>1.0</v>
      </c>
      <c r="J707" s="27" t="s">
        <v>3637</v>
      </c>
      <c r="K707" s="42"/>
    </row>
    <row r="708" ht="39.75" customHeight="1">
      <c r="A708" s="1">
        <v>707.0</v>
      </c>
      <c r="B708" s="2" t="s">
        <v>17</v>
      </c>
      <c r="C708" s="2" t="s">
        <v>3603</v>
      </c>
      <c r="D708" s="13"/>
      <c r="E708" s="13"/>
      <c r="F708" s="44" t="s">
        <v>3392</v>
      </c>
      <c r="G708" s="43">
        <v>1.0</v>
      </c>
      <c r="H708" s="42"/>
      <c r="I708" s="42"/>
      <c r="J708" s="27"/>
      <c r="K708" s="42"/>
    </row>
    <row r="709" ht="39.75" customHeight="1">
      <c r="A709" s="1">
        <v>708.0</v>
      </c>
      <c r="B709" s="2" t="s">
        <v>331</v>
      </c>
      <c r="C709" s="2" t="s">
        <v>542</v>
      </c>
      <c r="D709" s="13"/>
      <c r="E709" s="13"/>
      <c r="F709" s="44" t="s">
        <v>3854</v>
      </c>
      <c r="G709" s="43">
        <v>1.0</v>
      </c>
      <c r="H709" s="42"/>
      <c r="I709" s="42"/>
      <c r="J709" s="27"/>
      <c r="K709" s="42"/>
    </row>
    <row r="710" ht="39.75" customHeight="1">
      <c r="A710" s="1">
        <v>709.0</v>
      </c>
      <c r="B710" s="2" t="s">
        <v>21</v>
      </c>
      <c r="C710" s="2" t="s">
        <v>54</v>
      </c>
      <c r="D710" s="13"/>
      <c r="E710" s="13"/>
      <c r="F710" s="44" t="s">
        <v>3855</v>
      </c>
      <c r="G710" s="43">
        <v>1.0</v>
      </c>
      <c r="H710" s="42"/>
      <c r="I710" s="42"/>
      <c r="J710" s="27"/>
      <c r="K710" s="42"/>
    </row>
    <row r="711" ht="39.75" customHeight="1">
      <c r="A711" s="1">
        <v>710.0</v>
      </c>
      <c r="B711" s="2" t="s">
        <v>22</v>
      </c>
      <c r="C711" s="2" t="s">
        <v>3557</v>
      </c>
      <c r="D711" s="13"/>
      <c r="E711" s="13"/>
      <c r="F711" s="44" t="s">
        <v>3828</v>
      </c>
      <c r="G711" s="43">
        <v>1.0</v>
      </c>
      <c r="H711" s="42"/>
      <c r="I711" s="42"/>
      <c r="J711" s="22"/>
      <c r="K711" s="42"/>
    </row>
    <row r="712" ht="39.75" hidden="1" customHeight="1">
      <c r="A712" s="1">
        <v>711.0</v>
      </c>
      <c r="B712" s="2" t="s">
        <v>261</v>
      </c>
      <c r="C712" s="2" t="s">
        <v>13</v>
      </c>
      <c r="D712" s="13"/>
      <c r="E712" s="13"/>
      <c r="F712" s="45"/>
      <c r="G712" s="42"/>
      <c r="H712" s="42"/>
      <c r="I712" s="42"/>
      <c r="J712" s="22"/>
      <c r="K712" s="42"/>
    </row>
    <row r="713" ht="39.75" customHeight="1">
      <c r="A713" s="1">
        <v>712.0</v>
      </c>
      <c r="B713" s="2" t="s">
        <v>23</v>
      </c>
      <c r="C713" s="2" t="s">
        <v>3571</v>
      </c>
      <c r="D713" s="13"/>
      <c r="E713" s="13"/>
      <c r="F713" s="44" t="s">
        <v>3856</v>
      </c>
      <c r="G713" s="43">
        <v>1.0</v>
      </c>
      <c r="H713" s="42"/>
      <c r="I713" s="42"/>
      <c r="J713" s="22"/>
      <c r="K713" s="42"/>
    </row>
    <row r="714" ht="39.75" customHeight="1">
      <c r="A714" s="1">
        <v>713.0</v>
      </c>
      <c r="B714" s="2" t="s">
        <v>24</v>
      </c>
      <c r="C714" s="2" t="s">
        <v>3563</v>
      </c>
      <c r="D714" s="13"/>
      <c r="E714" s="13"/>
      <c r="F714" s="45"/>
      <c r="G714" s="42"/>
      <c r="H714" s="42"/>
      <c r="I714" s="42"/>
      <c r="J714" s="22"/>
      <c r="K714" s="42"/>
    </row>
    <row r="715" ht="39.75" customHeight="1">
      <c r="A715" s="1">
        <v>714.0</v>
      </c>
      <c r="B715" s="2" t="s">
        <v>25</v>
      </c>
      <c r="C715" s="2"/>
      <c r="D715" s="13"/>
      <c r="E715" s="13"/>
      <c r="F715" s="44" t="s">
        <v>3857</v>
      </c>
      <c r="G715" s="43">
        <v>1.0</v>
      </c>
      <c r="H715" s="43"/>
      <c r="I715" s="42"/>
      <c r="J715" s="22"/>
      <c r="K715" s="42"/>
    </row>
    <row r="716" ht="39.75" customHeight="1">
      <c r="A716" s="1">
        <v>715.0</v>
      </c>
      <c r="B716" s="2" t="s">
        <v>26</v>
      </c>
      <c r="C716" s="2" t="s">
        <v>66</v>
      </c>
      <c r="D716" s="13"/>
      <c r="E716" s="13"/>
      <c r="F716" s="44"/>
      <c r="G716" s="43"/>
      <c r="H716" s="42"/>
      <c r="I716" s="43"/>
      <c r="J716" s="22"/>
      <c r="K716" s="42"/>
    </row>
    <row r="717" ht="39.75" hidden="1" customHeight="1">
      <c r="A717" s="1">
        <v>716.0</v>
      </c>
      <c r="B717" s="2" t="s">
        <v>29</v>
      </c>
      <c r="C717" s="2" t="s">
        <v>13</v>
      </c>
      <c r="D717" s="13"/>
      <c r="E717" s="13"/>
      <c r="F717" s="44"/>
      <c r="G717" s="42"/>
      <c r="H717" s="42"/>
      <c r="I717" s="42"/>
      <c r="J717" s="22"/>
      <c r="K717" s="42"/>
    </row>
    <row r="718" ht="39.75" customHeight="1">
      <c r="A718" s="1">
        <v>717.0</v>
      </c>
      <c r="B718" s="2" t="s">
        <v>32</v>
      </c>
      <c r="C718" s="2" t="s">
        <v>69</v>
      </c>
      <c r="D718" s="13"/>
      <c r="E718" s="13"/>
      <c r="F718" s="44" t="s">
        <v>3858</v>
      </c>
      <c r="G718" s="43">
        <v>2.0</v>
      </c>
      <c r="H718" s="42"/>
      <c r="I718" s="43">
        <v>1.0</v>
      </c>
      <c r="J718" s="22"/>
      <c r="K718" s="42"/>
    </row>
    <row r="719" ht="39.75" customHeight="1">
      <c r="A719" s="1">
        <v>718.0</v>
      </c>
      <c r="B719" s="2" t="s">
        <v>67</v>
      </c>
      <c r="C719" s="2" t="s">
        <v>39</v>
      </c>
      <c r="D719" s="40"/>
      <c r="E719" s="13"/>
      <c r="F719" s="44" t="s">
        <v>3859</v>
      </c>
      <c r="G719" s="43">
        <v>1.0</v>
      </c>
      <c r="H719" s="42"/>
      <c r="I719" s="42"/>
      <c r="J719" s="22"/>
      <c r="K719" s="42"/>
    </row>
    <row r="720" ht="39.75" customHeight="1">
      <c r="A720" s="1">
        <v>719.0</v>
      </c>
      <c r="B720" s="2" t="s">
        <v>35</v>
      </c>
      <c r="C720" s="2"/>
      <c r="D720" s="13"/>
      <c r="E720" s="13"/>
      <c r="F720" s="44" t="s">
        <v>3860</v>
      </c>
      <c r="G720" s="43">
        <v>1.0</v>
      </c>
      <c r="H720" s="42"/>
      <c r="I720" s="42"/>
      <c r="J720" s="22"/>
      <c r="K720" s="42"/>
    </row>
    <row r="721" ht="39.75" customHeight="1">
      <c r="A721" s="1">
        <v>720.0</v>
      </c>
      <c r="B721" s="2" t="s">
        <v>36</v>
      </c>
      <c r="C721" s="2" t="s">
        <v>54</v>
      </c>
      <c r="D721" s="13"/>
      <c r="E721" s="13"/>
      <c r="F721" s="44" t="s">
        <v>3861</v>
      </c>
      <c r="G721" s="43">
        <v>1.0</v>
      </c>
      <c r="H721" s="42"/>
      <c r="I721" s="42"/>
      <c r="J721" s="22"/>
      <c r="K721" s="42"/>
    </row>
    <row r="722" ht="39.75" hidden="1" customHeight="1">
      <c r="A722" s="1">
        <v>721.0</v>
      </c>
      <c r="B722" s="2" t="s">
        <v>38</v>
      </c>
      <c r="C722" s="2" t="s">
        <v>13</v>
      </c>
      <c r="D722" s="13"/>
      <c r="E722" s="13"/>
      <c r="F722" s="44"/>
      <c r="G722" s="43"/>
      <c r="H722" s="42"/>
      <c r="I722" s="43"/>
      <c r="J722" s="22"/>
      <c r="K722" s="42"/>
    </row>
    <row r="723" ht="39.75" customHeight="1">
      <c r="A723" s="1">
        <v>722.0</v>
      </c>
      <c r="B723" s="2" t="s">
        <v>41</v>
      </c>
      <c r="C723" s="2" t="s">
        <v>54</v>
      </c>
      <c r="D723" s="13"/>
      <c r="E723" s="13"/>
      <c r="F723" s="44" t="s">
        <v>3862</v>
      </c>
      <c r="G723" s="43">
        <v>1.0</v>
      </c>
      <c r="H723" s="42"/>
      <c r="I723" s="42"/>
      <c r="J723" s="22"/>
      <c r="K723" s="42"/>
    </row>
    <row r="724" ht="39.75" customHeight="1">
      <c r="A724" s="1">
        <v>723.0</v>
      </c>
      <c r="B724" s="2" t="s">
        <v>42</v>
      </c>
      <c r="C724" s="2" t="s">
        <v>66</v>
      </c>
      <c r="D724" s="13"/>
      <c r="E724" s="13"/>
      <c r="F724" s="44"/>
      <c r="G724" s="42"/>
      <c r="H724" s="42"/>
      <c r="I724" s="42"/>
      <c r="J724" s="22"/>
      <c r="K724" s="42"/>
    </row>
    <row r="725" ht="39.75" customHeight="1">
      <c r="A725" s="1">
        <v>724.0</v>
      </c>
      <c r="B725" s="2" t="s">
        <v>43</v>
      </c>
      <c r="C725" s="2" t="s">
        <v>3557</v>
      </c>
      <c r="D725" s="13"/>
      <c r="E725" s="13"/>
      <c r="F725" s="44" t="s">
        <v>3863</v>
      </c>
      <c r="G725" s="43">
        <v>1.0</v>
      </c>
      <c r="H725" s="42"/>
      <c r="I725" s="42"/>
      <c r="J725" s="22"/>
      <c r="K725" s="42"/>
    </row>
    <row r="726" ht="39.75" customHeight="1">
      <c r="A726" s="1">
        <v>725.0</v>
      </c>
      <c r="B726" s="2" t="s">
        <v>267</v>
      </c>
      <c r="C726" s="2" t="s">
        <v>44</v>
      </c>
      <c r="D726" s="13"/>
      <c r="E726" s="13"/>
      <c r="F726" s="44"/>
      <c r="G726" s="42"/>
      <c r="H726" s="42"/>
      <c r="I726" s="42"/>
      <c r="J726" s="22"/>
      <c r="K726" s="42"/>
    </row>
    <row r="727" ht="39.75" hidden="1" customHeight="1">
      <c r="A727" s="1">
        <v>726.0</v>
      </c>
      <c r="B727" s="2" t="s">
        <v>46</v>
      </c>
      <c r="C727" s="2" t="s">
        <v>13</v>
      </c>
      <c r="D727" s="13"/>
      <c r="E727" s="13"/>
      <c r="F727" s="45"/>
      <c r="G727" s="42"/>
      <c r="H727" s="42"/>
      <c r="I727" s="42"/>
      <c r="J727" s="22"/>
      <c r="K727" s="42"/>
    </row>
    <row r="728" ht="39.75" customHeight="1">
      <c r="A728" s="1">
        <v>727.0</v>
      </c>
      <c r="B728" s="2" t="s">
        <v>47</v>
      </c>
      <c r="C728" s="2" t="s">
        <v>54</v>
      </c>
      <c r="D728" s="13"/>
      <c r="E728" s="13"/>
      <c r="F728" s="44" t="s">
        <v>3864</v>
      </c>
      <c r="G728" s="43">
        <v>2.0</v>
      </c>
      <c r="H728" s="42"/>
      <c r="I728" s="42"/>
      <c r="J728" s="22"/>
      <c r="K728" s="42"/>
    </row>
    <row r="729" ht="39.75" customHeight="1">
      <c r="A729" s="1">
        <v>728.0</v>
      </c>
      <c r="B729" s="2" t="s">
        <v>48</v>
      </c>
      <c r="C729" s="2" t="s">
        <v>39</v>
      </c>
      <c r="D729" s="13"/>
      <c r="E729" s="13"/>
      <c r="F729" s="44" t="s">
        <v>3865</v>
      </c>
      <c r="G729" s="43">
        <v>2.0</v>
      </c>
      <c r="H729" s="42"/>
      <c r="I729" s="42"/>
      <c r="J729" s="22"/>
      <c r="K729" s="42"/>
    </row>
    <row r="730" ht="39.75" customHeight="1">
      <c r="A730" s="1">
        <v>729.0</v>
      </c>
      <c r="B730" s="21"/>
      <c r="C730" s="21"/>
      <c r="D730" s="21"/>
      <c r="E730" s="21"/>
      <c r="F730" s="46"/>
      <c r="G730" s="47"/>
      <c r="H730" s="47"/>
      <c r="I730" s="47"/>
      <c r="J730" s="48"/>
      <c r="K730" s="47"/>
      <c r="L730" s="49"/>
      <c r="M730" s="49"/>
      <c r="N730" s="49"/>
    </row>
    <row r="731" ht="39.75" hidden="1" customHeight="1">
      <c r="A731" s="1">
        <v>730.0</v>
      </c>
      <c r="B731" s="2" t="s">
        <v>12</v>
      </c>
      <c r="C731" s="2" t="s">
        <v>13</v>
      </c>
      <c r="D731" s="13"/>
      <c r="E731" s="13"/>
      <c r="F731" s="45"/>
      <c r="G731" s="42"/>
      <c r="H731" s="42"/>
      <c r="I731" s="42"/>
      <c r="J731" s="22"/>
      <c r="K731" s="42"/>
      <c r="L731" s="15" t="s">
        <v>3866</v>
      </c>
    </row>
    <row r="732" ht="39.75" hidden="1" customHeight="1">
      <c r="A732" s="1">
        <v>731.0</v>
      </c>
      <c r="B732" s="2" t="s">
        <v>16</v>
      </c>
      <c r="C732" s="2" t="s">
        <v>13</v>
      </c>
      <c r="D732" s="13"/>
      <c r="E732" s="13"/>
      <c r="F732" s="45"/>
      <c r="G732" s="42"/>
      <c r="H732" s="42"/>
      <c r="I732" s="42"/>
      <c r="J732" s="27"/>
      <c r="K732" s="43"/>
    </row>
    <row r="733" ht="39.75" hidden="1" customHeight="1">
      <c r="A733" s="1">
        <v>732.0</v>
      </c>
      <c r="B733" s="2" t="s">
        <v>116</v>
      </c>
      <c r="C733" s="2" t="s">
        <v>13</v>
      </c>
      <c r="D733" s="13"/>
      <c r="E733" s="13"/>
      <c r="F733" s="44"/>
      <c r="G733" s="42"/>
      <c r="H733" s="42"/>
      <c r="I733" s="42"/>
      <c r="J733" s="27"/>
      <c r="K733" s="42"/>
    </row>
    <row r="734" ht="39.75" hidden="1" customHeight="1">
      <c r="A734" s="1">
        <v>733.0</v>
      </c>
      <c r="B734" s="2" t="s">
        <v>263</v>
      </c>
      <c r="C734" s="2" t="s">
        <v>13</v>
      </c>
      <c r="D734" s="13"/>
      <c r="E734" s="13"/>
      <c r="F734" s="44"/>
      <c r="G734" s="43"/>
      <c r="H734" s="42"/>
      <c r="I734" s="42"/>
      <c r="J734" s="27"/>
      <c r="K734" s="42"/>
    </row>
    <row r="735" ht="39.75" hidden="1" customHeight="1">
      <c r="A735" s="1">
        <v>734.0</v>
      </c>
      <c r="B735" s="2" t="s">
        <v>17</v>
      </c>
      <c r="C735" s="2" t="s">
        <v>13</v>
      </c>
      <c r="D735" s="13"/>
      <c r="E735" s="13"/>
      <c r="F735" s="45"/>
      <c r="G735" s="42"/>
      <c r="H735" s="42"/>
      <c r="I735" s="42"/>
      <c r="J735" s="27"/>
      <c r="K735" s="42"/>
    </row>
    <row r="736" ht="39.75" hidden="1" customHeight="1">
      <c r="A736" s="1">
        <v>735.0</v>
      </c>
      <c r="B736" s="2" t="s">
        <v>331</v>
      </c>
      <c r="C736" s="2" t="s">
        <v>13</v>
      </c>
      <c r="D736" s="13"/>
      <c r="E736" s="13"/>
      <c r="F736" s="45"/>
      <c r="G736" s="42"/>
      <c r="H736" s="42"/>
      <c r="I736" s="42"/>
      <c r="J736" s="27"/>
      <c r="K736" s="42"/>
    </row>
    <row r="737" ht="39.75" hidden="1" customHeight="1">
      <c r="A737" s="1">
        <v>736.0</v>
      </c>
      <c r="B737" s="2" t="s">
        <v>21</v>
      </c>
      <c r="C737" s="2" t="s">
        <v>13</v>
      </c>
      <c r="D737" s="13"/>
      <c r="E737" s="13"/>
      <c r="F737" s="117"/>
      <c r="G737" s="42"/>
      <c r="H737" s="42"/>
      <c r="I737" s="42"/>
      <c r="J737" s="22"/>
      <c r="K737" s="42"/>
    </row>
    <row r="738" ht="39.75" customHeight="1">
      <c r="A738" s="1">
        <v>737.0</v>
      </c>
      <c r="B738" s="2" t="s">
        <v>22</v>
      </c>
      <c r="C738" s="2" t="s">
        <v>3557</v>
      </c>
      <c r="D738" s="13"/>
      <c r="E738" s="13"/>
      <c r="F738" s="118" t="s">
        <v>3867</v>
      </c>
      <c r="G738" s="43">
        <v>1.0</v>
      </c>
      <c r="H738" s="42"/>
      <c r="I738" s="42"/>
      <c r="J738" s="27" t="s">
        <v>452</v>
      </c>
      <c r="K738" s="42"/>
    </row>
    <row r="739" ht="39.75" hidden="1" customHeight="1">
      <c r="A739" s="1">
        <v>738.0</v>
      </c>
      <c r="B739" s="2" t="s">
        <v>261</v>
      </c>
      <c r="C739" s="2" t="s">
        <v>13</v>
      </c>
      <c r="D739" s="13"/>
      <c r="E739" s="13"/>
      <c r="F739" s="45"/>
      <c r="G739" s="42"/>
      <c r="H739" s="42"/>
      <c r="I739" s="42"/>
      <c r="J739" s="22"/>
      <c r="K739" s="42"/>
    </row>
    <row r="740" ht="39.75" customHeight="1">
      <c r="A740" s="1">
        <v>739.0</v>
      </c>
      <c r="B740" s="2" t="s">
        <v>23</v>
      </c>
      <c r="C740" s="2" t="s">
        <v>44</v>
      </c>
      <c r="D740" s="13"/>
      <c r="E740" s="13"/>
      <c r="F740" s="44"/>
      <c r="G740" s="42"/>
      <c r="H740" s="42"/>
      <c r="I740" s="42"/>
      <c r="J740" s="22"/>
      <c r="K740" s="42"/>
    </row>
    <row r="741" ht="39.75" hidden="1" customHeight="1">
      <c r="A741" s="1">
        <v>740.0</v>
      </c>
      <c r="B741" s="2" t="s">
        <v>24</v>
      </c>
      <c r="C741" s="2" t="s">
        <v>13</v>
      </c>
      <c r="D741" s="13"/>
      <c r="E741" s="13"/>
      <c r="F741" s="45"/>
      <c r="G741" s="42"/>
      <c r="H741" s="42"/>
      <c r="I741" s="42"/>
      <c r="J741" s="27" t="s">
        <v>149</v>
      </c>
      <c r="K741" s="42"/>
    </row>
    <row r="742" ht="39.75" customHeight="1">
      <c r="A742" s="1">
        <v>741.0</v>
      </c>
      <c r="B742" s="2" t="s">
        <v>25</v>
      </c>
      <c r="C742" s="2" t="s">
        <v>3571</v>
      </c>
      <c r="D742" s="13"/>
      <c r="E742" s="13"/>
      <c r="F742" s="45"/>
      <c r="G742" s="42"/>
      <c r="H742" s="42"/>
      <c r="I742" s="42"/>
      <c r="J742" s="27" t="s">
        <v>3637</v>
      </c>
      <c r="K742" s="42"/>
    </row>
    <row r="743" ht="39.75" hidden="1" customHeight="1">
      <c r="A743" s="1">
        <v>742.0</v>
      </c>
      <c r="B743" s="2" t="s">
        <v>26</v>
      </c>
      <c r="C743" s="2" t="s">
        <v>13</v>
      </c>
      <c r="D743" s="13"/>
      <c r="E743" s="40"/>
      <c r="F743" s="44"/>
      <c r="G743" s="43"/>
      <c r="H743" s="42"/>
      <c r="I743" s="42"/>
      <c r="J743" s="22"/>
      <c r="K743" s="42"/>
    </row>
    <row r="744" ht="39.75" customHeight="1">
      <c r="A744" s="1">
        <v>743.0</v>
      </c>
      <c r="B744" s="2" t="s">
        <v>29</v>
      </c>
      <c r="C744" s="2"/>
      <c r="D744" s="13"/>
      <c r="E744" s="13"/>
      <c r="F744" s="44" t="s">
        <v>3868</v>
      </c>
      <c r="G744" s="43">
        <v>2.0</v>
      </c>
      <c r="H744" s="42"/>
      <c r="I744" s="43">
        <v>2.0</v>
      </c>
      <c r="J744" s="22"/>
      <c r="K744" s="42"/>
    </row>
    <row r="745" ht="39.75" hidden="1" customHeight="1">
      <c r="A745" s="1">
        <v>744.0</v>
      </c>
      <c r="B745" s="2" t="s">
        <v>32</v>
      </c>
      <c r="C745" s="2" t="s">
        <v>13</v>
      </c>
      <c r="D745" s="13"/>
      <c r="E745" s="13"/>
      <c r="F745" s="44"/>
      <c r="G745" s="43"/>
      <c r="H745" s="42"/>
      <c r="I745" s="43"/>
      <c r="J745" s="22"/>
      <c r="K745" s="42"/>
    </row>
    <row r="746" ht="39.75" customHeight="1">
      <c r="A746" s="1">
        <v>745.0</v>
      </c>
      <c r="B746" s="2" t="s">
        <v>67</v>
      </c>
      <c r="C746" s="2"/>
      <c r="D746" s="13"/>
      <c r="E746" s="13"/>
      <c r="F746" s="45"/>
      <c r="G746" s="42"/>
      <c r="H746" s="42"/>
      <c r="I746" s="42"/>
      <c r="J746" s="22"/>
      <c r="K746" s="42"/>
    </row>
    <row r="747" ht="39.75" hidden="1" customHeight="1">
      <c r="A747" s="1">
        <v>746.0</v>
      </c>
      <c r="B747" s="2" t="s">
        <v>35</v>
      </c>
      <c r="C747" s="2" t="s">
        <v>13</v>
      </c>
      <c r="D747" s="13"/>
      <c r="E747" s="13"/>
      <c r="F747" s="45"/>
      <c r="G747" s="42"/>
      <c r="H747" s="42"/>
      <c r="I747" s="42"/>
      <c r="J747" s="22"/>
      <c r="K747" s="42"/>
    </row>
    <row r="748" ht="39.75" hidden="1" customHeight="1">
      <c r="A748" s="1">
        <v>747.0</v>
      </c>
      <c r="B748" s="2" t="s">
        <v>36</v>
      </c>
      <c r="C748" s="2" t="s">
        <v>13</v>
      </c>
      <c r="D748" s="13"/>
      <c r="E748" s="13"/>
      <c r="F748" s="45"/>
      <c r="G748" s="42"/>
      <c r="H748" s="42"/>
      <c r="I748" s="42"/>
      <c r="J748" s="22"/>
      <c r="K748" s="42"/>
    </row>
    <row r="749" ht="39.75" hidden="1" customHeight="1">
      <c r="A749" s="1">
        <v>748.0</v>
      </c>
      <c r="B749" s="2" t="s">
        <v>38</v>
      </c>
      <c r="C749" s="2" t="s">
        <v>13</v>
      </c>
      <c r="D749" s="13"/>
      <c r="E749" s="13"/>
      <c r="F749" s="45"/>
      <c r="G749" s="42"/>
      <c r="H749" s="42"/>
      <c r="I749" s="42"/>
      <c r="J749" s="22"/>
      <c r="K749" s="42"/>
    </row>
    <row r="750" ht="39.75" customHeight="1">
      <c r="A750" s="1">
        <v>749.0</v>
      </c>
      <c r="B750" s="2" t="s">
        <v>41</v>
      </c>
      <c r="C750" s="2"/>
      <c r="D750" s="13"/>
      <c r="E750" s="13"/>
      <c r="F750" s="44" t="s">
        <v>3869</v>
      </c>
      <c r="G750" s="43">
        <v>1.0</v>
      </c>
      <c r="H750" s="42"/>
      <c r="I750" s="42"/>
      <c r="J750" s="22"/>
      <c r="K750" s="42"/>
    </row>
    <row r="751" ht="39.75" hidden="1" customHeight="1">
      <c r="A751" s="1">
        <v>750.0</v>
      </c>
      <c r="B751" s="2" t="s">
        <v>42</v>
      </c>
      <c r="C751" s="2" t="s">
        <v>13</v>
      </c>
      <c r="D751" s="13"/>
      <c r="E751" s="13"/>
      <c r="F751" s="44"/>
      <c r="G751" s="42"/>
      <c r="H751" s="42"/>
      <c r="I751" s="42"/>
      <c r="J751" s="22"/>
      <c r="K751" s="42"/>
    </row>
    <row r="752" ht="39.75" customHeight="1">
      <c r="A752" s="1">
        <v>751.0</v>
      </c>
      <c r="B752" s="2" t="s">
        <v>43</v>
      </c>
      <c r="C752" s="2" t="s">
        <v>3557</v>
      </c>
      <c r="D752" s="13"/>
      <c r="E752" s="13"/>
      <c r="F752" s="44" t="s">
        <v>3863</v>
      </c>
      <c r="G752" s="43">
        <v>1.0</v>
      </c>
      <c r="H752" s="42"/>
      <c r="I752" s="43"/>
      <c r="J752" s="22"/>
      <c r="K752" s="42"/>
    </row>
    <row r="753" ht="39.75" hidden="1" customHeight="1">
      <c r="A753" s="1">
        <v>752.0</v>
      </c>
      <c r="B753" s="2" t="s">
        <v>267</v>
      </c>
      <c r="C753" s="2" t="s">
        <v>13</v>
      </c>
      <c r="D753" s="13"/>
      <c r="E753" s="13"/>
      <c r="F753" s="45"/>
      <c r="G753" s="42"/>
      <c r="H753" s="42"/>
      <c r="I753" s="42"/>
      <c r="J753" s="22"/>
      <c r="K753" s="42"/>
    </row>
    <row r="754" ht="39.75" hidden="1" customHeight="1">
      <c r="A754" s="1">
        <v>753.0</v>
      </c>
      <c r="B754" s="2" t="s">
        <v>46</v>
      </c>
      <c r="C754" s="2" t="s">
        <v>13</v>
      </c>
      <c r="D754" s="13"/>
      <c r="E754" s="13"/>
      <c r="F754" s="45"/>
      <c r="G754" s="42"/>
      <c r="H754" s="42"/>
      <c r="I754" s="42"/>
      <c r="J754" s="22"/>
      <c r="K754" s="42"/>
    </row>
    <row r="755" ht="39.75" hidden="1" customHeight="1">
      <c r="A755" s="1">
        <v>754.0</v>
      </c>
      <c r="B755" s="2" t="s">
        <v>47</v>
      </c>
      <c r="C755" s="2" t="s">
        <v>13</v>
      </c>
      <c r="D755" s="13"/>
      <c r="E755" s="13"/>
      <c r="F755" s="44"/>
      <c r="G755" s="42"/>
      <c r="H755" s="42"/>
      <c r="I755" s="42"/>
      <c r="J755" s="22"/>
      <c r="K755" s="42"/>
    </row>
    <row r="756" ht="39.75" hidden="1" customHeight="1">
      <c r="A756" s="1">
        <v>755.0</v>
      </c>
      <c r="B756" s="2" t="s">
        <v>48</v>
      </c>
      <c r="C756" s="2" t="s">
        <v>13</v>
      </c>
      <c r="D756" s="13"/>
      <c r="E756" s="13"/>
      <c r="F756" s="45"/>
      <c r="G756" s="42"/>
      <c r="H756" s="42"/>
      <c r="I756" s="42"/>
      <c r="J756" s="22"/>
      <c r="K756" s="42"/>
    </row>
    <row r="757" ht="39.75" customHeight="1">
      <c r="A757" s="1">
        <v>756.0</v>
      </c>
      <c r="B757" s="21"/>
      <c r="C757" s="21"/>
      <c r="D757" s="21"/>
      <c r="E757" s="21"/>
      <c r="F757" s="46"/>
      <c r="G757" s="47"/>
      <c r="H757" s="47"/>
      <c r="I757" s="47"/>
      <c r="J757" s="48"/>
      <c r="K757" s="47"/>
      <c r="L757" s="119" t="s">
        <v>15</v>
      </c>
      <c r="M757" s="49"/>
      <c r="N757" s="49"/>
    </row>
    <row r="758" ht="39.75" hidden="1" customHeight="1">
      <c r="A758" s="1">
        <v>757.0</v>
      </c>
      <c r="B758" s="2" t="s">
        <v>12</v>
      </c>
      <c r="C758" s="2" t="s">
        <v>13</v>
      </c>
      <c r="D758" s="13"/>
      <c r="E758" s="13"/>
      <c r="F758" s="45"/>
      <c r="G758" s="42"/>
      <c r="H758" s="42"/>
      <c r="I758" s="42"/>
      <c r="J758" s="27"/>
      <c r="K758" s="42"/>
      <c r="L758" s="15" t="s">
        <v>3870</v>
      </c>
    </row>
    <row r="759" ht="39.75" hidden="1" customHeight="1">
      <c r="A759" s="1">
        <v>758.0</v>
      </c>
      <c r="B759" s="2" t="s">
        <v>16</v>
      </c>
      <c r="C759" s="2" t="s">
        <v>13</v>
      </c>
      <c r="D759" s="13"/>
      <c r="E759" s="13"/>
      <c r="F759" s="44"/>
      <c r="G759" s="43"/>
      <c r="H759" s="42"/>
      <c r="I759" s="42"/>
      <c r="J759" s="27"/>
      <c r="K759" s="43"/>
    </row>
    <row r="760" ht="39.75" hidden="1" customHeight="1">
      <c r="A760" s="1">
        <v>759.0</v>
      </c>
      <c r="B760" s="2" t="s">
        <v>116</v>
      </c>
      <c r="C760" s="2" t="s">
        <v>13</v>
      </c>
      <c r="D760" s="13"/>
      <c r="E760" s="13"/>
      <c r="F760" s="44"/>
      <c r="G760" s="43"/>
      <c r="H760" s="42"/>
      <c r="I760" s="42"/>
      <c r="J760" s="27"/>
      <c r="K760" s="42"/>
    </row>
    <row r="761" ht="39.75" hidden="1" customHeight="1">
      <c r="A761" s="1">
        <v>760.0</v>
      </c>
      <c r="B761" s="2" t="s">
        <v>263</v>
      </c>
      <c r="C761" s="2" t="s">
        <v>13</v>
      </c>
      <c r="D761" s="13"/>
      <c r="E761" s="13"/>
      <c r="F761" s="44"/>
      <c r="G761" s="42"/>
      <c r="H761" s="42"/>
      <c r="I761" s="42"/>
      <c r="J761" s="27"/>
      <c r="K761" s="42"/>
    </row>
    <row r="762" ht="39.75" hidden="1" customHeight="1">
      <c r="A762" s="1">
        <v>761.0</v>
      </c>
      <c r="B762" s="2" t="s">
        <v>17</v>
      </c>
      <c r="C762" s="2" t="s">
        <v>13</v>
      </c>
      <c r="D762" s="13"/>
      <c r="E762" s="13"/>
      <c r="F762" s="44"/>
      <c r="G762" s="43"/>
      <c r="H762" s="42"/>
      <c r="I762" s="43"/>
      <c r="J762" s="27"/>
      <c r="K762" s="42"/>
    </row>
    <row r="763" ht="39.75" hidden="1" customHeight="1">
      <c r="A763" s="1">
        <v>762.0</v>
      </c>
      <c r="B763" s="2" t="s">
        <v>331</v>
      </c>
      <c r="C763" s="2" t="s">
        <v>13</v>
      </c>
      <c r="D763" s="13"/>
      <c r="E763" s="13"/>
      <c r="F763" s="44"/>
      <c r="G763" s="42"/>
      <c r="H763" s="42"/>
      <c r="I763" s="42"/>
      <c r="J763" s="27"/>
      <c r="K763" s="42"/>
    </row>
    <row r="764" ht="39.75" customHeight="1">
      <c r="A764" s="1">
        <v>763.0</v>
      </c>
      <c r="B764" s="2" t="s">
        <v>21</v>
      </c>
      <c r="C764" s="2" t="s">
        <v>49</v>
      </c>
      <c r="D764" s="13"/>
      <c r="E764" s="13"/>
      <c r="F764" s="45"/>
      <c r="G764" s="42"/>
      <c r="H764" s="42"/>
      <c r="I764" s="42"/>
      <c r="J764" s="27" t="s">
        <v>460</v>
      </c>
      <c r="K764" s="42"/>
    </row>
    <row r="765" ht="39.75" customHeight="1">
      <c r="A765" s="1">
        <v>764.0</v>
      </c>
      <c r="B765" s="2" t="s">
        <v>22</v>
      </c>
      <c r="C765" s="2" t="s">
        <v>3557</v>
      </c>
      <c r="D765" s="13"/>
      <c r="E765" s="13"/>
      <c r="F765" s="44" t="s">
        <v>3828</v>
      </c>
      <c r="G765" s="42"/>
      <c r="H765" s="42"/>
      <c r="I765" s="42"/>
      <c r="J765" s="27" t="s">
        <v>19</v>
      </c>
      <c r="K765" s="42"/>
    </row>
    <row r="766" ht="39.75" hidden="1" customHeight="1">
      <c r="A766" s="1">
        <v>765.0</v>
      </c>
      <c r="B766" s="2" t="s">
        <v>261</v>
      </c>
      <c r="C766" s="2" t="s">
        <v>13</v>
      </c>
      <c r="D766" s="13"/>
      <c r="E766" s="13"/>
      <c r="F766" s="45"/>
      <c r="G766" s="42"/>
      <c r="H766" s="42"/>
      <c r="I766" s="42"/>
      <c r="J766" s="22"/>
      <c r="K766" s="42"/>
    </row>
    <row r="767" ht="39.75" customHeight="1">
      <c r="A767" s="1">
        <v>766.0</v>
      </c>
      <c r="B767" s="2" t="s">
        <v>23</v>
      </c>
      <c r="C767" s="2"/>
      <c r="D767" s="13"/>
      <c r="E767" s="13"/>
      <c r="F767" s="44" t="s">
        <v>3871</v>
      </c>
      <c r="G767" s="43">
        <v>1.0</v>
      </c>
      <c r="H767" s="42"/>
      <c r="I767" s="43">
        <v>1.0</v>
      </c>
      <c r="J767" s="27" t="s">
        <v>30</v>
      </c>
      <c r="K767" s="42"/>
    </row>
    <row r="768" ht="39.75" customHeight="1">
      <c r="A768" s="1">
        <v>767.0</v>
      </c>
      <c r="B768" s="2" t="s">
        <v>24</v>
      </c>
      <c r="C768" s="2" t="s">
        <v>3563</v>
      </c>
      <c r="D768" s="13"/>
      <c r="E768" s="13"/>
      <c r="F768" s="45"/>
      <c r="G768" s="42"/>
      <c r="H768" s="42"/>
      <c r="I768" s="42"/>
      <c r="J768" s="22"/>
      <c r="K768" s="42"/>
    </row>
    <row r="769" ht="39.75" customHeight="1">
      <c r="A769" s="1">
        <v>768.0</v>
      </c>
      <c r="B769" s="2" t="s">
        <v>25</v>
      </c>
      <c r="C769" s="2" t="s">
        <v>44</v>
      </c>
      <c r="D769" s="13"/>
      <c r="E769" s="13"/>
      <c r="F769" s="45"/>
      <c r="G769" s="42"/>
      <c r="H769" s="42"/>
      <c r="I769" s="42"/>
      <c r="J769" s="22"/>
      <c r="K769" s="42"/>
    </row>
    <row r="770" ht="39.75" hidden="1" customHeight="1">
      <c r="A770" s="1">
        <v>769.0</v>
      </c>
      <c r="B770" s="2" t="s">
        <v>26</v>
      </c>
      <c r="C770" s="2" t="s">
        <v>13</v>
      </c>
      <c r="D770" s="13"/>
      <c r="E770" s="13"/>
      <c r="F770" s="45"/>
      <c r="G770" s="42"/>
      <c r="H770" s="42"/>
      <c r="I770" s="42"/>
      <c r="J770" s="22"/>
      <c r="K770" s="42"/>
    </row>
    <row r="771" ht="39.75" customHeight="1">
      <c r="A771" s="1">
        <v>770.0</v>
      </c>
      <c r="B771" s="2" t="s">
        <v>29</v>
      </c>
      <c r="C771" s="2" t="s">
        <v>3571</v>
      </c>
      <c r="D771" s="13"/>
      <c r="E771" s="13"/>
      <c r="F771" s="44"/>
      <c r="G771" s="43"/>
      <c r="H771" s="42"/>
      <c r="I771" s="43"/>
      <c r="J771" s="22"/>
      <c r="K771" s="42"/>
    </row>
    <row r="772" ht="39.75" hidden="1" customHeight="1">
      <c r="A772" s="1">
        <v>771.0</v>
      </c>
      <c r="B772" s="2" t="s">
        <v>32</v>
      </c>
      <c r="C772" s="2" t="s">
        <v>13</v>
      </c>
      <c r="D772" s="13"/>
      <c r="E772" s="13"/>
      <c r="F772" s="45"/>
      <c r="G772" s="42"/>
      <c r="H772" s="42"/>
      <c r="I772" s="42"/>
      <c r="J772" s="22"/>
      <c r="K772" s="42"/>
    </row>
    <row r="773" ht="39.75" hidden="1" customHeight="1">
      <c r="A773" s="1">
        <v>772.0</v>
      </c>
      <c r="B773" s="2" t="s">
        <v>67</v>
      </c>
      <c r="C773" s="2" t="s">
        <v>13</v>
      </c>
      <c r="D773" s="13"/>
      <c r="E773" s="13"/>
      <c r="F773" s="45"/>
      <c r="G773" s="42"/>
      <c r="H773" s="42"/>
      <c r="I773" s="42"/>
      <c r="J773" s="22"/>
      <c r="K773" s="42"/>
    </row>
    <row r="774" ht="39.75" customHeight="1">
      <c r="A774" s="1">
        <v>773.0</v>
      </c>
      <c r="B774" s="2" t="s">
        <v>35</v>
      </c>
      <c r="C774" s="2" t="s">
        <v>3563</v>
      </c>
      <c r="D774" s="13"/>
      <c r="E774" s="13"/>
      <c r="F774" s="44"/>
      <c r="G774" s="42"/>
      <c r="H774" s="42"/>
      <c r="I774" s="42"/>
      <c r="J774" s="22"/>
      <c r="K774" s="42"/>
    </row>
    <row r="775" ht="39.75" hidden="1" customHeight="1">
      <c r="A775" s="1">
        <v>774.0</v>
      </c>
      <c r="B775" s="2" t="s">
        <v>36</v>
      </c>
      <c r="C775" s="2" t="s">
        <v>13</v>
      </c>
      <c r="D775" s="13"/>
      <c r="E775" s="13"/>
      <c r="F775" s="45"/>
      <c r="G775" s="42"/>
      <c r="H775" s="42"/>
      <c r="I775" s="42"/>
      <c r="J775" s="22"/>
      <c r="K775" s="42"/>
    </row>
    <row r="776" ht="39.75" hidden="1" customHeight="1">
      <c r="A776" s="1">
        <v>775.0</v>
      </c>
      <c r="B776" s="2" t="s">
        <v>38</v>
      </c>
      <c r="C776" s="2" t="s">
        <v>13</v>
      </c>
      <c r="D776" s="13"/>
      <c r="E776" s="13"/>
      <c r="F776" s="44"/>
      <c r="G776" s="43"/>
      <c r="H776" s="42"/>
      <c r="I776" s="42"/>
      <c r="J776" s="22"/>
      <c r="K776" s="42"/>
    </row>
    <row r="777" ht="39.75" hidden="1" customHeight="1">
      <c r="A777" s="1">
        <v>776.0</v>
      </c>
      <c r="B777" s="2" t="s">
        <v>41</v>
      </c>
      <c r="C777" s="2" t="s">
        <v>13</v>
      </c>
      <c r="D777" s="13"/>
      <c r="E777" s="13"/>
      <c r="F777" s="45"/>
      <c r="G777" s="42"/>
      <c r="H777" s="42"/>
      <c r="I777" s="42"/>
      <c r="J777" s="22"/>
      <c r="K777" s="42"/>
    </row>
    <row r="778" ht="39.75" hidden="1" customHeight="1">
      <c r="A778" s="1">
        <v>777.0</v>
      </c>
      <c r="B778" s="2" t="s">
        <v>42</v>
      </c>
      <c r="C778" s="2" t="s">
        <v>13</v>
      </c>
      <c r="D778" s="13"/>
      <c r="E778" s="13"/>
      <c r="F778" s="44"/>
      <c r="G778" s="43"/>
      <c r="H778" s="42"/>
      <c r="I778" s="42"/>
      <c r="J778" s="22"/>
      <c r="K778" s="42"/>
    </row>
    <row r="779" ht="39.75" customHeight="1">
      <c r="A779" s="1">
        <v>778.0</v>
      </c>
      <c r="B779" s="2" t="s">
        <v>43</v>
      </c>
      <c r="C779" s="2" t="s">
        <v>3557</v>
      </c>
      <c r="D779" s="13"/>
      <c r="E779" s="13"/>
      <c r="F779" s="44" t="s">
        <v>3872</v>
      </c>
      <c r="G779" s="42"/>
      <c r="H779" s="42"/>
      <c r="I779" s="42"/>
      <c r="J779" s="22"/>
      <c r="K779" s="42"/>
    </row>
    <row r="780" ht="39.75" customHeight="1">
      <c r="A780" s="1">
        <v>779.0</v>
      </c>
      <c r="B780" s="2" t="s">
        <v>267</v>
      </c>
      <c r="C780" s="2"/>
      <c r="D780" s="13"/>
      <c r="E780" s="13"/>
      <c r="F780" s="44" t="s">
        <v>3873</v>
      </c>
      <c r="G780" s="43">
        <v>2.0</v>
      </c>
      <c r="H780" s="42"/>
      <c r="I780" s="43">
        <v>2.0</v>
      </c>
      <c r="J780" s="22"/>
      <c r="K780" s="42"/>
    </row>
    <row r="781" ht="39.75" hidden="1" customHeight="1">
      <c r="A781" s="1">
        <v>780.0</v>
      </c>
      <c r="B781" s="2" t="s">
        <v>46</v>
      </c>
      <c r="C781" s="2" t="s">
        <v>13</v>
      </c>
      <c r="D781" s="13"/>
      <c r="E781" s="13"/>
      <c r="F781" s="45"/>
      <c r="G781" s="42"/>
      <c r="H781" s="42"/>
      <c r="I781" s="42"/>
      <c r="J781" s="22"/>
      <c r="K781" s="42"/>
    </row>
    <row r="782" ht="39.75" hidden="1" customHeight="1">
      <c r="A782" s="1">
        <v>781.0</v>
      </c>
      <c r="B782" s="2" t="s">
        <v>47</v>
      </c>
      <c r="C782" s="2" t="s">
        <v>13</v>
      </c>
      <c r="D782" s="13"/>
      <c r="E782" s="13"/>
      <c r="F782" s="44"/>
      <c r="G782" s="42"/>
      <c r="H782" s="42"/>
      <c r="I782" s="42"/>
      <c r="J782" s="22"/>
      <c r="K782" s="42"/>
    </row>
    <row r="783" ht="39.75" customHeight="1">
      <c r="A783" s="1">
        <v>782.0</v>
      </c>
      <c r="B783" s="2" t="s">
        <v>48</v>
      </c>
      <c r="C783" s="2"/>
      <c r="D783" s="13"/>
      <c r="E783" s="13"/>
      <c r="F783" s="44" t="s">
        <v>3874</v>
      </c>
      <c r="G783" s="43">
        <v>1.0</v>
      </c>
      <c r="H783" s="42"/>
      <c r="I783" s="42"/>
      <c r="J783" s="22"/>
      <c r="K783" s="42"/>
    </row>
    <row r="784" ht="39.75" customHeight="1">
      <c r="A784" s="1">
        <v>783.0</v>
      </c>
      <c r="B784" s="21"/>
      <c r="C784" s="21"/>
      <c r="D784" s="21"/>
      <c r="E784" s="21"/>
      <c r="F784" s="46"/>
      <c r="G784" s="47"/>
      <c r="H784" s="47"/>
      <c r="I784" s="47"/>
      <c r="J784" s="48"/>
      <c r="K784" s="47"/>
      <c r="L784" s="49"/>
      <c r="M784" s="49"/>
      <c r="N784" s="49"/>
    </row>
    <row r="785" ht="39.75" customHeight="1">
      <c r="A785" s="1">
        <v>784.0</v>
      </c>
      <c r="B785" s="2" t="s">
        <v>12</v>
      </c>
      <c r="C785" s="2" t="s">
        <v>62</v>
      </c>
      <c r="D785" s="13"/>
      <c r="E785" s="13"/>
      <c r="F785" s="44" t="s">
        <v>1543</v>
      </c>
      <c r="G785" s="42"/>
      <c r="H785" s="42"/>
      <c r="I785" s="42"/>
      <c r="J785" s="22"/>
      <c r="K785" s="42"/>
      <c r="L785" s="15" t="s">
        <v>3875</v>
      </c>
    </row>
    <row r="786" ht="39.75" customHeight="1">
      <c r="A786" s="1">
        <v>785.0</v>
      </c>
      <c r="B786" s="2" t="s">
        <v>16</v>
      </c>
      <c r="C786" s="2" t="s">
        <v>66</v>
      </c>
      <c r="D786" s="13"/>
      <c r="E786" s="13"/>
      <c r="F786" s="45"/>
      <c r="G786" s="42"/>
      <c r="H786" s="42"/>
      <c r="I786" s="42"/>
      <c r="J786" s="27" t="s">
        <v>467</v>
      </c>
      <c r="K786" s="43"/>
    </row>
    <row r="787" ht="39.75" customHeight="1">
      <c r="A787" s="1">
        <v>786.0</v>
      </c>
      <c r="B787" s="2" t="s">
        <v>116</v>
      </c>
      <c r="C787" s="2" t="s">
        <v>54</v>
      </c>
      <c r="D787" s="13"/>
      <c r="E787" s="13"/>
      <c r="F787" s="44" t="s">
        <v>3876</v>
      </c>
      <c r="G787" s="43">
        <v>1.0</v>
      </c>
      <c r="H787" s="42"/>
      <c r="I787" s="42"/>
      <c r="J787" s="27" t="s">
        <v>56</v>
      </c>
      <c r="K787" s="42"/>
    </row>
    <row r="788" ht="39.75" customHeight="1">
      <c r="A788" s="1">
        <v>787.0</v>
      </c>
      <c r="B788" s="2" t="s">
        <v>263</v>
      </c>
      <c r="C788" s="2" t="s">
        <v>3571</v>
      </c>
      <c r="D788" s="13"/>
      <c r="E788" s="13"/>
      <c r="F788" s="44"/>
      <c r="G788" s="42"/>
      <c r="H788" s="42"/>
      <c r="I788" s="42"/>
      <c r="J788" s="27" t="s">
        <v>3588</v>
      </c>
      <c r="K788" s="42"/>
    </row>
    <row r="789" ht="39.75" customHeight="1">
      <c r="A789" s="1">
        <v>788.0</v>
      </c>
      <c r="B789" s="2" t="s">
        <v>17</v>
      </c>
      <c r="C789" s="2" t="s">
        <v>64</v>
      </c>
      <c r="D789" s="13"/>
      <c r="E789" s="13"/>
      <c r="F789" s="44" t="s">
        <v>3604</v>
      </c>
      <c r="G789" s="42"/>
      <c r="H789" s="42"/>
      <c r="I789" s="42"/>
      <c r="J789" s="22"/>
      <c r="K789" s="42"/>
    </row>
    <row r="790" ht="39.75" hidden="1" customHeight="1">
      <c r="A790" s="1">
        <v>789.0</v>
      </c>
      <c r="B790" s="2" t="s">
        <v>331</v>
      </c>
      <c r="C790" s="2" t="s">
        <v>13</v>
      </c>
      <c r="D790" s="13"/>
      <c r="E790" s="13"/>
      <c r="F790" s="45"/>
      <c r="G790" s="42"/>
      <c r="H790" s="42"/>
      <c r="I790" s="42"/>
      <c r="J790" s="22"/>
      <c r="K790" s="42"/>
    </row>
    <row r="791" ht="39.75" customHeight="1">
      <c r="A791" s="1">
        <v>790.0</v>
      </c>
      <c r="B791" s="2" t="s">
        <v>21</v>
      </c>
      <c r="C791" s="2" t="s">
        <v>39</v>
      </c>
      <c r="D791" s="13"/>
      <c r="E791" s="13"/>
      <c r="F791" s="44" t="s">
        <v>3877</v>
      </c>
      <c r="G791" s="43">
        <v>1.0</v>
      </c>
      <c r="H791" s="42"/>
      <c r="I791" s="42"/>
      <c r="J791" s="22"/>
      <c r="K791" s="42"/>
    </row>
    <row r="792" ht="39.75" customHeight="1">
      <c r="A792" s="1">
        <v>791.0</v>
      </c>
      <c r="B792" s="2" t="s">
        <v>22</v>
      </c>
      <c r="C792" s="2" t="s">
        <v>3557</v>
      </c>
      <c r="D792" s="13"/>
      <c r="E792" s="13"/>
      <c r="F792" s="44" t="s">
        <v>3828</v>
      </c>
      <c r="G792" s="43">
        <v>1.0</v>
      </c>
      <c r="H792" s="42"/>
      <c r="I792" s="42"/>
      <c r="J792" s="22"/>
      <c r="K792" s="42"/>
    </row>
    <row r="793" ht="39.75" hidden="1" customHeight="1">
      <c r="A793" s="1">
        <v>792.0</v>
      </c>
      <c r="B793" s="2" t="s">
        <v>261</v>
      </c>
      <c r="C793" s="2" t="s">
        <v>13</v>
      </c>
      <c r="D793" s="13"/>
      <c r="E793" s="13"/>
      <c r="F793" s="45"/>
      <c r="G793" s="42"/>
      <c r="H793" s="42"/>
      <c r="I793" s="42"/>
      <c r="J793" s="22"/>
      <c r="K793" s="42"/>
    </row>
    <row r="794" ht="39.75" customHeight="1">
      <c r="A794" s="1">
        <v>793.0</v>
      </c>
      <c r="B794" s="2" t="s">
        <v>23</v>
      </c>
      <c r="C794" s="2" t="s">
        <v>69</v>
      </c>
      <c r="D794" s="13"/>
      <c r="E794" s="13"/>
      <c r="F794" s="44" t="s">
        <v>3878</v>
      </c>
      <c r="G794" s="43">
        <v>1.0</v>
      </c>
      <c r="H794" s="42"/>
      <c r="I794" s="42"/>
      <c r="J794" s="22"/>
      <c r="K794" s="42"/>
    </row>
    <row r="795" ht="39.75" customHeight="1">
      <c r="A795" s="1">
        <v>794.0</v>
      </c>
      <c r="B795" s="2" t="s">
        <v>24</v>
      </c>
      <c r="C795" s="2" t="s">
        <v>66</v>
      </c>
      <c r="D795" s="13"/>
      <c r="E795" s="13"/>
      <c r="F795" s="45"/>
      <c r="G795" s="42"/>
      <c r="H795" s="42"/>
      <c r="I795" s="42"/>
      <c r="J795" s="22"/>
      <c r="K795" s="42"/>
    </row>
    <row r="796" ht="39.75" customHeight="1">
      <c r="A796" s="1">
        <v>795.0</v>
      </c>
      <c r="B796" s="2" t="s">
        <v>25</v>
      </c>
      <c r="C796" s="2" t="s">
        <v>54</v>
      </c>
      <c r="D796" s="13"/>
      <c r="E796" s="13"/>
      <c r="F796" s="44" t="s">
        <v>3879</v>
      </c>
      <c r="G796" s="43">
        <v>1.0</v>
      </c>
      <c r="H796" s="42"/>
      <c r="I796" s="43">
        <v>1.0</v>
      </c>
      <c r="J796" s="22"/>
      <c r="K796" s="42"/>
    </row>
    <row r="797" ht="39.75" customHeight="1">
      <c r="A797" s="1">
        <v>796.0</v>
      </c>
      <c r="B797" s="2" t="s">
        <v>26</v>
      </c>
      <c r="C797" s="2" t="s">
        <v>54</v>
      </c>
      <c r="D797" s="13"/>
      <c r="E797" s="13"/>
      <c r="F797" s="44" t="s">
        <v>3880</v>
      </c>
      <c r="G797" s="43">
        <v>1.0</v>
      </c>
      <c r="H797" s="42"/>
      <c r="I797" s="42"/>
      <c r="J797" s="22"/>
      <c r="K797" s="42"/>
    </row>
    <row r="798" ht="39.75" customHeight="1">
      <c r="A798" s="1">
        <v>797.0</v>
      </c>
      <c r="B798" s="2" t="s">
        <v>29</v>
      </c>
      <c r="C798" s="2" t="s">
        <v>44</v>
      </c>
      <c r="D798" s="13"/>
      <c r="E798" s="13"/>
      <c r="F798" s="45"/>
      <c r="G798" s="42"/>
      <c r="H798" s="42"/>
      <c r="I798" s="42"/>
      <c r="J798" s="22"/>
      <c r="K798" s="42"/>
    </row>
    <row r="799" ht="39.75" hidden="1" customHeight="1">
      <c r="A799" s="1">
        <v>798.0</v>
      </c>
      <c r="B799" s="2" t="s">
        <v>32</v>
      </c>
      <c r="C799" s="2" t="s">
        <v>13</v>
      </c>
      <c r="D799" s="13"/>
      <c r="E799" s="13"/>
      <c r="F799" s="45"/>
      <c r="G799" s="42"/>
      <c r="H799" s="42"/>
      <c r="I799" s="42"/>
      <c r="J799" s="22"/>
      <c r="K799" s="42"/>
    </row>
    <row r="800" ht="39.75" customHeight="1">
      <c r="A800" s="1">
        <v>799.0</v>
      </c>
      <c r="B800" s="2" t="s">
        <v>67</v>
      </c>
      <c r="C800" s="2"/>
      <c r="D800" s="13"/>
      <c r="E800" s="13"/>
      <c r="F800" s="44" t="s">
        <v>3881</v>
      </c>
      <c r="G800" s="43">
        <v>1.0</v>
      </c>
      <c r="H800" s="42"/>
      <c r="I800" s="42"/>
      <c r="J800" s="22"/>
      <c r="K800" s="42"/>
    </row>
    <row r="801" ht="39.75" customHeight="1">
      <c r="A801" s="1">
        <v>800.0</v>
      </c>
      <c r="B801" s="2" t="s">
        <v>35</v>
      </c>
      <c r="C801" s="2" t="s">
        <v>3563</v>
      </c>
      <c r="D801" s="13"/>
      <c r="E801" s="13"/>
      <c r="F801" s="45"/>
      <c r="G801" s="42"/>
      <c r="H801" s="42"/>
      <c r="I801" s="42"/>
      <c r="J801" s="22"/>
      <c r="K801" s="42"/>
    </row>
    <row r="802" ht="39.75" customHeight="1">
      <c r="A802" s="1">
        <v>801.0</v>
      </c>
      <c r="B802" s="2" t="s">
        <v>36</v>
      </c>
      <c r="C802" s="2" t="s">
        <v>69</v>
      </c>
      <c r="D802" s="13"/>
      <c r="E802" s="13"/>
      <c r="F802" s="44" t="s">
        <v>3882</v>
      </c>
      <c r="G802" s="43">
        <v>1.0</v>
      </c>
      <c r="H802" s="42"/>
      <c r="I802" s="42"/>
      <c r="J802" s="22"/>
      <c r="K802" s="42"/>
    </row>
    <row r="803" ht="39.75" customHeight="1">
      <c r="A803" s="1">
        <v>802.0</v>
      </c>
      <c r="B803" s="2" t="s">
        <v>38</v>
      </c>
      <c r="C803" s="2" t="s">
        <v>69</v>
      </c>
      <c r="D803" s="13"/>
      <c r="E803" s="13"/>
      <c r="F803" s="44" t="s">
        <v>3883</v>
      </c>
      <c r="G803" s="43">
        <v>1.0</v>
      </c>
      <c r="H803" s="42"/>
      <c r="I803" s="42"/>
      <c r="J803" s="22"/>
      <c r="K803" s="42"/>
    </row>
    <row r="804" ht="39.75" customHeight="1">
      <c r="A804" s="1">
        <v>803.0</v>
      </c>
      <c r="B804" s="2" t="s">
        <v>41</v>
      </c>
      <c r="C804" s="2" t="s">
        <v>39</v>
      </c>
      <c r="D804" s="13"/>
      <c r="E804" s="13"/>
      <c r="F804" s="44" t="s">
        <v>3884</v>
      </c>
      <c r="G804" s="43">
        <v>1.0</v>
      </c>
      <c r="H804" s="42"/>
      <c r="I804" s="42"/>
      <c r="J804" s="22"/>
      <c r="K804" s="42"/>
    </row>
    <row r="805" ht="39.75" customHeight="1">
      <c r="A805" s="1">
        <v>804.0</v>
      </c>
      <c r="B805" s="2" t="s">
        <v>42</v>
      </c>
      <c r="C805" s="2"/>
      <c r="D805" s="13"/>
      <c r="E805" s="13"/>
      <c r="F805" s="44" t="s">
        <v>3885</v>
      </c>
      <c r="G805" s="43">
        <v>1.0</v>
      </c>
      <c r="H805" s="42"/>
      <c r="I805" s="42"/>
      <c r="J805" s="22"/>
      <c r="K805" s="42"/>
    </row>
    <row r="806" ht="39.75" customHeight="1">
      <c r="A806" s="1">
        <v>805.0</v>
      </c>
      <c r="B806" s="2" t="s">
        <v>43</v>
      </c>
      <c r="C806" s="2" t="s">
        <v>3557</v>
      </c>
      <c r="D806" s="13"/>
      <c r="E806" s="13"/>
      <c r="F806" s="44" t="s">
        <v>3886</v>
      </c>
      <c r="G806" s="43">
        <v>1.0</v>
      </c>
      <c r="H806" s="42"/>
      <c r="I806" s="42"/>
      <c r="J806" s="22"/>
      <c r="K806" s="42"/>
    </row>
    <row r="807" ht="39.75" customHeight="1">
      <c r="A807" s="1">
        <v>806.0</v>
      </c>
      <c r="B807" s="2" t="s">
        <v>267</v>
      </c>
      <c r="C807" s="2" t="s">
        <v>54</v>
      </c>
      <c r="D807" s="13"/>
      <c r="E807" s="13"/>
      <c r="F807" s="44" t="s">
        <v>3887</v>
      </c>
      <c r="G807" s="43">
        <v>1.0</v>
      </c>
      <c r="H807" s="42"/>
      <c r="I807" s="42"/>
      <c r="J807" s="22"/>
      <c r="K807" s="42"/>
    </row>
    <row r="808" ht="39.75" hidden="1" customHeight="1">
      <c r="A808" s="1">
        <v>807.0</v>
      </c>
      <c r="B808" s="2" t="s">
        <v>46</v>
      </c>
      <c r="C808" s="2" t="s">
        <v>13</v>
      </c>
      <c r="D808" s="13"/>
      <c r="E808" s="13"/>
      <c r="F808" s="45"/>
      <c r="G808" s="42"/>
      <c r="H808" s="42"/>
      <c r="I808" s="42"/>
      <c r="J808" s="22"/>
      <c r="K808" s="42"/>
    </row>
    <row r="809" ht="39.75" hidden="1" customHeight="1">
      <c r="A809" s="1">
        <v>808.0</v>
      </c>
      <c r="B809" s="2" t="s">
        <v>47</v>
      </c>
      <c r="C809" s="2" t="s">
        <v>13</v>
      </c>
      <c r="D809" s="13"/>
      <c r="E809" s="13"/>
      <c r="F809" s="45"/>
      <c r="G809" s="42"/>
      <c r="H809" s="42"/>
      <c r="I809" s="42"/>
      <c r="J809" s="22"/>
      <c r="K809" s="42"/>
    </row>
    <row r="810" ht="39.75" customHeight="1">
      <c r="A810" s="1">
        <v>809.0</v>
      </c>
      <c r="B810" s="2" t="s">
        <v>48</v>
      </c>
      <c r="C810" s="2"/>
      <c r="D810" s="13"/>
      <c r="E810" s="13"/>
      <c r="F810" s="44" t="s">
        <v>3888</v>
      </c>
      <c r="G810" s="43">
        <v>2.0</v>
      </c>
      <c r="H810" s="42"/>
      <c r="I810" s="43">
        <v>1.0</v>
      </c>
      <c r="J810" s="22"/>
      <c r="K810" s="42"/>
    </row>
    <row r="811" ht="39.75" customHeight="1">
      <c r="A811" s="1">
        <v>810.0</v>
      </c>
      <c r="B811" s="21"/>
      <c r="C811" s="21"/>
      <c r="D811" s="21"/>
      <c r="E811" s="21"/>
      <c r="F811" s="46"/>
      <c r="G811" s="47"/>
      <c r="H811" s="47"/>
      <c r="I811" s="47"/>
      <c r="J811" s="48"/>
      <c r="K811" s="47"/>
      <c r="L811" s="49"/>
      <c r="M811" s="49"/>
      <c r="N811" s="49"/>
    </row>
    <row r="812" ht="39.75" customHeight="1">
      <c r="A812" s="1">
        <v>811.0</v>
      </c>
      <c r="B812" s="2" t="s">
        <v>12</v>
      </c>
      <c r="C812" s="2" t="s">
        <v>62</v>
      </c>
      <c r="D812" s="13"/>
      <c r="E812" s="13"/>
      <c r="F812" s="44" t="s">
        <v>1543</v>
      </c>
      <c r="G812" s="42"/>
      <c r="H812" s="42"/>
      <c r="I812" s="42"/>
      <c r="J812" s="22"/>
      <c r="K812" s="42"/>
      <c r="L812" s="15" t="s">
        <v>3889</v>
      </c>
    </row>
    <row r="813" ht="39.75" hidden="1" customHeight="1">
      <c r="A813" s="1">
        <v>812.0</v>
      </c>
      <c r="B813" s="2" t="s">
        <v>16</v>
      </c>
      <c r="C813" s="2" t="s">
        <v>13</v>
      </c>
      <c r="D813" s="13"/>
      <c r="E813" s="13"/>
      <c r="F813" s="45"/>
      <c r="G813" s="42"/>
      <c r="H813" s="42"/>
      <c r="I813" s="42"/>
      <c r="J813" s="27" t="s">
        <v>477</v>
      </c>
      <c r="K813" s="43"/>
    </row>
    <row r="814" ht="39.75" customHeight="1">
      <c r="A814" s="1">
        <v>813.0</v>
      </c>
      <c r="B814" s="2" t="s">
        <v>116</v>
      </c>
      <c r="C814" s="2" t="s">
        <v>3571</v>
      </c>
      <c r="D814" s="13"/>
      <c r="E814" s="13"/>
      <c r="F814" s="45"/>
      <c r="G814" s="42"/>
      <c r="H814" s="42"/>
      <c r="I814" s="42"/>
      <c r="J814" s="27" t="s">
        <v>77</v>
      </c>
      <c r="K814" s="42"/>
    </row>
    <row r="815" ht="39.75" customHeight="1">
      <c r="A815" s="1">
        <v>814.0</v>
      </c>
      <c r="B815" s="2" t="s">
        <v>263</v>
      </c>
      <c r="C815" s="2" t="s">
        <v>44</v>
      </c>
      <c r="D815" s="13"/>
      <c r="E815" s="13"/>
      <c r="F815" s="44"/>
      <c r="G815" s="42"/>
      <c r="H815" s="42"/>
      <c r="I815" s="42"/>
      <c r="J815" s="27" t="s">
        <v>3637</v>
      </c>
      <c r="K815" s="42"/>
    </row>
    <row r="816" ht="39.75" customHeight="1">
      <c r="A816" s="1">
        <v>815.0</v>
      </c>
      <c r="B816" s="2" t="s">
        <v>17</v>
      </c>
      <c r="C816" s="2" t="s">
        <v>64</v>
      </c>
      <c r="D816" s="13"/>
      <c r="E816" s="13"/>
      <c r="F816" s="44" t="s">
        <v>3604</v>
      </c>
      <c r="G816" s="42"/>
      <c r="H816" s="42"/>
      <c r="I816" s="42"/>
      <c r="J816" s="22"/>
      <c r="K816" s="42"/>
    </row>
    <row r="817" ht="39.75" customHeight="1">
      <c r="A817" s="1">
        <v>816.0</v>
      </c>
      <c r="B817" s="2" t="s">
        <v>331</v>
      </c>
      <c r="C817" s="2" t="s">
        <v>542</v>
      </c>
      <c r="D817" s="13"/>
      <c r="E817" s="13"/>
      <c r="F817" s="45"/>
      <c r="G817" s="42"/>
      <c r="H817" s="42"/>
      <c r="I817" s="42"/>
      <c r="J817" s="22"/>
      <c r="K817" s="42"/>
    </row>
    <row r="818" ht="39.75" customHeight="1">
      <c r="A818" s="1">
        <v>817.0</v>
      </c>
      <c r="B818" s="2" t="s">
        <v>21</v>
      </c>
      <c r="C818" s="2" t="s">
        <v>69</v>
      </c>
      <c r="D818" s="13"/>
      <c r="E818" s="13"/>
      <c r="F818" s="45"/>
      <c r="G818" s="42"/>
      <c r="H818" s="42"/>
      <c r="I818" s="42"/>
      <c r="J818" s="22"/>
      <c r="K818" s="42"/>
    </row>
    <row r="819" ht="39.75" customHeight="1">
      <c r="A819" s="1">
        <v>818.0</v>
      </c>
      <c r="B819" s="2" t="s">
        <v>22</v>
      </c>
      <c r="C819" s="2" t="s">
        <v>3557</v>
      </c>
      <c r="D819" s="13"/>
      <c r="E819" s="13"/>
      <c r="F819" s="44" t="s">
        <v>3828</v>
      </c>
      <c r="G819" s="43">
        <v>1.0</v>
      </c>
      <c r="H819" s="42"/>
      <c r="I819" s="42"/>
      <c r="J819" s="22"/>
      <c r="K819" s="42"/>
    </row>
    <row r="820" ht="39.75" hidden="1" customHeight="1">
      <c r="A820" s="1">
        <v>819.0</v>
      </c>
      <c r="B820" s="2" t="s">
        <v>261</v>
      </c>
      <c r="C820" s="2" t="s">
        <v>13</v>
      </c>
      <c r="D820" s="13"/>
      <c r="E820" s="13"/>
      <c r="F820" s="45"/>
      <c r="G820" s="42"/>
      <c r="H820" s="42"/>
      <c r="I820" s="42"/>
      <c r="J820" s="22"/>
      <c r="K820" s="42"/>
    </row>
    <row r="821" ht="39.75" customHeight="1">
      <c r="A821" s="1">
        <v>820.0</v>
      </c>
      <c r="B821" s="2" t="s">
        <v>23</v>
      </c>
      <c r="C821" s="2" t="s">
        <v>69</v>
      </c>
      <c r="D821" s="13"/>
      <c r="E821" s="13"/>
      <c r="F821" s="45"/>
      <c r="G821" s="42"/>
      <c r="H821" s="42"/>
      <c r="I821" s="42"/>
      <c r="J821" s="22"/>
      <c r="K821" s="42"/>
    </row>
    <row r="822" ht="39.75" hidden="1" customHeight="1">
      <c r="A822" s="1">
        <v>821.0</v>
      </c>
      <c r="B822" s="2" t="s">
        <v>24</v>
      </c>
      <c r="C822" s="2" t="s">
        <v>13</v>
      </c>
      <c r="D822" s="13"/>
      <c r="E822" s="13"/>
      <c r="F822" s="45"/>
      <c r="G822" s="42"/>
      <c r="H822" s="42"/>
      <c r="I822" s="42"/>
      <c r="J822" s="22"/>
      <c r="K822" s="42"/>
    </row>
    <row r="823" ht="39.75" customHeight="1">
      <c r="A823" s="1">
        <v>822.0</v>
      </c>
      <c r="B823" s="2" t="s">
        <v>25</v>
      </c>
      <c r="C823" s="2" t="s">
        <v>54</v>
      </c>
      <c r="D823" s="13"/>
      <c r="E823" s="13"/>
      <c r="F823" s="45"/>
      <c r="G823" s="42"/>
      <c r="H823" s="42"/>
      <c r="I823" s="42"/>
      <c r="J823" s="22"/>
      <c r="K823" s="42"/>
    </row>
    <row r="824" ht="39.75" customHeight="1">
      <c r="A824" s="1">
        <v>823.0</v>
      </c>
      <c r="B824" s="2" t="s">
        <v>26</v>
      </c>
      <c r="C824" s="2" t="s">
        <v>54</v>
      </c>
      <c r="D824" s="13"/>
      <c r="E824" s="13"/>
      <c r="F824" s="45"/>
      <c r="G824" s="42"/>
      <c r="H824" s="42"/>
      <c r="I824" s="42"/>
      <c r="J824" s="22"/>
      <c r="K824" s="42"/>
    </row>
    <row r="825" ht="39.75" customHeight="1">
      <c r="A825" s="1">
        <v>824.0</v>
      </c>
      <c r="B825" s="2" t="s">
        <v>29</v>
      </c>
      <c r="C825" s="13"/>
      <c r="D825" s="13"/>
      <c r="E825" s="13"/>
      <c r="F825" s="45"/>
      <c r="G825" s="42"/>
      <c r="H825" s="42"/>
      <c r="I825" s="42"/>
      <c r="J825" s="22"/>
      <c r="K825" s="42"/>
    </row>
    <row r="826" ht="39.75" customHeight="1">
      <c r="A826" s="1">
        <v>825.0</v>
      </c>
      <c r="B826" s="2" t="s">
        <v>32</v>
      </c>
      <c r="C826" s="2" t="s">
        <v>69</v>
      </c>
      <c r="D826" s="13"/>
      <c r="E826" s="13"/>
      <c r="F826" s="45"/>
      <c r="G826" s="42"/>
      <c r="H826" s="42"/>
      <c r="I826" s="42"/>
      <c r="J826" s="22"/>
      <c r="K826" s="42"/>
    </row>
    <row r="827" ht="39.75" hidden="1" customHeight="1">
      <c r="A827" s="1">
        <v>826.0</v>
      </c>
      <c r="B827" s="2" t="s">
        <v>67</v>
      </c>
      <c r="C827" s="2" t="s">
        <v>13</v>
      </c>
      <c r="D827" s="13"/>
      <c r="E827" s="13"/>
      <c r="F827" s="45"/>
      <c r="G827" s="42"/>
      <c r="H827" s="42"/>
      <c r="I827" s="42"/>
      <c r="J827" s="22"/>
      <c r="K827" s="42"/>
    </row>
    <row r="828" ht="39.75" customHeight="1">
      <c r="A828" s="1">
        <v>827.0</v>
      </c>
      <c r="B828" s="2" t="s">
        <v>35</v>
      </c>
      <c r="C828" s="2" t="s">
        <v>3563</v>
      </c>
      <c r="D828" s="13"/>
      <c r="E828" s="13"/>
      <c r="F828" s="45"/>
      <c r="G828" s="42"/>
      <c r="H828" s="42"/>
      <c r="I828" s="42"/>
      <c r="J828" s="22"/>
      <c r="K828" s="42"/>
    </row>
    <row r="829" ht="39.75" customHeight="1">
      <c r="A829" s="1">
        <v>828.0</v>
      </c>
      <c r="B829" s="2" t="s">
        <v>36</v>
      </c>
      <c r="C829" s="2" t="s">
        <v>39</v>
      </c>
      <c r="D829" s="13"/>
      <c r="E829" s="13"/>
      <c r="F829" s="44" t="s">
        <v>3890</v>
      </c>
      <c r="G829" s="43">
        <v>1.0</v>
      </c>
      <c r="H829" s="42"/>
      <c r="I829" s="42"/>
      <c r="J829" s="22"/>
      <c r="K829" s="42"/>
    </row>
    <row r="830" ht="39.75" customHeight="1">
      <c r="A830" s="1">
        <v>829.0</v>
      </c>
      <c r="B830" s="2" t="s">
        <v>38</v>
      </c>
      <c r="C830" s="2"/>
      <c r="D830" s="13"/>
      <c r="E830" s="13"/>
      <c r="F830" s="45"/>
      <c r="G830" s="42"/>
      <c r="H830" s="42"/>
      <c r="I830" s="42"/>
      <c r="J830" s="22"/>
      <c r="K830" s="42"/>
    </row>
    <row r="831" ht="39.75" customHeight="1">
      <c r="A831" s="1">
        <v>830.0</v>
      </c>
      <c r="B831" s="2" t="s">
        <v>41</v>
      </c>
      <c r="C831" s="2" t="s">
        <v>66</v>
      </c>
      <c r="D831" s="13"/>
      <c r="E831" s="13"/>
      <c r="F831" s="45"/>
      <c r="G831" s="42"/>
      <c r="H831" s="42"/>
      <c r="I831" s="42"/>
      <c r="J831" s="22"/>
      <c r="K831" s="42"/>
    </row>
    <row r="832" ht="39.75" customHeight="1">
      <c r="A832" s="1">
        <v>831.0</v>
      </c>
      <c r="B832" s="2" t="s">
        <v>42</v>
      </c>
      <c r="C832" s="2" t="s">
        <v>39</v>
      </c>
      <c r="D832" s="13"/>
      <c r="E832" s="13"/>
      <c r="F832" s="44" t="s">
        <v>3891</v>
      </c>
      <c r="G832" s="43">
        <v>1.0</v>
      </c>
      <c r="H832" s="42"/>
      <c r="I832" s="42"/>
      <c r="J832" s="22"/>
      <c r="K832" s="42"/>
    </row>
    <row r="833" ht="39.75" customHeight="1">
      <c r="A833" s="1">
        <v>832.0</v>
      </c>
      <c r="B833" s="2" t="s">
        <v>43</v>
      </c>
      <c r="C833" s="2" t="s">
        <v>3557</v>
      </c>
      <c r="D833" s="13"/>
      <c r="E833" s="13"/>
      <c r="F833" s="44" t="s">
        <v>3872</v>
      </c>
      <c r="G833" s="42"/>
      <c r="H833" s="42"/>
      <c r="I833" s="42"/>
      <c r="J833" s="22"/>
      <c r="K833" s="42"/>
    </row>
    <row r="834" ht="39.75" customHeight="1">
      <c r="A834" s="1">
        <v>833.0</v>
      </c>
      <c r="B834" s="2" t="s">
        <v>267</v>
      </c>
      <c r="C834" s="2" t="s">
        <v>54</v>
      </c>
      <c r="D834" s="13"/>
      <c r="E834" s="13"/>
      <c r="F834" s="45"/>
      <c r="G834" s="42"/>
      <c r="H834" s="42"/>
      <c r="I834" s="42"/>
      <c r="J834" s="22"/>
      <c r="K834" s="42"/>
    </row>
    <row r="835" ht="39.75" hidden="1" customHeight="1">
      <c r="A835" s="1">
        <v>834.0</v>
      </c>
      <c r="B835" s="2" t="s">
        <v>46</v>
      </c>
      <c r="C835" s="2" t="s">
        <v>13</v>
      </c>
      <c r="D835" s="13"/>
      <c r="E835" s="13"/>
      <c r="F835" s="45"/>
      <c r="G835" s="42"/>
      <c r="H835" s="42"/>
      <c r="I835" s="42"/>
      <c r="J835" s="22"/>
      <c r="K835" s="42"/>
    </row>
    <row r="836" ht="39.75" customHeight="1">
      <c r="A836" s="1">
        <v>835.0</v>
      </c>
      <c r="B836" s="2" t="s">
        <v>47</v>
      </c>
      <c r="C836" s="2"/>
      <c r="D836" s="13"/>
      <c r="E836" s="13"/>
      <c r="F836" s="45"/>
      <c r="G836" s="42"/>
      <c r="H836" s="42"/>
      <c r="I836" s="42"/>
      <c r="J836" s="22"/>
      <c r="K836" s="42"/>
    </row>
    <row r="837" ht="39.75" customHeight="1">
      <c r="A837" s="1">
        <v>836.0</v>
      </c>
      <c r="B837" s="2" t="s">
        <v>48</v>
      </c>
      <c r="C837" s="2"/>
      <c r="D837" s="13"/>
      <c r="E837" s="13"/>
      <c r="F837" s="45"/>
      <c r="G837" s="42"/>
      <c r="H837" s="42"/>
      <c r="I837" s="42"/>
      <c r="J837" s="22"/>
      <c r="K837" s="42"/>
    </row>
    <row r="838" ht="39.75" customHeight="1">
      <c r="A838" s="1">
        <v>837.0</v>
      </c>
      <c r="B838" s="21"/>
      <c r="C838" s="21"/>
      <c r="D838" s="21"/>
      <c r="E838" s="21"/>
      <c r="F838" s="46"/>
      <c r="G838" s="47"/>
      <c r="H838" s="47"/>
      <c r="I838" s="47"/>
      <c r="J838" s="48"/>
      <c r="K838" s="47"/>
      <c r="L838" s="49"/>
      <c r="M838" s="49"/>
      <c r="N838" s="49"/>
    </row>
  </sheetData>
  <mergeCells count="31">
    <mergeCell ref="L2:N27"/>
    <mergeCell ref="L29:N54"/>
    <mergeCell ref="L56:N81"/>
    <mergeCell ref="L83:N108"/>
    <mergeCell ref="L110:N135"/>
    <mergeCell ref="L137:N162"/>
    <mergeCell ref="L164:N189"/>
    <mergeCell ref="L191:N216"/>
    <mergeCell ref="L218:N243"/>
    <mergeCell ref="L245:N270"/>
    <mergeCell ref="L272:N297"/>
    <mergeCell ref="L299:N324"/>
    <mergeCell ref="L326:N351"/>
    <mergeCell ref="L353:N378"/>
    <mergeCell ref="L380:N405"/>
    <mergeCell ref="L407:N432"/>
    <mergeCell ref="L434:N459"/>
    <mergeCell ref="L461:N486"/>
    <mergeCell ref="L488:N513"/>
    <mergeCell ref="L515:N540"/>
    <mergeCell ref="L542:N567"/>
    <mergeCell ref="L758:N783"/>
    <mergeCell ref="L785:N810"/>
    <mergeCell ref="L812:N837"/>
    <mergeCell ref="L569:N594"/>
    <mergeCell ref="L596:N621"/>
    <mergeCell ref="L623:N648"/>
    <mergeCell ref="L650:N675"/>
    <mergeCell ref="L677:N702"/>
    <mergeCell ref="L704:N729"/>
    <mergeCell ref="L731:N756"/>
  </mergeCells>
  <conditionalFormatting sqref="B2:I838">
    <cfRule type="expression" dxfId="6" priority="1">
      <formula>$C2="휴가"</formula>
    </cfRule>
  </conditionalFormatting>
  <conditionalFormatting sqref="B2:I838">
    <cfRule type="expression" dxfId="6" priority="2">
      <formula>$C2="휴무"</formula>
    </cfRule>
  </conditionalFormatting>
  <conditionalFormatting sqref="B2:I838">
    <cfRule type="expression" dxfId="6" priority="3">
      <formula>$C2="제크"</formula>
    </cfRule>
  </conditionalFormatting>
  <conditionalFormatting sqref="B2:I838">
    <cfRule type="expression" dxfId="7" priority="4">
      <formula>$C2="야퇴"</formula>
    </cfRule>
  </conditionalFormatting>
  <conditionalFormatting sqref="B2:I838">
    <cfRule type="expression" dxfId="8" priority="5">
      <formula>$C2="청와대"</formula>
    </cfRule>
  </conditionalFormatting>
  <conditionalFormatting sqref="B2:I838">
    <cfRule type="expression" dxfId="9" priority="6">
      <formula>$C2="국회"</formula>
    </cfRule>
  </conditionalFormatting>
  <conditionalFormatting sqref="A1">
    <cfRule type="notContainsBlanks" dxfId="5" priority="7">
      <formula>LEN(TRIM(A1))&gt;0</formula>
    </cfRule>
  </conditionalFormatting>
  <conditionalFormatting sqref="K20">
    <cfRule type="expression" dxfId="10" priority="8">
      <formula>"밀라노"</formula>
    </cfRule>
  </conditionalFormatting>
  <conditionalFormatting sqref="B2:I838">
    <cfRule type="expression" dxfId="11" priority="9">
      <formula>$C2="밀라노"</formula>
    </cfRule>
  </conditionalFormatting>
  <conditionalFormatting sqref="C72">
    <cfRule type="containsText" dxfId="5" priority="10" operator="containsText" text="해외출장">
      <formula>NOT(ISERROR(SEARCH(("해외출장"),(C72))))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8.25"/>
    <col customWidth="1" min="3" max="3" width="10.75"/>
    <col customWidth="1" min="4" max="5" width="8.88"/>
    <col customWidth="1" min="6" max="6" width="50.13"/>
    <col customWidth="1" min="7" max="7" width="8.88"/>
    <col customWidth="1" min="8" max="8" width="10.63"/>
    <col customWidth="1" min="9" max="9" width="11.38"/>
    <col customWidth="1" min="10" max="10" width="8.5"/>
    <col customWidth="1" min="11" max="11" width="11.38"/>
    <col customWidth="1" min="12" max="14" width="12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36"/>
      <c r="K1" s="2" t="s">
        <v>1160</v>
      </c>
      <c r="L1" s="37" t="s">
        <v>490</v>
      </c>
      <c r="M1" s="38" t="s">
        <v>10</v>
      </c>
      <c r="N1" s="39" t="s">
        <v>11</v>
      </c>
    </row>
    <row r="2" ht="39.75" customHeight="1">
      <c r="A2" s="1">
        <v>1.0</v>
      </c>
      <c r="B2" s="2" t="s">
        <v>12</v>
      </c>
      <c r="C2" s="2" t="s">
        <v>66</v>
      </c>
      <c r="D2" s="40"/>
      <c r="E2" s="40"/>
      <c r="F2" s="45"/>
      <c r="G2" s="42"/>
      <c r="H2" s="42"/>
      <c r="I2" s="42"/>
      <c r="J2" s="14"/>
      <c r="K2" s="43"/>
      <c r="L2" s="15" t="s">
        <v>3892</v>
      </c>
    </row>
    <row r="3" ht="39.75" customHeight="1">
      <c r="A3" s="1">
        <v>2.0</v>
      </c>
      <c r="B3" s="2" t="s">
        <v>16</v>
      </c>
      <c r="C3" s="91" t="s">
        <v>13</v>
      </c>
      <c r="D3" s="13"/>
      <c r="E3" s="13"/>
      <c r="F3" s="44"/>
      <c r="G3" s="43"/>
      <c r="H3" s="43"/>
      <c r="I3" s="42"/>
      <c r="J3" s="14"/>
      <c r="K3" s="43"/>
    </row>
    <row r="4" ht="39.75" customHeight="1">
      <c r="A4" s="1">
        <v>3.0</v>
      </c>
      <c r="B4" s="2" t="s">
        <v>116</v>
      </c>
      <c r="C4" s="91" t="s">
        <v>44</v>
      </c>
      <c r="D4" s="13"/>
      <c r="E4" s="13"/>
      <c r="F4" s="44"/>
      <c r="G4" s="43"/>
      <c r="H4" s="43"/>
      <c r="I4" s="43"/>
      <c r="J4" s="14"/>
      <c r="K4" s="43"/>
    </row>
    <row r="5" ht="39.75" customHeight="1">
      <c r="A5" s="1">
        <v>4.0</v>
      </c>
      <c r="B5" s="2" t="s">
        <v>263</v>
      </c>
      <c r="C5" s="2" t="s">
        <v>13</v>
      </c>
      <c r="D5" s="13"/>
      <c r="E5" s="13"/>
      <c r="F5" s="44"/>
      <c r="G5" s="42"/>
      <c r="H5" s="42"/>
      <c r="I5" s="42"/>
      <c r="J5" s="14"/>
      <c r="K5" s="43"/>
    </row>
    <row r="6" ht="39.75" customHeight="1">
      <c r="A6" s="1">
        <v>5.0</v>
      </c>
      <c r="B6" s="2" t="s">
        <v>17</v>
      </c>
      <c r="C6" s="2" t="s">
        <v>3603</v>
      </c>
      <c r="D6" s="13"/>
      <c r="E6" s="13"/>
      <c r="F6" s="44"/>
      <c r="G6" s="43"/>
      <c r="H6" s="42"/>
      <c r="I6" s="43"/>
      <c r="J6" s="14"/>
      <c r="K6" s="43"/>
    </row>
    <row r="7" ht="39.75" customHeight="1">
      <c r="A7" s="1">
        <v>6.0</v>
      </c>
      <c r="B7" s="92" t="s">
        <v>331</v>
      </c>
      <c r="C7" s="92" t="s">
        <v>542</v>
      </c>
      <c r="D7" s="92"/>
      <c r="E7" s="93"/>
      <c r="F7" s="94"/>
      <c r="G7" s="95"/>
      <c r="H7" s="95"/>
      <c r="I7" s="95"/>
      <c r="J7" s="14"/>
      <c r="K7" s="43"/>
    </row>
    <row r="8" ht="39.75" customHeight="1">
      <c r="A8" s="1">
        <v>7.0</v>
      </c>
      <c r="B8" s="2" t="s">
        <v>21</v>
      </c>
      <c r="C8" s="2"/>
      <c r="D8" s="13"/>
      <c r="E8" s="13"/>
      <c r="F8" s="44"/>
      <c r="G8" s="42"/>
      <c r="H8" s="42"/>
      <c r="I8" s="42"/>
      <c r="J8" s="14"/>
      <c r="K8" s="43"/>
    </row>
    <row r="9" ht="39.75" customHeight="1">
      <c r="A9" s="1">
        <v>8.0</v>
      </c>
      <c r="B9" s="2" t="s">
        <v>22</v>
      </c>
      <c r="C9" s="2" t="s">
        <v>69</v>
      </c>
      <c r="D9" s="13"/>
      <c r="E9" s="13"/>
      <c r="F9" s="45"/>
      <c r="G9" s="42"/>
      <c r="H9" s="42"/>
      <c r="I9" s="42"/>
      <c r="J9" s="14"/>
      <c r="K9" s="43"/>
    </row>
    <row r="10" ht="39.75" customHeight="1">
      <c r="A10" s="1">
        <v>9.0</v>
      </c>
      <c r="B10" s="2" t="s">
        <v>261</v>
      </c>
      <c r="C10" s="2" t="s">
        <v>13</v>
      </c>
      <c r="D10" s="13"/>
      <c r="E10" s="13"/>
      <c r="F10" s="44"/>
      <c r="G10" s="42"/>
      <c r="H10" s="43"/>
      <c r="I10" s="43"/>
      <c r="J10" s="14"/>
      <c r="K10" s="43"/>
    </row>
    <row r="11" ht="39.75" customHeight="1">
      <c r="A11" s="1">
        <v>10.0</v>
      </c>
      <c r="B11" s="2" t="s">
        <v>23</v>
      </c>
      <c r="C11" s="2" t="s">
        <v>13</v>
      </c>
      <c r="D11" s="13"/>
      <c r="E11" s="13"/>
      <c r="F11" s="45"/>
      <c r="G11" s="42"/>
      <c r="H11" s="42"/>
      <c r="I11" s="42"/>
      <c r="J11" s="14"/>
      <c r="K11" s="43"/>
    </row>
    <row r="12" ht="39.75" customHeight="1">
      <c r="A12" s="1">
        <v>11.0</v>
      </c>
      <c r="B12" s="2" t="s">
        <v>24</v>
      </c>
      <c r="C12" s="2"/>
      <c r="D12" s="13"/>
      <c r="E12" s="13"/>
      <c r="F12" s="44"/>
      <c r="G12" s="42"/>
      <c r="H12" s="42"/>
      <c r="I12" s="42"/>
      <c r="J12" s="14"/>
      <c r="K12" s="43"/>
    </row>
    <row r="13" ht="39.75" customHeight="1">
      <c r="A13" s="1">
        <v>12.0</v>
      </c>
      <c r="B13" s="2" t="s">
        <v>25</v>
      </c>
      <c r="C13" s="2" t="s">
        <v>54</v>
      </c>
      <c r="D13" s="13"/>
      <c r="E13" s="13"/>
      <c r="F13" s="44"/>
      <c r="G13" s="42"/>
      <c r="H13" s="42"/>
      <c r="I13" s="42"/>
      <c r="J13" s="14"/>
      <c r="K13" s="43"/>
    </row>
    <row r="14" ht="39.75" customHeight="1">
      <c r="A14" s="1">
        <v>13.0</v>
      </c>
      <c r="B14" s="2" t="s">
        <v>26</v>
      </c>
      <c r="C14" s="2" t="s">
        <v>54</v>
      </c>
      <c r="D14" s="13"/>
      <c r="E14" s="13"/>
      <c r="F14" s="44"/>
      <c r="G14" s="43"/>
      <c r="H14" s="42"/>
      <c r="I14" s="43"/>
      <c r="J14" s="14"/>
      <c r="K14" s="43"/>
    </row>
    <row r="15" ht="39.75" customHeight="1">
      <c r="A15" s="1">
        <v>14.0</v>
      </c>
      <c r="B15" s="2" t="s">
        <v>29</v>
      </c>
      <c r="C15" s="2" t="s">
        <v>69</v>
      </c>
      <c r="D15" s="13"/>
      <c r="E15" s="13"/>
      <c r="F15" s="44"/>
      <c r="G15" s="43"/>
      <c r="H15" s="42"/>
      <c r="I15" s="43"/>
      <c r="J15" s="14"/>
      <c r="K15" s="43"/>
    </row>
    <row r="16" ht="39.75" customHeight="1">
      <c r="A16" s="1">
        <v>15.0</v>
      </c>
      <c r="B16" s="2" t="s">
        <v>32</v>
      </c>
      <c r="C16" s="2"/>
      <c r="D16" s="13"/>
      <c r="E16" s="13"/>
      <c r="F16" s="45"/>
      <c r="G16" s="42"/>
      <c r="H16" s="42"/>
      <c r="I16" s="42"/>
      <c r="J16" s="14"/>
      <c r="K16" s="43"/>
    </row>
    <row r="17" ht="39.75" customHeight="1">
      <c r="A17" s="1">
        <v>16.0</v>
      </c>
      <c r="B17" s="2" t="s">
        <v>67</v>
      </c>
      <c r="C17" s="2" t="s">
        <v>69</v>
      </c>
      <c r="D17" s="13"/>
      <c r="E17" s="13"/>
      <c r="F17" s="44"/>
      <c r="G17" s="42"/>
      <c r="H17" s="43"/>
      <c r="I17" s="43"/>
      <c r="J17" s="14"/>
      <c r="K17" s="43"/>
    </row>
    <row r="18" ht="39.75" customHeight="1">
      <c r="A18" s="1">
        <v>17.0</v>
      </c>
      <c r="B18" s="2" t="s">
        <v>35</v>
      </c>
      <c r="C18" s="2" t="s">
        <v>3563</v>
      </c>
      <c r="D18" s="13"/>
      <c r="E18" s="13"/>
      <c r="F18" s="45"/>
      <c r="G18" s="42"/>
      <c r="H18" s="42"/>
      <c r="I18" s="42"/>
      <c r="J18" s="14"/>
      <c r="K18" s="43"/>
    </row>
    <row r="19" ht="39.75" customHeight="1">
      <c r="A19" s="1">
        <v>18.0</v>
      </c>
      <c r="B19" s="2" t="s">
        <v>36</v>
      </c>
      <c r="C19" s="2" t="s">
        <v>39</v>
      </c>
      <c r="D19" s="13"/>
      <c r="E19" s="13"/>
      <c r="F19" s="44"/>
      <c r="G19" s="42"/>
      <c r="H19" s="42"/>
      <c r="I19" s="42"/>
      <c r="J19" s="14"/>
      <c r="K19" s="43"/>
    </row>
    <row r="20" ht="39.75" customHeight="1">
      <c r="A20" s="1">
        <v>19.0</v>
      </c>
      <c r="B20" s="2" t="s">
        <v>38</v>
      </c>
      <c r="C20" s="2"/>
      <c r="D20" s="13"/>
      <c r="E20" s="13"/>
      <c r="F20" s="44"/>
      <c r="G20" s="43"/>
      <c r="H20" s="42"/>
      <c r="I20" s="42"/>
      <c r="J20" s="14"/>
      <c r="K20" s="43"/>
    </row>
    <row r="21" ht="39.75" customHeight="1">
      <c r="A21" s="1">
        <v>20.0</v>
      </c>
      <c r="B21" s="2" t="s">
        <v>41</v>
      </c>
      <c r="C21" s="2" t="s">
        <v>54</v>
      </c>
      <c r="D21" s="13"/>
      <c r="E21" s="13"/>
      <c r="F21" s="44"/>
      <c r="G21" s="42"/>
      <c r="H21" s="42"/>
      <c r="I21" s="42"/>
      <c r="J21" s="14"/>
      <c r="K21" s="43"/>
    </row>
    <row r="22" ht="39.75" customHeight="1">
      <c r="A22" s="1">
        <v>21.0</v>
      </c>
      <c r="B22" s="2" t="s">
        <v>42</v>
      </c>
      <c r="C22" s="91" t="s">
        <v>13</v>
      </c>
      <c r="D22" s="13"/>
      <c r="E22" s="13"/>
      <c r="F22" s="44"/>
      <c r="G22" s="43"/>
      <c r="H22" s="43"/>
      <c r="I22" s="42"/>
      <c r="J22" s="14"/>
      <c r="K22" s="43"/>
    </row>
    <row r="23" ht="39.75" customHeight="1">
      <c r="A23" s="1">
        <v>22.0</v>
      </c>
      <c r="B23" s="2" t="s">
        <v>43</v>
      </c>
      <c r="C23" s="2" t="s">
        <v>3557</v>
      </c>
      <c r="D23" s="13"/>
      <c r="E23" s="13"/>
      <c r="F23" s="45"/>
      <c r="G23" s="42"/>
      <c r="H23" s="42"/>
      <c r="I23" s="42"/>
      <c r="J23" s="14"/>
      <c r="K23" s="43"/>
    </row>
    <row r="24" ht="39.75" customHeight="1">
      <c r="A24" s="1">
        <v>23.0</v>
      </c>
      <c r="B24" s="2" t="s">
        <v>267</v>
      </c>
      <c r="C24" s="2" t="s">
        <v>54</v>
      </c>
      <c r="D24" s="2"/>
      <c r="E24" s="13"/>
      <c r="F24" s="44"/>
      <c r="G24" s="42"/>
      <c r="H24" s="42"/>
      <c r="I24" s="42"/>
      <c r="J24" s="14"/>
      <c r="K24" s="43"/>
    </row>
    <row r="25" ht="39.75" customHeight="1">
      <c r="A25" s="1">
        <v>24.0</v>
      </c>
      <c r="B25" s="2" t="s">
        <v>46</v>
      </c>
      <c r="C25" s="2" t="s">
        <v>13</v>
      </c>
      <c r="D25" s="40"/>
      <c r="E25" s="13"/>
      <c r="F25" s="44"/>
      <c r="G25" s="42"/>
      <c r="H25" s="42"/>
      <c r="I25" s="42"/>
      <c r="J25" s="14"/>
      <c r="K25" s="43"/>
    </row>
    <row r="26" ht="39.75" customHeight="1">
      <c r="A26" s="1">
        <v>25.0</v>
      </c>
      <c r="B26" s="2" t="s">
        <v>47</v>
      </c>
      <c r="C26" s="91" t="s">
        <v>3571</v>
      </c>
      <c r="D26" s="13"/>
      <c r="E26" s="13"/>
      <c r="F26" s="44"/>
      <c r="G26" s="43"/>
      <c r="H26" s="43"/>
      <c r="I26" s="43"/>
      <c r="J26" s="14"/>
      <c r="K26" s="43"/>
    </row>
    <row r="27" ht="39.75" customHeight="1">
      <c r="A27" s="1">
        <v>26.0</v>
      </c>
      <c r="B27" s="2" t="s">
        <v>48</v>
      </c>
      <c r="C27" s="2" t="s">
        <v>39</v>
      </c>
      <c r="D27" s="13"/>
      <c r="E27" s="13"/>
      <c r="F27" s="45"/>
      <c r="G27" s="42"/>
      <c r="H27" s="42"/>
      <c r="I27" s="42"/>
      <c r="J27" s="14"/>
      <c r="K27" s="43"/>
    </row>
    <row r="28" ht="39.75" customHeight="1">
      <c r="A28" s="1">
        <v>27.0</v>
      </c>
      <c r="B28" s="21"/>
      <c r="C28" s="21"/>
      <c r="D28" s="21"/>
      <c r="E28" s="21"/>
      <c r="F28" s="46"/>
      <c r="G28" s="47"/>
      <c r="H28" s="47"/>
      <c r="I28" s="47"/>
      <c r="J28" s="48"/>
      <c r="K28" s="47"/>
      <c r="L28" s="49"/>
      <c r="M28" s="49"/>
      <c r="N28" s="49"/>
    </row>
    <row r="29" ht="39.75" customHeight="1">
      <c r="A29" s="1">
        <v>28.0</v>
      </c>
      <c r="B29" s="2" t="s">
        <v>12</v>
      </c>
      <c r="C29" s="2" t="s">
        <v>62</v>
      </c>
      <c r="D29" s="13"/>
      <c r="E29" s="13"/>
      <c r="F29" s="45"/>
      <c r="G29" s="42"/>
      <c r="H29" s="42"/>
      <c r="I29" s="42"/>
      <c r="J29" s="14"/>
      <c r="K29" s="43"/>
      <c r="L29" s="15" t="s">
        <v>3893</v>
      </c>
    </row>
    <row r="30" ht="39.75" customHeight="1">
      <c r="A30" s="1">
        <v>29.0</v>
      </c>
      <c r="B30" s="2" t="s">
        <v>16</v>
      </c>
      <c r="C30" s="91" t="s">
        <v>69</v>
      </c>
      <c r="D30" s="13"/>
      <c r="E30" s="13"/>
      <c r="F30" s="44"/>
      <c r="G30" s="43"/>
      <c r="H30" s="42"/>
      <c r="I30" s="42"/>
      <c r="J30" s="14"/>
      <c r="K30" s="43"/>
    </row>
    <row r="31" ht="39.75" customHeight="1">
      <c r="A31" s="1">
        <v>30.0</v>
      </c>
      <c r="B31" s="2" t="s">
        <v>116</v>
      </c>
      <c r="C31" s="91" t="s">
        <v>54</v>
      </c>
      <c r="D31" s="13"/>
      <c r="E31" s="13"/>
      <c r="F31" s="44"/>
      <c r="G31" s="43"/>
      <c r="H31" s="42"/>
      <c r="I31" s="42"/>
      <c r="J31" s="14"/>
      <c r="K31" s="43"/>
    </row>
    <row r="32" ht="39.75" customHeight="1">
      <c r="A32" s="1">
        <v>31.0</v>
      </c>
      <c r="B32" s="2" t="s">
        <v>263</v>
      </c>
      <c r="C32" s="2" t="s">
        <v>13</v>
      </c>
      <c r="D32" s="13"/>
      <c r="E32" s="13"/>
      <c r="F32" s="45"/>
      <c r="G32" s="42"/>
      <c r="H32" s="42"/>
      <c r="I32" s="42"/>
      <c r="J32" s="14"/>
      <c r="K32" s="43"/>
    </row>
    <row r="33" ht="39.75" customHeight="1">
      <c r="A33" s="1">
        <v>32.0</v>
      </c>
      <c r="B33" s="2" t="s">
        <v>17</v>
      </c>
      <c r="C33" s="2" t="s">
        <v>3603</v>
      </c>
      <c r="D33" s="13"/>
      <c r="E33" s="13"/>
      <c r="F33" s="45"/>
      <c r="G33" s="42"/>
      <c r="H33" s="42"/>
      <c r="I33" s="42"/>
      <c r="J33" s="14"/>
      <c r="K33" s="43"/>
    </row>
    <row r="34" ht="39.75" customHeight="1">
      <c r="A34" s="1">
        <v>33.0</v>
      </c>
      <c r="B34" s="2" t="s">
        <v>331</v>
      </c>
      <c r="C34" s="92" t="s">
        <v>542</v>
      </c>
      <c r="D34" s="13"/>
      <c r="E34" s="13"/>
      <c r="F34" s="44"/>
      <c r="G34" s="42"/>
      <c r="H34" s="42"/>
      <c r="I34" s="42"/>
      <c r="J34" s="14"/>
      <c r="K34" s="43"/>
    </row>
    <row r="35" ht="39.75" customHeight="1">
      <c r="A35" s="1">
        <v>34.0</v>
      </c>
      <c r="B35" s="2" t="s">
        <v>21</v>
      </c>
      <c r="C35" s="2" t="s">
        <v>13</v>
      </c>
      <c r="D35" s="13"/>
      <c r="E35" s="13"/>
      <c r="F35" s="44"/>
      <c r="G35" s="42"/>
      <c r="H35" s="42"/>
      <c r="I35" s="42"/>
      <c r="J35" s="14"/>
      <c r="K35" s="43"/>
    </row>
    <row r="36" ht="39.75" customHeight="1">
      <c r="A36" s="1">
        <v>35.0</v>
      </c>
      <c r="B36" s="2" t="s">
        <v>22</v>
      </c>
      <c r="C36" s="2" t="s">
        <v>3557</v>
      </c>
      <c r="D36" s="13"/>
      <c r="E36" s="13"/>
      <c r="F36" s="57"/>
      <c r="G36" s="43"/>
      <c r="H36" s="42"/>
      <c r="I36" s="43"/>
      <c r="J36" s="14"/>
      <c r="K36" s="43"/>
    </row>
    <row r="37" ht="39.75" customHeight="1">
      <c r="A37" s="1">
        <v>36.0</v>
      </c>
      <c r="B37" s="2" t="s">
        <v>261</v>
      </c>
      <c r="C37" s="2" t="s">
        <v>13</v>
      </c>
      <c r="D37" s="13"/>
      <c r="E37" s="13"/>
      <c r="F37" s="45"/>
      <c r="G37" s="42"/>
      <c r="H37" s="42"/>
      <c r="I37" s="42"/>
      <c r="J37" s="14"/>
      <c r="K37" s="43"/>
    </row>
    <row r="38" ht="39.75" customHeight="1">
      <c r="A38" s="1">
        <v>37.0</v>
      </c>
      <c r="B38" s="2" t="s">
        <v>23</v>
      </c>
      <c r="C38" s="2" t="s">
        <v>39</v>
      </c>
      <c r="D38" s="13"/>
      <c r="E38" s="13"/>
      <c r="F38" s="44"/>
      <c r="G38" s="43"/>
      <c r="H38" s="42"/>
      <c r="I38" s="42"/>
      <c r="J38" s="14"/>
      <c r="K38" s="43"/>
    </row>
    <row r="39" ht="39.75" customHeight="1">
      <c r="A39" s="1">
        <v>38.0</v>
      </c>
      <c r="B39" s="2" t="s">
        <v>24</v>
      </c>
      <c r="C39" s="2"/>
      <c r="D39" s="13"/>
      <c r="E39" s="13"/>
      <c r="F39" s="44"/>
      <c r="G39" s="43"/>
      <c r="H39" s="42"/>
      <c r="I39" s="42"/>
      <c r="J39" s="14"/>
      <c r="K39" s="43"/>
    </row>
    <row r="40" ht="39.75" customHeight="1">
      <c r="A40" s="1">
        <v>39.0</v>
      </c>
      <c r="B40" s="2" t="s">
        <v>25</v>
      </c>
      <c r="C40" s="2" t="s">
        <v>13</v>
      </c>
      <c r="D40" s="13"/>
      <c r="E40" s="13"/>
      <c r="F40" s="44"/>
      <c r="G40" s="43"/>
      <c r="H40" s="42"/>
      <c r="I40" s="42"/>
      <c r="J40" s="14"/>
      <c r="K40" s="43"/>
    </row>
    <row r="41" ht="39.75" customHeight="1">
      <c r="A41" s="1">
        <v>40.0</v>
      </c>
      <c r="B41" s="2" t="s">
        <v>26</v>
      </c>
      <c r="C41" s="2" t="s">
        <v>54</v>
      </c>
      <c r="D41" s="13"/>
      <c r="E41" s="13"/>
      <c r="F41" s="57"/>
      <c r="G41" s="43"/>
      <c r="H41" s="42"/>
      <c r="I41" s="43"/>
      <c r="J41" s="14"/>
      <c r="K41" s="43"/>
    </row>
    <row r="42" ht="39.75" customHeight="1">
      <c r="A42" s="1">
        <v>41.0</v>
      </c>
      <c r="B42" s="2" t="s">
        <v>29</v>
      </c>
      <c r="C42" s="2"/>
      <c r="D42" s="13"/>
      <c r="E42" s="13"/>
      <c r="F42" s="44"/>
      <c r="G42" s="43"/>
      <c r="H42" s="42"/>
      <c r="I42" s="42"/>
      <c r="J42" s="14"/>
      <c r="K42" s="43"/>
    </row>
    <row r="43" ht="39.75" customHeight="1">
      <c r="A43" s="1">
        <v>42.0</v>
      </c>
      <c r="B43" s="2" t="s">
        <v>32</v>
      </c>
      <c r="C43" s="2" t="s">
        <v>3571</v>
      </c>
      <c r="D43" s="13"/>
      <c r="E43" s="13"/>
      <c r="F43" s="44"/>
      <c r="G43" s="43"/>
      <c r="H43" s="42"/>
      <c r="I43" s="43"/>
      <c r="J43" s="14"/>
      <c r="K43" s="43"/>
    </row>
    <row r="44" ht="39.75" customHeight="1">
      <c r="A44" s="1">
        <v>43.0</v>
      </c>
      <c r="B44" s="2" t="s">
        <v>67</v>
      </c>
      <c r="C44" s="2" t="s">
        <v>39</v>
      </c>
      <c r="D44" s="13"/>
      <c r="E44" s="13"/>
      <c r="F44" s="44"/>
      <c r="G44" s="43"/>
      <c r="H44" s="42"/>
      <c r="I44" s="43"/>
      <c r="J44" s="14"/>
      <c r="K44" s="43"/>
    </row>
    <row r="45" ht="39.75" customHeight="1">
      <c r="A45" s="1">
        <v>44.0</v>
      </c>
      <c r="B45" s="2" t="s">
        <v>35</v>
      </c>
      <c r="C45" s="91" t="s">
        <v>3563</v>
      </c>
      <c r="D45" s="13"/>
      <c r="E45" s="13"/>
      <c r="F45" s="44"/>
      <c r="G45" s="42"/>
      <c r="H45" s="42"/>
      <c r="I45" s="42"/>
      <c r="J45" s="14"/>
      <c r="K45" s="43"/>
    </row>
    <row r="46" ht="39.75" customHeight="1">
      <c r="A46" s="1">
        <v>45.0</v>
      </c>
      <c r="B46" s="2" t="s">
        <v>36</v>
      </c>
      <c r="C46" s="2"/>
      <c r="D46" s="13"/>
      <c r="E46" s="13"/>
      <c r="F46" s="44"/>
      <c r="G46" s="42"/>
      <c r="H46" s="42"/>
      <c r="I46" s="42"/>
      <c r="J46" s="14"/>
      <c r="K46" s="43"/>
    </row>
    <row r="47" ht="39.75" customHeight="1">
      <c r="A47" s="1">
        <v>46.0</v>
      </c>
      <c r="B47" s="2" t="s">
        <v>38</v>
      </c>
      <c r="C47" s="2" t="s">
        <v>69</v>
      </c>
      <c r="D47" s="13"/>
      <c r="E47" s="13"/>
      <c r="F47" s="52"/>
      <c r="G47" s="42"/>
      <c r="H47" s="42"/>
      <c r="I47" s="42"/>
      <c r="J47" s="14"/>
      <c r="K47" s="43"/>
    </row>
    <row r="48" ht="39.75" customHeight="1">
      <c r="A48" s="1">
        <v>47.0</v>
      </c>
      <c r="B48" s="2" t="s">
        <v>41</v>
      </c>
      <c r="C48" s="2"/>
      <c r="D48" s="13"/>
      <c r="E48" s="13"/>
      <c r="F48" s="57"/>
      <c r="G48" s="43"/>
      <c r="H48" s="42"/>
      <c r="I48" s="42"/>
      <c r="J48" s="14"/>
      <c r="K48" s="43"/>
    </row>
    <row r="49" ht="39.75" customHeight="1">
      <c r="A49" s="1">
        <v>48.0</v>
      </c>
      <c r="B49" s="2" t="s">
        <v>42</v>
      </c>
      <c r="C49" s="91" t="s">
        <v>13</v>
      </c>
      <c r="D49" s="13"/>
      <c r="E49" s="13"/>
      <c r="F49" s="96"/>
      <c r="G49" s="43"/>
      <c r="H49" s="42"/>
      <c r="I49" s="42"/>
      <c r="J49" s="14"/>
      <c r="K49" s="43"/>
    </row>
    <row r="50" ht="39.75" customHeight="1">
      <c r="A50" s="1">
        <v>49.0</v>
      </c>
      <c r="B50" s="91" t="s">
        <v>43</v>
      </c>
      <c r="C50" s="91" t="s">
        <v>3557</v>
      </c>
      <c r="D50" s="97"/>
      <c r="E50" s="97"/>
      <c r="F50" s="98"/>
      <c r="G50" s="99"/>
      <c r="H50" s="100"/>
      <c r="I50" s="100"/>
      <c r="J50" s="14"/>
      <c r="K50" s="43"/>
    </row>
    <row r="51" ht="39.75" customHeight="1">
      <c r="A51" s="1">
        <v>50.0</v>
      </c>
      <c r="B51" s="2" t="s">
        <v>267</v>
      </c>
      <c r="C51" s="2" t="s">
        <v>54</v>
      </c>
      <c r="D51" s="13"/>
      <c r="E51" s="13"/>
      <c r="F51" s="44"/>
      <c r="G51" s="43"/>
      <c r="H51" s="42"/>
      <c r="I51" s="42"/>
      <c r="J51" s="14"/>
      <c r="K51" s="43"/>
    </row>
    <row r="52" ht="39.75" customHeight="1">
      <c r="A52" s="1">
        <v>51.0</v>
      </c>
      <c r="B52" s="2" t="s">
        <v>46</v>
      </c>
      <c r="C52" s="2" t="s">
        <v>13</v>
      </c>
      <c r="D52" s="13"/>
      <c r="E52" s="13"/>
      <c r="F52" s="44"/>
      <c r="G52" s="43"/>
      <c r="H52" s="42"/>
      <c r="I52" s="42"/>
      <c r="J52" s="14"/>
      <c r="K52" s="43"/>
    </row>
    <row r="53" ht="39.75" customHeight="1">
      <c r="A53" s="1">
        <v>52.0</v>
      </c>
      <c r="B53" s="2" t="s">
        <v>47</v>
      </c>
      <c r="C53" s="91" t="s">
        <v>44</v>
      </c>
      <c r="D53" s="13"/>
      <c r="E53" s="2"/>
      <c r="F53" s="44"/>
      <c r="G53" s="42"/>
      <c r="H53" s="42"/>
      <c r="I53" s="42"/>
      <c r="J53" s="14"/>
      <c r="K53" s="43"/>
    </row>
    <row r="54" ht="39.75" customHeight="1">
      <c r="A54" s="1">
        <v>53.0</v>
      </c>
      <c r="B54" s="2" t="s">
        <v>48</v>
      </c>
      <c r="C54" s="2" t="s">
        <v>69</v>
      </c>
      <c r="D54" s="13"/>
      <c r="E54" s="13"/>
      <c r="F54" s="96"/>
      <c r="G54" s="43"/>
      <c r="H54" s="42"/>
      <c r="I54" s="42"/>
      <c r="J54" s="14"/>
      <c r="K54" s="43"/>
    </row>
    <row r="55" ht="39.75" customHeight="1">
      <c r="A55" s="1">
        <v>54.0</v>
      </c>
      <c r="B55" s="21"/>
      <c r="C55" s="21"/>
      <c r="D55" s="21"/>
      <c r="E55" s="21"/>
      <c r="F55" s="46"/>
      <c r="G55" s="47"/>
      <c r="H55" s="47"/>
      <c r="I55" s="47"/>
      <c r="J55" s="48"/>
      <c r="K55" s="47"/>
      <c r="L55" s="49"/>
      <c r="M55" s="49"/>
      <c r="N55" s="49"/>
    </row>
    <row r="56" ht="39.75" customHeight="1">
      <c r="A56" s="1">
        <v>55.0</v>
      </c>
      <c r="B56" s="2" t="s">
        <v>12</v>
      </c>
      <c r="C56" s="2" t="s">
        <v>62</v>
      </c>
      <c r="D56" s="13"/>
      <c r="E56" s="13"/>
      <c r="F56" s="44"/>
      <c r="G56" s="43"/>
      <c r="H56" s="42"/>
      <c r="I56" s="42"/>
      <c r="J56" s="14"/>
      <c r="K56" s="43"/>
      <c r="L56" s="15" t="s">
        <v>3894</v>
      </c>
    </row>
    <row r="57" ht="39.75" customHeight="1">
      <c r="A57" s="1">
        <v>56.0</v>
      </c>
      <c r="B57" s="2" t="s">
        <v>16</v>
      </c>
      <c r="C57" s="91" t="s">
        <v>69</v>
      </c>
      <c r="D57" s="13"/>
      <c r="E57" s="13"/>
      <c r="F57" s="44"/>
      <c r="G57" s="43"/>
      <c r="H57" s="42"/>
      <c r="I57" s="42"/>
      <c r="J57" s="14"/>
      <c r="K57" s="43"/>
    </row>
    <row r="58" ht="39.75" customHeight="1">
      <c r="A58" s="1">
        <v>57.0</v>
      </c>
      <c r="B58" s="2" t="s">
        <v>116</v>
      </c>
      <c r="C58" s="91" t="s">
        <v>54</v>
      </c>
      <c r="D58" s="13"/>
      <c r="E58" s="13"/>
      <c r="F58" s="44"/>
      <c r="G58" s="43"/>
      <c r="H58" s="42"/>
      <c r="I58" s="42"/>
      <c r="J58" s="14"/>
      <c r="K58" s="43"/>
    </row>
    <row r="59" ht="39.75" customHeight="1">
      <c r="A59" s="1">
        <v>58.0</v>
      </c>
      <c r="B59" s="2" t="s">
        <v>263</v>
      </c>
      <c r="C59" s="2" t="s">
        <v>66</v>
      </c>
      <c r="D59" s="13"/>
      <c r="E59" s="50"/>
      <c r="F59" s="44"/>
      <c r="G59" s="43"/>
      <c r="H59" s="42"/>
      <c r="I59" s="42"/>
      <c r="J59" s="14"/>
      <c r="K59" s="43"/>
    </row>
    <row r="60" ht="39.75" customHeight="1">
      <c r="A60" s="1">
        <v>59.0</v>
      </c>
      <c r="B60" s="2" t="s">
        <v>17</v>
      </c>
      <c r="C60" s="2" t="s">
        <v>3603</v>
      </c>
      <c r="D60" s="13"/>
      <c r="E60" s="13"/>
      <c r="F60" s="45"/>
      <c r="G60" s="42"/>
      <c r="H60" s="42"/>
      <c r="I60" s="42"/>
      <c r="J60" s="14"/>
      <c r="K60" s="43"/>
    </row>
    <row r="61" ht="39.75" customHeight="1">
      <c r="A61" s="1">
        <v>60.0</v>
      </c>
      <c r="B61" s="2" t="s">
        <v>331</v>
      </c>
      <c r="C61" s="2" t="s">
        <v>542</v>
      </c>
      <c r="D61" s="13"/>
      <c r="E61" s="13"/>
      <c r="F61" s="44"/>
      <c r="G61" s="42"/>
      <c r="H61" s="42"/>
      <c r="I61" s="42"/>
      <c r="J61" s="14"/>
      <c r="K61" s="43"/>
    </row>
    <row r="62" ht="39.75" customHeight="1">
      <c r="A62" s="1">
        <v>61.0</v>
      </c>
      <c r="B62" s="2" t="s">
        <v>21</v>
      </c>
      <c r="C62" s="2" t="s">
        <v>69</v>
      </c>
      <c r="D62" s="2"/>
      <c r="E62" s="13"/>
      <c r="F62" s="44"/>
      <c r="G62" s="43"/>
      <c r="H62" s="42"/>
      <c r="I62" s="42"/>
      <c r="J62" s="14"/>
      <c r="K62" s="43"/>
    </row>
    <row r="63" ht="39.75" customHeight="1">
      <c r="A63" s="1">
        <v>62.0</v>
      </c>
      <c r="B63" s="2" t="s">
        <v>22</v>
      </c>
      <c r="C63" s="2" t="s">
        <v>3557</v>
      </c>
      <c r="D63" s="2"/>
      <c r="E63" s="13"/>
      <c r="F63" s="44"/>
      <c r="G63" s="43"/>
      <c r="H63" s="42"/>
      <c r="I63" s="42"/>
      <c r="J63" s="14"/>
      <c r="K63" s="43"/>
    </row>
    <row r="64" ht="39.75" customHeight="1">
      <c r="A64" s="1">
        <v>63.0</v>
      </c>
      <c r="B64" s="2" t="s">
        <v>261</v>
      </c>
      <c r="C64" s="2" t="s">
        <v>13</v>
      </c>
      <c r="D64" s="13"/>
      <c r="E64" s="13"/>
      <c r="F64" s="45"/>
      <c r="G64" s="42"/>
      <c r="H64" s="42"/>
      <c r="I64" s="42"/>
      <c r="J64" s="14"/>
      <c r="K64" s="43"/>
    </row>
    <row r="65" ht="39.75" customHeight="1">
      <c r="A65" s="1">
        <v>64.0</v>
      </c>
      <c r="B65" s="2" t="s">
        <v>23</v>
      </c>
      <c r="C65" s="2"/>
      <c r="D65" s="13"/>
      <c r="E65" s="50"/>
      <c r="F65" s="44"/>
      <c r="G65" s="43"/>
      <c r="H65" s="42"/>
      <c r="I65" s="42"/>
      <c r="J65" s="14"/>
      <c r="K65" s="43"/>
    </row>
    <row r="66" ht="39.75" customHeight="1">
      <c r="A66" s="1">
        <v>65.0</v>
      </c>
      <c r="B66" s="2" t="s">
        <v>24</v>
      </c>
      <c r="C66" s="2" t="s">
        <v>13</v>
      </c>
      <c r="D66" s="13"/>
      <c r="E66" s="13"/>
      <c r="F66" s="44"/>
      <c r="G66" s="43"/>
      <c r="H66" s="42"/>
      <c r="I66" s="43"/>
      <c r="J66" s="14"/>
      <c r="K66" s="43"/>
    </row>
    <row r="67" ht="39.75" customHeight="1">
      <c r="A67" s="1">
        <v>66.0</v>
      </c>
      <c r="B67" s="2" t="s">
        <v>25</v>
      </c>
      <c r="C67" s="2" t="s">
        <v>54</v>
      </c>
      <c r="D67" s="13"/>
      <c r="E67" s="13"/>
      <c r="F67" s="44"/>
      <c r="G67" s="43"/>
      <c r="H67" s="42"/>
      <c r="I67" s="42"/>
      <c r="J67" s="14"/>
      <c r="K67" s="43"/>
    </row>
    <row r="68" ht="39.75" customHeight="1">
      <c r="A68" s="1">
        <v>67.0</v>
      </c>
      <c r="B68" s="2" t="s">
        <v>26</v>
      </c>
      <c r="C68" s="2" t="s">
        <v>54</v>
      </c>
      <c r="D68" s="13"/>
      <c r="E68" s="13"/>
      <c r="F68" s="44"/>
      <c r="G68" s="43"/>
      <c r="H68" s="42"/>
      <c r="I68" s="43"/>
      <c r="J68" s="14"/>
      <c r="K68" s="43"/>
    </row>
    <row r="69" ht="39.75" customHeight="1">
      <c r="A69" s="1">
        <v>68.0</v>
      </c>
      <c r="B69" s="2" t="s">
        <v>29</v>
      </c>
      <c r="C69" s="2" t="s">
        <v>13</v>
      </c>
      <c r="D69" s="13"/>
      <c r="E69" s="13"/>
      <c r="F69" s="45"/>
      <c r="G69" s="42"/>
      <c r="H69" s="42"/>
      <c r="I69" s="42"/>
      <c r="J69" s="14"/>
      <c r="K69" s="43"/>
    </row>
    <row r="70" ht="39.75" customHeight="1">
      <c r="A70" s="1">
        <v>69.0</v>
      </c>
      <c r="B70" s="2" t="s">
        <v>32</v>
      </c>
      <c r="C70" s="2" t="s">
        <v>44</v>
      </c>
      <c r="D70" s="13"/>
      <c r="E70" s="13"/>
      <c r="F70" s="44"/>
      <c r="G70" s="43"/>
      <c r="H70" s="42"/>
      <c r="I70" s="42"/>
      <c r="J70" s="14"/>
      <c r="K70" s="43"/>
    </row>
    <row r="71" ht="39.75" customHeight="1">
      <c r="A71" s="1">
        <v>70.0</v>
      </c>
      <c r="B71" s="2" t="s">
        <v>67</v>
      </c>
      <c r="C71" s="2" t="s">
        <v>13</v>
      </c>
      <c r="D71" s="13"/>
      <c r="E71" s="13"/>
      <c r="F71" s="44"/>
      <c r="G71" s="42"/>
      <c r="H71" s="42"/>
      <c r="I71" s="42"/>
      <c r="J71" s="14"/>
      <c r="K71" s="43"/>
    </row>
    <row r="72" ht="39.75" customHeight="1">
      <c r="A72" s="1">
        <v>71.0</v>
      </c>
      <c r="B72" s="2" t="s">
        <v>35</v>
      </c>
      <c r="C72" s="91"/>
      <c r="D72" s="13"/>
      <c r="E72" s="13"/>
      <c r="F72" s="44"/>
      <c r="G72" s="43"/>
      <c r="H72" s="42"/>
      <c r="I72" s="42"/>
      <c r="J72" s="14"/>
      <c r="K72" s="43"/>
    </row>
    <row r="73" ht="39.75" customHeight="1">
      <c r="A73" s="1">
        <v>72.0</v>
      </c>
      <c r="B73" s="2" t="s">
        <v>36</v>
      </c>
      <c r="C73" s="2"/>
      <c r="D73" s="13"/>
      <c r="E73" s="13"/>
      <c r="F73" s="45"/>
      <c r="G73" s="42"/>
      <c r="H73" s="42"/>
      <c r="I73" s="42"/>
      <c r="J73" s="14"/>
      <c r="K73" s="43"/>
    </row>
    <row r="74" ht="39.75" customHeight="1">
      <c r="A74" s="1">
        <v>73.0</v>
      </c>
      <c r="B74" s="2" t="s">
        <v>38</v>
      </c>
      <c r="C74" s="2" t="s">
        <v>39</v>
      </c>
      <c r="D74" s="13"/>
      <c r="E74" s="13"/>
      <c r="F74" s="44"/>
      <c r="G74" s="42"/>
      <c r="H74" s="42"/>
      <c r="I74" s="42"/>
      <c r="J74" s="14"/>
      <c r="K74" s="43"/>
    </row>
    <row r="75" ht="39.75" customHeight="1">
      <c r="A75" s="1">
        <v>74.0</v>
      </c>
      <c r="B75" s="2" t="s">
        <v>41</v>
      </c>
      <c r="C75" s="2" t="s">
        <v>69</v>
      </c>
      <c r="D75" s="13"/>
      <c r="E75" s="13"/>
      <c r="F75" s="44"/>
      <c r="G75" s="43"/>
      <c r="H75" s="42"/>
      <c r="I75" s="42"/>
      <c r="J75" s="14"/>
      <c r="K75" s="43"/>
    </row>
    <row r="76" ht="39.75" customHeight="1">
      <c r="A76" s="1">
        <v>75.0</v>
      </c>
      <c r="B76" s="2" t="s">
        <v>42</v>
      </c>
      <c r="C76" s="2" t="s">
        <v>13</v>
      </c>
      <c r="D76" s="13"/>
      <c r="E76" s="13"/>
      <c r="F76" s="44"/>
      <c r="G76" s="43"/>
      <c r="H76" s="42"/>
      <c r="I76" s="43"/>
      <c r="J76" s="14"/>
      <c r="K76" s="43"/>
    </row>
    <row r="77" ht="39.75" customHeight="1">
      <c r="A77" s="1">
        <v>76.0</v>
      </c>
      <c r="B77" s="2" t="s">
        <v>43</v>
      </c>
      <c r="C77" s="2" t="s">
        <v>3557</v>
      </c>
      <c r="D77" s="13"/>
      <c r="E77" s="13"/>
      <c r="F77" s="44"/>
      <c r="G77" s="43"/>
      <c r="H77" s="42"/>
      <c r="I77" s="43"/>
      <c r="J77" s="14"/>
      <c r="K77" s="43"/>
    </row>
    <row r="78" ht="39.75" customHeight="1">
      <c r="A78" s="1">
        <v>77.0</v>
      </c>
      <c r="B78" s="2" t="s">
        <v>267</v>
      </c>
      <c r="C78" s="2" t="s">
        <v>54</v>
      </c>
      <c r="D78" s="13"/>
      <c r="E78" s="13"/>
      <c r="F78" s="44"/>
      <c r="G78" s="43"/>
      <c r="H78" s="42"/>
      <c r="I78" s="43"/>
      <c r="J78" s="14"/>
      <c r="K78" s="43"/>
    </row>
    <row r="79" ht="39.75" customHeight="1">
      <c r="A79" s="1">
        <v>78.0</v>
      </c>
      <c r="B79" s="2" t="s">
        <v>46</v>
      </c>
      <c r="C79" s="2" t="s">
        <v>13</v>
      </c>
      <c r="D79" s="13"/>
      <c r="E79" s="13"/>
      <c r="F79" s="44"/>
      <c r="G79" s="43"/>
      <c r="H79" s="42"/>
      <c r="I79" s="43"/>
      <c r="J79" s="14"/>
      <c r="K79" s="43"/>
    </row>
    <row r="80" ht="39.75" customHeight="1">
      <c r="A80" s="1">
        <v>79.0</v>
      </c>
      <c r="B80" s="2" t="s">
        <v>47</v>
      </c>
      <c r="C80" s="2" t="s">
        <v>39</v>
      </c>
      <c r="D80" s="13"/>
      <c r="E80" s="13"/>
      <c r="F80" s="44"/>
      <c r="G80" s="43"/>
      <c r="H80" s="42"/>
      <c r="I80" s="42"/>
      <c r="J80" s="14"/>
      <c r="K80" s="43"/>
    </row>
    <row r="81" ht="39.75" customHeight="1">
      <c r="A81" s="1">
        <v>80.0</v>
      </c>
      <c r="B81" s="2" t="s">
        <v>48</v>
      </c>
      <c r="C81" s="2"/>
      <c r="D81" s="13"/>
      <c r="E81" s="13"/>
      <c r="F81" s="45"/>
      <c r="G81" s="42"/>
      <c r="H81" s="42"/>
      <c r="I81" s="42"/>
      <c r="J81" s="14"/>
      <c r="K81" s="43"/>
    </row>
    <row r="82" ht="39.75" customHeight="1">
      <c r="A82" s="1">
        <v>81.0</v>
      </c>
      <c r="B82" s="21"/>
      <c r="C82" s="21"/>
      <c r="D82" s="21"/>
      <c r="E82" s="21"/>
      <c r="F82" s="46"/>
      <c r="G82" s="47"/>
      <c r="H82" s="47"/>
      <c r="I82" s="47"/>
      <c r="J82" s="48"/>
      <c r="K82" s="47"/>
      <c r="L82" s="49"/>
      <c r="M82" s="49"/>
      <c r="N82" s="49"/>
    </row>
    <row r="83" ht="39.75" customHeight="1">
      <c r="A83" s="1">
        <v>82.0</v>
      </c>
      <c r="B83" s="2" t="s">
        <v>12</v>
      </c>
      <c r="C83" s="2"/>
      <c r="D83" s="13"/>
      <c r="E83" s="13"/>
      <c r="F83" s="44"/>
      <c r="G83" s="43"/>
      <c r="H83" s="42"/>
      <c r="I83" s="42"/>
      <c r="J83" s="14"/>
      <c r="K83" s="43"/>
      <c r="L83" s="15" t="s">
        <v>3895</v>
      </c>
    </row>
    <row r="84" ht="39.75" customHeight="1">
      <c r="A84" s="1">
        <v>83.0</v>
      </c>
      <c r="B84" s="2" t="s">
        <v>16</v>
      </c>
      <c r="C84" s="2"/>
      <c r="D84" s="13"/>
      <c r="E84" s="13"/>
      <c r="F84" s="44"/>
      <c r="G84" s="43"/>
      <c r="H84" s="43"/>
      <c r="I84" s="43"/>
      <c r="J84" s="14"/>
      <c r="K84" s="43"/>
    </row>
    <row r="85" ht="39.75" customHeight="1">
      <c r="A85" s="1">
        <v>84.0</v>
      </c>
      <c r="B85" s="2" t="s">
        <v>116</v>
      </c>
      <c r="C85" s="2"/>
      <c r="D85" s="13"/>
      <c r="E85" s="13"/>
      <c r="F85" s="44"/>
      <c r="G85" s="43"/>
      <c r="H85" s="42"/>
      <c r="I85" s="42"/>
      <c r="J85" s="14"/>
      <c r="K85" s="43"/>
    </row>
    <row r="86" ht="39.75" customHeight="1">
      <c r="A86" s="1">
        <v>85.0</v>
      </c>
      <c r="B86" s="2" t="s">
        <v>263</v>
      </c>
      <c r="C86" s="2"/>
      <c r="D86" s="13"/>
      <c r="E86" s="13"/>
      <c r="F86" s="44"/>
      <c r="G86" s="43"/>
      <c r="H86" s="42"/>
      <c r="I86" s="43"/>
      <c r="J86" s="14"/>
      <c r="K86" s="43"/>
    </row>
    <row r="87" ht="39.75" customHeight="1">
      <c r="A87" s="1">
        <v>86.0</v>
      </c>
      <c r="B87" s="2" t="s">
        <v>17</v>
      </c>
      <c r="C87" s="2"/>
      <c r="D87" s="13"/>
      <c r="E87" s="13"/>
      <c r="F87" s="45"/>
      <c r="G87" s="42"/>
      <c r="H87" s="42"/>
      <c r="I87" s="42"/>
      <c r="J87" s="14"/>
      <c r="K87" s="43"/>
    </row>
    <row r="88" ht="39.75" customHeight="1">
      <c r="A88" s="1">
        <v>87.0</v>
      </c>
      <c r="B88" s="2" t="s">
        <v>331</v>
      </c>
      <c r="C88" s="2"/>
      <c r="D88" s="13"/>
      <c r="E88" s="13"/>
      <c r="F88" s="44"/>
      <c r="G88" s="42"/>
      <c r="H88" s="42"/>
      <c r="I88" s="42"/>
      <c r="J88" s="14"/>
      <c r="K88" s="43"/>
    </row>
    <row r="89" ht="39.75" customHeight="1">
      <c r="A89" s="1">
        <v>88.0</v>
      </c>
      <c r="B89" s="2" t="s">
        <v>21</v>
      </c>
      <c r="C89" s="2"/>
      <c r="D89" s="13"/>
      <c r="E89" s="13"/>
      <c r="F89" s="44"/>
      <c r="G89" s="43"/>
      <c r="H89" s="42"/>
      <c r="I89" s="42"/>
      <c r="J89" s="14"/>
      <c r="K89" s="43"/>
    </row>
    <row r="90" ht="39.75" customHeight="1">
      <c r="A90" s="1">
        <v>89.0</v>
      </c>
      <c r="B90" s="2" t="s">
        <v>22</v>
      </c>
      <c r="C90" s="2"/>
      <c r="D90" s="13"/>
      <c r="E90" s="13"/>
      <c r="F90" s="44"/>
      <c r="G90" s="43"/>
      <c r="H90" s="42"/>
      <c r="I90" s="43"/>
      <c r="J90" s="14"/>
      <c r="K90" s="43"/>
    </row>
    <row r="91" ht="39.75" customHeight="1">
      <c r="A91" s="1">
        <v>90.0</v>
      </c>
      <c r="B91" s="2" t="s">
        <v>261</v>
      </c>
      <c r="C91" s="2"/>
      <c r="D91" s="13"/>
      <c r="E91" s="13"/>
      <c r="F91" s="45"/>
      <c r="G91" s="42"/>
      <c r="H91" s="42"/>
      <c r="I91" s="42"/>
      <c r="J91" s="14"/>
      <c r="K91" s="43"/>
    </row>
    <row r="92" ht="39.75" customHeight="1">
      <c r="A92" s="1">
        <v>91.0</v>
      </c>
      <c r="B92" s="2" t="s">
        <v>23</v>
      </c>
      <c r="C92" s="2"/>
      <c r="D92" s="13"/>
      <c r="E92" s="13"/>
      <c r="F92" s="44"/>
      <c r="G92" s="43"/>
      <c r="H92" s="42"/>
      <c r="I92" s="42"/>
      <c r="J92" s="14"/>
      <c r="K92" s="43"/>
    </row>
    <row r="93" ht="39.75" customHeight="1">
      <c r="A93" s="1">
        <v>92.0</v>
      </c>
      <c r="B93" s="2" t="s">
        <v>24</v>
      </c>
      <c r="C93" s="2"/>
      <c r="D93" s="13"/>
      <c r="E93" s="13"/>
      <c r="F93" s="96"/>
      <c r="G93" s="43"/>
      <c r="H93" s="42"/>
      <c r="I93" s="42"/>
      <c r="J93" s="14"/>
      <c r="K93" s="43"/>
    </row>
    <row r="94" ht="39.75" customHeight="1">
      <c r="A94" s="1">
        <v>93.0</v>
      </c>
      <c r="B94" s="2" t="s">
        <v>25</v>
      </c>
      <c r="C94" s="2"/>
      <c r="D94" s="13"/>
      <c r="E94" s="13"/>
      <c r="F94" s="96"/>
      <c r="G94" s="43"/>
      <c r="H94" s="42"/>
      <c r="I94" s="43"/>
      <c r="J94" s="14"/>
      <c r="K94" s="43"/>
    </row>
    <row r="95" ht="39.75" customHeight="1">
      <c r="A95" s="1">
        <v>94.0</v>
      </c>
      <c r="B95" s="2" t="s">
        <v>26</v>
      </c>
      <c r="C95" s="2"/>
      <c r="D95" s="13"/>
      <c r="E95" s="13"/>
      <c r="F95" s="61"/>
      <c r="G95" s="43"/>
      <c r="H95" s="42"/>
      <c r="I95" s="43"/>
      <c r="J95" s="14"/>
      <c r="K95" s="43"/>
    </row>
    <row r="96" ht="39.75" customHeight="1">
      <c r="A96" s="1">
        <v>95.0</v>
      </c>
      <c r="B96" s="2" t="s">
        <v>29</v>
      </c>
      <c r="C96" s="2"/>
      <c r="D96" s="13"/>
      <c r="E96" s="13"/>
      <c r="F96" s="44"/>
      <c r="G96" s="43"/>
      <c r="H96" s="42"/>
      <c r="I96" s="42"/>
      <c r="J96" s="14"/>
      <c r="K96" s="43"/>
    </row>
    <row r="97" ht="39.75" customHeight="1">
      <c r="A97" s="1">
        <v>96.0</v>
      </c>
      <c r="B97" s="2" t="s">
        <v>32</v>
      </c>
      <c r="C97" s="2"/>
      <c r="D97" s="13"/>
      <c r="E97" s="13"/>
      <c r="F97" s="44"/>
      <c r="G97" s="43"/>
      <c r="H97" s="42"/>
      <c r="I97" s="42"/>
      <c r="J97" s="14"/>
      <c r="K97" s="43"/>
    </row>
    <row r="98" ht="39.75" customHeight="1">
      <c r="A98" s="1">
        <v>97.0</v>
      </c>
      <c r="B98" s="2" t="s">
        <v>67</v>
      </c>
      <c r="C98" s="2"/>
      <c r="D98" s="13"/>
      <c r="E98" s="13"/>
      <c r="F98" s="44"/>
      <c r="G98" s="43"/>
      <c r="H98" s="42"/>
      <c r="I98" s="43"/>
      <c r="J98" s="14"/>
      <c r="K98" s="43"/>
    </row>
    <row r="99" ht="39.75" customHeight="1">
      <c r="A99" s="1">
        <v>98.0</v>
      </c>
      <c r="B99" s="2" t="s">
        <v>35</v>
      </c>
      <c r="C99" s="2"/>
      <c r="D99" s="13"/>
      <c r="E99" s="13"/>
      <c r="F99" s="45"/>
      <c r="G99" s="42"/>
      <c r="H99" s="42"/>
      <c r="I99" s="42"/>
      <c r="J99" s="14"/>
      <c r="K99" s="43"/>
    </row>
    <row r="100" ht="39.75" customHeight="1">
      <c r="A100" s="1">
        <v>99.0</v>
      </c>
      <c r="B100" s="2" t="s">
        <v>36</v>
      </c>
      <c r="C100" s="2"/>
      <c r="D100" s="13"/>
      <c r="E100" s="13"/>
      <c r="F100" s="44"/>
      <c r="G100" s="43"/>
      <c r="H100" s="42"/>
      <c r="I100" s="42"/>
      <c r="J100" s="14"/>
      <c r="K100" s="43"/>
    </row>
    <row r="101" ht="39.75" customHeight="1">
      <c r="A101" s="1">
        <v>100.0</v>
      </c>
      <c r="B101" s="2" t="s">
        <v>38</v>
      </c>
      <c r="C101" s="2"/>
      <c r="D101" s="13"/>
      <c r="E101" s="13"/>
      <c r="F101" s="44"/>
      <c r="G101" s="43"/>
      <c r="H101" s="42"/>
      <c r="I101" s="43"/>
      <c r="J101" s="14"/>
      <c r="K101" s="43"/>
    </row>
    <row r="102" ht="39.75" customHeight="1">
      <c r="A102" s="1">
        <v>101.0</v>
      </c>
      <c r="B102" s="2" t="s">
        <v>41</v>
      </c>
      <c r="C102" s="2"/>
      <c r="D102" s="13"/>
      <c r="E102" s="13"/>
      <c r="F102" s="45"/>
      <c r="G102" s="42"/>
      <c r="H102" s="42"/>
      <c r="I102" s="42"/>
      <c r="J102" s="14"/>
      <c r="K102" s="43"/>
    </row>
    <row r="103" ht="39.75" customHeight="1">
      <c r="A103" s="1">
        <v>102.0</v>
      </c>
      <c r="B103" s="2" t="s">
        <v>42</v>
      </c>
      <c r="C103" s="2"/>
      <c r="D103" s="13"/>
      <c r="E103" s="13"/>
      <c r="F103" s="44"/>
      <c r="G103" s="42"/>
      <c r="H103" s="42"/>
      <c r="I103" s="42"/>
      <c r="J103" s="14"/>
      <c r="K103" s="43"/>
    </row>
    <row r="104" ht="39.75" customHeight="1">
      <c r="A104" s="1">
        <v>103.0</v>
      </c>
      <c r="B104" s="2" t="s">
        <v>43</v>
      </c>
      <c r="C104" s="2"/>
      <c r="D104" s="13"/>
      <c r="E104" s="13"/>
      <c r="F104" s="44"/>
      <c r="G104" s="43"/>
      <c r="H104" s="42"/>
      <c r="I104" s="43"/>
      <c r="J104" s="14"/>
      <c r="K104" s="43"/>
    </row>
    <row r="105" ht="39.75" customHeight="1">
      <c r="A105" s="1">
        <v>104.0</v>
      </c>
      <c r="B105" s="2" t="s">
        <v>267</v>
      </c>
      <c r="C105" s="91"/>
      <c r="D105" s="40"/>
      <c r="E105" s="13"/>
      <c r="F105" s="44"/>
      <c r="G105" s="43"/>
      <c r="H105" s="42"/>
      <c r="I105" s="42"/>
      <c r="J105" s="14"/>
      <c r="K105" s="43"/>
    </row>
    <row r="106" ht="39.75" customHeight="1">
      <c r="A106" s="1">
        <v>105.0</v>
      </c>
      <c r="B106" s="2" t="s">
        <v>46</v>
      </c>
      <c r="C106" s="2"/>
      <c r="D106" s="13"/>
      <c r="E106" s="13"/>
      <c r="F106" s="61"/>
      <c r="G106" s="42"/>
      <c r="H106" s="42"/>
      <c r="I106" s="42"/>
      <c r="J106" s="14"/>
      <c r="K106" s="43"/>
    </row>
    <row r="107" ht="39.75" customHeight="1">
      <c r="A107" s="1">
        <v>106.0</v>
      </c>
      <c r="B107" s="2" t="s">
        <v>47</v>
      </c>
      <c r="C107" s="2"/>
      <c r="D107" s="13"/>
      <c r="E107" s="13"/>
      <c r="F107" s="44"/>
      <c r="G107" s="42"/>
      <c r="H107" s="42"/>
      <c r="I107" s="42"/>
      <c r="J107" s="14"/>
      <c r="K107" s="43"/>
    </row>
    <row r="108" ht="39.75" customHeight="1">
      <c r="A108" s="1">
        <v>107.0</v>
      </c>
      <c r="B108" s="2" t="s">
        <v>48</v>
      </c>
      <c r="C108" s="2"/>
      <c r="D108" s="13"/>
      <c r="E108" s="13"/>
      <c r="F108" s="44"/>
      <c r="G108" s="43"/>
      <c r="H108" s="42"/>
      <c r="I108" s="42"/>
      <c r="J108" s="14"/>
      <c r="K108" s="43"/>
    </row>
    <row r="109" ht="39.75" customHeight="1">
      <c r="A109" s="1">
        <v>108.0</v>
      </c>
      <c r="B109" s="21"/>
      <c r="C109" s="21"/>
      <c r="D109" s="21"/>
      <c r="E109" s="21"/>
      <c r="F109" s="46"/>
      <c r="G109" s="47"/>
      <c r="H109" s="47"/>
      <c r="I109" s="47"/>
      <c r="J109" s="54"/>
      <c r="K109" s="72"/>
      <c r="L109" s="49"/>
      <c r="M109" s="49"/>
      <c r="N109" s="49"/>
    </row>
    <row r="110" ht="39.75" customHeight="1">
      <c r="A110" s="1">
        <v>109.0</v>
      </c>
      <c r="B110" s="2" t="s">
        <v>12</v>
      </c>
      <c r="C110" s="2"/>
      <c r="D110" s="13"/>
      <c r="E110" s="13"/>
      <c r="F110" s="44"/>
      <c r="G110" s="43"/>
      <c r="H110" s="42"/>
      <c r="I110" s="42"/>
      <c r="J110" s="27"/>
      <c r="K110" s="43"/>
      <c r="L110" s="15" t="s">
        <v>3896</v>
      </c>
    </row>
    <row r="111" ht="39.75" customHeight="1">
      <c r="A111" s="1">
        <v>110.0</v>
      </c>
      <c r="B111" s="2" t="s">
        <v>16</v>
      </c>
      <c r="C111" s="2"/>
      <c r="D111" s="13"/>
      <c r="E111" s="13"/>
      <c r="F111" s="44"/>
      <c r="G111" s="43"/>
      <c r="H111" s="42"/>
      <c r="I111" s="42"/>
      <c r="J111" s="27"/>
      <c r="K111" s="43"/>
    </row>
    <row r="112" ht="39.75" customHeight="1">
      <c r="A112" s="1">
        <v>111.0</v>
      </c>
      <c r="B112" s="2" t="s">
        <v>116</v>
      </c>
      <c r="C112" s="2"/>
      <c r="D112" s="13"/>
      <c r="E112" s="13"/>
      <c r="F112" s="44"/>
      <c r="G112" s="42"/>
      <c r="H112" s="42"/>
      <c r="I112" s="42"/>
      <c r="J112" s="27"/>
      <c r="K112" s="43"/>
    </row>
    <row r="113" ht="39.75" customHeight="1">
      <c r="A113" s="1">
        <v>112.0</v>
      </c>
      <c r="B113" s="2" t="s">
        <v>263</v>
      </c>
      <c r="C113" s="2"/>
      <c r="D113" s="13"/>
      <c r="E113" s="13"/>
      <c r="F113" s="44"/>
      <c r="G113" s="43"/>
      <c r="H113" s="42"/>
      <c r="I113" s="43"/>
      <c r="J113" s="27"/>
      <c r="K113" s="42"/>
    </row>
    <row r="114" ht="39.75" customHeight="1">
      <c r="A114" s="1">
        <v>113.0</v>
      </c>
      <c r="B114" s="2" t="s">
        <v>17</v>
      </c>
      <c r="C114" s="2"/>
      <c r="D114" s="13"/>
      <c r="E114" s="13"/>
      <c r="F114" s="44"/>
      <c r="G114" s="42"/>
      <c r="H114" s="42"/>
      <c r="I114" s="42"/>
      <c r="J114" s="27"/>
      <c r="K114" s="42"/>
    </row>
    <row r="115" ht="39.75" customHeight="1">
      <c r="A115" s="1">
        <v>114.0</v>
      </c>
      <c r="B115" s="2" t="s">
        <v>331</v>
      </c>
      <c r="C115" s="2"/>
      <c r="D115" s="13"/>
      <c r="E115" s="13"/>
      <c r="F115" s="44"/>
      <c r="G115" s="42"/>
      <c r="H115" s="42"/>
      <c r="I115" s="42"/>
      <c r="J115" s="27"/>
      <c r="K115" s="42"/>
    </row>
    <row r="116" ht="39.75" customHeight="1">
      <c r="A116" s="1">
        <v>115.0</v>
      </c>
      <c r="B116" s="2" t="s">
        <v>21</v>
      </c>
      <c r="C116" s="2"/>
      <c r="D116" s="40"/>
      <c r="E116" s="40"/>
      <c r="F116" s="96"/>
      <c r="G116" s="43"/>
      <c r="H116" s="42"/>
      <c r="I116" s="42"/>
      <c r="J116" s="22"/>
      <c r="K116" s="42"/>
    </row>
    <row r="117" ht="39.75" customHeight="1">
      <c r="A117" s="1">
        <v>116.0</v>
      </c>
      <c r="B117" s="2" t="s">
        <v>22</v>
      </c>
      <c r="C117" s="2"/>
      <c r="D117" s="13"/>
      <c r="E117" s="13"/>
      <c r="F117" s="44"/>
      <c r="G117" s="43"/>
      <c r="H117" s="42"/>
      <c r="I117" s="42"/>
      <c r="J117" s="22"/>
      <c r="K117" s="42"/>
    </row>
    <row r="118" ht="39.75" customHeight="1">
      <c r="A118" s="1">
        <v>117.0</v>
      </c>
      <c r="B118" s="2" t="s">
        <v>261</v>
      </c>
      <c r="C118" s="2"/>
      <c r="D118" s="13"/>
      <c r="E118" s="13"/>
      <c r="F118" s="45"/>
      <c r="G118" s="42"/>
      <c r="H118" s="42"/>
      <c r="I118" s="42"/>
      <c r="J118" s="22"/>
      <c r="K118" s="42"/>
    </row>
    <row r="119" ht="39.75" customHeight="1">
      <c r="A119" s="1">
        <v>118.0</v>
      </c>
      <c r="B119" s="2" t="s">
        <v>23</v>
      </c>
      <c r="C119" s="2"/>
      <c r="D119" s="13"/>
      <c r="E119" s="13"/>
      <c r="F119" s="44"/>
      <c r="G119" s="43"/>
      <c r="H119" s="42"/>
      <c r="I119" s="42"/>
      <c r="J119" s="22"/>
      <c r="K119" s="42"/>
    </row>
    <row r="120" ht="39.75" customHeight="1">
      <c r="A120" s="1">
        <v>119.0</v>
      </c>
      <c r="B120" s="2" t="s">
        <v>24</v>
      </c>
      <c r="C120" s="2"/>
      <c r="D120" s="13"/>
      <c r="E120" s="13"/>
      <c r="F120" s="44"/>
      <c r="G120" s="43"/>
      <c r="H120" s="42"/>
      <c r="I120" s="42"/>
      <c r="J120" s="22"/>
      <c r="K120" s="42"/>
    </row>
    <row r="121" ht="39.75" customHeight="1">
      <c r="A121" s="1">
        <v>120.0</v>
      </c>
      <c r="B121" s="2" t="s">
        <v>25</v>
      </c>
      <c r="C121" s="2"/>
      <c r="D121" s="13"/>
      <c r="E121" s="13"/>
      <c r="F121" s="44"/>
      <c r="G121" s="43"/>
      <c r="H121" s="42"/>
      <c r="I121" s="42"/>
      <c r="J121" s="22"/>
      <c r="K121" s="42"/>
    </row>
    <row r="122" ht="39.75" customHeight="1">
      <c r="A122" s="1">
        <v>121.0</v>
      </c>
      <c r="B122" s="2" t="s">
        <v>26</v>
      </c>
      <c r="C122" s="2"/>
      <c r="D122" s="13"/>
      <c r="E122" s="13"/>
      <c r="F122" s="44"/>
      <c r="G122" s="43"/>
      <c r="H122" s="42"/>
      <c r="I122" s="43"/>
      <c r="J122" s="22"/>
      <c r="K122" s="42"/>
    </row>
    <row r="123" ht="39.75" customHeight="1">
      <c r="A123" s="1">
        <v>122.0</v>
      </c>
      <c r="B123" s="2" t="s">
        <v>29</v>
      </c>
      <c r="C123" s="2"/>
      <c r="D123" s="13"/>
      <c r="E123" s="13"/>
      <c r="F123" s="44"/>
      <c r="G123" s="43"/>
      <c r="H123" s="42"/>
      <c r="I123" s="43"/>
      <c r="J123" s="22"/>
      <c r="K123" s="42"/>
    </row>
    <row r="124" ht="39.75" customHeight="1">
      <c r="A124" s="1">
        <v>123.0</v>
      </c>
      <c r="B124" s="2" t="s">
        <v>32</v>
      </c>
      <c r="C124" s="2"/>
      <c r="D124" s="13"/>
      <c r="E124" s="13"/>
      <c r="F124" s="61"/>
      <c r="G124" s="43"/>
      <c r="H124" s="42"/>
      <c r="I124" s="43"/>
      <c r="J124" s="22"/>
      <c r="K124" s="42"/>
    </row>
    <row r="125" ht="39.75" customHeight="1">
      <c r="A125" s="1">
        <v>124.0</v>
      </c>
      <c r="B125" s="2" t="s">
        <v>67</v>
      </c>
      <c r="C125" s="2"/>
      <c r="D125" s="13"/>
      <c r="E125" s="13"/>
      <c r="F125" s="44"/>
      <c r="G125" s="43"/>
      <c r="H125" s="42"/>
      <c r="I125" s="43"/>
      <c r="J125" s="22"/>
      <c r="K125" s="42"/>
    </row>
    <row r="126" ht="39.75" customHeight="1">
      <c r="A126" s="1">
        <v>125.0</v>
      </c>
      <c r="B126" s="2" t="s">
        <v>35</v>
      </c>
      <c r="C126" s="2"/>
      <c r="D126" s="13"/>
      <c r="E126" s="13"/>
      <c r="F126" s="44"/>
      <c r="G126" s="42"/>
      <c r="H126" s="42"/>
      <c r="I126" s="42"/>
      <c r="J126" s="22"/>
      <c r="K126" s="42"/>
    </row>
    <row r="127" ht="39.75" customHeight="1">
      <c r="A127" s="1">
        <v>126.0</v>
      </c>
      <c r="B127" s="2" t="s">
        <v>36</v>
      </c>
      <c r="C127" s="2"/>
      <c r="D127" s="13"/>
      <c r="E127" s="13"/>
      <c r="F127" s="45"/>
      <c r="G127" s="42"/>
      <c r="H127" s="42"/>
      <c r="I127" s="42"/>
      <c r="J127" s="22"/>
      <c r="K127" s="42"/>
    </row>
    <row r="128" ht="39.75" customHeight="1">
      <c r="A128" s="1">
        <v>127.0</v>
      </c>
      <c r="B128" s="2" t="s">
        <v>38</v>
      </c>
      <c r="C128" s="2"/>
      <c r="D128" s="13"/>
      <c r="E128" s="13"/>
      <c r="F128" s="96"/>
      <c r="G128" s="43"/>
      <c r="H128" s="42"/>
      <c r="I128" s="43"/>
      <c r="J128" s="22"/>
      <c r="K128" s="42"/>
    </row>
    <row r="129" ht="39.75" customHeight="1">
      <c r="A129" s="1">
        <v>128.0</v>
      </c>
      <c r="B129" s="2" t="s">
        <v>41</v>
      </c>
      <c r="C129" s="2"/>
      <c r="D129" s="13"/>
      <c r="E129" s="13"/>
      <c r="F129" s="44"/>
      <c r="G129" s="43"/>
      <c r="H129" s="42"/>
      <c r="I129" s="43"/>
      <c r="J129" s="22"/>
      <c r="K129" s="42"/>
    </row>
    <row r="130" ht="39.75" customHeight="1">
      <c r="A130" s="1">
        <v>129.0</v>
      </c>
      <c r="B130" s="2" t="s">
        <v>42</v>
      </c>
      <c r="C130" s="2"/>
      <c r="D130" s="13"/>
      <c r="E130" s="13"/>
      <c r="F130" s="45"/>
      <c r="G130" s="42"/>
      <c r="H130" s="42"/>
      <c r="I130" s="42"/>
      <c r="J130" s="22"/>
      <c r="K130" s="42"/>
    </row>
    <row r="131" ht="39.75" customHeight="1">
      <c r="A131" s="1">
        <v>130.0</v>
      </c>
      <c r="B131" s="2" t="s">
        <v>43</v>
      </c>
      <c r="C131" s="2"/>
      <c r="D131" s="13"/>
      <c r="E131" s="13"/>
      <c r="F131" s="44"/>
      <c r="G131" s="43"/>
      <c r="H131" s="42"/>
      <c r="I131" s="42"/>
      <c r="J131" s="22"/>
      <c r="K131" s="42"/>
    </row>
    <row r="132" ht="39.75" customHeight="1">
      <c r="A132" s="1">
        <v>131.0</v>
      </c>
      <c r="B132" s="2" t="s">
        <v>267</v>
      </c>
      <c r="C132" s="2"/>
      <c r="D132" s="13"/>
      <c r="E132" s="13"/>
      <c r="F132" s="44"/>
      <c r="G132" s="43"/>
      <c r="H132" s="42"/>
      <c r="I132" s="43"/>
      <c r="J132" s="22"/>
      <c r="K132" s="42"/>
    </row>
    <row r="133" ht="39.75" customHeight="1">
      <c r="A133" s="1">
        <v>132.0</v>
      </c>
      <c r="B133" s="2" t="s">
        <v>46</v>
      </c>
      <c r="C133" s="2"/>
      <c r="D133" s="13"/>
      <c r="E133" s="13"/>
      <c r="F133" s="44"/>
      <c r="G133" s="43"/>
      <c r="H133" s="42"/>
      <c r="I133" s="42"/>
      <c r="J133" s="22"/>
      <c r="K133" s="42"/>
    </row>
    <row r="134" ht="39.75" customHeight="1">
      <c r="A134" s="1">
        <v>133.0</v>
      </c>
      <c r="B134" s="2" t="s">
        <v>47</v>
      </c>
      <c r="C134" s="2"/>
      <c r="D134" s="13"/>
      <c r="E134" s="13"/>
      <c r="F134" s="45"/>
      <c r="G134" s="42"/>
      <c r="H134" s="42"/>
      <c r="I134" s="42"/>
      <c r="J134" s="22"/>
      <c r="K134" s="42"/>
    </row>
    <row r="135" ht="39.75" customHeight="1">
      <c r="A135" s="1">
        <v>134.0</v>
      </c>
      <c r="B135" s="2" t="s">
        <v>48</v>
      </c>
      <c r="C135" s="2"/>
      <c r="D135" s="13"/>
      <c r="E135" s="13"/>
      <c r="F135" s="44"/>
      <c r="G135" s="43"/>
      <c r="H135" s="42"/>
      <c r="I135" s="42"/>
      <c r="J135" s="22"/>
      <c r="K135" s="42"/>
    </row>
    <row r="136" ht="39.75" customHeight="1">
      <c r="A136" s="1">
        <v>135.0</v>
      </c>
      <c r="B136" s="21"/>
      <c r="C136" s="21"/>
      <c r="D136" s="21"/>
      <c r="E136" s="21"/>
      <c r="F136" s="46"/>
      <c r="G136" s="47"/>
      <c r="H136" s="47"/>
      <c r="I136" s="47"/>
      <c r="J136" s="48"/>
      <c r="K136" s="47"/>
      <c r="L136" s="49"/>
      <c r="M136" s="49"/>
      <c r="N136" s="49"/>
    </row>
    <row r="137" ht="39.75" customHeight="1">
      <c r="A137" s="1">
        <v>136.0</v>
      </c>
      <c r="B137" s="2" t="s">
        <v>12</v>
      </c>
      <c r="C137" s="2"/>
      <c r="D137" s="13"/>
      <c r="E137" s="13"/>
      <c r="F137" s="44"/>
      <c r="G137" s="43"/>
      <c r="H137" s="42"/>
      <c r="I137" s="43"/>
      <c r="J137" s="27"/>
      <c r="K137" s="43"/>
      <c r="L137" s="15" t="s">
        <v>128</v>
      </c>
    </row>
    <row r="138" ht="39.75" customHeight="1">
      <c r="A138" s="1">
        <v>137.0</v>
      </c>
      <c r="B138" s="2" t="s">
        <v>16</v>
      </c>
      <c r="C138" s="2"/>
      <c r="D138" s="13"/>
      <c r="E138" s="13"/>
      <c r="F138" s="44"/>
      <c r="G138" s="43"/>
      <c r="H138" s="42"/>
      <c r="I138" s="42"/>
      <c r="J138" s="27" t="s">
        <v>128</v>
      </c>
      <c r="K138" s="43"/>
    </row>
    <row r="139" ht="39.75" customHeight="1">
      <c r="A139" s="1">
        <v>138.0</v>
      </c>
      <c r="B139" s="2" t="s">
        <v>116</v>
      </c>
      <c r="C139" s="2"/>
      <c r="D139" s="13"/>
      <c r="E139" s="13"/>
      <c r="F139" s="44"/>
      <c r="G139" s="43"/>
      <c r="H139" s="42"/>
      <c r="I139" s="42"/>
      <c r="J139" s="27" t="s">
        <v>131</v>
      </c>
      <c r="K139" s="43"/>
    </row>
    <row r="140" ht="39.75" customHeight="1">
      <c r="A140" s="1">
        <v>139.0</v>
      </c>
      <c r="B140" s="2" t="s">
        <v>263</v>
      </c>
      <c r="C140" s="2"/>
      <c r="D140" s="13"/>
      <c r="E140" s="13"/>
      <c r="F140" s="44"/>
      <c r="G140" s="43"/>
      <c r="H140" s="42"/>
      <c r="I140" s="42"/>
      <c r="J140" s="27" t="s">
        <v>30</v>
      </c>
      <c r="K140" s="43"/>
    </row>
    <row r="141" ht="39.75" customHeight="1">
      <c r="A141" s="1">
        <v>140.0</v>
      </c>
      <c r="B141" s="2" t="s">
        <v>17</v>
      </c>
      <c r="C141" s="2"/>
      <c r="D141" s="13"/>
      <c r="E141" s="13"/>
      <c r="F141" s="44"/>
      <c r="G141" s="43"/>
      <c r="H141" s="42"/>
      <c r="I141" s="42"/>
      <c r="J141" s="27"/>
      <c r="K141" s="43"/>
    </row>
    <row r="142" ht="39.75" customHeight="1">
      <c r="A142" s="1">
        <v>141.0</v>
      </c>
      <c r="B142" s="2" t="s">
        <v>331</v>
      </c>
      <c r="C142" s="2"/>
      <c r="D142" s="13"/>
      <c r="E142" s="13"/>
      <c r="F142" s="44"/>
      <c r="G142" s="42"/>
      <c r="H142" s="42"/>
      <c r="I142" s="42"/>
      <c r="J142" s="27"/>
      <c r="K142" s="43"/>
    </row>
    <row r="143" ht="39.75" customHeight="1">
      <c r="A143" s="1">
        <v>142.0</v>
      </c>
      <c r="B143" s="2" t="s">
        <v>21</v>
      </c>
      <c r="C143" s="2"/>
      <c r="D143" s="13"/>
      <c r="E143" s="13"/>
      <c r="F143" s="44"/>
      <c r="G143" s="43"/>
      <c r="H143" s="42"/>
      <c r="I143" s="42"/>
      <c r="J143" s="22"/>
      <c r="K143" s="42"/>
    </row>
    <row r="144" ht="39.75" customHeight="1">
      <c r="A144" s="1">
        <v>143.0</v>
      </c>
      <c r="B144" s="2" t="s">
        <v>22</v>
      </c>
      <c r="C144" s="2"/>
      <c r="D144" s="13"/>
      <c r="E144" s="13"/>
      <c r="F144" s="44"/>
      <c r="G144" s="43"/>
      <c r="H144" s="42"/>
      <c r="I144" s="42"/>
      <c r="J144" s="22"/>
      <c r="K144" s="42"/>
    </row>
    <row r="145" ht="39.75" customHeight="1">
      <c r="A145" s="1">
        <v>144.0</v>
      </c>
      <c r="B145" s="2" t="s">
        <v>261</v>
      </c>
      <c r="C145" s="2"/>
      <c r="D145" s="13"/>
      <c r="E145" s="13"/>
      <c r="F145" s="45"/>
      <c r="G145" s="42"/>
      <c r="H145" s="42"/>
      <c r="I145" s="42"/>
      <c r="J145" s="22"/>
      <c r="K145" s="42"/>
    </row>
    <row r="146" ht="39.75" customHeight="1">
      <c r="A146" s="1">
        <v>145.0</v>
      </c>
      <c r="B146" s="2" t="s">
        <v>23</v>
      </c>
      <c r="C146" s="2"/>
      <c r="D146" s="13"/>
      <c r="E146" s="13"/>
      <c r="F146" s="44"/>
      <c r="G146" s="43"/>
      <c r="H146" s="42"/>
      <c r="I146" s="42"/>
      <c r="J146" s="22"/>
      <c r="K146" s="42"/>
    </row>
    <row r="147" ht="39.75" customHeight="1">
      <c r="A147" s="1">
        <v>146.0</v>
      </c>
      <c r="B147" s="2" t="s">
        <v>24</v>
      </c>
      <c r="C147" s="2"/>
      <c r="D147" s="13"/>
      <c r="E147" s="13"/>
      <c r="F147" s="44"/>
      <c r="G147" s="43"/>
      <c r="H147" s="42"/>
      <c r="I147" s="43"/>
      <c r="J147" s="22"/>
      <c r="K147" s="42"/>
    </row>
    <row r="148" ht="39.75" customHeight="1">
      <c r="A148" s="1">
        <v>147.0</v>
      </c>
      <c r="B148" s="2" t="s">
        <v>25</v>
      </c>
      <c r="C148" s="2"/>
      <c r="D148" s="13"/>
      <c r="E148" s="13"/>
      <c r="F148" s="44"/>
      <c r="G148" s="43"/>
      <c r="H148" s="42"/>
      <c r="I148" s="42"/>
      <c r="J148" s="22"/>
      <c r="K148" s="42"/>
    </row>
    <row r="149" ht="39.75" customHeight="1">
      <c r="A149" s="1">
        <v>148.0</v>
      </c>
      <c r="B149" s="2" t="s">
        <v>26</v>
      </c>
      <c r="C149" s="2"/>
      <c r="D149" s="13"/>
      <c r="E149" s="13"/>
      <c r="F149" s="44"/>
      <c r="G149" s="43"/>
      <c r="H149" s="42"/>
      <c r="I149" s="43"/>
      <c r="J149" s="22"/>
      <c r="K149" s="42"/>
    </row>
    <row r="150" ht="39.75" customHeight="1">
      <c r="A150" s="1">
        <v>149.0</v>
      </c>
      <c r="B150" s="2" t="s">
        <v>29</v>
      </c>
      <c r="C150" s="2"/>
      <c r="D150" s="13"/>
      <c r="E150" s="13"/>
      <c r="F150" s="45"/>
      <c r="G150" s="42"/>
      <c r="H150" s="42"/>
      <c r="I150" s="42"/>
      <c r="J150" s="22"/>
      <c r="K150" s="42"/>
    </row>
    <row r="151" ht="39.75" customHeight="1">
      <c r="A151" s="1">
        <v>150.0</v>
      </c>
      <c r="B151" s="2" t="s">
        <v>32</v>
      </c>
      <c r="C151" s="2"/>
      <c r="D151" s="13"/>
      <c r="E151" s="13"/>
      <c r="F151" s="45"/>
      <c r="G151" s="42"/>
      <c r="H151" s="42"/>
      <c r="I151" s="42"/>
      <c r="J151" s="22"/>
      <c r="K151" s="42"/>
    </row>
    <row r="152" ht="39.75" customHeight="1">
      <c r="A152" s="1">
        <v>151.0</v>
      </c>
      <c r="B152" s="2" t="s">
        <v>67</v>
      </c>
      <c r="C152" s="2"/>
      <c r="D152" s="13"/>
      <c r="E152" s="13"/>
      <c r="F152" s="44"/>
      <c r="G152" s="43"/>
      <c r="H152" s="42"/>
      <c r="I152" s="43"/>
      <c r="J152" s="22"/>
      <c r="K152" s="42"/>
    </row>
    <row r="153" ht="39.75" customHeight="1">
      <c r="A153" s="1">
        <v>152.0</v>
      </c>
      <c r="B153" s="2" t="s">
        <v>35</v>
      </c>
      <c r="C153" s="2"/>
      <c r="D153" s="13"/>
      <c r="E153" s="13"/>
      <c r="F153" s="45"/>
      <c r="G153" s="42"/>
      <c r="H153" s="42"/>
      <c r="I153" s="42"/>
      <c r="J153" s="22"/>
      <c r="K153" s="42"/>
    </row>
    <row r="154" ht="39.75" customHeight="1">
      <c r="A154" s="1">
        <v>153.0</v>
      </c>
      <c r="B154" s="2" t="s">
        <v>36</v>
      </c>
      <c r="C154" s="2"/>
      <c r="D154" s="13"/>
      <c r="E154" s="13"/>
      <c r="F154" s="44"/>
      <c r="G154" s="43"/>
      <c r="H154" s="42"/>
      <c r="I154" s="42"/>
      <c r="J154" s="22"/>
      <c r="K154" s="42"/>
    </row>
    <row r="155" ht="39.75" customHeight="1">
      <c r="A155" s="1">
        <v>154.0</v>
      </c>
      <c r="B155" s="2" t="s">
        <v>38</v>
      </c>
      <c r="C155" s="2"/>
      <c r="D155" s="13"/>
      <c r="E155" s="13"/>
      <c r="F155" s="61"/>
      <c r="G155" s="43"/>
      <c r="H155" s="42"/>
      <c r="I155" s="42"/>
      <c r="J155" s="22"/>
      <c r="K155" s="42"/>
    </row>
    <row r="156" ht="39.75" customHeight="1">
      <c r="A156" s="1">
        <v>155.0</v>
      </c>
      <c r="B156" s="2" t="s">
        <v>41</v>
      </c>
      <c r="C156" s="2"/>
      <c r="D156" s="13"/>
      <c r="E156" s="13"/>
      <c r="F156" s="44"/>
      <c r="G156" s="43"/>
      <c r="H156" s="42"/>
      <c r="I156" s="43"/>
      <c r="J156" s="22"/>
      <c r="K156" s="42"/>
    </row>
    <row r="157" ht="39.75" customHeight="1">
      <c r="A157" s="1">
        <v>156.0</v>
      </c>
      <c r="B157" s="2" t="s">
        <v>42</v>
      </c>
      <c r="C157" s="2"/>
      <c r="D157" s="13"/>
      <c r="E157" s="13"/>
      <c r="F157" s="45"/>
      <c r="G157" s="42"/>
      <c r="H157" s="42"/>
      <c r="I157" s="42"/>
      <c r="J157" s="22"/>
      <c r="K157" s="42"/>
    </row>
    <row r="158" ht="39.75" customHeight="1">
      <c r="A158" s="1">
        <v>157.0</v>
      </c>
      <c r="B158" s="2" t="s">
        <v>43</v>
      </c>
      <c r="C158" s="2"/>
      <c r="D158" s="13"/>
      <c r="E158" s="13"/>
      <c r="F158" s="44"/>
      <c r="G158" s="43"/>
      <c r="H158" s="42"/>
      <c r="I158" s="42"/>
      <c r="J158" s="22"/>
      <c r="K158" s="42"/>
    </row>
    <row r="159" ht="39.75" customHeight="1">
      <c r="A159" s="1">
        <v>158.0</v>
      </c>
      <c r="B159" s="2" t="s">
        <v>267</v>
      </c>
      <c r="C159" s="2"/>
      <c r="D159" s="13"/>
      <c r="E159" s="13"/>
      <c r="F159" s="44"/>
      <c r="G159" s="43"/>
      <c r="H159" s="42"/>
      <c r="I159" s="43"/>
      <c r="J159" s="22"/>
      <c r="K159" s="42"/>
    </row>
    <row r="160" ht="39.75" customHeight="1">
      <c r="A160" s="1">
        <v>159.0</v>
      </c>
      <c r="B160" s="2" t="s">
        <v>46</v>
      </c>
      <c r="C160" s="2"/>
      <c r="D160" s="13"/>
      <c r="E160" s="13"/>
      <c r="F160" s="44"/>
      <c r="G160" s="43"/>
      <c r="H160" s="42"/>
      <c r="I160" s="42"/>
      <c r="J160" s="22"/>
      <c r="K160" s="42"/>
    </row>
    <row r="161" ht="39.75" customHeight="1">
      <c r="A161" s="1">
        <v>160.0</v>
      </c>
      <c r="B161" s="2" t="s">
        <v>47</v>
      </c>
      <c r="C161" s="2"/>
      <c r="D161" s="13"/>
      <c r="E161" s="13"/>
      <c r="F161" s="45"/>
      <c r="G161" s="42"/>
      <c r="H161" s="42"/>
      <c r="I161" s="42"/>
      <c r="J161" s="22"/>
      <c r="K161" s="42"/>
    </row>
    <row r="162" ht="39.75" customHeight="1">
      <c r="A162" s="1">
        <v>161.0</v>
      </c>
      <c r="B162" s="2" t="s">
        <v>48</v>
      </c>
      <c r="C162" s="2"/>
      <c r="D162" s="13"/>
      <c r="E162" s="13"/>
      <c r="F162" s="44"/>
      <c r="G162" s="43"/>
      <c r="H162" s="42"/>
      <c r="I162" s="42"/>
      <c r="J162" s="22"/>
      <c r="K162" s="42"/>
    </row>
    <row r="163" ht="39.75" customHeight="1">
      <c r="A163" s="1">
        <v>162.0</v>
      </c>
      <c r="B163" s="21"/>
      <c r="C163" s="21"/>
      <c r="D163" s="21"/>
      <c r="E163" s="21"/>
      <c r="F163" s="46"/>
      <c r="G163" s="47"/>
      <c r="H163" s="47"/>
      <c r="I163" s="47"/>
      <c r="J163" s="48"/>
      <c r="K163" s="47"/>
      <c r="L163" s="49"/>
      <c r="M163" s="49"/>
      <c r="N163" s="49"/>
    </row>
    <row r="164" ht="39.75" customHeight="1">
      <c r="A164" s="1">
        <v>163.0</v>
      </c>
      <c r="B164" s="91" t="s">
        <v>12</v>
      </c>
      <c r="C164" s="91"/>
      <c r="D164" s="97"/>
      <c r="E164" s="97"/>
      <c r="F164" s="98"/>
      <c r="G164" s="100"/>
      <c r="H164" s="100"/>
      <c r="I164" s="100"/>
      <c r="J164" s="27"/>
      <c r="K164" s="43"/>
      <c r="L164" s="15" t="s">
        <v>147</v>
      </c>
    </row>
    <row r="165" ht="39.75" customHeight="1">
      <c r="A165" s="1">
        <v>164.0</v>
      </c>
      <c r="B165" s="91" t="s">
        <v>16</v>
      </c>
      <c r="C165" s="91"/>
      <c r="D165" s="97"/>
      <c r="E165" s="97"/>
      <c r="F165" s="98"/>
      <c r="G165" s="100"/>
      <c r="H165" s="100"/>
      <c r="I165" s="100"/>
      <c r="J165" s="27" t="s">
        <v>147</v>
      </c>
      <c r="K165" s="43"/>
    </row>
    <row r="166" ht="39.75" customHeight="1">
      <c r="A166" s="1">
        <v>165.0</v>
      </c>
      <c r="B166" s="91" t="s">
        <v>116</v>
      </c>
      <c r="C166" s="91"/>
      <c r="D166" s="97"/>
      <c r="E166" s="97"/>
      <c r="F166" s="102"/>
      <c r="G166" s="100"/>
      <c r="H166" s="100"/>
      <c r="I166" s="100"/>
      <c r="J166" s="27" t="s">
        <v>149</v>
      </c>
      <c r="K166" s="43"/>
    </row>
    <row r="167" ht="39.75" customHeight="1">
      <c r="A167" s="1">
        <v>166.0</v>
      </c>
      <c r="B167" s="91" t="s">
        <v>263</v>
      </c>
      <c r="C167" s="91"/>
      <c r="D167" s="97"/>
      <c r="E167" s="97"/>
      <c r="F167" s="98"/>
      <c r="G167" s="100"/>
      <c r="H167" s="100"/>
      <c r="I167" s="100"/>
      <c r="J167" s="27" t="s">
        <v>3633</v>
      </c>
      <c r="K167" s="43"/>
    </row>
    <row r="168" ht="39.75" customHeight="1">
      <c r="A168" s="1">
        <v>167.0</v>
      </c>
      <c r="B168" s="91" t="s">
        <v>17</v>
      </c>
      <c r="C168" s="91"/>
      <c r="D168" s="97"/>
      <c r="E168" s="97"/>
      <c r="F168" s="102"/>
      <c r="G168" s="100"/>
      <c r="H168" s="100"/>
      <c r="I168" s="100"/>
      <c r="J168" s="27"/>
      <c r="K168" s="43"/>
    </row>
    <row r="169" ht="39.75" customHeight="1">
      <c r="A169" s="1">
        <v>168.0</v>
      </c>
      <c r="B169" s="91" t="s">
        <v>331</v>
      </c>
      <c r="C169" s="91"/>
      <c r="D169" s="97"/>
      <c r="E169" s="97"/>
      <c r="F169" s="102"/>
      <c r="G169" s="100"/>
      <c r="H169" s="100"/>
      <c r="I169" s="100"/>
      <c r="J169" s="27"/>
      <c r="K169" s="43"/>
    </row>
    <row r="170" ht="39.75" customHeight="1">
      <c r="A170" s="1">
        <v>169.0</v>
      </c>
      <c r="B170" s="91" t="s">
        <v>21</v>
      </c>
      <c r="C170" s="91"/>
      <c r="D170" s="97"/>
      <c r="E170" s="97"/>
      <c r="F170" s="102"/>
      <c r="G170" s="100"/>
      <c r="H170" s="100"/>
      <c r="I170" s="100"/>
      <c r="J170" s="22"/>
      <c r="K170" s="42"/>
    </row>
    <row r="171" ht="39.75" customHeight="1">
      <c r="A171" s="1">
        <v>170.0</v>
      </c>
      <c r="B171" s="91" t="s">
        <v>22</v>
      </c>
      <c r="C171" s="91"/>
      <c r="D171" s="97"/>
      <c r="E171" s="97"/>
      <c r="F171" s="102"/>
      <c r="G171" s="100"/>
      <c r="H171" s="100"/>
      <c r="I171" s="100"/>
      <c r="J171" s="22"/>
      <c r="K171" s="42"/>
    </row>
    <row r="172" ht="39.75" customHeight="1">
      <c r="A172" s="1">
        <v>171.0</v>
      </c>
      <c r="B172" s="91" t="s">
        <v>261</v>
      </c>
      <c r="C172" s="91"/>
      <c r="D172" s="97"/>
      <c r="E172" s="97"/>
      <c r="F172" s="102"/>
      <c r="G172" s="100"/>
      <c r="H172" s="100"/>
      <c r="I172" s="100"/>
      <c r="J172" s="22"/>
      <c r="K172" s="42"/>
    </row>
    <row r="173" ht="39.75" customHeight="1">
      <c r="A173" s="1">
        <v>172.0</v>
      </c>
      <c r="B173" s="91" t="s">
        <v>23</v>
      </c>
      <c r="C173" s="91"/>
      <c r="D173" s="97"/>
      <c r="E173" s="97"/>
      <c r="F173" s="98"/>
      <c r="G173" s="99"/>
      <c r="H173" s="100"/>
      <c r="I173" s="100"/>
      <c r="J173" s="22"/>
      <c r="K173" s="42"/>
    </row>
    <row r="174" ht="39.75" customHeight="1">
      <c r="A174" s="1">
        <v>173.0</v>
      </c>
      <c r="B174" s="91" t="s">
        <v>24</v>
      </c>
      <c r="C174" s="91"/>
      <c r="D174" s="97"/>
      <c r="E174" s="97"/>
      <c r="F174" s="102"/>
      <c r="G174" s="100"/>
      <c r="H174" s="100"/>
      <c r="I174" s="100"/>
      <c r="J174" s="22"/>
      <c r="K174" s="42"/>
    </row>
    <row r="175" ht="39.75" customHeight="1">
      <c r="A175" s="1">
        <v>174.0</v>
      </c>
      <c r="B175" s="91" t="s">
        <v>25</v>
      </c>
      <c r="C175" s="91"/>
      <c r="D175" s="97"/>
      <c r="E175" s="97"/>
      <c r="F175" s="98"/>
      <c r="G175" s="99"/>
      <c r="H175" s="100"/>
      <c r="I175" s="99"/>
      <c r="J175" s="22"/>
      <c r="K175" s="42"/>
    </row>
    <row r="176" ht="39.75" customHeight="1">
      <c r="A176" s="1">
        <v>175.0</v>
      </c>
      <c r="B176" s="91" t="s">
        <v>26</v>
      </c>
      <c r="C176" s="91"/>
      <c r="D176" s="97"/>
      <c r="E176" s="97"/>
      <c r="F176" s="102"/>
      <c r="G176" s="100"/>
      <c r="H176" s="100"/>
      <c r="I176" s="100"/>
      <c r="J176" s="22"/>
      <c r="K176" s="42"/>
    </row>
    <row r="177" ht="39.75" customHeight="1">
      <c r="A177" s="1">
        <v>176.0</v>
      </c>
      <c r="B177" s="91" t="s">
        <v>29</v>
      </c>
      <c r="C177" s="91"/>
      <c r="D177" s="97"/>
      <c r="E177" s="97"/>
      <c r="F177" s="102"/>
      <c r="G177" s="100"/>
      <c r="H177" s="100"/>
      <c r="I177" s="100"/>
      <c r="J177" s="22"/>
      <c r="K177" s="42"/>
    </row>
    <row r="178" ht="39.75" customHeight="1">
      <c r="A178" s="1">
        <v>177.0</v>
      </c>
      <c r="B178" s="91" t="s">
        <v>32</v>
      </c>
      <c r="C178" s="91"/>
      <c r="D178" s="97"/>
      <c r="E178" s="97"/>
      <c r="F178" s="102"/>
      <c r="G178" s="100"/>
      <c r="H178" s="100"/>
      <c r="I178" s="100"/>
      <c r="J178" s="22"/>
      <c r="K178" s="42"/>
    </row>
    <row r="179" ht="39.75" customHeight="1">
      <c r="A179" s="1">
        <v>178.0</v>
      </c>
      <c r="B179" s="91" t="s">
        <v>67</v>
      </c>
      <c r="C179" s="91"/>
      <c r="D179" s="97"/>
      <c r="E179" s="97"/>
      <c r="F179" s="98"/>
      <c r="G179" s="99"/>
      <c r="H179" s="100"/>
      <c r="I179" s="99"/>
      <c r="J179" s="22"/>
      <c r="K179" s="42"/>
    </row>
    <row r="180" ht="39.75" customHeight="1">
      <c r="A180" s="1">
        <v>179.0</v>
      </c>
      <c r="B180" s="91" t="s">
        <v>35</v>
      </c>
      <c r="C180" s="91"/>
      <c r="D180" s="97"/>
      <c r="E180" s="97"/>
      <c r="F180" s="102"/>
      <c r="G180" s="100"/>
      <c r="H180" s="100"/>
      <c r="I180" s="100"/>
      <c r="J180" s="22"/>
      <c r="K180" s="42"/>
    </row>
    <row r="181" ht="39.75" customHeight="1">
      <c r="A181" s="1">
        <v>180.0</v>
      </c>
      <c r="B181" s="91" t="s">
        <v>36</v>
      </c>
      <c r="C181" s="91"/>
      <c r="D181" s="97"/>
      <c r="E181" s="97"/>
      <c r="F181" s="102"/>
      <c r="G181" s="100"/>
      <c r="H181" s="100"/>
      <c r="I181" s="100"/>
      <c r="J181" s="22"/>
      <c r="K181" s="42"/>
    </row>
    <row r="182" ht="39.75" customHeight="1">
      <c r="A182" s="1">
        <v>181.0</v>
      </c>
      <c r="B182" s="2" t="s">
        <v>38</v>
      </c>
      <c r="C182" s="2"/>
      <c r="D182" s="13"/>
      <c r="E182" s="13"/>
      <c r="F182" s="44"/>
      <c r="G182" s="43"/>
      <c r="H182" s="42"/>
      <c r="I182" s="42"/>
      <c r="J182" s="22"/>
      <c r="K182" s="42"/>
    </row>
    <row r="183" ht="39.75" customHeight="1">
      <c r="A183" s="1">
        <v>182.0</v>
      </c>
      <c r="B183" s="2" t="s">
        <v>41</v>
      </c>
      <c r="C183" s="2"/>
      <c r="D183" s="13"/>
      <c r="E183" s="13"/>
      <c r="F183" s="45"/>
      <c r="G183" s="42"/>
      <c r="H183" s="42"/>
      <c r="I183" s="42"/>
      <c r="J183" s="22"/>
      <c r="K183" s="42"/>
    </row>
    <row r="184" ht="39.75" customHeight="1">
      <c r="A184" s="1">
        <v>183.0</v>
      </c>
      <c r="B184" s="2" t="s">
        <v>42</v>
      </c>
      <c r="C184" s="2"/>
      <c r="D184" s="13"/>
      <c r="E184" s="13"/>
      <c r="F184" s="45"/>
      <c r="G184" s="42"/>
      <c r="H184" s="42"/>
      <c r="I184" s="42"/>
      <c r="J184" s="22"/>
      <c r="K184" s="42"/>
    </row>
    <row r="185" ht="39.75" customHeight="1">
      <c r="A185" s="1">
        <v>184.0</v>
      </c>
      <c r="B185" s="91" t="s">
        <v>43</v>
      </c>
      <c r="C185" s="91"/>
      <c r="D185" s="97"/>
      <c r="E185" s="97"/>
      <c r="F185" s="102"/>
      <c r="G185" s="100"/>
      <c r="H185" s="100"/>
      <c r="I185" s="100"/>
      <c r="J185" s="22"/>
      <c r="K185" s="42"/>
    </row>
    <row r="186" ht="39.75" customHeight="1">
      <c r="A186" s="1">
        <v>185.0</v>
      </c>
      <c r="B186" s="91" t="s">
        <v>267</v>
      </c>
      <c r="C186" s="91"/>
      <c r="D186" s="97"/>
      <c r="E186" s="97"/>
      <c r="F186" s="98"/>
      <c r="G186" s="99"/>
      <c r="H186" s="99"/>
      <c r="I186" s="100"/>
      <c r="J186" s="22"/>
      <c r="K186" s="42"/>
    </row>
    <row r="187" ht="39.75" customHeight="1">
      <c r="A187" s="1">
        <v>186.0</v>
      </c>
      <c r="B187" s="91" t="s">
        <v>46</v>
      </c>
      <c r="C187" s="91"/>
      <c r="D187" s="97"/>
      <c r="E187" s="97"/>
      <c r="F187" s="98"/>
      <c r="G187" s="100"/>
      <c r="H187" s="100"/>
      <c r="I187" s="100"/>
      <c r="J187" s="22"/>
      <c r="K187" s="42"/>
    </row>
    <row r="188" ht="39.75" customHeight="1">
      <c r="A188" s="1">
        <v>187.0</v>
      </c>
      <c r="B188" s="91" t="s">
        <v>47</v>
      </c>
      <c r="C188" s="91"/>
      <c r="D188" s="97"/>
      <c r="E188" s="97"/>
      <c r="F188" s="102"/>
      <c r="G188" s="100"/>
      <c r="H188" s="100"/>
      <c r="I188" s="100"/>
      <c r="J188" s="22"/>
      <c r="K188" s="42"/>
    </row>
    <row r="189" ht="39.75" customHeight="1">
      <c r="A189" s="1">
        <v>188.0</v>
      </c>
      <c r="B189" s="103" t="s">
        <v>48</v>
      </c>
      <c r="C189" s="103"/>
      <c r="D189" s="104"/>
      <c r="E189" s="104"/>
      <c r="F189" s="105"/>
      <c r="G189" s="106"/>
      <c r="H189" s="106"/>
      <c r="I189" s="106"/>
      <c r="J189" s="22"/>
      <c r="K189" s="42"/>
    </row>
    <row r="190" ht="39.75" customHeight="1">
      <c r="A190" s="1">
        <v>189.0</v>
      </c>
      <c r="B190" s="21"/>
      <c r="C190" s="21"/>
      <c r="D190" s="21"/>
      <c r="E190" s="21"/>
      <c r="F190" s="46"/>
      <c r="G190" s="47"/>
      <c r="H190" s="47"/>
      <c r="I190" s="47"/>
      <c r="J190" s="48"/>
      <c r="K190" s="47"/>
      <c r="L190" s="49"/>
      <c r="M190" s="49"/>
      <c r="N190" s="49"/>
    </row>
    <row r="191" ht="39.75" customHeight="1">
      <c r="A191" s="1">
        <v>190.0</v>
      </c>
      <c r="B191" s="2" t="s">
        <v>12</v>
      </c>
      <c r="C191" s="107"/>
      <c r="D191" s="13"/>
      <c r="E191" s="108"/>
      <c r="F191" s="45"/>
      <c r="G191" s="42"/>
      <c r="H191" s="42"/>
      <c r="I191" s="42"/>
      <c r="J191" s="22"/>
      <c r="K191" s="42"/>
      <c r="L191" s="15" t="s">
        <v>163</v>
      </c>
    </row>
    <row r="192" ht="39.75" customHeight="1">
      <c r="A192" s="1">
        <v>191.0</v>
      </c>
      <c r="B192" s="2" t="s">
        <v>16</v>
      </c>
      <c r="C192" s="2"/>
      <c r="D192" s="13"/>
      <c r="E192" s="13"/>
      <c r="F192" s="45"/>
      <c r="G192" s="42"/>
      <c r="H192" s="42"/>
      <c r="I192" s="42"/>
      <c r="J192" s="27" t="s">
        <v>163</v>
      </c>
      <c r="K192" s="43"/>
    </row>
    <row r="193" ht="39.75" customHeight="1">
      <c r="A193" s="1">
        <v>192.0</v>
      </c>
      <c r="B193" s="2" t="s">
        <v>116</v>
      </c>
      <c r="C193" s="2"/>
      <c r="D193" s="13"/>
      <c r="E193" s="13"/>
      <c r="F193" s="44"/>
      <c r="G193" s="42"/>
      <c r="H193" s="42"/>
      <c r="I193" s="42"/>
      <c r="J193" s="27" t="s">
        <v>19</v>
      </c>
      <c r="K193" s="42"/>
    </row>
    <row r="194" ht="39.75" customHeight="1">
      <c r="A194" s="1">
        <v>193.0</v>
      </c>
      <c r="B194" s="2" t="s">
        <v>263</v>
      </c>
      <c r="C194" s="2"/>
      <c r="D194" s="13"/>
      <c r="E194" s="13"/>
      <c r="F194" s="44"/>
      <c r="G194" s="42"/>
      <c r="H194" s="42"/>
      <c r="I194" s="42"/>
      <c r="J194" s="27" t="s">
        <v>3637</v>
      </c>
      <c r="K194" s="42"/>
    </row>
    <row r="195" ht="39.75" customHeight="1">
      <c r="A195" s="1">
        <v>194.0</v>
      </c>
      <c r="B195" s="2" t="s">
        <v>17</v>
      </c>
      <c r="C195" s="2"/>
      <c r="D195" s="13"/>
      <c r="E195" s="13"/>
      <c r="F195" s="44"/>
      <c r="G195" s="43"/>
      <c r="H195" s="42"/>
      <c r="I195" s="43"/>
      <c r="J195" s="27"/>
      <c r="K195" s="42"/>
    </row>
    <row r="196" ht="39.75" customHeight="1">
      <c r="A196" s="1">
        <v>195.0</v>
      </c>
      <c r="B196" s="2" t="s">
        <v>331</v>
      </c>
      <c r="C196" s="2"/>
      <c r="D196" s="13"/>
      <c r="E196" s="13"/>
      <c r="F196" s="44"/>
      <c r="G196" s="42"/>
      <c r="H196" s="42"/>
      <c r="I196" s="42"/>
      <c r="J196" s="27"/>
      <c r="K196" s="42"/>
    </row>
    <row r="197" ht="39.75" customHeight="1">
      <c r="A197" s="1">
        <v>196.0</v>
      </c>
      <c r="B197" s="2" t="s">
        <v>21</v>
      </c>
      <c r="C197" s="2"/>
      <c r="D197" s="13"/>
      <c r="E197" s="13"/>
      <c r="F197" s="44"/>
      <c r="G197" s="43"/>
      <c r="H197" s="42"/>
      <c r="I197" s="42"/>
      <c r="J197" s="22"/>
      <c r="K197" s="42"/>
    </row>
    <row r="198" ht="39.75" customHeight="1">
      <c r="A198" s="1">
        <v>197.0</v>
      </c>
      <c r="B198" s="2" t="s">
        <v>22</v>
      </c>
      <c r="C198" s="2"/>
      <c r="D198" s="13"/>
      <c r="E198" s="13"/>
      <c r="F198" s="45"/>
      <c r="G198" s="42"/>
      <c r="H198" s="42"/>
      <c r="I198" s="42"/>
      <c r="J198" s="22"/>
      <c r="K198" s="42"/>
    </row>
    <row r="199" ht="39.75" customHeight="1">
      <c r="A199" s="1">
        <v>198.0</v>
      </c>
      <c r="B199" s="2" t="s">
        <v>261</v>
      </c>
      <c r="C199" s="2"/>
      <c r="D199" s="13"/>
      <c r="E199" s="13"/>
      <c r="F199" s="45"/>
      <c r="G199" s="42"/>
      <c r="H199" s="42"/>
      <c r="I199" s="42"/>
      <c r="J199" s="22"/>
      <c r="K199" s="42"/>
    </row>
    <row r="200" ht="39.75" customHeight="1">
      <c r="A200" s="1">
        <v>199.0</v>
      </c>
      <c r="B200" s="2" t="s">
        <v>23</v>
      </c>
      <c r="C200" s="2"/>
      <c r="D200" s="13"/>
      <c r="E200" s="13"/>
      <c r="F200" s="44"/>
      <c r="G200" s="42"/>
      <c r="H200" s="42"/>
      <c r="I200" s="42"/>
      <c r="J200" s="22"/>
      <c r="K200" s="42"/>
    </row>
    <row r="201" ht="39.75" customHeight="1">
      <c r="A201" s="1">
        <v>200.0</v>
      </c>
      <c r="B201" s="2" t="s">
        <v>24</v>
      </c>
      <c r="C201" s="2"/>
      <c r="D201" s="13"/>
      <c r="E201" s="13"/>
      <c r="F201" s="45"/>
      <c r="G201" s="42"/>
      <c r="H201" s="42"/>
      <c r="I201" s="42"/>
      <c r="J201" s="22"/>
      <c r="K201" s="42"/>
    </row>
    <row r="202" ht="39.75" customHeight="1">
      <c r="A202" s="1">
        <v>201.0</v>
      </c>
      <c r="B202" s="2" t="s">
        <v>25</v>
      </c>
      <c r="C202" s="2"/>
      <c r="D202" s="53"/>
      <c r="E202" s="13"/>
      <c r="F202" s="44"/>
      <c r="G202" s="43"/>
      <c r="H202" s="42"/>
      <c r="I202" s="42"/>
      <c r="J202" s="22"/>
      <c r="K202" s="42"/>
    </row>
    <row r="203" ht="39.75" customHeight="1">
      <c r="A203" s="1">
        <v>202.0</v>
      </c>
      <c r="B203" s="2" t="s">
        <v>26</v>
      </c>
      <c r="C203" s="2"/>
      <c r="D203" s="13"/>
      <c r="E203" s="13"/>
      <c r="F203" s="44"/>
      <c r="G203" s="43"/>
      <c r="H203" s="42"/>
      <c r="I203" s="42"/>
      <c r="J203" s="22"/>
      <c r="K203" s="42"/>
    </row>
    <row r="204" ht="39.75" customHeight="1">
      <c r="A204" s="1">
        <v>203.0</v>
      </c>
      <c r="B204" s="2" t="s">
        <v>29</v>
      </c>
      <c r="C204" s="2"/>
      <c r="D204" s="13"/>
      <c r="E204" s="13"/>
      <c r="F204" s="45"/>
      <c r="G204" s="42"/>
      <c r="H204" s="42"/>
      <c r="I204" s="42"/>
      <c r="J204" s="22"/>
      <c r="K204" s="42"/>
    </row>
    <row r="205" ht="39.75" customHeight="1">
      <c r="A205" s="1">
        <v>204.0</v>
      </c>
      <c r="B205" s="2" t="s">
        <v>32</v>
      </c>
      <c r="C205" s="2"/>
      <c r="D205" s="13"/>
      <c r="E205" s="13"/>
      <c r="F205" s="45"/>
      <c r="G205" s="42"/>
      <c r="H205" s="42"/>
      <c r="I205" s="42"/>
      <c r="J205" s="22"/>
      <c r="K205" s="42"/>
    </row>
    <row r="206" ht="39.75" customHeight="1">
      <c r="A206" s="1">
        <v>205.0</v>
      </c>
      <c r="B206" s="2" t="s">
        <v>67</v>
      </c>
      <c r="C206" s="2"/>
      <c r="D206" s="13"/>
      <c r="E206" s="13"/>
      <c r="F206" s="44"/>
      <c r="G206" s="43"/>
      <c r="H206" s="42"/>
      <c r="I206" s="42"/>
      <c r="J206" s="22"/>
      <c r="K206" s="42"/>
    </row>
    <row r="207" ht="39.75" customHeight="1">
      <c r="A207" s="1">
        <v>206.0</v>
      </c>
      <c r="B207" s="2" t="s">
        <v>35</v>
      </c>
      <c r="C207" s="2"/>
      <c r="D207" s="13"/>
      <c r="E207" s="13"/>
      <c r="F207" s="45"/>
      <c r="G207" s="42"/>
      <c r="H207" s="42"/>
      <c r="I207" s="42"/>
      <c r="J207" s="22"/>
      <c r="K207" s="42"/>
    </row>
    <row r="208" ht="39.75" customHeight="1">
      <c r="A208" s="1">
        <v>207.0</v>
      </c>
      <c r="B208" s="2" t="s">
        <v>36</v>
      </c>
      <c r="C208" s="2"/>
      <c r="D208" s="13"/>
      <c r="E208" s="13"/>
      <c r="F208" s="44"/>
      <c r="G208" s="43"/>
      <c r="H208" s="42"/>
      <c r="I208" s="42"/>
      <c r="J208" s="22"/>
      <c r="K208" s="42"/>
    </row>
    <row r="209" ht="39.75" customHeight="1">
      <c r="A209" s="1">
        <v>208.0</v>
      </c>
      <c r="B209" s="2" t="s">
        <v>38</v>
      </c>
      <c r="C209" s="2"/>
      <c r="D209" s="13"/>
      <c r="E209" s="13"/>
      <c r="F209" s="45"/>
      <c r="G209" s="42"/>
      <c r="H209" s="42"/>
      <c r="I209" s="42"/>
      <c r="J209" s="22"/>
      <c r="K209" s="42"/>
    </row>
    <row r="210" ht="39.75" customHeight="1">
      <c r="A210" s="1">
        <v>209.0</v>
      </c>
      <c r="B210" s="2" t="s">
        <v>41</v>
      </c>
      <c r="C210" s="2"/>
      <c r="D210" s="13"/>
      <c r="E210" s="13"/>
      <c r="F210" s="44"/>
      <c r="G210" s="43"/>
      <c r="H210" s="42"/>
      <c r="I210" s="43"/>
      <c r="J210" s="22"/>
      <c r="K210" s="42"/>
    </row>
    <row r="211" ht="39.75" customHeight="1">
      <c r="A211" s="1">
        <v>210.0</v>
      </c>
      <c r="B211" s="2" t="s">
        <v>42</v>
      </c>
      <c r="C211" s="2"/>
      <c r="D211" s="13"/>
      <c r="E211" s="13"/>
      <c r="F211" s="45"/>
      <c r="G211" s="42"/>
      <c r="H211" s="42"/>
      <c r="I211" s="42"/>
      <c r="J211" s="22"/>
      <c r="K211" s="42"/>
    </row>
    <row r="212" ht="39.75" customHeight="1">
      <c r="A212" s="1">
        <v>211.0</v>
      </c>
      <c r="B212" s="2" t="s">
        <v>43</v>
      </c>
      <c r="C212" s="2"/>
      <c r="D212" s="13"/>
      <c r="E212" s="13"/>
      <c r="F212" s="44"/>
      <c r="G212" s="42"/>
      <c r="H212" s="42"/>
      <c r="I212" s="42"/>
      <c r="J212" s="22"/>
      <c r="K212" s="42"/>
    </row>
    <row r="213" ht="39.75" customHeight="1">
      <c r="A213" s="1">
        <v>212.0</v>
      </c>
      <c r="B213" s="2" t="s">
        <v>267</v>
      </c>
      <c r="C213" s="2"/>
      <c r="D213" s="13"/>
      <c r="E213" s="13"/>
      <c r="F213" s="45"/>
      <c r="G213" s="42"/>
      <c r="H213" s="42"/>
      <c r="I213" s="42"/>
      <c r="J213" s="22"/>
      <c r="K213" s="42"/>
    </row>
    <row r="214" ht="39.75" customHeight="1">
      <c r="A214" s="1">
        <v>213.0</v>
      </c>
      <c r="B214" s="2" t="s">
        <v>46</v>
      </c>
      <c r="C214" s="2"/>
      <c r="D214" s="13"/>
      <c r="E214" s="13"/>
      <c r="F214" s="44"/>
      <c r="G214" s="43"/>
      <c r="H214" s="42"/>
      <c r="I214" s="42"/>
      <c r="J214" s="22"/>
      <c r="K214" s="42"/>
    </row>
    <row r="215" ht="39.75" customHeight="1">
      <c r="A215" s="1">
        <v>214.0</v>
      </c>
      <c r="B215" s="2" t="s">
        <v>47</v>
      </c>
      <c r="C215" s="2"/>
      <c r="D215" s="13"/>
      <c r="E215" s="13"/>
      <c r="F215" s="45"/>
      <c r="G215" s="42"/>
      <c r="H215" s="42"/>
      <c r="I215" s="42"/>
      <c r="J215" s="22"/>
      <c r="K215" s="42"/>
    </row>
    <row r="216" ht="39.75" customHeight="1">
      <c r="A216" s="1">
        <v>215.0</v>
      </c>
      <c r="B216" s="2" t="s">
        <v>48</v>
      </c>
      <c r="C216" s="2"/>
      <c r="D216" s="13"/>
      <c r="E216" s="13"/>
      <c r="F216" s="45"/>
      <c r="G216" s="42"/>
      <c r="H216" s="42"/>
      <c r="I216" s="42"/>
      <c r="J216" s="22"/>
      <c r="K216" s="42"/>
    </row>
    <row r="217" ht="39.75" customHeight="1">
      <c r="A217" s="1">
        <v>216.0</v>
      </c>
      <c r="B217" s="21"/>
      <c r="C217" s="21"/>
      <c r="D217" s="21"/>
      <c r="E217" s="21"/>
      <c r="F217" s="46"/>
      <c r="G217" s="47"/>
      <c r="H217" s="47"/>
      <c r="I217" s="47"/>
      <c r="J217" s="48"/>
      <c r="K217" s="47"/>
      <c r="L217" s="49"/>
      <c r="M217" s="49"/>
      <c r="N217" s="49"/>
    </row>
    <row r="218" ht="39.75" customHeight="1">
      <c r="A218" s="1">
        <v>217.0</v>
      </c>
      <c r="B218" s="2" t="s">
        <v>12</v>
      </c>
      <c r="C218" s="2"/>
      <c r="D218" s="13"/>
      <c r="E218" s="13"/>
      <c r="F218" s="44"/>
      <c r="G218" s="42"/>
      <c r="H218" s="42"/>
      <c r="I218" s="42"/>
      <c r="J218" s="22"/>
      <c r="K218" s="42"/>
      <c r="L218" s="15" t="s">
        <v>175</v>
      </c>
    </row>
    <row r="219" ht="39.75" customHeight="1">
      <c r="A219" s="1">
        <v>218.0</v>
      </c>
      <c r="B219" s="2" t="s">
        <v>16</v>
      </c>
      <c r="C219" s="2"/>
      <c r="D219" s="13"/>
      <c r="E219" s="13"/>
      <c r="F219" s="44"/>
      <c r="G219" s="43"/>
      <c r="H219" s="42"/>
      <c r="I219" s="42"/>
      <c r="J219" s="27" t="s">
        <v>175</v>
      </c>
      <c r="K219" s="43"/>
    </row>
    <row r="220" ht="39.75" customHeight="1">
      <c r="A220" s="1">
        <v>219.0</v>
      </c>
      <c r="B220" s="2" t="s">
        <v>116</v>
      </c>
      <c r="C220" s="2"/>
      <c r="D220" s="13"/>
      <c r="E220" s="13"/>
      <c r="F220" s="44"/>
      <c r="G220" s="43"/>
      <c r="H220" s="42"/>
      <c r="I220" s="42"/>
      <c r="J220" s="27" t="s">
        <v>165</v>
      </c>
      <c r="K220" s="42"/>
    </row>
    <row r="221" ht="39.75" customHeight="1">
      <c r="A221" s="1">
        <v>220.0</v>
      </c>
      <c r="B221" s="2" t="s">
        <v>263</v>
      </c>
      <c r="C221" s="2"/>
      <c r="D221" s="13"/>
      <c r="E221" s="13"/>
      <c r="F221" s="44"/>
      <c r="G221" s="43"/>
      <c r="H221" s="42"/>
      <c r="I221" s="42"/>
      <c r="J221" s="27" t="s">
        <v>2637</v>
      </c>
      <c r="K221" s="42"/>
    </row>
    <row r="222" ht="39.75" customHeight="1">
      <c r="A222" s="1">
        <v>221.0</v>
      </c>
      <c r="B222" s="2" t="s">
        <v>17</v>
      </c>
      <c r="C222" s="2"/>
      <c r="D222" s="13"/>
      <c r="E222" s="13"/>
      <c r="F222" s="44"/>
      <c r="G222" s="43"/>
      <c r="H222" s="42"/>
      <c r="I222" s="42"/>
      <c r="J222" s="27" t="s">
        <v>2638</v>
      </c>
      <c r="K222" s="42"/>
    </row>
    <row r="223" ht="39.75" customHeight="1">
      <c r="A223" s="1">
        <v>222.0</v>
      </c>
      <c r="B223" s="2" t="s">
        <v>331</v>
      </c>
      <c r="C223" s="2"/>
      <c r="D223" s="13"/>
      <c r="E223" s="13"/>
      <c r="F223" s="44"/>
      <c r="G223" s="42"/>
      <c r="H223" s="42"/>
      <c r="I223" s="42"/>
      <c r="J223" s="22"/>
      <c r="K223" s="42"/>
    </row>
    <row r="224" ht="39.75" customHeight="1">
      <c r="A224" s="1">
        <v>223.0</v>
      </c>
      <c r="B224" s="2" t="s">
        <v>21</v>
      </c>
      <c r="C224" s="2"/>
      <c r="D224" s="13"/>
      <c r="E224" s="13"/>
      <c r="F224" s="44"/>
      <c r="G224" s="43"/>
      <c r="H224" s="42"/>
      <c r="I224" s="42"/>
      <c r="J224" s="22"/>
      <c r="K224" s="42"/>
    </row>
    <row r="225" ht="39.75" customHeight="1">
      <c r="A225" s="1">
        <v>224.0</v>
      </c>
      <c r="B225" s="2" t="s">
        <v>22</v>
      </c>
      <c r="C225" s="2"/>
      <c r="D225" s="13"/>
      <c r="E225" s="13"/>
      <c r="F225" s="44"/>
      <c r="G225" s="43"/>
      <c r="H225" s="42"/>
      <c r="I225" s="43"/>
      <c r="J225" s="22"/>
      <c r="K225" s="42"/>
    </row>
    <row r="226" ht="39.75" customHeight="1">
      <c r="A226" s="1">
        <v>225.0</v>
      </c>
      <c r="B226" s="2" t="s">
        <v>261</v>
      </c>
      <c r="C226" s="2"/>
      <c r="D226" s="13"/>
      <c r="E226" s="13"/>
      <c r="F226" s="45"/>
      <c r="G226" s="42"/>
      <c r="H226" s="42"/>
      <c r="I226" s="42"/>
      <c r="J226" s="22"/>
      <c r="K226" s="42"/>
    </row>
    <row r="227" ht="39.75" customHeight="1">
      <c r="A227" s="1">
        <v>226.0</v>
      </c>
      <c r="B227" s="2" t="s">
        <v>23</v>
      </c>
      <c r="C227" s="2"/>
      <c r="D227" s="13"/>
      <c r="E227" s="13"/>
      <c r="F227" s="44"/>
      <c r="G227" s="43"/>
      <c r="H227" s="42"/>
      <c r="I227" s="42"/>
      <c r="J227" s="22"/>
      <c r="K227" s="42"/>
    </row>
    <row r="228" ht="39.75" customHeight="1">
      <c r="A228" s="1">
        <v>227.0</v>
      </c>
      <c r="B228" s="2" t="s">
        <v>24</v>
      </c>
      <c r="C228" s="2"/>
      <c r="D228" s="13"/>
      <c r="E228" s="13"/>
      <c r="F228" s="45"/>
      <c r="G228" s="42"/>
      <c r="H228" s="42"/>
      <c r="I228" s="42"/>
      <c r="J228" s="22"/>
      <c r="K228" s="42"/>
    </row>
    <row r="229" ht="39.75" customHeight="1">
      <c r="A229" s="1">
        <v>228.0</v>
      </c>
      <c r="B229" s="2" t="s">
        <v>25</v>
      </c>
      <c r="C229" s="2"/>
      <c r="D229" s="13"/>
      <c r="E229" s="13"/>
      <c r="F229" s="44"/>
      <c r="G229" s="43"/>
      <c r="H229" s="42"/>
      <c r="I229" s="42"/>
      <c r="J229" s="22"/>
      <c r="K229" s="42"/>
    </row>
    <row r="230" ht="39.75" customHeight="1">
      <c r="A230" s="1">
        <v>229.0</v>
      </c>
      <c r="B230" s="2" t="s">
        <v>26</v>
      </c>
      <c r="C230" s="2"/>
      <c r="D230" s="40"/>
      <c r="E230" s="13"/>
      <c r="F230" s="44"/>
      <c r="G230" s="43"/>
      <c r="H230" s="42"/>
      <c r="I230" s="43"/>
      <c r="J230" s="22"/>
      <c r="K230" s="42"/>
    </row>
    <row r="231" ht="39.75" customHeight="1">
      <c r="A231" s="1">
        <v>230.0</v>
      </c>
      <c r="B231" s="2" t="s">
        <v>29</v>
      </c>
      <c r="C231" s="2"/>
      <c r="D231" s="13"/>
      <c r="E231" s="13"/>
      <c r="F231" s="44"/>
      <c r="G231" s="43"/>
      <c r="H231" s="42"/>
      <c r="I231" s="43"/>
      <c r="J231" s="22"/>
      <c r="K231" s="42"/>
    </row>
    <row r="232" ht="39.75" customHeight="1">
      <c r="A232" s="1">
        <v>231.0</v>
      </c>
      <c r="B232" s="2" t="s">
        <v>32</v>
      </c>
      <c r="C232" s="2"/>
      <c r="D232" s="13"/>
      <c r="E232" s="13"/>
      <c r="F232" s="44"/>
      <c r="G232" s="43"/>
      <c r="H232" s="42"/>
      <c r="I232" s="43"/>
      <c r="J232" s="22"/>
      <c r="K232" s="42"/>
    </row>
    <row r="233" ht="39.75" customHeight="1">
      <c r="A233" s="1">
        <v>232.0</v>
      </c>
      <c r="B233" s="2" t="s">
        <v>67</v>
      </c>
      <c r="C233" s="2"/>
      <c r="D233" s="13"/>
      <c r="E233" s="13"/>
      <c r="F233" s="44"/>
      <c r="G233" s="42"/>
      <c r="H233" s="42"/>
      <c r="I233" s="42"/>
      <c r="J233" s="22"/>
      <c r="K233" s="42"/>
    </row>
    <row r="234" ht="39.75" customHeight="1">
      <c r="A234" s="1">
        <v>233.0</v>
      </c>
      <c r="B234" s="2" t="s">
        <v>35</v>
      </c>
      <c r="C234" s="2"/>
      <c r="D234" s="13"/>
      <c r="E234" s="13"/>
      <c r="F234" s="44"/>
      <c r="G234" s="43"/>
      <c r="H234" s="42"/>
      <c r="I234" s="43"/>
      <c r="J234" s="22"/>
      <c r="K234" s="42"/>
    </row>
    <row r="235" ht="39.75" customHeight="1">
      <c r="A235" s="1">
        <v>234.0</v>
      </c>
      <c r="B235" s="2" t="s">
        <v>36</v>
      </c>
      <c r="C235" s="2"/>
      <c r="D235" s="13"/>
      <c r="E235" s="13"/>
      <c r="F235" s="44"/>
      <c r="G235" s="43"/>
      <c r="H235" s="42"/>
      <c r="I235" s="43"/>
      <c r="J235" s="22"/>
      <c r="K235" s="42"/>
    </row>
    <row r="236" ht="39.75" customHeight="1">
      <c r="A236" s="1">
        <v>235.0</v>
      </c>
      <c r="B236" s="2" t="s">
        <v>38</v>
      </c>
      <c r="C236" s="2"/>
      <c r="D236" s="13"/>
      <c r="E236" s="13"/>
      <c r="F236" s="44"/>
      <c r="G236" s="43"/>
      <c r="H236" s="42"/>
      <c r="I236" s="43"/>
      <c r="J236" s="22"/>
      <c r="K236" s="42"/>
    </row>
    <row r="237" ht="39.75" customHeight="1">
      <c r="A237" s="1">
        <v>236.0</v>
      </c>
      <c r="B237" s="2" t="s">
        <v>41</v>
      </c>
      <c r="C237" s="2"/>
      <c r="D237" s="13"/>
      <c r="E237" s="13"/>
      <c r="F237" s="44"/>
      <c r="G237" s="43"/>
      <c r="H237" s="42"/>
      <c r="I237" s="43"/>
      <c r="J237" s="22"/>
      <c r="K237" s="42"/>
    </row>
    <row r="238" ht="39.75" customHeight="1">
      <c r="A238" s="1">
        <v>237.0</v>
      </c>
      <c r="B238" s="2" t="s">
        <v>42</v>
      </c>
      <c r="C238" s="2"/>
      <c r="D238" s="13"/>
      <c r="E238" s="13"/>
      <c r="F238" s="44"/>
      <c r="G238" s="43"/>
      <c r="H238" s="42"/>
      <c r="I238" s="43"/>
      <c r="J238" s="22"/>
      <c r="K238" s="42"/>
    </row>
    <row r="239" ht="39.75" customHeight="1">
      <c r="A239" s="1">
        <v>238.0</v>
      </c>
      <c r="B239" s="2" t="s">
        <v>43</v>
      </c>
      <c r="C239" s="2"/>
      <c r="D239" s="13"/>
      <c r="E239" s="13"/>
      <c r="F239" s="44"/>
      <c r="G239" s="43"/>
      <c r="H239" s="42"/>
      <c r="I239" s="43"/>
      <c r="J239" s="22"/>
      <c r="K239" s="42"/>
    </row>
    <row r="240" ht="39.75" customHeight="1">
      <c r="A240" s="1">
        <v>239.0</v>
      </c>
      <c r="B240" s="2" t="s">
        <v>267</v>
      </c>
      <c r="C240" s="2"/>
      <c r="D240" s="13"/>
      <c r="E240" s="13"/>
      <c r="F240" s="44"/>
      <c r="G240" s="43"/>
      <c r="H240" s="42"/>
      <c r="I240" s="43"/>
      <c r="J240" s="22"/>
      <c r="K240" s="42"/>
    </row>
    <row r="241" ht="39.75" customHeight="1">
      <c r="A241" s="1">
        <v>240.0</v>
      </c>
      <c r="B241" s="2" t="s">
        <v>46</v>
      </c>
      <c r="C241" s="2"/>
      <c r="D241" s="13"/>
      <c r="E241" s="13"/>
      <c r="F241" s="44"/>
      <c r="G241" s="42"/>
      <c r="H241" s="42"/>
      <c r="I241" s="42"/>
      <c r="J241" s="22"/>
      <c r="K241" s="42"/>
    </row>
    <row r="242" ht="39.75" customHeight="1">
      <c r="A242" s="1">
        <v>241.0</v>
      </c>
      <c r="B242" s="2" t="s">
        <v>47</v>
      </c>
      <c r="C242" s="2"/>
      <c r="D242" s="13"/>
      <c r="E242" s="13"/>
      <c r="F242" s="45"/>
      <c r="G242" s="42"/>
      <c r="H242" s="42"/>
      <c r="I242" s="42"/>
      <c r="J242" s="22"/>
      <c r="K242" s="42"/>
    </row>
    <row r="243" ht="39.75" customHeight="1">
      <c r="A243" s="1">
        <v>242.0</v>
      </c>
      <c r="B243" s="2" t="s">
        <v>48</v>
      </c>
      <c r="C243" s="2"/>
      <c r="D243" s="13"/>
      <c r="E243" s="13"/>
      <c r="F243" s="44"/>
      <c r="G243" s="43"/>
      <c r="H243" s="42"/>
      <c r="I243" s="42"/>
      <c r="J243" s="22"/>
      <c r="K243" s="42"/>
    </row>
    <row r="244" ht="39.75" customHeight="1">
      <c r="A244" s="1">
        <v>243.0</v>
      </c>
      <c r="B244" s="21"/>
      <c r="C244" s="21"/>
      <c r="D244" s="21"/>
      <c r="E244" s="21"/>
      <c r="F244" s="46"/>
      <c r="G244" s="47"/>
      <c r="H244" s="47"/>
      <c r="I244" s="47"/>
      <c r="J244" s="48"/>
      <c r="K244" s="47"/>
      <c r="L244" s="49"/>
      <c r="M244" s="49"/>
      <c r="N244" s="49"/>
    </row>
    <row r="245" ht="39.75" customHeight="1">
      <c r="A245" s="1">
        <v>244.0</v>
      </c>
      <c r="B245" s="2" t="s">
        <v>12</v>
      </c>
      <c r="C245" s="2"/>
      <c r="D245" s="13"/>
      <c r="E245" s="13"/>
      <c r="F245" s="44"/>
      <c r="G245" s="43"/>
      <c r="H245" s="42"/>
      <c r="I245" s="42"/>
      <c r="J245" s="22"/>
      <c r="K245" s="42"/>
      <c r="L245" s="15" t="s">
        <v>192</v>
      </c>
    </row>
    <row r="246" ht="39.75" customHeight="1">
      <c r="A246" s="1">
        <v>245.0</v>
      </c>
      <c r="B246" s="2" t="s">
        <v>16</v>
      </c>
      <c r="C246" s="2"/>
      <c r="D246" s="13"/>
      <c r="E246" s="13"/>
      <c r="F246" s="44"/>
      <c r="G246" s="43"/>
      <c r="H246" s="42"/>
      <c r="I246" s="42"/>
      <c r="J246" s="27" t="s">
        <v>192</v>
      </c>
      <c r="K246" s="43"/>
    </row>
    <row r="247" ht="39.75" customHeight="1">
      <c r="A247" s="1">
        <v>246.0</v>
      </c>
      <c r="B247" s="2" t="s">
        <v>116</v>
      </c>
      <c r="C247" s="2"/>
      <c r="D247" s="13"/>
      <c r="E247" s="13"/>
      <c r="F247" s="44"/>
      <c r="G247" s="43"/>
      <c r="H247" s="42"/>
      <c r="I247" s="42"/>
      <c r="J247" s="27" t="s">
        <v>266</v>
      </c>
      <c r="K247" s="42"/>
    </row>
    <row r="248" ht="39.75" customHeight="1">
      <c r="A248" s="1">
        <v>247.0</v>
      </c>
      <c r="B248" s="2" t="s">
        <v>263</v>
      </c>
      <c r="C248" s="2"/>
      <c r="D248" s="40"/>
      <c r="E248" s="13"/>
      <c r="F248" s="44"/>
      <c r="G248" s="42"/>
      <c r="H248" s="42"/>
      <c r="I248" s="42"/>
      <c r="J248" s="22"/>
      <c r="K248" s="42"/>
    </row>
    <row r="249" ht="39.75" customHeight="1">
      <c r="A249" s="1">
        <v>248.0</v>
      </c>
      <c r="B249" s="2" t="s">
        <v>17</v>
      </c>
      <c r="C249" s="2"/>
      <c r="D249" s="13"/>
      <c r="E249" s="13"/>
      <c r="F249" s="44"/>
      <c r="G249" s="43"/>
      <c r="H249" s="42"/>
      <c r="I249" s="43"/>
      <c r="J249" s="22"/>
      <c r="K249" s="42"/>
    </row>
    <row r="250" ht="39.75" customHeight="1">
      <c r="A250" s="1">
        <v>249.0</v>
      </c>
      <c r="B250" s="2" t="s">
        <v>331</v>
      </c>
      <c r="C250" s="2"/>
      <c r="D250" s="13"/>
      <c r="E250" s="13"/>
      <c r="F250" s="44"/>
      <c r="G250" s="43"/>
      <c r="H250" s="42"/>
      <c r="I250" s="42"/>
      <c r="J250" s="22"/>
      <c r="K250" s="42"/>
    </row>
    <row r="251" ht="39.75" customHeight="1">
      <c r="A251" s="1">
        <v>250.0</v>
      </c>
      <c r="B251" s="2" t="s">
        <v>21</v>
      </c>
      <c r="C251" s="2"/>
      <c r="D251" s="13"/>
      <c r="E251" s="13"/>
      <c r="F251" s="44"/>
      <c r="G251" s="43"/>
      <c r="H251" s="42"/>
      <c r="I251" s="42"/>
      <c r="J251" s="22"/>
      <c r="K251" s="42"/>
    </row>
    <row r="252" ht="39.75" customHeight="1">
      <c r="A252" s="1">
        <v>251.0</v>
      </c>
      <c r="B252" s="2" t="s">
        <v>22</v>
      </c>
      <c r="C252" s="2"/>
      <c r="D252" s="13"/>
      <c r="E252" s="13"/>
      <c r="F252" s="44"/>
      <c r="G252" s="42"/>
      <c r="H252" s="42"/>
      <c r="I252" s="42"/>
      <c r="J252" s="22"/>
      <c r="K252" s="42"/>
    </row>
    <row r="253" ht="39.75" customHeight="1">
      <c r="A253" s="1">
        <v>252.0</v>
      </c>
      <c r="B253" s="2" t="s">
        <v>261</v>
      </c>
      <c r="C253" s="2"/>
      <c r="D253" s="13"/>
      <c r="E253" s="13"/>
      <c r="F253" s="45"/>
      <c r="G253" s="42"/>
      <c r="H253" s="42"/>
      <c r="I253" s="42"/>
      <c r="J253" s="22"/>
      <c r="K253" s="42"/>
    </row>
    <row r="254" ht="39.75" customHeight="1">
      <c r="A254" s="1">
        <v>253.0</v>
      </c>
      <c r="B254" s="2" t="s">
        <v>23</v>
      </c>
      <c r="C254" s="2"/>
      <c r="D254" s="13"/>
      <c r="E254" s="13"/>
      <c r="F254" s="44"/>
      <c r="G254" s="43"/>
      <c r="H254" s="42"/>
      <c r="I254" s="42"/>
      <c r="J254" s="22"/>
      <c r="K254" s="42"/>
    </row>
    <row r="255" ht="39.75" customHeight="1">
      <c r="A255" s="1">
        <v>254.0</v>
      </c>
      <c r="B255" s="2" t="s">
        <v>24</v>
      </c>
      <c r="C255" s="2"/>
      <c r="D255" s="13"/>
      <c r="E255" s="13"/>
      <c r="F255" s="45"/>
      <c r="G255" s="42"/>
      <c r="H255" s="42"/>
      <c r="I255" s="42"/>
      <c r="J255" s="22"/>
      <c r="K255" s="42"/>
    </row>
    <row r="256" ht="39.75" customHeight="1">
      <c r="A256" s="1">
        <v>255.0</v>
      </c>
      <c r="B256" s="2" t="s">
        <v>25</v>
      </c>
      <c r="C256" s="2"/>
      <c r="D256" s="13"/>
      <c r="E256" s="13"/>
      <c r="F256" s="44"/>
      <c r="G256" s="43"/>
      <c r="H256" s="42"/>
      <c r="I256" s="42"/>
      <c r="J256" s="22"/>
      <c r="K256" s="42"/>
    </row>
    <row r="257" ht="39.75" customHeight="1">
      <c r="A257" s="1">
        <v>256.0</v>
      </c>
      <c r="B257" s="2" t="s">
        <v>26</v>
      </c>
      <c r="C257" s="91"/>
      <c r="D257" s="13"/>
      <c r="E257" s="13"/>
      <c r="F257" s="44"/>
      <c r="G257" s="43"/>
      <c r="H257" s="42"/>
      <c r="I257" s="42"/>
      <c r="J257" s="22"/>
      <c r="K257" s="42"/>
    </row>
    <row r="258" ht="39.75" customHeight="1">
      <c r="A258" s="1">
        <v>257.0</v>
      </c>
      <c r="B258" s="2" t="s">
        <v>29</v>
      </c>
      <c r="C258" s="2"/>
      <c r="D258" s="13"/>
      <c r="E258" s="13"/>
      <c r="F258" s="45"/>
      <c r="G258" s="42"/>
      <c r="H258" s="42"/>
      <c r="I258" s="42"/>
      <c r="J258" s="22"/>
      <c r="K258" s="42"/>
    </row>
    <row r="259" ht="39.75" customHeight="1">
      <c r="A259" s="1">
        <v>258.0</v>
      </c>
      <c r="B259" s="2" t="s">
        <v>32</v>
      </c>
      <c r="C259" s="2"/>
      <c r="D259" s="13"/>
      <c r="E259" s="13"/>
      <c r="F259" s="44"/>
      <c r="G259" s="43"/>
      <c r="H259" s="42"/>
      <c r="I259" s="43"/>
      <c r="J259" s="22"/>
      <c r="K259" s="42"/>
    </row>
    <row r="260" ht="39.75" customHeight="1">
      <c r="A260" s="1">
        <v>259.0</v>
      </c>
      <c r="B260" s="2" t="s">
        <v>67</v>
      </c>
      <c r="C260" s="2"/>
      <c r="D260" s="13"/>
      <c r="E260" s="13"/>
      <c r="F260" s="44"/>
      <c r="G260" s="43"/>
      <c r="H260" s="42"/>
      <c r="I260" s="42"/>
      <c r="J260" s="22"/>
      <c r="K260" s="42"/>
    </row>
    <row r="261" ht="39.75" customHeight="1">
      <c r="A261" s="1">
        <v>260.0</v>
      </c>
      <c r="B261" s="2" t="s">
        <v>35</v>
      </c>
      <c r="C261" s="2"/>
      <c r="D261" s="13"/>
      <c r="E261" s="13"/>
      <c r="F261" s="44"/>
      <c r="G261" s="43"/>
      <c r="H261" s="42"/>
      <c r="I261" s="42"/>
      <c r="J261" s="22"/>
      <c r="K261" s="42"/>
    </row>
    <row r="262" ht="39.75" customHeight="1">
      <c r="A262" s="1">
        <v>261.0</v>
      </c>
      <c r="B262" s="2" t="s">
        <v>36</v>
      </c>
      <c r="C262" s="2"/>
      <c r="D262" s="13"/>
      <c r="E262" s="13"/>
      <c r="F262" s="45"/>
      <c r="G262" s="42"/>
      <c r="H262" s="42"/>
      <c r="I262" s="42"/>
      <c r="J262" s="22"/>
      <c r="K262" s="42"/>
    </row>
    <row r="263" ht="39.75" customHeight="1">
      <c r="A263" s="1">
        <v>262.0</v>
      </c>
      <c r="B263" s="2" t="s">
        <v>38</v>
      </c>
      <c r="C263" s="2"/>
      <c r="D263" s="50"/>
      <c r="E263" s="13"/>
      <c r="F263" s="44"/>
      <c r="G263" s="43"/>
      <c r="H263" s="42"/>
      <c r="I263" s="42"/>
      <c r="J263" s="22"/>
      <c r="K263" s="42"/>
    </row>
    <row r="264" ht="39.75" customHeight="1">
      <c r="A264" s="1">
        <v>263.0</v>
      </c>
      <c r="B264" s="2" t="s">
        <v>41</v>
      </c>
      <c r="C264" s="2"/>
      <c r="D264" s="13"/>
      <c r="E264" s="13"/>
      <c r="F264" s="44"/>
      <c r="G264" s="43"/>
      <c r="H264" s="42"/>
      <c r="I264" s="42"/>
      <c r="J264" s="22"/>
      <c r="K264" s="42"/>
    </row>
    <row r="265" ht="39.75" customHeight="1">
      <c r="A265" s="1">
        <v>264.0</v>
      </c>
      <c r="B265" s="2" t="s">
        <v>42</v>
      </c>
      <c r="C265" s="2"/>
      <c r="D265" s="50"/>
      <c r="E265" s="13"/>
      <c r="F265" s="44"/>
      <c r="G265" s="43"/>
      <c r="H265" s="42"/>
      <c r="I265" s="43"/>
      <c r="J265" s="22"/>
      <c r="K265" s="42"/>
    </row>
    <row r="266" ht="39.75" customHeight="1">
      <c r="A266" s="1">
        <v>265.0</v>
      </c>
      <c r="B266" s="2" t="s">
        <v>43</v>
      </c>
      <c r="C266" s="2"/>
      <c r="D266" s="40"/>
      <c r="E266" s="13"/>
      <c r="F266" s="44"/>
      <c r="G266" s="43"/>
      <c r="H266" s="42"/>
      <c r="I266" s="43"/>
      <c r="J266" s="22"/>
      <c r="K266" s="42"/>
    </row>
    <row r="267" ht="39.75" customHeight="1">
      <c r="A267" s="1">
        <v>266.0</v>
      </c>
      <c r="B267" s="2" t="s">
        <v>267</v>
      </c>
      <c r="C267" s="2"/>
      <c r="D267" s="13"/>
      <c r="E267" s="13"/>
      <c r="F267" s="44"/>
      <c r="G267" s="43"/>
      <c r="H267" s="42"/>
      <c r="I267" s="42"/>
      <c r="J267" s="22"/>
      <c r="K267" s="42"/>
    </row>
    <row r="268" ht="39.75" customHeight="1">
      <c r="A268" s="1">
        <v>267.0</v>
      </c>
      <c r="B268" s="2" t="s">
        <v>46</v>
      </c>
      <c r="C268" s="2"/>
      <c r="D268" s="13"/>
      <c r="E268" s="13"/>
      <c r="F268" s="61"/>
      <c r="G268" s="43"/>
      <c r="H268" s="42"/>
      <c r="I268" s="43"/>
      <c r="J268" s="22"/>
      <c r="K268" s="42"/>
    </row>
    <row r="269" ht="39.75" customHeight="1">
      <c r="A269" s="1">
        <v>268.0</v>
      </c>
      <c r="B269" s="2" t="s">
        <v>47</v>
      </c>
      <c r="C269" s="2"/>
      <c r="D269" s="13"/>
      <c r="E269" s="13"/>
      <c r="F269" s="45"/>
      <c r="G269" s="42"/>
      <c r="H269" s="42"/>
      <c r="I269" s="42"/>
      <c r="J269" s="22"/>
      <c r="K269" s="42"/>
    </row>
    <row r="270" ht="39.75" customHeight="1">
      <c r="A270" s="1">
        <v>269.0</v>
      </c>
      <c r="B270" s="2" t="s">
        <v>48</v>
      </c>
      <c r="C270" s="2"/>
      <c r="D270" s="13"/>
      <c r="E270" s="13"/>
      <c r="F270" s="44"/>
      <c r="G270" s="43"/>
      <c r="H270" s="42"/>
      <c r="I270" s="42"/>
      <c r="J270" s="22"/>
      <c r="K270" s="42"/>
    </row>
    <row r="271" ht="39.75" customHeight="1">
      <c r="A271" s="1">
        <v>270.0</v>
      </c>
      <c r="B271" s="21"/>
      <c r="C271" s="21"/>
      <c r="D271" s="21"/>
      <c r="E271" s="21"/>
      <c r="F271" s="46"/>
      <c r="G271" s="47"/>
      <c r="H271" s="47"/>
      <c r="I271" s="47"/>
      <c r="J271" s="48"/>
      <c r="K271" s="47"/>
      <c r="L271" s="49"/>
      <c r="M271" s="49"/>
      <c r="N271" s="49"/>
    </row>
    <row r="272" ht="39.75" customHeight="1">
      <c r="A272" s="1">
        <v>271.0</v>
      </c>
      <c r="B272" s="2" t="s">
        <v>12</v>
      </c>
      <c r="C272" s="2" t="s">
        <v>62</v>
      </c>
      <c r="D272" s="91"/>
      <c r="E272" s="13"/>
      <c r="F272" s="44" t="s">
        <v>3617</v>
      </c>
      <c r="G272" s="43">
        <v>1.0</v>
      </c>
      <c r="H272" s="42"/>
      <c r="I272" s="43">
        <v>1.0</v>
      </c>
      <c r="J272" s="27" t="s">
        <v>1161</v>
      </c>
      <c r="K272" s="42"/>
      <c r="L272" s="15" t="s">
        <v>209</v>
      </c>
    </row>
    <row r="273" ht="39.75" customHeight="1">
      <c r="A273" s="1">
        <v>272.0</v>
      </c>
      <c r="B273" s="2" t="s">
        <v>16</v>
      </c>
      <c r="C273" s="2" t="s">
        <v>69</v>
      </c>
      <c r="D273" s="13"/>
      <c r="E273" s="13"/>
      <c r="F273" s="44"/>
      <c r="G273" s="42"/>
      <c r="H273" s="42"/>
      <c r="I273" s="42"/>
      <c r="J273" s="27" t="s">
        <v>209</v>
      </c>
      <c r="K273" s="43"/>
    </row>
    <row r="274" ht="39.75" customHeight="1">
      <c r="A274" s="1">
        <v>273.0</v>
      </c>
      <c r="B274" s="2" t="s">
        <v>116</v>
      </c>
      <c r="C274" s="2" t="s">
        <v>39</v>
      </c>
      <c r="D274" s="110">
        <v>0.25</v>
      </c>
      <c r="E274" s="13"/>
      <c r="F274" s="44" t="s">
        <v>3667</v>
      </c>
      <c r="G274" s="43">
        <v>1.0</v>
      </c>
      <c r="H274" s="42"/>
      <c r="I274" s="42"/>
      <c r="J274" s="27" t="s">
        <v>3637</v>
      </c>
      <c r="K274" s="42"/>
    </row>
    <row r="275" ht="39.75" customHeight="1">
      <c r="A275" s="1">
        <v>274.0</v>
      </c>
      <c r="B275" s="2" t="s">
        <v>263</v>
      </c>
      <c r="C275" s="2" t="s">
        <v>44</v>
      </c>
      <c r="D275" s="13"/>
      <c r="E275" s="13"/>
      <c r="F275" s="44"/>
      <c r="G275" s="42"/>
      <c r="H275" s="42"/>
      <c r="I275" s="42"/>
      <c r="J275" s="22"/>
      <c r="K275" s="42"/>
    </row>
    <row r="276" ht="39.75" customHeight="1">
      <c r="A276" s="1">
        <v>275.0</v>
      </c>
      <c r="B276" s="2" t="s">
        <v>17</v>
      </c>
      <c r="C276" s="2" t="s">
        <v>3603</v>
      </c>
      <c r="D276" s="13"/>
      <c r="E276" s="13"/>
      <c r="F276" s="44" t="s">
        <v>3604</v>
      </c>
      <c r="G276" s="43">
        <v>1.0</v>
      </c>
      <c r="H276" s="42"/>
      <c r="I276" s="42"/>
      <c r="J276" s="22"/>
      <c r="K276" s="42"/>
    </row>
    <row r="277" ht="39.75" customHeight="1">
      <c r="A277" s="1">
        <v>276.0</v>
      </c>
      <c r="B277" s="2" t="s">
        <v>331</v>
      </c>
      <c r="C277" s="2" t="s">
        <v>542</v>
      </c>
      <c r="D277" s="13"/>
      <c r="E277" s="13"/>
      <c r="F277" s="44" t="s">
        <v>3668</v>
      </c>
      <c r="G277" s="43">
        <v>1.0</v>
      </c>
      <c r="H277" s="42"/>
      <c r="I277" s="42"/>
      <c r="J277" s="22"/>
      <c r="K277" s="42"/>
    </row>
    <row r="278" ht="39.75" customHeight="1">
      <c r="A278" s="1">
        <v>277.0</v>
      </c>
      <c r="B278" s="107" t="s">
        <v>21</v>
      </c>
      <c r="C278" s="2" t="s">
        <v>13</v>
      </c>
      <c r="D278" s="13"/>
      <c r="E278" s="13"/>
      <c r="F278" s="45"/>
      <c r="G278" s="42"/>
      <c r="H278" s="42"/>
      <c r="I278" s="42"/>
      <c r="J278" s="22"/>
      <c r="K278" s="42"/>
    </row>
    <row r="279" ht="39.75" customHeight="1">
      <c r="A279" s="1">
        <v>278.0</v>
      </c>
      <c r="B279" s="2" t="s">
        <v>22</v>
      </c>
      <c r="C279" s="2" t="s">
        <v>13</v>
      </c>
      <c r="D279" s="13"/>
      <c r="E279" s="13"/>
      <c r="F279" s="45"/>
      <c r="G279" s="42"/>
      <c r="H279" s="42"/>
      <c r="I279" s="42"/>
      <c r="J279" s="22"/>
      <c r="K279" s="42"/>
    </row>
    <row r="280" ht="39.75" customHeight="1">
      <c r="A280" s="1">
        <v>279.0</v>
      </c>
      <c r="B280" s="2" t="s">
        <v>261</v>
      </c>
      <c r="C280" s="2" t="s">
        <v>13</v>
      </c>
      <c r="D280" s="13"/>
      <c r="E280" s="13"/>
      <c r="F280" s="45"/>
      <c r="G280" s="42"/>
      <c r="H280" s="42"/>
      <c r="I280" s="42"/>
      <c r="J280" s="22"/>
      <c r="K280" s="42"/>
    </row>
    <row r="281" ht="39.75" customHeight="1">
      <c r="A281" s="1">
        <v>280.0</v>
      </c>
      <c r="B281" s="2" t="s">
        <v>23</v>
      </c>
      <c r="C281" s="2" t="s">
        <v>66</v>
      </c>
      <c r="D281" s="13"/>
      <c r="E281" s="13"/>
      <c r="F281" s="45"/>
      <c r="G281" s="42"/>
      <c r="H281" s="42"/>
      <c r="I281" s="42"/>
      <c r="J281" s="22"/>
      <c r="K281" s="42"/>
    </row>
    <row r="282" ht="39.75" customHeight="1">
      <c r="A282" s="1">
        <v>281.0</v>
      </c>
      <c r="B282" s="2" t="s">
        <v>24</v>
      </c>
      <c r="C282" s="2" t="s">
        <v>3563</v>
      </c>
      <c r="D282" s="13"/>
      <c r="E282" s="13"/>
      <c r="F282" s="45"/>
      <c r="G282" s="43">
        <v>1.0</v>
      </c>
      <c r="H282" s="42"/>
      <c r="I282" s="42"/>
      <c r="J282" s="22"/>
      <c r="K282" s="42"/>
    </row>
    <row r="283" ht="39.75" customHeight="1">
      <c r="A283" s="1">
        <v>282.0</v>
      </c>
      <c r="B283" s="2" t="s">
        <v>25</v>
      </c>
      <c r="C283" s="2" t="s">
        <v>39</v>
      </c>
      <c r="D283" s="13"/>
      <c r="E283" s="13"/>
      <c r="F283" s="44" t="s">
        <v>3669</v>
      </c>
      <c r="G283" s="43">
        <v>1.0</v>
      </c>
      <c r="H283" s="42"/>
      <c r="I283" s="42"/>
      <c r="J283" s="22"/>
      <c r="K283" s="42"/>
    </row>
    <row r="284" ht="39.75" customHeight="1">
      <c r="A284" s="1">
        <v>283.0</v>
      </c>
      <c r="B284" s="2" t="s">
        <v>26</v>
      </c>
      <c r="C284" s="2" t="s">
        <v>3557</v>
      </c>
      <c r="D284" s="13"/>
      <c r="E284" s="13"/>
      <c r="F284" s="44" t="s">
        <v>3670</v>
      </c>
      <c r="G284" s="43">
        <v>1.0</v>
      </c>
      <c r="H284" s="42"/>
      <c r="I284" s="43"/>
      <c r="J284" s="22"/>
      <c r="K284" s="42"/>
    </row>
    <row r="285" ht="39.75" customHeight="1">
      <c r="A285" s="1">
        <v>284.0</v>
      </c>
      <c r="B285" s="2" t="s">
        <v>29</v>
      </c>
      <c r="C285" s="2"/>
      <c r="D285" s="13"/>
      <c r="E285" s="13"/>
      <c r="F285" s="44" t="s">
        <v>3671</v>
      </c>
      <c r="G285" s="43">
        <v>2.0</v>
      </c>
      <c r="H285" s="42"/>
      <c r="I285" s="43">
        <v>1.0</v>
      </c>
      <c r="J285" s="22"/>
      <c r="K285" s="42"/>
    </row>
    <row r="286" ht="39.75" customHeight="1">
      <c r="A286" s="1">
        <v>285.0</v>
      </c>
      <c r="B286" s="2" t="s">
        <v>32</v>
      </c>
      <c r="C286" s="2" t="s">
        <v>69</v>
      </c>
      <c r="D286" s="13"/>
      <c r="E286" s="13"/>
      <c r="F286" s="44" t="s">
        <v>3672</v>
      </c>
      <c r="G286" s="43">
        <v>1.0</v>
      </c>
      <c r="H286" s="42"/>
      <c r="I286" s="42"/>
      <c r="J286" s="22"/>
      <c r="K286" s="42"/>
    </row>
    <row r="287" ht="39.75" customHeight="1">
      <c r="A287" s="1">
        <v>286.0</v>
      </c>
      <c r="B287" s="2" t="s">
        <v>67</v>
      </c>
      <c r="C287" s="2"/>
      <c r="D287" s="91"/>
      <c r="E287" s="13"/>
      <c r="F287" s="44" t="s">
        <v>3673</v>
      </c>
      <c r="G287" s="43">
        <v>1.0</v>
      </c>
      <c r="H287" s="42"/>
      <c r="I287" s="42"/>
      <c r="J287" s="22"/>
      <c r="K287" s="42"/>
    </row>
    <row r="288" ht="39.75" customHeight="1">
      <c r="A288" s="1">
        <v>287.0</v>
      </c>
      <c r="B288" s="2" t="s">
        <v>35</v>
      </c>
      <c r="C288" s="2"/>
      <c r="D288" s="13"/>
      <c r="E288" s="13"/>
      <c r="F288" s="44" t="s">
        <v>3674</v>
      </c>
      <c r="G288" s="43">
        <v>1.0</v>
      </c>
      <c r="H288" s="42"/>
      <c r="I288" s="43">
        <v>1.0</v>
      </c>
      <c r="J288" s="22"/>
      <c r="K288" s="42"/>
    </row>
    <row r="289" ht="39.75" customHeight="1">
      <c r="A289" s="1">
        <v>288.0</v>
      </c>
      <c r="B289" s="2" t="s">
        <v>36</v>
      </c>
      <c r="C289" s="2" t="s">
        <v>3571</v>
      </c>
      <c r="D289" s="13"/>
      <c r="E289" s="13"/>
      <c r="F289" s="45"/>
      <c r="G289" s="42"/>
      <c r="H289" s="42"/>
      <c r="I289" s="42"/>
      <c r="J289" s="22"/>
      <c r="K289" s="42"/>
    </row>
    <row r="290" ht="39.75" customHeight="1">
      <c r="A290" s="1">
        <v>289.0</v>
      </c>
      <c r="B290" s="2" t="s">
        <v>38</v>
      </c>
      <c r="C290" s="2" t="s">
        <v>54</v>
      </c>
      <c r="D290" s="13"/>
      <c r="E290" s="13"/>
      <c r="F290" s="57" t="s">
        <v>3675</v>
      </c>
      <c r="G290" s="43">
        <v>1.0</v>
      </c>
      <c r="H290" s="43">
        <v>1.0</v>
      </c>
      <c r="I290" s="43"/>
      <c r="J290" s="22"/>
      <c r="K290" s="42"/>
    </row>
    <row r="291" ht="39.75" customHeight="1">
      <c r="A291" s="1">
        <v>290.0</v>
      </c>
      <c r="B291" s="2" t="s">
        <v>41</v>
      </c>
      <c r="C291" s="2"/>
      <c r="D291" s="13"/>
      <c r="E291" s="13"/>
      <c r="F291" s="57" t="s">
        <v>3676</v>
      </c>
      <c r="G291" s="43">
        <v>1.0</v>
      </c>
      <c r="H291" s="42"/>
      <c r="I291" s="43">
        <v>1.0</v>
      </c>
      <c r="J291" s="22"/>
      <c r="K291" s="42"/>
    </row>
    <row r="292" ht="39.75" customHeight="1">
      <c r="A292" s="1">
        <v>291.0</v>
      </c>
      <c r="B292" s="2" t="s">
        <v>42</v>
      </c>
      <c r="C292" s="2" t="s">
        <v>54</v>
      </c>
      <c r="D292" s="13"/>
      <c r="E292" s="13"/>
      <c r="F292" s="44" t="s">
        <v>3595</v>
      </c>
      <c r="G292" s="43">
        <v>1.0</v>
      </c>
      <c r="H292" s="42"/>
      <c r="I292" s="42"/>
      <c r="J292" s="22"/>
      <c r="K292" s="42"/>
    </row>
    <row r="293" ht="39.75" customHeight="1">
      <c r="A293" s="1">
        <v>292.0</v>
      </c>
      <c r="B293" s="2" t="s">
        <v>43</v>
      </c>
      <c r="C293" s="2" t="s">
        <v>54</v>
      </c>
      <c r="D293" s="13"/>
      <c r="E293" s="13"/>
      <c r="F293" s="44" t="s">
        <v>3677</v>
      </c>
      <c r="G293" s="43">
        <v>1.0</v>
      </c>
      <c r="H293" s="42"/>
      <c r="I293" s="42"/>
      <c r="J293" s="22"/>
      <c r="K293" s="42"/>
    </row>
    <row r="294" ht="39.75" customHeight="1">
      <c r="A294" s="1">
        <v>293.0</v>
      </c>
      <c r="B294" s="2" t="s">
        <v>267</v>
      </c>
      <c r="C294" s="2"/>
      <c r="D294" s="13"/>
      <c r="E294" s="13"/>
      <c r="F294" s="44" t="s">
        <v>3678</v>
      </c>
      <c r="G294" s="43">
        <v>1.0</v>
      </c>
      <c r="H294" s="42"/>
      <c r="I294" s="42"/>
      <c r="J294" s="22"/>
      <c r="K294" s="42"/>
    </row>
    <row r="295" ht="39.75" customHeight="1">
      <c r="A295" s="1">
        <v>294.0</v>
      </c>
      <c r="B295" s="2" t="s">
        <v>46</v>
      </c>
      <c r="C295" s="2" t="s">
        <v>3600</v>
      </c>
      <c r="D295" s="13"/>
      <c r="E295" s="13"/>
      <c r="F295" s="44"/>
      <c r="G295" s="42"/>
      <c r="H295" s="42"/>
      <c r="I295" s="42"/>
      <c r="J295" s="22"/>
      <c r="K295" s="42"/>
    </row>
    <row r="296" ht="39.75" customHeight="1">
      <c r="A296" s="1">
        <v>295.0</v>
      </c>
      <c r="B296" s="2" t="s">
        <v>47</v>
      </c>
      <c r="C296" s="2" t="s">
        <v>69</v>
      </c>
      <c r="D296" s="13"/>
      <c r="E296" s="13"/>
      <c r="F296" s="44" t="s">
        <v>3679</v>
      </c>
      <c r="G296" s="43">
        <v>1.0</v>
      </c>
      <c r="H296" s="42"/>
      <c r="I296" s="43">
        <v>1.0</v>
      </c>
      <c r="J296" s="22"/>
      <c r="K296" s="42"/>
    </row>
    <row r="297" ht="39.75" customHeight="1">
      <c r="A297" s="1">
        <v>296.0</v>
      </c>
      <c r="B297" s="2" t="s">
        <v>48</v>
      </c>
      <c r="C297" s="2" t="s">
        <v>54</v>
      </c>
      <c r="D297" s="13"/>
      <c r="E297" s="13"/>
      <c r="F297" s="44" t="s">
        <v>3680</v>
      </c>
      <c r="G297" s="43">
        <v>1.0</v>
      </c>
      <c r="H297" s="42"/>
      <c r="I297" s="42"/>
      <c r="J297" s="22"/>
      <c r="K297" s="42"/>
    </row>
    <row r="298" ht="39.75" customHeight="1">
      <c r="A298" s="1">
        <v>297.0</v>
      </c>
      <c r="B298" s="21"/>
      <c r="C298" s="21"/>
      <c r="D298" s="21"/>
      <c r="E298" s="21"/>
      <c r="F298" s="46"/>
      <c r="G298" s="47"/>
      <c r="H298" s="47"/>
      <c r="I298" s="47"/>
      <c r="J298" s="48"/>
      <c r="K298" s="47"/>
      <c r="L298" s="49"/>
      <c r="M298" s="49"/>
      <c r="N298" s="49"/>
    </row>
    <row r="299" ht="39.75" customHeight="1">
      <c r="A299" s="1">
        <v>298.0</v>
      </c>
      <c r="B299" s="2" t="s">
        <v>12</v>
      </c>
      <c r="C299" s="2" t="s">
        <v>13</v>
      </c>
      <c r="D299" s="13"/>
      <c r="E299" s="13"/>
      <c r="F299" s="61"/>
      <c r="G299" s="43"/>
      <c r="H299" s="42"/>
      <c r="I299" s="43"/>
      <c r="J299" s="27" t="s">
        <v>1161</v>
      </c>
      <c r="K299" s="42"/>
      <c r="L299" s="15" t="s">
        <v>228</v>
      </c>
    </row>
    <row r="300" ht="39.75" customHeight="1">
      <c r="A300" s="1">
        <v>299.0</v>
      </c>
      <c r="B300" s="2" t="s">
        <v>16</v>
      </c>
      <c r="C300" s="2"/>
      <c r="D300" s="13"/>
      <c r="E300" s="13"/>
      <c r="F300" s="44" t="s">
        <v>3681</v>
      </c>
      <c r="G300" s="43">
        <v>1.0</v>
      </c>
      <c r="H300" s="42"/>
      <c r="I300" s="43">
        <v>1.0</v>
      </c>
      <c r="J300" s="27" t="s">
        <v>228</v>
      </c>
      <c r="K300" s="43"/>
    </row>
    <row r="301" ht="39.75" customHeight="1">
      <c r="A301" s="1">
        <v>300.0</v>
      </c>
      <c r="B301" s="2" t="s">
        <v>116</v>
      </c>
      <c r="C301" s="2"/>
      <c r="D301" s="13"/>
      <c r="E301" s="13"/>
      <c r="F301" s="44" t="s">
        <v>3682</v>
      </c>
      <c r="G301" s="43">
        <v>1.0</v>
      </c>
      <c r="H301" s="42"/>
      <c r="I301" s="42"/>
      <c r="J301" s="27" t="s">
        <v>111</v>
      </c>
      <c r="K301" s="42"/>
    </row>
    <row r="302" ht="39.75" customHeight="1">
      <c r="A302" s="1">
        <v>301.0</v>
      </c>
      <c r="B302" s="2" t="s">
        <v>263</v>
      </c>
      <c r="C302" s="2" t="s">
        <v>66</v>
      </c>
      <c r="D302" s="13"/>
      <c r="E302" s="13"/>
      <c r="F302" s="44"/>
      <c r="G302" s="42"/>
      <c r="H302" s="42"/>
      <c r="I302" s="42"/>
      <c r="J302" s="27" t="s">
        <v>3588</v>
      </c>
      <c r="K302" s="42"/>
    </row>
    <row r="303" ht="39.75" customHeight="1">
      <c r="A303" s="1">
        <v>302.0</v>
      </c>
      <c r="B303" s="2" t="s">
        <v>17</v>
      </c>
      <c r="C303" s="2" t="s">
        <v>3603</v>
      </c>
      <c r="D303" s="13"/>
      <c r="E303" s="13"/>
      <c r="F303" s="44" t="s">
        <v>3392</v>
      </c>
      <c r="G303" s="43">
        <v>1.0</v>
      </c>
      <c r="H303" s="42"/>
      <c r="I303" s="42"/>
      <c r="J303" s="22"/>
      <c r="K303" s="42"/>
    </row>
    <row r="304" ht="39.75" customHeight="1">
      <c r="A304" s="1">
        <v>303.0</v>
      </c>
      <c r="B304" s="2" t="s">
        <v>331</v>
      </c>
      <c r="C304" s="2" t="s">
        <v>542</v>
      </c>
      <c r="D304" s="13"/>
      <c r="E304" s="13"/>
      <c r="F304" s="44" t="s">
        <v>3683</v>
      </c>
      <c r="G304" s="43">
        <v>2.0</v>
      </c>
      <c r="H304" s="42"/>
      <c r="I304" s="42"/>
      <c r="J304" s="22"/>
      <c r="K304" s="42"/>
    </row>
    <row r="305" ht="39.75" customHeight="1">
      <c r="A305" s="1">
        <v>304.0</v>
      </c>
      <c r="B305" s="2" t="s">
        <v>21</v>
      </c>
      <c r="C305" s="2" t="s">
        <v>13</v>
      </c>
      <c r="D305" s="40"/>
      <c r="E305" s="13"/>
      <c r="F305" s="44"/>
      <c r="G305" s="43"/>
      <c r="H305" s="42"/>
      <c r="I305" s="42"/>
      <c r="J305" s="22"/>
      <c r="K305" s="42"/>
    </row>
    <row r="306" ht="39.75" customHeight="1">
      <c r="A306" s="1">
        <v>305.0</v>
      </c>
      <c r="B306" s="2" t="s">
        <v>22</v>
      </c>
      <c r="C306" s="2" t="s">
        <v>69</v>
      </c>
      <c r="D306" s="13"/>
      <c r="E306" s="13"/>
      <c r="F306" s="44"/>
      <c r="G306" s="43"/>
      <c r="H306" s="42"/>
      <c r="I306" s="43"/>
      <c r="J306" s="22"/>
      <c r="K306" s="42"/>
    </row>
    <row r="307" ht="39.75" customHeight="1">
      <c r="A307" s="1">
        <v>306.0</v>
      </c>
      <c r="B307" s="2" t="s">
        <v>261</v>
      </c>
      <c r="C307" s="2" t="s">
        <v>13</v>
      </c>
      <c r="D307" s="13"/>
      <c r="E307" s="13"/>
      <c r="F307" s="45"/>
      <c r="G307" s="42"/>
      <c r="H307" s="42"/>
      <c r="I307" s="42"/>
      <c r="J307" s="22"/>
      <c r="K307" s="42"/>
    </row>
    <row r="308" ht="39.75" customHeight="1">
      <c r="A308" s="1">
        <v>307.0</v>
      </c>
      <c r="B308" s="2" t="s">
        <v>23</v>
      </c>
      <c r="C308" s="2" t="s">
        <v>3571</v>
      </c>
      <c r="D308" s="13"/>
      <c r="E308" s="13"/>
      <c r="F308" s="44" t="s">
        <v>3684</v>
      </c>
      <c r="G308" s="43">
        <v>1.0</v>
      </c>
      <c r="H308" s="42"/>
      <c r="I308" s="42"/>
      <c r="J308" s="22"/>
      <c r="K308" s="42"/>
    </row>
    <row r="309" ht="39.75" customHeight="1">
      <c r="A309" s="1">
        <v>308.0</v>
      </c>
      <c r="B309" s="2" t="s">
        <v>24</v>
      </c>
      <c r="C309" s="2" t="s">
        <v>3563</v>
      </c>
      <c r="D309" s="13"/>
      <c r="E309" s="13"/>
      <c r="F309" s="45"/>
      <c r="G309" s="42"/>
      <c r="H309" s="42"/>
      <c r="I309" s="42"/>
      <c r="J309" s="22"/>
      <c r="K309" s="42"/>
    </row>
    <row r="310" ht="39.75" customHeight="1">
      <c r="A310" s="1">
        <v>309.0</v>
      </c>
      <c r="B310" s="2" t="s">
        <v>25</v>
      </c>
      <c r="C310" s="2"/>
      <c r="D310" s="13"/>
      <c r="E310" s="13"/>
      <c r="F310" s="44" t="s">
        <v>3685</v>
      </c>
      <c r="G310" s="43">
        <v>1.0</v>
      </c>
      <c r="H310" s="42"/>
      <c r="I310" s="42"/>
      <c r="J310" s="22"/>
      <c r="K310" s="42"/>
    </row>
    <row r="311" ht="39.75" customHeight="1">
      <c r="A311" s="1">
        <v>310.0</v>
      </c>
      <c r="B311" s="2" t="s">
        <v>26</v>
      </c>
      <c r="C311" s="2"/>
      <c r="D311" s="13"/>
      <c r="E311" s="13"/>
      <c r="F311" s="44" t="s">
        <v>3686</v>
      </c>
      <c r="G311" s="43">
        <v>1.0</v>
      </c>
      <c r="H311" s="42"/>
      <c r="I311" s="42"/>
      <c r="J311" s="22"/>
      <c r="K311" s="42"/>
    </row>
    <row r="312" ht="39.75" customHeight="1">
      <c r="A312" s="1">
        <v>311.0</v>
      </c>
      <c r="B312" s="2" t="s">
        <v>29</v>
      </c>
      <c r="C312" s="2" t="s">
        <v>54</v>
      </c>
      <c r="D312" s="13"/>
      <c r="E312" s="13"/>
      <c r="F312" s="44" t="s">
        <v>3595</v>
      </c>
      <c r="G312" s="43">
        <v>1.0</v>
      </c>
      <c r="H312" s="42"/>
      <c r="I312" s="42"/>
      <c r="J312" s="22"/>
      <c r="K312" s="42"/>
    </row>
    <row r="313" ht="39.75" customHeight="1">
      <c r="A313" s="1">
        <v>312.0</v>
      </c>
      <c r="B313" s="2" t="s">
        <v>32</v>
      </c>
      <c r="C313" s="2" t="s">
        <v>69</v>
      </c>
      <c r="D313" s="13"/>
      <c r="E313" s="13"/>
      <c r="F313" s="44" t="s">
        <v>3687</v>
      </c>
      <c r="G313" s="43">
        <v>1.0</v>
      </c>
      <c r="H313" s="42"/>
      <c r="I313" s="43">
        <v>1.0</v>
      </c>
      <c r="J313" s="22"/>
      <c r="K313" s="42"/>
    </row>
    <row r="314" ht="39.75" customHeight="1">
      <c r="A314" s="1">
        <v>313.0</v>
      </c>
      <c r="B314" s="2" t="s">
        <v>67</v>
      </c>
      <c r="C314" s="2" t="s">
        <v>39</v>
      </c>
      <c r="D314" s="13"/>
      <c r="E314" s="13"/>
      <c r="F314" s="44" t="s">
        <v>3688</v>
      </c>
      <c r="G314" s="43">
        <v>2.0</v>
      </c>
      <c r="H314" s="42"/>
      <c r="I314" s="42"/>
      <c r="J314" s="22"/>
      <c r="K314" s="42"/>
    </row>
    <row r="315" ht="39.75" customHeight="1">
      <c r="A315" s="1">
        <v>314.0</v>
      </c>
      <c r="B315" s="2" t="s">
        <v>35</v>
      </c>
      <c r="C315" s="2"/>
      <c r="D315" s="13"/>
      <c r="E315" s="13"/>
      <c r="F315" s="44" t="s">
        <v>3689</v>
      </c>
      <c r="G315" s="43">
        <v>1.0</v>
      </c>
      <c r="H315" s="42"/>
      <c r="I315" s="42"/>
      <c r="J315" s="22"/>
      <c r="K315" s="42"/>
    </row>
    <row r="316" ht="39.75" customHeight="1">
      <c r="A316" s="1">
        <v>315.0</v>
      </c>
      <c r="B316" s="2" t="s">
        <v>36</v>
      </c>
      <c r="C316" s="2" t="s">
        <v>44</v>
      </c>
      <c r="D316" s="13"/>
      <c r="E316" s="13"/>
      <c r="F316" s="45"/>
      <c r="G316" s="42"/>
      <c r="H316" s="42"/>
      <c r="I316" s="42"/>
      <c r="J316" s="22"/>
      <c r="K316" s="42"/>
    </row>
    <row r="317" ht="39.75" customHeight="1">
      <c r="A317" s="1">
        <v>316.0</v>
      </c>
      <c r="B317" s="2" t="s">
        <v>38</v>
      </c>
      <c r="C317" s="2" t="s">
        <v>54</v>
      </c>
      <c r="D317" s="13"/>
      <c r="E317" s="13"/>
      <c r="F317" s="44" t="s">
        <v>3690</v>
      </c>
      <c r="G317" s="43">
        <v>1.0</v>
      </c>
      <c r="H317" s="42"/>
      <c r="I317" s="42"/>
      <c r="J317" s="22"/>
      <c r="K317" s="42"/>
    </row>
    <row r="318" ht="39.75" customHeight="1">
      <c r="A318" s="1">
        <v>317.0</v>
      </c>
      <c r="B318" s="2" t="s">
        <v>41</v>
      </c>
      <c r="C318" s="2" t="s">
        <v>39</v>
      </c>
      <c r="D318" s="13"/>
      <c r="E318" s="13"/>
      <c r="F318" s="44" t="s">
        <v>3691</v>
      </c>
      <c r="G318" s="43">
        <v>1.0</v>
      </c>
      <c r="H318" s="42"/>
      <c r="I318" s="42"/>
      <c r="J318" s="22"/>
      <c r="K318" s="42"/>
    </row>
    <row r="319" ht="39.75" customHeight="1">
      <c r="A319" s="1">
        <v>318.0</v>
      </c>
      <c r="B319" s="2" t="s">
        <v>42</v>
      </c>
      <c r="C319" s="2" t="s">
        <v>54</v>
      </c>
      <c r="D319" s="13"/>
      <c r="E319" s="13"/>
      <c r="F319" s="45"/>
      <c r="G319" s="42"/>
      <c r="H319" s="42"/>
      <c r="I319" s="42"/>
      <c r="J319" s="22"/>
      <c r="K319" s="42"/>
    </row>
    <row r="320" ht="39.75" customHeight="1">
      <c r="A320" s="1">
        <v>319.0</v>
      </c>
      <c r="B320" s="2" t="s">
        <v>43</v>
      </c>
      <c r="C320" s="2" t="s">
        <v>54</v>
      </c>
      <c r="D320" s="13"/>
      <c r="E320" s="13"/>
      <c r="F320" s="44" t="s">
        <v>3692</v>
      </c>
      <c r="G320" s="43">
        <v>1.0</v>
      </c>
      <c r="H320" s="42"/>
      <c r="I320" s="43"/>
      <c r="J320" s="22"/>
      <c r="K320" s="42"/>
    </row>
    <row r="321" ht="39.75" customHeight="1">
      <c r="A321" s="1">
        <v>320.0</v>
      </c>
      <c r="B321" s="2" t="s">
        <v>267</v>
      </c>
      <c r="C321" s="2" t="s">
        <v>13</v>
      </c>
      <c r="D321" s="13"/>
      <c r="E321" s="13"/>
      <c r="F321" s="44"/>
      <c r="G321" s="43"/>
      <c r="H321" s="42"/>
      <c r="I321" s="42"/>
      <c r="J321" s="22"/>
      <c r="K321" s="42"/>
    </row>
    <row r="322" ht="39.75" customHeight="1">
      <c r="A322" s="1">
        <v>321.0</v>
      </c>
      <c r="B322" s="2" t="s">
        <v>46</v>
      </c>
      <c r="C322" s="2" t="s">
        <v>3600</v>
      </c>
      <c r="D322" s="13"/>
      <c r="E322" s="13"/>
      <c r="F322" s="61"/>
      <c r="G322" s="43"/>
      <c r="H322" s="42"/>
      <c r="I322" s="43"/>
      <c r="J322" s="22"/>
      <c r="K322" s="42"/>
    </row>
    <row r="323" ht="39.75" customHeight="1">
      <c r="A323" s="1">
        <v>322.0</v>
      </c>
      <c r="B323" s="2" t="s">
        <v>47</v>
      </c>
      <c r="C323" s="2"/>
      <c r="D323" s="13"/>
      <c r="E323" s="13"/>
      <c r="F323" s="44" t="s">
        <v>3684</v>
      </c>
      <c r="G323" s="43">
        <v>1.0</v>
      </c>
      <c r="H323" s="42"/>
      <c r="I323" s="42"/>
      <c r="J323" s="22"/>
      <c r="K323" s="42"/>
    </row>
    <row r="324" ht="39.75" customHeight="1">
      <c r="A324" s="1">
        <v>323.0</v>
      </c>
      <c r="B324" s="2" t="s">
        <v>48</v>
      </c>
      <c r="C324" s="2" t="s">
        <v>69</v>
      </c>
      <c r="D324" s="13"/>
      <c r="E324" s="13"/>
      <c r="F324" s="44" t="s">
        <v>3693</v>
      </c>
      <c r="G324" s="43">
        <v>1.0</v>
      </c>
      <c r="H324" s="42"/>
      <c r="I324" s="43"/>
      <c r="J324" s="22"/>
      <c r="K324" s="42"/>
    </row>
    <row r="325" ht="39.75" customHeight="1">
      <c r="A325" s="1">
        <v>324.0</v>
      </c>
      <c r="B325" s="21"/>
      <c r="C325" s="21"/>
      <c r="D325" s="21"/>
      <c r="E325" s="21"/>
      <c r="F325" s="46"/>
      <c r="G325" s="47"/>
      <c r="H325" s="47"/>
      <c r="I325" s="47"/>
      <c r="J325" s="48"/>
      <c r="K325" s="47"/>
      <c r="L325" s="49"/>
      <c r="M325" s="49"/>
      <c r="N325" s="49"/>
    </row>
    <row r="326" ht="39.75" customHeight="1">
      <c r="A326" s="1">
        <v>325.0</v>
      </c>
      <c r="B326" s="2" t="s">
        <v>12</v>
      </c>
      <c r="C326" s="2" t="s">
        <v>66</v>
      </c>
      <c r="D326" s="13"/>
      <c r="E326" s="13"/>
      <c r="F326" s="45"/>
      <c r="G326" s="42"/>
      <c r="H326" s="42"/>
      <c r="I326" s="42"/>
      <c r="J326" s="22"/>
      <c r="K326" s="42"/>
      <c r="L326" s="15" t="s">
        <v>244</v>
      </c>
    </row>
    <row r="327" ht="39.75" customHeight="1">
      <c r="A327" s="1">
        <v>326.0</v>
      </c>
      <c r="B327" s="2" t="s">
        <v>16</v>
      </c>
      <c r="C327" s="2" t="s">
        <v>13</v>
      </c>
      <c r="D327" s="13"/>
      <c r="E327" s="13"/>
      <c r="F327" s="45"/>
      <c r="G327" s="42"/>
      <c r="H327" s="42"/>
      <c r="I327" s="42"/>
      <c r="J327" s="27" t="s">
        <v>244</v>
      </c>
      <c r="K327" s="43"/>
    </row>
    <row r="328" ht="39.75" customHeight="1">
      <c r="A328" s="1">
        <v>327.0</v>
      </c>
      <c r="B328" s="2" t="s">
        <v>116</v>
      </c>
      <c r="C328" s="2" t="s">
        <v>69</v>
      </c>
      <c r="D328" s="13"/>
      <c r="E328" s="13"/>
      <c r="F328" s="44"/>
      <c r="G328" s="43"/>
      <c r="H328" s="42"/>
      <c r="I328" s="43"/>
      <c r="J328" s="27" t="s">
        <v>131</v>
      </c>
      <c r="K328" s="42"/>
    </row>
    <row r="329" ht="39.75" customHeight="1">
      <c r="A329" s="1">
        <v>328.0</v>
      </c>
      <c r="B329" s="2" t="s">
        <v>263</v>
      </c>
      <c r="C329" s="2" t="s">
        <v>69</v>
      </c>
      <c r="D329" s="13"/>
      <c r="E329" s="13"/>
      <c r="F329" s="44"/>
      <c r="G329" s="42"/>
      <c r="H329" s="42"/>
      <c r="I329" s="42"/>
      <c r="J329" s="27" t="s">
        <v>3633</v>
      </c>
      <c r="K329" s="42"/>
    </row>
    <row r="330" ht="39.75" customHeight="1">
      <c r="A330" s="1">
        <v>329.0</v>
      </c>
      <c r="B330" s="2" t="s">
        <v>17</v>
      </c>
      <c r="C330" s="2" t="s">
        <v>3603</v>
      </c>
      <c r="D330" s="13"/>
      <c r="E330" s="13"/>
      <c r="F330" s="44" t="s">
        <v>3392</v>
      </c>
      <c r="G330" s="43">
        <v>1.0</v>
      </c>
      <c r="H330" s="42"/>
      <c r="I330" s="42"/>
      <c r="J330" s="22"/>
      <c r="K330" s="42"/>
    </row>
    <row r="331" ht="39.75" customHeight="1">
      <c r="A331" s="1">
        <v>330.0</v>
      </c>
      <c r="B331" s="2" t="s">
        <v>331</v>
      </c>
      <c r="C331" s="2" t="s">
        <v>542</v>
      </c>
      <c r="D331" s="13"/>
      <c r="E331" s="13"/>
      <c r="F331" s="44" t="s">
        <v>3694</v>
      </c>
      <c r="G331" s="43">
        <v>1.0</v>
      </c>
      <c r="H331" s="42"/>
      <c r="I331" s="42"/>
      <c r="J331" s="22"/>
      <c r="K331" s="42"/>
    </row>
    <row r="332" ht="39.75" customHeight="1">
      <c r="A332" s="1">
        <v>331.0</v>
      </c>
      <c r="B332" s="2" t="s">
        <v>21</v>
      </c>
      <c r="C332" s="2" t="s">
        <v>13</v>
      </c>
      <c r="D332" s="13"/>
      <c r="E332" s="13"/>
      <c r="F332" s="45"/>
      <c r="G332" s="42"/>
      <c r="H332" s="42"/>
      <c r="I332" s="42"/>
      <c r="J332" s="22"/>
      <c r="K332" s="42"/>
    </row>
    <row r="333" ht="39.75" customHeight="1">
      <c r="A333" s="1">
        <v>332.0</v>
      </c>
      <c r="B333" s="2" t="s">
        <v>22</v>
      </c>
      <c r="C333" s="2"/>
      <c r="D333" s="13"/>
      <c r="E333" s="13"/>
      <c r="F333" s="44" t="s">
        <v>3695</v>
      </c>
      <c r="G333" s="43">
        <v>1.0</v>
      </c>
      <c r="H333" s="42"/>
      <c r="I333" s="42"/>
      <c r="J333" s="22"/>
      <c r="K333" s="42"/>
    </row>
    <row r="334" ht="39.75" customHeight="1">
      <c r="A334" s="1">
        <v>333.0</v>
      </c>
      <c r="B334" s="2" t="s">
        <v>261</v>
      </c>
      <c r="C334" s="2" t="s">
        <v>13</v>
      </c>
      <c r="D334" s="13"/>
      <c r="E334" s="13"/>
      <c r="F334" s="45"/>
      <c r="G334" s="42"/>
      <c r="H334" s="42"/>
      <c r="I334" s="42"/>
      <c r="J334" s="22"/>
      <c r="K334" s="42"/>
    </row>
    <row r="335" ht="39.75" customHeight="1">
      <c r="A335" s="1">
        <v>334.0</v>
      </c>
      <c r="B335" s="2" t="s">
        <v>23</v>
      </c>
      <c r="C335" s="2" t="s">
        <v>44</v>
      </c>
      <c r="D335" s="13"/>
      <c r="E335" s="13"/>
      <c r="F335" s="44"/>
      <c r="G335" s="43"/>
      <c r="H335" s="42"/>
      <c r="I335" s="42"/>
      <c r="J335" s="22"/>
      <c r="K335" s="42"/>
    </row>
    <row r="336" ht="39.75" customHeight="1">
      <c r="A336" s="1">
        <v>335.0</v>
      </c>
      <c r="B336" s="2" t="s">
        <v>24</v>
      </c>
      <c r="C336" s="2" t="s">
        <v>3563</v>
      </c>
      <c r="D336" s="13"/>
      <c r="E336" s="13"/>
      <c r="F336" s="45"/>
      <c r="G336" s="42"/>
      <c r="H336" s="42"/>
      <c r="I336" s="42"/>
      <c r="J336" s="22"/>
      <c r="K336" s="42"/>
    </row>
    <row r="337" ht="39.75" customHeight="1">
      <c r="A337" s="1">
        <v>336.0</v>
      </c>
      <c r="B337" s="2" t="s">
        <v>25</v>
      </c>
      <c r="C337" s="2" t="s">
        <v>66</v>
      </c>
      <c r="D337" s="13"/>
      <c r="E337" s="13"/>
      <c r="F337" s="44"/>
      <c r="G337" s="43"/>
      <c r="H337" s="42"/>
      <c r="I337" s="42"/>
      <c r="J337" s="22"/>
      <c r="K337" s="42"/>
    </row>
    <row r="338" ht="39.75" customHeight="1">
      <c r="A338" s="1">
        <v>337.0</v>
      </c>
      <c r="B338" s="2" t="s">
        <v>26</v>
      </c>
      <c r="C338" s="2" t="s">
        <v>3557</v>
      </c>
      <c r="D338" s="13"/>
      <c r="E338" s="13"/>
      <c r="F338" s="44" t="s">
        <v>3696</v>
      </c>
      <c r="G338" s="43">
        <v>1.0</v>
      </c>
      <c r="H338" s="42"/>
      <c r="I338" s="42"/>
      <c r="J338" s="22"/>
      <c r="K338" s="42"/>
    </row>
    <row r="339" ht="39.75" customHeight="1">
      <c r="A339" s="1">
        <v>338.0</v>
      </c>
      <c r="B339" s="2" t="s">
        <v>29</v>
      </c>
      <c r="C339" s="2" t="s">
        <v>54</v>
      </c>
      <c r="D339" s="13"/>
      <c r="E339" s="13"/>
      <c r="F339" s="44" t="s">
        <v>3697</v>
      </c>
      <c r="G339" s="43">
        <v>1.0</v>
      </c>
      <c r="H339" s="42"/>
      <c r="I339" s="42"/>
      <c r="J339" s="22"/>
      <c r="K339" s="42"/>
    </row>
    <row r="340" ht="39.75" customHeight="1">
      <c r="A340" s="1">
        <v>339.0</v>
      </c>
      <c r="B340" s="2" t="s">
        <v>32</v>
      </c>
      <c r="C340" s="2" t="s">
        <v>39</v>
      </c>
      <c r="D340" s="13"/>
      <c r="E340" s="13"/>
      <c r="F340" s="44" t="s">
        <v>3698</v>
      </c>
      <c r="G340" s="43">
        <v>1.0</v>
      </c>
      <c r="H340" s="42"/>
      <c r="I340" s="42"/>
      <c r="J340" s="22"/>
      <c r="K340" s="42"/>
    </row>
    <row r="341" ht="39.75" customHeight="1">
      <c r="A341" s="1">
        <v>340.0</v>
      </c>
      <c r="B341" s="2" t="s">
        <v>67</v>
      </c>
      <c r="C341" s="2" t="s">
        <v>13</v>
      </c>
      <c r="D341" s="13"/>
      <c r="E341" s="13"/>
      <c r="F341" s="44"/>
      <c r="G341" s="42"/>
      <c r="H341" s="42"/>
      <c r="I341" s="42"/>
      <c r="J341" s="22"/>
      <c r="K341" s="42"/>
    </row>
    <row r="342" ht="39.75" customHeight="1">
      <c r="A342" s="1">
        <v>341.0</v>
      </c>
      <c r="B342" s="2" t="s">
        <v>35</v>
      </c>
      <c r="C342" s="2"/>
      <c r="D342" s="13"/>
      <c r="E342" s="13"/>
      <c r="F342" s="44" t="s">
        <v>3699</v>
      </c>
      <c r="G342" s="43">
        <v>1.0</v>
      </c>
      <c r="H342" s="42"/>
      <c r="I342" s="42"/>
      <c r="J342" s="22"/>
      <c r="K342" s="42"/>
    </row>
    <row r="343" ht="39.75" customHeight="1">
      <c r="A343" s="1">
        <v>342.0</v>
      </c>
      <c r="B343" s="2" t="s">
        <v>36</v>
      </c>
      <c r="C343" s="2" t="s">
        <v>13</v>
      </c>
      <c r="D343" s="13"/>
      <c r="E343" s="13"/>
      <c r="F343" s="45"/>
      <c r="G343" s="42"/>
      <c r="H343" s="42"/>
      <c r="I343" s="42"/>
      <c r="J343" s="22"/>
      <c r="K343" s="42"/>
    </row>
    <row r="344" ht="39.75" customHeight="1">
      <c r="A344" s="1">
        <v>343.0</v>
      </c>
      <c r="B344" s="2" t="s">
        <v>38</v>
      </c>
      <c r="C344" s="2" t="s">
        <v>54</v>
      </c>
      <c r="D344" s="13"/>
      <c r="E344" s="13"/>
      <c r="F344" s="44" t="s">
        <v>3700</v>
      </c>
      <c r="G344" s="43">
        <v>1.0</v>
      </c>
      <c r="H344" s="42"/>
      <c r="I344" s="43">
        <v>1.0</v>
      </c>
      <c r="J344" s="22"/>
      <c r="K344" s="42"/>
    </row>
    <row r="345" ht="39.75" customHeight="1">
      <c r="A345" s="1">
        <v>344.0</v>
      </c>
      <c r="B345" s="2" t="s">
        <v>41</v>
      </c>
      <c r="C345" s="13"/>
      <c r="D345" s="13"/>
      <c r="E345" s="13"/>
      <c r="F345" s="44" t="s">
        <v>3701</v>
      </c>
      <c r="G345" s="43">
        <v>1.0</v>
      </c>
      <c r="H345" s="42"/>
      <c r="I345" s="43">
        <v>1.0</v>
      </c>
      <c r="J345" s="22"/>
      <c r="K345" s="42"/>
    </row>
    <row r="346" ht="39.75" customHeight="1">
      <c r="A346" s="1">
        <v>345.0</v>
      </c>
      <c r="B346" s="2" t="s">
        <v>42</v>
      </c>
      <c r="C346" s="2" t="s">
        <v>54</v>
      </c>
      <c r="D346" s="13"/>
      <c r="E346" s="13"/>
      <c r="F346" s="44" t="s">
        <v>3702</v>
      </c>
      <c r="G346" s="43">
        <v>1.0</v>
      </c>
      <c r="H346" s="42"/>
      <c r="I346" s="42"/>
      <c r="J346" s="22"/>
      <c r="K346" s="42"/>
    </row>
    <row r="347" ht="39.75" customHeight="1">
      <c r="A347" s="1">
        <v>346.0</v>
      </c>
      <c r="B347" s="2" t="s">
        <v>43</v>
      </c>
      <c r="C347" s="2" t="s">
        <v>54</v>
      </c>
      <c r="D347" s="13"/>
      <c r="E347" s="13"/>
      <c r="F347" s="44" t="s">
        <v>3703</v>
      </c>
      <c r="G347" s="43">
        <v>1.0</v>
      </c>
      <c r="H347" s="42"/>
      <c r="I347" s="42"/>
      <c r="J347" s="22"/>
      <c r="K347" s="42"/>
    </row>
    <row r="348" ht="39.75" customHeight="1">
      <c r="A348" s="1">
        <v>347.0</v>
      </c>
      <c r="B348" s="2" t="s">
        <v>267</v>
      </c>
      <c r="C348" s="2" t="s">
        <v>69</v>
      </c>
      <c r="D348" s="13"/>
      <c r="E348" s="13"/>
      <c r="F348" s="45"/>
      <c r="G348" s="42"/>
      <c r="H348" s="42"/>
      <c r="I348" s="42"/>
      <c r="J348" s="22"/>
      <c r="K348" s="42"/>
    </row>
    <row r="349" ht="39.75" customHeight="1">
      <c r="A349" s="1">
        <v>348.0</v>
      </c>
      <c r="B349" s="2" t="s">
        <v>46</v>
      </c>
      <c r="C349" s="2" t="s">
        <v>3600</v>
      </c>
      <c r="D349" s="13"/>
      <c r="E349" s="13"/>
      <c r="F349" s="61"/>
      <c r="G349" s="43"/>
      <c r="H349" s="42"/>
      <c r="I349" s="43"/>
      <c r="J349" s="22"/>
      <c r="K349" s="42"/>
    </row>
    <row r="350" ht="39.75" customHeight="1">
      <c r="A350" s="1">
        <v>349.0</v>
      </c>
      <c r="B350" s="2" t="s">
        <v>47</v>
      </c>
      <c r="C350" s="2" t="s">
        <v>39</v>
      </c>
      <c r="D350" s="13"/>
      <c r="E350" s="13"/>
      <c r="F350" s="44" t="s">
        <v>3704</v>
      </c>
      <c r="G350" s="43">
        <v>1.0</v>
      </c>
      <c r="H350" s="42"/>
      <c r="I350" s="42"/>
      <c r="J350" s="22"/>
      <c r="K350" s="42"/>
    </row>
    <row r="351" ht="39.75" customHeight="1">
      <c r="A351" s="1">
        <v>350.0</v>
      </c>
      <c r="B351" s="2" t="s">
        <v>48</v>
      </c>
      <c r="C351" s="2" t="s">
        <v>3571</v>
      </c>
      <c r="D351" s="13"/>
      <c r="E351" s="13"/>
      <c r="F351" s="44"/>
      <c r="G351" s="43"/>
      <c r="H351" s="42"/>
      <c r="I351" s="43"/>
      <c r="J351" s="22"/>
      <c r="K351" s="42"/>
    </row>
    <row r="352" ht="39.75" customHeight="1">
      <c r="A352" s="1">
        <v>351.0</v>
      </c>
      <c r="B352" s="21"/>
      <c r="C352" s="21"/>
      <c r="D352" s="21"/>
      <c r="E352" s="21"/>
      <c r="F352" s="46"/>
      <c r="G352" s="47"/>
      <c r="H352" s="47"/>
      <c r="I352" s="47"/>
      <c r="J352" s="48"/>
      <c r="K352" s="47"/>
      <c r="L352" s="49"/>
      <c r="M352" s="49"/>
      <c r="N352" s="49"/>
    </row>
    <row r="353" ht="39.75" customHeight="1">
      <c r="A353" s="1">
        <v>352.0</v>
      </c>
      <c r="B353" s="2" t="s">
        <v>12</v>
      </c>
      <c r="C353" s="2"/>
      <c r="D353" s="13"/>
      <c r="E353" s="13"/>
      <c r="F353" s="45"/>
      <c r="G353" s="42"/>
      <c r="H353" s="42"/>
      <c r="I353" s="42"/>
      <c r="J353" s="22"/>
      <c r="K353" s="42"/>
      <c r="L353" s="15" t="s">
        <v>260</v>
      </c>
    </row>
    <row r="354" ht="39.75" customHeight="1">
      <c r="A354" s="1">
        <v>353.0</v>
      </c>
      <c r="B354" s="2" t="s">
        <v>16</v>
      </c>
      <c r="C354" s="2" t="s">
        <v>13</v>
      </c>
      <c r="D354" s="13"/>
      <c r="E354" s="13"/>
      <c r="F354" s="45"/>
      <c r="G354" s="42"/>
      <c r="H354" s="42"/>
      <c r="I354" s="42"/>
      <c r="J354" s="27" t="s">
        <v>260</v>
      </c>
      <c r="K354" s="43"/>
    </row>
    <row r="355" ht="39.75" customHeight="1">
      <c r="A355" s="1">
        <v>354.0</v>
      </c>
      <c r="B355" s="2" t="s">
        <v>116</v>
      </c>
      <c r="C355" s="2" t="s">
        <v>13</v>
      </c>
      <c r="D355" s="13"/>
      <c r="E355" s="13"/>
      <c r="F355" s="45"/>
      <c r="G355" s="42"/>
      <c r="H355" s="42"/>
      <c r="I355" s="42"/>
      <c r="J355" s="27" t="s">
        <v>149</v>
      </c>
      <c r="K355" s="42"/>
    </row>
    <row r="356" ht="39.75" customHeight="1">
      <c r="A356" s="1">
        <v>355.0</v>
      </c>
      <c r="B356" s="2" t="s">
        <v>263</v>
      </c>
      <c r="C356" s="2"/>
      <c r="D356" s="13"/>
      <c r="E356" s="13"/>
      <c r="F356" s="44"/>
      <c r="G356" s="42"/>
      <c r="H356" s="42"/>
      <c r="I356" s="42"/>
      <c r="J356" s="27" t="s">
        <v>3705</v>
      </c>
      <c r="K356" s="42"/>
    </row>
    <row r="357" ht="39.75" customHeight="1">
      <c r="A357" s="1">
        <v>356.0</v>
      </c>
      <c r="B357" s="2" t="s">
        <v>17</v>
      </c>
      <c r="C357" s="2"/>
      <c r="D357" s="13"/>
      <c r="E357" s="13"/>
      <c r="F357" s="45"/>
      <c r="G357" s="42"/>
      <c r="H357" s="42"/>
      <c r="I357" s="42"/>
      <c r="J357" s="27" t="s">
        <v>3706</v>
      </c>
      <c r="K357" s="42"/>
    </row>
    <row r="358" ht="39.75" customHeight="1">
      <c r="A358" s="1">
        <v>357.0</v>
      </c>
      <c r="B358" s="2" t="s">
        <v>331</v>
      </c>
      <c r="C358" s="2" t="s">
        <v>13</v>
      </c>
      <c r="D358" s="13"/>
      <c r="E358" s="13"/>
      <c r="F358" s="44"/>
      <c r="G358" s="42"/>
      <c r="H358" s="42"/>
      <c r="I358" s="42"/>
      <c r="J358" s="27" t="s">
        <v>167</v>
      </c>
      <c r="K358" s="42"/>
    </row>
    <row r="359" ht="39.75" customHeight="1">
      <c r="A359" s="1">
        <v>358.0</v>
      </c>
      <c r="B359" s="2" t="s">
        <v>21</v>
      </c>
      <c r="C359" s="2" t="s">
        <v>13</v>
      </c>
      <c r="D359" s="13"/>
      <c r="E359" s="13"/>
      <c r="F359" s="45"/>
      <c r="G359" s="42"/>
      <c r="H359" s="42"/>
      <c r="I359" s="42"/>
      <c r="J359" s="22"/>
      <c r="K359" s="42"/>
    </row>
    <row r="360" ht="39.75" customHeight="1">
      <c r="A360" s="1">
        <v>359.0</v>
      </c>
      <c r="B360" s="2" t="s">
        <v>22</v>
      </c>
      <c r="C360" s="2" t="s">
        <v>13</v>
      </c>
      <c r="D360" s="13"/>
      <c r="E360" s="13"/>
      <c r="F360" s="45"/>
      <c r="G360" s="42"/>
      <c r="H360" s="42"/>
      <c r="I360" s="42"/>
      <c r="J360" s="22"/>
      <c r="K360" s="42"/>
    </row>
    <row r="361" ht="39.75" customHeight="1">
      <c r="A361" s="1">
        <v>360.0</v>
      </c>
      <c r="B361" s="2" t="s">
        <v>261</v>
      </c>
      <c r="C361" s="2" t="s">
        <v>13</v>
      </c>
      <c r="D361" s="13"/>
      <c r="E361" s="13"/>
      <c r="F361" s="45"/>
      <c r="G361" s="42"/>
      <c r="H361" s="42"/>
      <c r="I361" s="42"/>
      <c r="J361" s="22"/>
      <c r="K361" s="42"/>
    </row>
    <row r="362" ht="39.75" customHeight="1">
      <c r="A362" s="1">
        <v>361.0</v>
      </c>
      <c r="B362" s="2" t="s">
        <v>23</v>
      </c>
      <c r="C362" s="2" t="s">
        <v>13</v>
      </c>
      <c r="D362" s="13"/>
      <c r="E362" s="13"/>
      <c r="F362" s="45"/>
      <c r="G362" s="42"/>
      <c r="H362" s="42"/>
      <c r="I362" s="42"/>
      <c r="J362" s="22"/>
      <c r="K362" s="42"/>
    </row>
    <row r="363" ht="39.75" customHeight="1">
      <c r="A363" s="1">
        <v>362.0</v>
      </c>
      <c r="B363" s="2" t="s">
        <v>24</v>
      </c>
      <c r="C363" s="2" t="s">
        <v>13</v>
      </c>
      <c r="D363" s="13"/>
      <c r="E363" s="13"/>
      <c r="F363" s="45"/>
      <c r="G363" s="42"/>
      <c r="H363" s="42"/>
      <c r="I363" s="42"/>
      <c r="J363" s="22"/>
      <c r="K363" s="42"/>
    </row>
    <row r="364" ht="39.75" customHeight="1">
      <c r="A364" s="1">
        <v>363.0</v>
      </c>
      <c r="B364" s="2" t="s">
        <v>25</v>
      </c>
      <c r="C364" s="2" t="s">
        <v>13</v>
      </c>
      <c r="D364" s="13"/>
      <c r="E364" s="13"/>
      <c r="F364" s="45"/>
      <c r="G364" s="42"/>
      <c r="H364" s="42"/>
      <c r="I364" s="42"/>
      <c r="J364" s="22"/>
      <c r="K364" s="42"/>
    </row>
    <row r="365" ht="39.75" customHeight="1">
      <c r="A365" s="1">
        <v>364.0</v>
      </c>
      <c r="B365" s="2" t="s">
        <v>26</v>
      </c>
      <c r="C365" s="2" t="s">
        <v>13</v>
      </c>
      <c r="D365" s="13"/>
      <c r="E365" s="13"/>
      <c r="F365" s="45"/>
      <c r="G365" s="42"/>
      <c r="H365" s="42"/>
      <c r="I365" s="42"/>
      <c r="J365" s="22"/>
      <c r="K365" s="42"/>
    </row>
    <row r="366" ht="39.75" customHeight="1">
      <c r="A366" s="1">
        <v>365.0</v>
      </c>
      <c r="B366" s="2" t="s">
        <v>29</v>
      </c>
      <c r="C366" s="2"/>
      <c r="D366" s="13"/>
      <c r="E366" s="13"/>
      <c r="F366" s="45"/>
      <c r="G366" s="42"/>
      <c r="H366" s="42"/>
      <c r="I366" s="42"/>
      <c r="J366" s="22"/>
      <c r="K366" s="42"/>
    </row>
    <row r="367" ht="39.75" customHeight="1">
      <c r="A367" s="1">
        <v>366.0</v>
      </c>
      <c r="B367" s="2" t="s">
        <v>32</v>
      </c>
      <c r="C367" s="2" t="s">
        <v>13</v>
      </c>
      <c r="D367" s="13"/>
      <c r="E367" s="13"/>
      <c r="F367" s="45"/>
      <c r="G367" s="42"/>
      <c r="H367" s="42"/>
      <c r="I367" s="42"/>
      <c r="J367" s="22"/>
      <c r="K367" s="42"/>
    </row>
    <row r="368" ht="39.75" customHeight="1">
      <c r="A368" s="1">
        <v>367.0</v>
      </c>
      <c r="B368" s="2" t="s">
        <v>67</v>
      </c>
      <c r="C368" s="2" t="s">
        <v>13</v>
      </c>
      <c r="D368" s="13"/>
      <c r="E368" s="13"/>
      <c r="F368" s="45"/>
      <c r="G368" s="42"/>
      <c r="H368" s="42"/>
      <c r="I368" s="42"/>
      <c r="J368" s="22"/>
      <c r="K368" s="42"/>
    </row>
    <row r="369" ht="39.75" customHeight="1">
      <c r="A369" s="1">
        <v>368.0</v>
      </c>
      <c r="B369" s="2" t="s">
        <v>35</v>
      </c>
      <c r="C369" s="2" t="s">
        <v>3563</v>
      </c>
      <c r="D369" s="13"/>
      <c r="E369" s="13"/>
      <c r="F369" s="45"/>
      <c r="G369" s="42"/>
      <c r="H369" s="42"/>
      <c r="I369" s="42"/>
      <c r="J369" s="22"/>
      <c r="K369" s="42"/>
    </row>
    <row r="370" ht="39.75" customHeight="1">
      <c r="A370" s="1">
        <v>369.0</v>
      </c>
      <c r="B370" s="2" t="s">
        <v>36</v>
      </c>
      <c r="C370" s="2" t="s">
        <v>13</v>
      </c>
      <c r="D370" s="13"/>
      <c r="E370" s="13"/>
      <c r="F370" s="45"/>
      <c r="G370" s="42"/>
      <c r="H370" s="42"/>
      <c r="I370" s="42"/>
      <c r="J370" s="22"/>
      <c r="K370" s="42"/>
    </row>
    <row r="371" ht="39.75" customHeight="1">
      <c r="A371" s="1">
        <v>370.0</v>
      </c>
      <c r="B371" s="2" t="s">
        <v>38</v>
      </c>
      <c r="C371" s="2" t="s">
        <v>13</v>
      </c>
      <c r="D371" s="13"/>
      <c r="E371" s="13"/>
      <c r="F371" s="45"/>
      <c r="G371" s="42"/>
      <c r="H371" s="42"/>
      <c r="I371" s="42"/>
      <c r="J371" s="22"/>
      <c r="K371" s="42"/>
    </row>
    <row r="372" ht="39.75" customHeight="1">
      <c r="A372" s="1">
        <v>371.0</v>
      </c>
      <c r="B372" s="2" t="s">
        <v>41</v>
      </c>
      <c r="C372" s="2" t="s">
        <v>3571</v>
      </c>
      <c r="D372" s="13"/>
      <c r="E372" s="13"/>
      <c r="F372" s="44"/>
      <c r="G372" s="43"/>
      <c r="H372" s="42"/>
      <c r="I372" s="43"/>
      <c r="J372" s="22"/>
      <c r="K372" s="42"/>
    </row>
    <row r="373" ht="39.75" customHeight="1">
      <c r="A373" s="1">
        <v>372.0</v>
      </c>
      <c r="B373" s="2" t="s">
        <v>42</v>
      </c>
      <c r="C373" s="2" t="s">
        <v>13</v>
      </c>
      <c r="D373" s="13"/>
      <c r="E373" s="13"/>
      <c r="F373" s="45"/>
      <c r="G373" s="42"/>
      <c r="H373" s="42"/>
      <c r="I373" s="42"/>
      <c r="J373" s="22"/>
      <c r="K373" s="42"/>
    </row>
    <row r="374" ht="39.75" customHeight="1">
      <c r="A374" s="1">
        <v>373.0</v>
      </c>
      <c r="B374" s="2" t="s">
        <v>43</v>
      </c>
      <c r="C374" s="2" t="s">
        <v>13</v>
      </c>
      <c r="D374" s="13"/>
      <c r="E374" s="13"/>
      <c r="F374" s="45"/>
      <c r="G374" s="42"/>
      <c r="H374" s="42"/>
      <c r="I374" s="42"/>
      <c r="J374" s="22"/>
      <c r="K374" s="42"/>
    </row>
    <row r="375" ht="39.75" customHeight="1">
      <c r="A375" s="1">
        <v>374.0</v>
      </c>
      <c r="B375" s="2" t="s">
        <v>267</v>
      </c>
      <c r="C375" s="2" t="s">
        <v>13</v>
      </c>
      <c r="D375" s="13"/>
      <c r="E375" s="13"/>
      <c r="F375" s="44"/>
      <c r="G375" s="43"/>
      <c r="H375" s="42"/>
      <c r="I375" s="43"/>
      <c r="J375" s="22"/>
      <c r="K375" s="42"/>
    </row>
    <row r="376" ht="39.75" customHeight="1">
      <c r="A376" s="1">
        <v>375.0</v>
      </c>
      <c r="B376" s="2" t="s">
        <v>46</v>
      </c>
      <c r="C376" s="2" t="s">
        <v>3557</v>
      </c>
      <c r="D376" s="13"/>
      <c r="E376" s="13"/>
      <c r="F376" s="44"/>
      <c r="G376" s="42"/>
      <c r="H376" s="42"/>
      <c r="I376" s="42"/>
      <c r="J376" s="22"/>
      <c r="K376" s="42"/>
    </row>
    <row r="377" ht="39.75" customHeight="1">
      <c r="A377" s="1">
        <v>376.0</v>
      </c>
      <c r="B377" s="2" t="s">
        <v>47</v>
      </c>
      <c r="C377" s="2" t="s">
        <v>13</v>
      </c>
      <c r="D377" s="13"/>
      <c r="E377" s="13"/>
      <c r="F377" s="45"/>
      <c r="G377" s="42"/>
      <c r="H377" s="42"/>
      <c r="I377" s="42"/>
      <c r="J377" s="22"/>
      <c r="K377" s="42"/>
    </row>
    <row r="378" ht="39.75" customHeight="1">
      <c r="A378" s="1">
        <v>377.0</v>
      </c>
      <c r="B378" s="2" t="s">
        <v>48</v>
      </c>
      <c r="C378" s="2" t="s">
        <v>44</v>
      </c>
      <c r="D378" s="13"/>
      <c r="E378" s="13"/>
      <c r="F378" s="44"/>
      <c r="G378" s="43"/>
      <c r="H378" s="42"/>
      <c r="I378" s="42"/>
      <c r="J378" s="22"/>
      <c r="K378" s="42"/>
    </row>
    <row r="379" ht="39.75" customHeight="1">
      <c r="A379" s="1">
        <v>378.0</v>
      </c>
      <c r="B379" s="21"/>
      <c r="C379" s="21"/>
      <c r="D379" s="21"/>
      <c r="E379" s="21"/>
      <c r="F379" s="46"/>
      <c r="G379" s="47"/>
      <c r="H379" s="47"/>
      <c r="I379" s="47"/>
      <c r="J379" s="48"/>
      <c r="K379" s="47"/>
      <c r="L379" s="49"/>
      <c r="M379" s="49"/>
      <c r="N379" s="49"/>
    </row>
    <row r="380" ht="39.75" customHeight="1">
      <c r="A380" s="1">
        <v>379.0</v>
      </c>
      <c r="B380" s="2" t="s">
        <v>12</v>
      </c>
      <c r="C380" s="2" t="s">
        <v>13</v>
      </c>
      <c r="D380" s="13"/>
      <c r="E380" s="2"/>
      <c r="F380" s="45"/>
      <c r="G380" s="42"/>
      <c r="H380" s="42"/>
      <c r="I380" s="42"/>
      <c r="J380" s="22"/>
      <c r="K380" s="42"/>
      <c r="L380" s="15" t="s">
        <v>269</v>
      </c>
    </row>
    <row r="381" ht="39.75" customHeight="1">
      <c r="A381" s="1">
        <v>380.0</v>
      </c>
      <c r="B381" s="2" t="s">
        <v>16</v>
      </c>
      <c r="C381" s="2" t="s">
        <v>3560</v>
      </c>
      <c r="D381" s="13"/>
      <c r="E381" s="13"/>
      <c r="F381" s="44" t="s">
        <v>1178</v>
      </c>
      <c r="G381" s="43">
        <v>1.0</v>
      </c>
      <c r="H381" s="42"/>
      <c r="I381" s="43">
        <v>1.0</v>
      </c>
      <c r="J381" s="27" t="s">
        <v>269</v>
      </c>
      <c r="K381" s="43"/>
    </row>
    <row r="382" ht="39.75" customHeight="1">
      <c r="A382" s="1">
        <v>381.0</v>
      </c>
      <c r="B382" s="2" t="s">
        <v>116</v>
      </c>
      <c r="C382" s="2" t="s">
        <v>13</v>
      </c>
      <c r="D382" s="13"/>
      <c r="E382" s="13"/>
      <c r="F382" s="45"/>
      <c r="G382" s="42"/>
      <c r="H382" s="42"/>
      <c r="I382" s="42"/>
      <c r="J382" s="27" t="s">
        <v>19</v>
      </c>
      <c r="K382" s="42"/>
    </row>
    <row r="383" ht="39.75" customHeight="1">
      <c r="A383" s="1">
        <v>382.0</v>
      </c>
      <c r="B383" s="2" t="s">
        <v>263</v>
      </c>
      <c r="C383" s="2" t="s">
        <v>13</v>
      </c>
      <c r="D383" s="13"/>
      <c r="E383" s="13"/>
      <c r="F383" s="44"/>
      <c r="G383" s="42"/>
      <c r="H383" s="42"/>
      <c r="I383" s="42"/>
      <c r="J383" s="27" t="s">
        <v>151</v>
      </c>
      <c r="K383" s="42"/>
    </row>
    <row r="384" ht="39.75" customHeight="1">
      <c r="A384" s="1">
        <v>383.0</v>
      </c>
      <c r="B384" s="2" t="s">
        <v>17</v>
      </c>
      <c r="C384" s="2" t="s">
        <v>13</v>
      </c>
      <c r="D384" s="13"/>
      <c r="E384" s="13"/>
      <c r="F384" s="45"/>
      <c r="G384" s="42"/>
      <c r="H384" s="42"/>
      <c r="I384" s="42"/>
      <c r="J384" s="27" t="s">
        <v>152</v>
      </c>
      <c r="K384" s="42"/>
    </row>
    <row r="385" ht="39.75" customHeight="1">
      <c r="A385" s="1">
        <v>384.0</v>
      </c>
      <c r="B385" s="2" t="s">
        <v>331</v>
      </c>
      <c r="C385" s="2" t="s">
        <v>13</v>
      </c>
      <c r="D385" s="13"/>
      <c r="E385" s="13"/>
      <c r="F385" s="45"/>
      <c r="G385" s="42"/>
      <c r="H385" s="42"/>
      <c r="I385" s="42"/>
      <c r="J385" s="27" t="s">
        <v>154</v>
      </c>
      <c r="K385" s="42"/>
    </row>
    <row r="386" ht="39.75" customHeight="1">
      <c r="A386" s="1">
        <v>385.0</v>
      </c>
      <c r="B386" s="2" t="s">
        <v>21</v>
      </c>
      <c r="C386" s="2" t="s">
        <v>13</v>
      </c>
      <c r="D386" s="13"/>
      <c r="E386" s="13"/>
      <c r="F386" s="45"/>
      <c r="G386" s="42"/>
      <c r="H386" s="42"/>
      <c r="I386" s="42"/>
      <c r="J386" s="22"/>
      <c r="K386" s="42"/>
    </row>
    <row r="387" ht="39.75" customHeight="1">
      <c r="A387" s="1">
        <v>386.0</v>
      </c>
      <c r="B387" s="2" t="s">
        <v>22</v>
      </c>
      <c r="C387" s="2" t="s">
        <v>13</v>
      </c>
      <c r="D387" s="40"/>
      <c r="E387" s="40"/>
      <c r="F387" s="44"/>
      <c r="G387" s="43"/>
      <c r="H387" s="42"/>
      <c r="I387" s="43"/>
      <c r="J387" s="22"/>
      <c r="K387" s="42"/>
    </row>
    <row r="388" ht="39.75" customHeight="1">
      <c r="A388" s="1">
        <v>387.0</v>
      </c>
      <c r="B388" s="2" t="s">
        <v>261</v>
      </c>
      <c r="C388" s="2" t="s">
        <v>13</v>
      </c>
      <c r="D388" s="13"/>
      <c r="E388" s="13"/>
      <c r="F388" s="45"/>
      <c r="G388" s="42"/>
      <c r="H388" s="42"/>
      <c r="I388" s="42"/>
      <c r="J388" s="22"/>
      <c r="K388" s="42"/>
    </row>
    <row r="389" ht="39.75" customHeight="1">
      <c r="A389" s="1">
        <v>388.0</v>
      </c>
      <c r="B389" s="2" t="s">
        <v>23</v>
      </c>
      <c r="C389" s="2" t="s">
        <v>13</v>
      </c>
      <c r="D389" s="40"/>
      <c r="E389" s="40"/>
      <c r="F389" s="44"/>
      <c r="G389" s="43"/>
      <c r="H389" s="42"/>
      <c r="I389" s="42"/>
      <c r="J389" s="22"/>
      <c r="K389" s="42"/>
    </row>
    <row r="390" ht="39.75" customHeight="1">
      <c r="A390" s="1">
        <v>389.0</v>
      </c>
      <c r="B390" s="2" t="s">
        <v>24</v>
      </c>
      <c r="C390" s="2" t="s">
        <v>13</v>
      </c>
      <c r="D390" s="13"/>
      <c r="E390" s="13"/>
      <c r="F390" s="45"/>
      <c r="G390" s="42"/>
      <c r="H390" s="42"/>
      <c r="I390" s="42"/>
      <c r="J390" s="22"/>
      <c r="K390" s="42"/>
    </row>
    <row r="391" ht="39.75" customHeight="1">
      <c r="A391" s="1">
        <v>390.0</v>
      </c>
      <c r="B391" s="2" t="s">
        <v>25</v>
      </c>
      <c r="C391" s="2" t="s">
        <v>13</v>
      </c>
      <c r="D391" s="13"/>
      <c r="E391" s="13"/>
      <c r="F391" s="45"/>
      <c r="G391" s="42"/>
      <c r="H391" s="42"/>
      <c r="I391" s="42"/>
      <c r="J391" s="22"/>
      <c r="K391" s="42"/>
    </row>
    <row r="392" ht="39.75" customHeight="1">
      <c r="A392" s="1">
        <v>391.0</v>
      </c>
      <c r="B392" s="2" t="s">
        <v>26</v>
      </c>
      <c r="C392" s="2" t="s">
        <v>13</v>
      </c>
      <c r="D392" s="40"/>
      <c r="E392" s="40"/>
      <c r="F392" s="44"/>
      <c r="G392" s="43"/>
      <c r="H392" s="42"/>
      <c r="I392" s="42"/>
      <c r="J392" s="22"/>
      <c r="K392" s="42"/>
    </row>
    <row r="393" ht="39.75" customHeight="1">
      <c r="A393" s="1">
        <v>392.0</v>
      </c>
      <c r="B393" s="2" t="s">
        <v>29</v>
      </c>
      <c r="C393" s="2" t="s">
        <v>13</v>
      </c>
      <c r="D393" s="13"/>
      <c r="E393" s="13"/>
      <c r="F393" s="45"/>
      <c r="G393" s="42"/>
      <c r="H393" s="42"/>
      <c r="I393" s="42"/>
      <c r="J393" s="22"/>
      <c r="K393" s="42"/>
    </row>
    <row r="394" ht="39.75" customHeight="1">
      <c r="A394" s="1">
        <v>393.0</v>
      </c>
      <c r="B394" s="2" t="s">
        <v>32</v>
      </c>
      <c r="C394" s="107" t="s">
        <v>13</v>
      </c>
      <c r="D394" s="40"/>
      <c r="E394" s="13"/>
      <c r="F394" s="45"/>
      <c r="G394" s="42"/>
      <c r="H394" s="42"/>
      <c r="I394" s="42"/>
      <c r="J394" s="22"/>
      <c r="K394" s="42"/>
    </row>
    <row r="395" ht="39.75" customHeight="1">
      <c r="A395" s="1">
        <v>394.0</v>
      </c>
      <c r="B395" s="2" t="s">
        <v>67</v>
      </c>
      <c r="C395" s="2" t="s">
        <v>3707</v>
      </c>
      <c r="D395" s="40">
        <v>0.4583333333333333</v>
      </c>
      <c r="E395" s="13"/>
      <c r="F395" s="44" t="s">
        <v>3708</v>
      </c>
      <c r="G395" s="43">
        <v>1.0</v>
      </c>
      <c r="H395" s="42"/>
      <c r="I395" s="42"/>
      <c r="J395" s="22"/>
      <c r="K395" s="42"/>
    </row>
    <row r="396" ht="39.75" customHeight="1">
      <c r="A396" s="1">
        <v>395.0</v>
      </c>
      <c r="B396" s="2" t="s">
        <v>35</v>
      </c>
      <c r="C396" s="2" t="s">
        <v>13</v>
      </c>
      <c r="D396" s="13"/>
      <c r="E396" s="13"/>
      <c r="F396" s="45"/>
      <c r="G396" s="42"/>
      <c r="H396" s="42"/>
      <c r="I396" s="42"/>
      <c r="J396" s="22"/>
      <c r="K396" s="42"/>
    </row>
    <row r="397" ht="39.75" customHeight="1">
      <c r="A397" s="1">
        <v>396.0</v>
      </c>
      <c r="B397" s="2" t="s">
        <v>36</v>
      </c>
      <c r="C397" s="2" t="s">
        <v>13</v>
      </c>
      <c r="D397" s="13"/>
      <c r="E397" s="13"/>
      <c r="F397" s="45"/>
      <c r="G397" s="42"/>
      <c r="H397" s="42"/>
      <c r="I397" s="42"/>
      <c r="J397" s="22"/>
      <c r="K397" s="42"/>
    </row>
    <row r="398" ht="39.75" customHeight="1">
      <c r="A398" s="1">
        <v>397.0</v>
      </c>
      <c r="B398" s="2" t="s">
        <v>38</v>
      </c>
      <c r="C398" s="2" t="s">
        <v>13</v>
      </c>
      <c r="D398" s="40"/>
      <c r="E398" s="13"/>
      <c r="F398" s="45"/>
      <c r="G398" s="42"/>
      <c r="H398" s="42"/>
      <c r="I398" s="42"/>
      <c r="J398" s="22"/>
      <c r="K398" s="42"/>
    </row>
    <row r="399" ht="39.75" customHeight="1">
      <c r="A399" s="1">
        <v>398.0</v>
      </c>
      <c r="B399" s="2" t="s">
        <v>41</v>
      </c>
      <c r="C399" s="2" t="s">
        <v>44</v>
      </c>
      <c r="D399" s="13"/>
      <c r="E399" s="13"/>
      <c r="F399" s="45"/>
      <c r="G399" s="42"/>
      <c r="H399" s="42"/>
      <c r="I399" s="42"/>
      <c r="J399" s="22"/>
      <c r="K399" s="42"/>
    </row>
    <row r="400" ht="39.75" customHeight="1">
      <c r="A400" s="1">
        <v>399.0</v>
      </c>
      <c r="B400" s="2" t="s">
        <v>42</v>
      </c>
      <c r="C400" s="2" t="s">
        <v>13</v>
      </c>
      <c r="D400" s="13"/>
      <c r="E400" s="13"/>
      <c r="F400" s="45"/>
      <c r="G400" s="42"/>
      <c r="H400" s="42"/>
      <c r="I400" s="42"/>
      <c r="J400" s="22"/>
      <c r="K400" s="42"/>
    </row>
    <row r="401" ht="39.75" customHeight="1">
      <c r="A401" s="1">
        <v>400.0</v>
      </c>
      <c r="B401" s="2" t="s">
        <v>43</v>
      </c>
      <c r="C401" s="2" t="s">
        <v>13</v>
      </c>
      <c r="D401" s="13"/>
      <c r="E401" s="13"/>
      <c r="F401" s="45"/>
      <c r="G401" s="42"/>
      <c r="H401" s="42"/>
      <c r="I401" s="42"/>
      <c r="J401" s="22"/>
      <c r="K401" s="42"/>
    </row>
    <row r="402" ht="39.75" customHeight="1">
      <c r="A402" s="1">
        <v>401.0</v>
      </c>
      <c r="B402" s="2" t="s">
        <v>267</v>
      </c>
      <c r="C402" s="2" t="s">
        <v>3571</v>
      </c>
      <c r="D402" s="13"/>
      <c r="E402" s="13"/>
      <c r="F402" s="44" t="s">
        <v>3709</v>
      </c>
      <c r="G402" s="43">
        <v>1.0</v>
      </c>
      <c r="H402" s="42"/>
      <c r="I402" s="43"/>
      <c r="J402" s="22"/>
      <c r="K402" s="42"/>
    </row>
    <row r="403" ht="39.75" customHeight="1">
      <c r="A403" s="1">
        <v>402.0</v>
      </c>
      <c r="B403" s="2" t="s">
        <v>46</v>
      </c>
      <c r="C403" s="2" t="s">
        <v>3557</v>
      </c>
      <c r="D403" s="40"/>
      <c r="E403" s="40"/>
      <c r="F403" s="44" t="s">
        <v>3710</v>
      </c>
      <c r="G403" s="43"/>
      <c r="H403" s="42"/>
      <c r="I403" s="43"/>
      <c r="J403" s="22"/>
      <c r="K403" s="42"/>
    </row>
    <row r="404" ht="39.75" customHeight="1">
      <c r="A404" s="1">
        <v>403.0</v>
      </c>
      <c r="B404" s="2" t="s">
        <v>47</v>
      </c>
      <c r="C404" s="2" t="s">
        <v>3560</v>
      </c>
      <c r="D404" s="13"/>
      <c r="E404" s="13"/>
      <c r="F404" s="44" t="s">
        <v>3711</v>
      </c>
      <c r="G404" s="43">
        <v>1.0</v>
      </c>
      <c r="H404" s="42"/>
      <c r="I404" s="42"/>
      <c r="J404" s="22"/>
      <c r="K404" s="42"/>
    </row>
    <row r="405" ht="39.75" customHeight="1">
      <c r="A405" s="1">
        <v>404.0</v>
      </c>
      <c r="B405" s="2" t="s">
        <v>48</v>
      </c>
      <c r="C405" s="2" t="s">
        <v>13</v>
      </c>
      <c r="D405" s="13"/>
      <c r="E405" s="13"/>
      <c r="F405" s="45"/>
      <c r="G405" s="42"/>
      <c r="H405" s="42"/>
      <c r="I405" s="42"/>
      <c r="J405" s="22"/>
      <c r="K405" s="42"/>
    </row>
    <row r="406" ht="39.75" customHeight="1">
      <c r="A406" s="1">
        <v>405.0</v>
      </c>
      <c r="B406" s="21"/>
      <c r="C406" s="21"/>
      <c r="D406" s="21"/>
      <c r="E406" s="21"/>
      <c r="F406" s="46"/>
      <c r="G406" s="47"/>
      <c r="H406" s="47"/>
      <c r="I406" s="47"/>
      <c r="J406" s="48"/>
      <c r="K406" s="47"/>
      <c r="L406" s="49"/>
      <c r="M406" s="49"/>
      <c r="N406" s="49"/>
    </row>
    <row r="407" ht="39.75" customHeight="1">
      <c r="A407" s="1">
        <v>406.0</v>
      </c>
      <c r="B407" s="2" t="s">
        <v>12</v>
      </c>
      <c r="C407" s="2" t="s">
        <v>13</v>
      </c>
      <c r="D407" s="13"/>
      <c r="E407" s="2"/>
      <c r="F407" s="45"/>
      <c r="G407" s="42"/>
      <c r="H407" s="42"/>
      <c r="I407" s="42"/>
      <c r="J407" s="22"/>
      <c r="K407" s="42"/>
      <c r="L407" s="15" t="s">
        <v>274</v>
      </c>
    </row>
    <row r="408" ht="39.75" customHeight="1">
      <c r="A408" s="1">
        <v>407.0</v>
      </c>
      <c r="B408" s="2" t="s">
        <v>16</v>
      </c>
      <c r="C408" s="2" t="s">
        <v>54</v>
      </c>
      <c r="D408" s="13"/>
      <c r="E408" s="13"/>
      <c r="F408" s="44" t="s">
        <v>3712</v>
      </c>
      <c r="G408" s="43">
        <v>1.0</v>
      </c>
      <c r="H408" s="42"/>
      <c r="I408" s="42"/>
      <c r="J408" s="27" t="s">
        <v>274</v>
      </c>
      <c r="K408" s="43"/>
    </row>
    <row r="409" ht="39.75" customHeight="1">
      <c r="A409" s="1">
        <v>408.0</v>
      </c>
      <c r="B409" s="2" t="s">
        <v>116</v>
      </c>
      <c r="C409" s="2"/>
      <c r="D409" s="13"/>
      <c r="E409" s="13"/>
      <c r="F409" s="44" t="s">
        <v>3713</v>
      </c>
      <c r="G409" s="43">
        <v>1.0</v>
      </c>
      <c r="H409" s="42"/>
      <c r="I409" s="42"/>
      <c r="J409" s="27" t="s">
        <v>56</v>
      </c>
      <c r="K409" s="42"/>
    </row>
    <row r="410" ht="39.75" customHeight="1">
      <c r="A410" s="1">
        <v>409.0</v>
      </c>
      <c r="B410" s="2" t="s">
        <v>263</v>
      </c>
      <c r="C410" s="2" t="s">
        <v>54</v>
      </c>
      <c r="D410" s="13"/>
      <c r="E410" s="13"/>
      <c r="F410" s="44" t="s">
        <v>3714</v>
      </c>
      <c r="G410" s="43">
        <v>1.0</v>
      </c>
      <c r="H410" s="42"/>
      <c r="I410" s="42"/>
      <c r="J410" s="27" t="s">
        <v>3715</v>
      </c>
      <c r="K410" s="42"/>
    </row>
    <row r="411" ht="39.75" customHeight="1">
      <c r="A411" s="1">
        <v>410.0</v>
      </c>
      <c r="B411" s="2" t="s">
        <v>17</v>
      </c>
      <c r="C411" s="2" t="s">
        <v>3603</v>
      </c>
      <c r="D411" s="13"/>
      <c r="E411" s="13"/>
      <c r="F411" s="44" t="s">
        <v>3716</v>
      </c>
      <c r="G411" s="43">
        <v>1.0</v>
      </c>
      <c r="H411" s="42"/>
      <c r="I411" s="43">
        <v>1.0</v>
      </c>
      <c r="J411" s="27" t="s">
        <v>412</v>
      </c>
      <c r="K411" s="42"/>
    </row>
    <row r="412" ht="39.75" customHeight="1">
      <c r="A412" s="1">
        <v>411.0</v>
      </c>
      <c r="B412" s="2" t="s">
        <v>331</v>
      </c>
      <c r="C412" s="2" t="s">
        <v>13</v>
      </c>
      <c r="D412" s="13"/>
      <c r="E412" s="13"/>
      <c r="F412" s="45"/>
      <c r="G412" s="42"/>
      <c r="H412" s="42"/>
      <c r="I412" s="42"/>
      <c r="J412" s="27"/>
      <c r="K412" s="42"/>
    </row>
    <row r="413" ht="39.75" customHeight="1">
      <c r="A413" s="1">
        <v>412.0</v>
      </c>
      <c r="B413" s="2" t="s">
        <v>21</v>
      </c>
      <c r="C413" s="2" t="s">
        <v>13</v>
      </c>
      <c r="D413" s="13"/>
      <c r="E413" s="13"/>
      <c r="F413" s="45"/>
      <c r="G413" s="42"/>
      <c r="H413" s="42"/>
      <c r="I413" s="42"/>
      <c r="J413" s="22"/>
      <c r="K413" s="42"/>
    </row>
    <row r="414" ht="39.75" customHeight="1">
      <c r="A414" s="1">
        <v>413.0</v>
      </c>
      <c r="B414" s="2" t="s">
        <v>22</v>
      </c>
      <c r="C414" s="2"/>
      <c r="D414" s="13"/>
      <c r="E414" s="13"/>
      <c r="F414" s="44" t="s">
        <v>3717</v>
      </c>
      <c r="G414" s="43">
        <v>1.0</v>
      </c>
      <c r="H414" s="42"/>
      <c r="I414" s="42"/>
      <c r="J414" s="22"/>
      <c r="K414" s="42"/>
    </row>
    <row r="415" ht="39.75" customHeight="1">
      <c r="A415" s="1">
        <v>414.0</v>
      </c>
      <c r="B415" s="2" t="s">
        <v>261</v>
      </c>
      <c r="C415" s="2" t="s">
        <v>13</v>
      </c>
      <c r="D415" s="13"/>
      <c r="E415" s="13"/>
      <c r="F415" s="45"/>
      <c r="G415" s="42"/>
      <c r="H415" s="42"/>
      <c r="I415" s="42"/>
      <c r="J415" s="22"/>
      <c r="K415" s="42"/>
    </row>
    <row r="416" ht="39.75" customHeight="1">
      <c r="A416" s="1">
        <v>415.0</v>
      </c>
      <c r="B416" s="2" t="s">
        <v>23</v>
      </c>
      <c r="C416" s="2" t="s">
        <v>54</v>
      </c>
      <c r="D416" s="40"/>
      <c r="E416" s="40"/>
      <c r="F416" s="44" t="s">
        <v>3718</v>
      </c>
      <c r="G416" s="43">
        <v>1.0</v>
      </c>
      <c r="H416" s="42"/>
      <c r="I416" s="42"/>
      <c r="J416" s="22"/>
      <c r="K416" s="42"/>
    </row>
    <row r="417" ht="39.75" customHeight="1">
      <c r="A417" s="1">
        <v>416.0</v>
      </c>
      <c r="B417" s="2" t="s">
        <v>24</v>
      </c>
      <c r="C417" s="2"/>
      <c r="D417" s="13"/>
      <c r="E417" s="13"/>
      <c r="F417" s="44" t="s">
        <v>3719</v>
      </c>
      <c r="G417" s="43">
        <v>1.0</v>
      </c>
      <c r="H417" s="42"/>
      <c r="I417" s="42"/>
      <c r="J417" s="22"/>
      <c r="K417" s="42"/>
    </row>
    <row r="418" ht="39.75" customHeight="1">
      <c r="A418" s="1">
        <v>417.0</v>
      </c>
      <c r="B418" s="2" t="s">
        <v>25</v>
      </c>
      <c r="C418" s="2" t="s">
        <v>13</v>
      </c>
      <c r="D418" s="13"/>
      <c r="E418" s="13"/>
      <c r="F418" s="45"/>
      <c r="G418" s="42"/>
      <c r="H418" s="42"/>
      <c r="I418" s="42"/>
      <c r="J418" s="22"/>
      <c r="K418" s="42"/>
    </row>
    <row r="419" ht="39.75" customHeight="1">
      <c r="A419" s="1">
        <v>418.0</v>
      </c>
      <c r="B419" s="2" t="s">
        <v>26</v>
      </c>
      <c r="C419" s="2" t="s">
        <v>3557</v>
      </c>
      <c r="D419" s="40"/>
      <c r="E419" s="40"/>
      <c r="F419" s="44" t="s">
        <v>3720</v>
      </c>
      <c r="G419" s="43">
        <v>1.0</v>
      </c>
      <c r="H419" s="42"/>
      <c r="I419" s="42"/>
      <c r="J419" s="22"/>
      <c r="K419" s="42"/>
    </row>
    <row r="420" ht="39.75" customHeight="1">
      <c r="A420" s="1">
        <v>419.0</v>
      </c>
      <c r="B420" s="2" t="s">
        <v>29</v>
      </c>
      <c r="C420" s="2" t="s">
        <v>69</v>
      </c>
      <c r="D420" s="13"/>
      <c r="E420" s="13"/>
      <c r="F420" s="44" t="s">
        <v>3721</v>
      </c>
      <c r="G420" s="42"/>
      <c r="H420" s="42"/>
      <c r="I420" s="42"/>
      <c r="J420" s="22"/>
      <c r="K420" s="42"/>
    </row>
    <row r="421" ht="39.75" customHeight="1">
      <c r="A421" s="1">
        <v>420.0</v>
      </c>
      <c r="B421" s="2" t="s">
        <v>32</v>
      </c>
      <c r="C421" s="2"/>
      <c r="D421" s="13"/>
      <c r="E421" s="13"/>
      <c r="F421" s="44" t="s">
        <v>3722</v>
      </c>
      <c r="G421" s="43">
        <v>1.0</v>
      </c>
      <c r="H421" s="42"/>
      <c r="I421" s="43">
        <v>1.0</v>
      </c>
      <c r="J421" s="22"/>
      <c r="K421" s="42"/>
    </row>
    <row r="422" ht="39.75" customHeight="1">
      <c r="A422" s="1">
        <v>421.0</v>
      </c>
      <c r="B422" s="2" t="s">
        <v>67</v>
      </c>
      <c r="C422" s="2" t="s">
        <v>54</v>
      </c>
      <c r="D422" s="13"/>
      <c r="E422" s="13"/>
      <c r="F422" s="44" t="s">
        <v>3723</v>
      </c>
      <c r="G422" s="43">
        <v>1.0</v>
      </c>
      <c r="H422" s="42"/>
      <c r="I422" s="42"/>
      <c r="J422" s="22"/>
      <c r="K422" s="42"/>
    </row>
    <row r="423" ht="39.75" customHeight="1">
      <c r="A423" s="1">
        <v>422.0</v>
      </c>
      <c r="B423" s="2" t="s">
        <v>35</v>
      </c>
      <c r="C423" s="2" t="s">
        <v>3563</v>
      </c>
      <c r="D423" s="13"/>
      <c r="E423" s="13"/>
      <c r="F423" s="45"/>
      <c r="G423" s="42"/>
      <c r="H423" s="42"/>
      <c r="I423" s="42"/>
      <c r="J423" s="22"/>
      <c r="K423" s="42"/>
    </row>
    <row r="424" ht="39.75" customHeight="1">
      <c r="A424" s="1">
        <v>423.0</v>
      </c>
      <c r="B424" s="2" t="s">
        <v>36</v>
      </c>
      <c r="C424" s="2" t="s">
        <v>13</v>
      </c>
      <c r="D424" s="13"/>
      <c r="E424" s="13"/>
      <c r="F424" s="45"/>
      <c r="G424" s="42"/>
      <c r="H424" s="42"/>
      <c r="I424" s="42"/>
      <c r="J424" s="22"/>
      <c r="K424" s="42"/>
    </row>
    <row r="425" ht="39.75" customHeight="1">
      <c r="A425" s="1">
        <v>424.0</v>
      </c>
      <c r="B425" s="2" t="s">
        <v>38</v>
      </c>
      <c r="C425" s="2" t="s">
        <v>39</v>
      </c>
      <c r="D425" s="40"/>
      <c r="E425" s="13"/>
      <c r="F425" s="44" t="s">
        <v>3724</v>
      </c>
      <c r="G425" s="43">
        <v>1.0</v>
      </c>
      <c r="H425" s="42"/>
      <c r="I425" s="43">
        <v>1.0</v>
      </c>
      <c r="J425" s="22"/>
      <c r="K425" s="42"/>
    </row>
    <row r="426" ht="39.75" customHeight="1">
      <c r="A426" s="1">
        <v>425.0</v>
      </c>
      <c r="B426" s="2" t="s">
        <v>41</v>
      </c>
      <c r="C426" s="2" t="s">
        <v>69</v>
      </c>
      <c r="D426" s="13"/>
      <c r="E426" s="13"/>
      <c r="F426" s="44" t="s">
        <v>3725</v>
      </c>
      <c r="G426" s="43">
        <v>1.0</v>
      </c>
      <c r="H426" s="42"/>
      <c r="I426" s="43">
        <v>1.0</v>
      </c>
      <c r="J426" s="22"/>
      <c r="K426" s="42"/>
    </row>
    <row r="427" ht="39.75" customHeight="1">
      <c r="A427" s="1">
        <v>426.0</v>
      </c>
      <c r="B427" s="2" t="s">
        <v>42</v>
      </c>
      <c r="C427" s="2" t="s">
        <v>69</v>
      </c>
      <c r="D427" s="13"/>
      <c r="E427" s="13"/>
      <c r="F427" s="44" t="s">
        <v>3726</v>
      </c>
      <c r="G427" s="43">
        <v>1.0</v>
      </c>
      <c r="H427" s="42"/>
      <c r="I427" s="42"/>
      <c r="J427" s="22"/>
      <c r="K427" s="42"/>
    </row>
    <row r="428" ht="39.75" customHeight="1">
      <c r="A428" s="1">
        <v>427.0</v>
      </c>
      <c r="B428" s="2" t="s">
        <v>43</v>
      </c>
      <c r="C428" s="2" t="s">
        <v>27</v>
      </c>
      <c r="D428" s="13"/>
      <c r="E428" s="13"/>
      <c r="F428" s="45"/>
      <c r="G428" s="42"/>
      <c r="H428" s="42"/>
      <c r="I428" s="42"/>
      <c r="J428" s="22"/>
      <c r="K428" s="42"/>
    </row>
    <row r="429" ht="39.75" customHeight="1">
      <c r="A429" s="1">
        <v>428.0</v>
      </c>
      <c r="B429" s="2" t="s">
        <v>267</v>
      </c>
      <c r="C429" s="2" t="s">
        <v>44</v>
      </c>
      <c r="D429" s="13"/>
      <c r="E429" s="13"/>
      <c r="F429" s="45"/>
      <c r="G429" s="42"/>
      <c r="H429" s="42"/>
      <c r="I429" s="42"/>
      <c r="J429" s="22"/>
      <c r="K429" s="42"/>
    </row>
    <row r="430" ht="39.75" customHeight="1">
      <c r="A430" s="1">
        <v>429.0</v>
      </c>
      <c r="B430" s="2" t="s">
        <v>46</v>
      </c>
      <c r="C430" s="2"/>
      <c r="D430" s="13"/>
      <c r="E430" s="13"/>
      <c r="F430" s="44" t="s">
        <v>3630</v>
      </c>
      <c r="G430" s="43">
        <v>1.0</v>
      </c>
      <c r="H430" s="42"/>
      <c r="I430" s="42"/>
      <c r="J430" s="22"/>
      <c r="K430" s="42"/>
    </row>
    <row r="431" ht="39.75" customHeight="1">
      <c r="A431" s="1">
        <v>430.0</v>
      </c>
      <c r="B431" s="2" t="s">
        <v>47</v>
      </c>
      <c r="C431" s="2" t="s">
        <v>39</v>
      </c>
      <c r="D431" s="13"/>
      <c r="E431" s="13"/>
      <c r="F431" s="44"/>
      <c r="G431" s="43"/>
      <c r="H431" s="42"/>
      <c r="I431" s="42"/>
      <c r="J431" s="22"/>
      <c r="K431" s="42"/>
    </row>
    <row r="432" ht="39.75" customHeight="1">
      <c r="A432" s="1">
        <v>431.0</v>
      </c>
      <c r="B432" s="2" t="s">
        <v>48</v>
      </c>
      <c r="C432" s="2" t="s">
        <v>13</v>
      </c>
      <c r="D432" s="13"/>
      <c r="E432" s="13"/>
      <c r="F432" s="45"/>
      <c r="G432" s="42"/>
      <c r="H432" s="42"/>
      <c r="I432" s="42"/>
      <c r="J432" s="22"/>
      <c r="K432" s="42"/>
    </row>
    <row r="433" ht="39.75" customHeight="1">
      <c r="A433" s="1">
        <v>432.0</v>
      </c>
      <c r="B433" s="21"/>
      <c r="C433" s="21"/>
      <c r="D433" s="21"/>
      <c r="E433" s="21"/>
      <c r="F433" s="46"/>
      <c r="G433" s="47"/>
      <c r="H433" s="47"/>
      <c r="I433" s="47"/>
      <c r="J433" s="48"/>
      <c r="K433" s="47"/>
      <c r="L433" s="49"/>
      <c r="M433" s="49"/>
      <c r="N433" s="49"/>
    </row>
    <row r="434" ht="39.75" customHeight="1">
      <c r="A434" s="1">
        <v>433.0</v>
      </c>
      <c r="B434" s="2" t="s">
        <v>12</v>
      </c>
      <c r="C434" s="2" t="s">
        <v>62</v>
      </c>
      <c r="D434" s="13"/>
      <c r="E434" s="13"/>
      <c r="F434" s="44" t="s">
        <v>3727</v>
      </c>
      <c r="G434" s="43">
        <v>1.0</v>
      </c>
      <c r="H434" s="42"/>
      <c r="I434" s="42"/>
      <c r="J434" s="22"/>
      <c r="K434" s="42"/>
      <c r="L434" s="15" t="s">
        <v>294</v>
      </c>
    </row>
    <row r="435" ht="39.75" customHeight="1">
      <c r="A435" s="1">
        <v>434.0</v>
      </c>
      <c r="B435" s="2" t="s">
        <v>16</v>
      </c>
      <c r="C435" s="2" t="s">
        <v>54</v>
      </c>
      <c r="D435" s="40"/>
      <c r="E435" s="13"/>
      <c r="F435" s="44" t="s">
        <v>3728</v>
      </c>
      <c r="G435" s="43">
        <v>1.0</v>
      </c>
      <c r="H435" s="42"/>
      <c r="I435" s="43">
        <v>1.0</v>
      </c>
      <c r="J435" s="27" t="s">
        <v>294</v>
      </c>
      <c r="K435" s="43"/>
    </row>
    <row r="436" ht="39.75" customHeight="1">
      <c r="A436" s="1">
        <v>435.0</v>
      </c>
      <c r="B436" s="2" t="s">
        <v>116</v>
      </c>
      <c r="C436" s="2"/>
      <c r="D436" s="13"/>
      <c r="E436" s="13"/>
      <c r="F436" s="44" t="s">
        <v>3729</v>
      </c>
      <c r="G436" s="43">
        <v>1.0</v>
      </c>
      <c r="H436" s="42"/>
      <c r="I436" s="42"/>
      <c r="J436" s="27" t="s">
        <v>77</v>
      </c>
      <c r="K436" s="42"/>
    </row>
    <row r="437" ht="39.75" customHeight="1">
      <c r="A437" s="1">
        <v>436.0</v>
      </c>
      <c r="B437" s="2" t="s">
        <v>263</v>
      </c>
      <c r="C437" s="2" t="s">
        <v>54</v>
      </c>
      <c r="D437" s="13"/>
      <c r="E437" s="13"/>
      <c r="F437" s="45"/>
      <c r="G437" s="42"/>
      <c r="H437" s="42"/>
      <c r="I437" s="42"/>
      <c r="J437" s="27" t="s">
        <v>3633</v>
      </c>
      <c r="K437" s="42"/>
    </row>
    <row r="438" ht="39.75" customHeight="1">
      <c r="A438" s="1">
        <v>437.0</v>
      </c>
      <c r="B438" s="2" t="s">
        <v>17</v>
      </c>
      <c r="C438" s="2" t="s">
        <v>3603</v>
      </c>
      <c r="D438" s="13"/>
      <c r="E438" s="13"/>
      <c r="F438" s="44" t="s">
        <v>3392</v>
      </c>
      <c r="G438" s="42"/>
      <c r="H438" s="42"/>
      <c r="I438" s="42"/>
      <c r="J438" s="27" t="s">
        <v>3730</v>
      </c>
      <c r="K438" s="42"/>
    </row>
    <row r="439" ht="39.75" customHeight="1">
      <c r="A439" s="1">
        <v>438.0</v>
      </c>
      <c r="B439" s="2" t="s">
        <v>331</v>
      </c>
      <c r="C439" s="2" t="s">
        <v>542</v>
      </c>
      <c r="D439" s="13"/>
      <c r="E439" s="13"/>
      <c r="F439" s="44" t="s">
        <v>3731</v>
      </c>
      <c r="G439" s="43">
        <v>1.0</v>
      </c>
      <c r="H439" s="42"/>
      <c r="I439" s="42"/>
      <c r="J439" s="27" t="s">
        <v>3706</v>
      </c>
      <c r="K439" s="42"/>
    </row>
    <row r="440" ht="39.75" customHeight="1">
      <c r="A440" s="1">
        <v>439.0</v>
      </c>
      <c r="B440" s="2" t="s">
        <v>21</v>
      </c>
      <c r="C440" s="2" t="s">
        <v>69</v>
      </c>
      <c r="D440" s="13"/>
      <c r="E440" s="13"/>
      <c r="F440" s="45"/>
      <c r="G440" s="42"/>
      <c r="H440" s="42"/>
      <c r="I440" s="42"/>
      <c r="J440" s="22"/>
      <c r="K440" s="42"/>
    </row>
    <row r="441" ht="39.75" customHeight="1">
      <c r="A441" s="1">
        <v>440.0</v>
      </c>
      <c r="B441" s="2" t="s">
        <v>22</v>
      </c>
      <c r="C441" s="2" t="s">
        <v>39</v>
      </c>
      <c r="D441" s="13"/>
      <c r="E441" s="13"/>
      <c r="F441" s="44" t="s">
        <v>3732</v>
      </c>
      <c r="G441" s="43">
        <v>1.0</v>
      </c>
      <c r="H441" s="42"/>
      <c r="I441" s="42"/>
      <c r="J441" s="22"/>
      <c r="K441" s="42"/>
    </row>
    <row r="442" ht="39.75" customHeight="1">
      <c r="A442" s="1">
        <v>441.0</v>
      </c>
      <c r="B442" s="2" t="s">
        <v>261</v>
      </c>
      <c r="C442" s="2" t="s">
        <v>13</v>
      </c>
      <c r="D442" s="13"/>
      <c r="E442" s="13"/>
      <c r="F442" s="45"/>
      <c r="G442" s="42"/>
      <c r="H442" s="42"/>
      <c r="I442" s="42"/>
      <c r="J442" s="22"/>
      <c r="K442" s="42"/>
    </row>
    <row r="443" ht="39.75" customHeight="1">
      <c r="A443" s="1">
        <v>442.0</v>
      </c>
      <c r="B443" s="2" t="s">
        <v>23</v>
      </c>
      <c r="C443" s="2"/>
      <c r="D443" s="13"/>
      <c r="E443" s="13"/>
      <c r="F443" s="44" t="s">
        <v>3733</v>
      </c>
      <c r="G443" s="43">
        <v>1.0</v>
      </c>
      <c r="H443" s="42"/>
      <c r="I443" s="42"/>
      <c r="J443" s="22"/>
      <c r="K443" s="42"/>
    </row>
    <row r="444" ht="39.75" customHeight="1">
      <c r="A444" s="1">
        <v>443.0</v>
      </c>
      <c r="B444" s="2" t="s">
        <v>24</v>
      </c>
      <c r="C444" s="2"/>
      <c r="D444" s="13"/>
      <c r="E444" s="13"/>
      <c r="F444" s="44" t="s">
        <v>3734</v>
      </c>
      <c r="G444" s="43">
        <v>1.0</v>
      </c>
      <c r="H444" s="42"/>
      <c r="I444" s="42"/>
      <c r="J444" s="22"/>
      <c r="K444" s="42"/>
    </row>
    <row r="445" ht="39.75" customHeight="1">
      <c r="A445" s="1">
        <v>444.0</v>
      </c>
      <c r="B445" s="2" t="s">
        <v>25</v>
      </c>
      <c r="C445" s="2" t="s">
        <v>13</v>
      </c>
      <c r="D445" s="13"/>
      <c r="E445" s="13"/>
      <c r="F445" s="45"/>
      <c r="G445" s="42"/>
      <c r="H445" s="42"/>
      <c r="I445" s="42"/>
      <c r="J445" s="22"/>
      <c r="K445" s="42"/>
    </row>
    <row r="446" ht="39.75" customHeight="1">
      <c r="A446" s="1">
        <v>445.0</v>
      </c>
      <c r="B446" s="2" t="s">
        <v>26</v>
      </c>
      <c r="C446" s="2" t="s">
        <v>69</v>
      </c>
      <c r="D446" s="13"/>
      <c r="E446" s="13"/>
      <c r="F446" s="44" t="s">
        <v>3735</v>
      </c>
      <c r="G446" s="43">
        <v>1.0</v>
      </c>
      <c r="H446" s="42"/>
      <c r="I446" s="42"/>
      <c r="J446" s="22"/>
      <c r="K446" s="42"/>
    </row>
    <row r="447" ht="39.75" customHeight="1">
      <c r="A447" s="1">
        <v>446.0</v>
      </c>
      <c r="B447" s="2" t="s">
        <v>29</v>
      </c>
      <c r="C447" s="2" t="s">
        <v>54</v>
      </c>
      <c r="D447" s="13"/>
      <c r="E447" s="13"/>
      <c r="F447" s="44" t="s">
        <v>3736</v>
      </c>
      <c r="G447" s="43">
        <v>1.0</v>
      </c>
      <c r="H447" s="42"/>
      <c r="I447" s="42"/>
      <c r="J447" s="22"/>
      <c r="K447" s="42"/>
    </row>
    <row r="448" ht="39.75" customHeight="1">
      <c r="A448" s="1">
        <v>447.0</v>
      </c>
      <c r="B448" s="2" t="s">
        <v>32</v>
      </c>
      <c r="C448" s="2"/>
      <c r="D448" s="40"/>
      <c r="E448" s="13"/>
      <c r="F448" s="44" t="s">
        <v>3737</v>
      </c>
      <c r="G448" s="43">
        <v>1.0</v>
      </c>
      <c r="H448" s="42"/>
      <c r="I448" s="42"/>
      <c r="J448" s="22"/>
      <c r="K448" s="42"/>
    </row>
    <row r="449" ht="39.75" customHeight="1">
      <c r="A449" s="1">
        <v>448.0</v>
      </c>
      <c r="B449" s="2" t="s">
        <v>67</v>
      </c>
      <c r="C449" s="2" t="s">
        <v>3571</v>
      </c>
      <c r="D449" s="40"/>
      <c r="E449" s="13"/>
      <c r="F449" s="44" t="s">
        <v>3738</v>
      </c>
      <c r="G449" s="43">
        <v>1.0</v>
      </c>
      <c r="H449" s="42"/>
      <c r="I449" s="43"/>
      <c r="J449" s="22"/>
      <c r="K449" s="42"/>
    </row>
    <row r="450" ht="39.75" customHeight="1">
      <c r="A450" s="1">
        <v>449.0</v>
      </c>
      <c r="B450" s="2" t="s">
        <v>35</v>
      </c>
      <c r="C450" s="2" t="s">
        <v>3563</v>
      </c>
      <c r="D450" s="13"/>
      <c r="E450" s="13"/>
      <c r="F450" s="45"/>
      <c r="G450" s="42"/>
      <c r="H450" s="42"/>
      <c r="I450" s="42"/>
      <c r="J450" s="22"/>
      <c r="K450" s="42"/>
    </row>
    <row r="451" ht="39.75" customHeight="1">
      <c r="A451" s="1">
        <v>450.0</v>
      </c>
      <c r="B451" s="2" t="s">
        <v>36</v>
      </c>
      <c r="C451" s="2" t="s">
        <v>39</v>
      </c>
      <c r="D451" s="13"/>
      <c r="E451" s="13"/>
      <c r="F451" s="44" t="s">
        <v>3739</v>
      </c>
      <c r="G451" s="43">
        <v>1.0</v>
      </c>
      <c r="H451" s="42"/>
      <c r="I451" s="42"/>
      <c r="J451" s="22"/>
      <c r="K451" s="42"/>
    </row>
    <row r="452" ht="39.75" customHeight="1">
      <c r="A452" s="1">
        <v>451.0</v>
      </c>
      <c r="B452" s="2" t="s">
        <v>38</v>
      </c>
      <c r="C452" s="2"/>
      <c r="D452" s="13"/>
      <c r="E452" s="13"/>
      <c r="F452" s="44" t="s">
        <v>3595</v>
      </c>
      <c r="G452" s="43">
        <v>1.0</v>
      </c>
      <c r="H452" s="42"/>
      <c r="I452" s="42"/>
      <c r="J452" s="22"/>
      <c r="K452" s="42"/>
    </row>
    <row r="453" ht="39.75" customHeight="1">
      <c r="A453" s="1">
        <v>452.0</v>
      </c>
      <c r="B453" s="2" t="s">
        <v>41</v>
      </c>
      <c r="C453" s="2"/>
      <c r="D453" s="13"/>
      <c r="E453" s="13"/>
      <c r="F453" s="44" t="s">
        <v>3740</v>
      </c>
      <c r="G453" s="43">
        <v>1.0</v>
      </c>
      <c r="H453" s="42"/>
      <c r="I453" s="42"/>
      <c r="J453" s="22"/>
      <c r="K453" s="42"/>
    </row>
    <row r="454" ht="39.75" customHeight="1">
      <c r="A454" s="1">
        <v>453.0</v>
      </c>
      <c r="B454" s="2" t="s">
        <v>42</v>
      </c>
      <c r="C454" s="2" t="s">
        <v>13</v>
      </c>
      <c r="D454" s="13"/>
      <c r="E454" s="13"/>
      <c r="F454" s="45"/>
      <c r="G454" s="42"/>
      <c r="H454" s="42"/>
      <c r="I454" s="42"/>
      <c r="J454" s="22"/>
      <c r="K454" s="42"/>
    </row>
    <row r="455" ht="39.75" customHeight="1">
      <c r="A455" s="1">
        <v>454.0</v>
      </c>
      <c r="B455" s="2" t="s">
        <v>43</v>
      </c>
      <c r="C455" s="2" t="s">
        <v>44</v>
      </c>
      <c r="D455" s="40"/>
      <c r="E455" s="13"/>
      <c r="F455" s="44"/>
      <c r="G455" s="42"/>
      <c r="H455" s="42"/>
      <c r="I455" s="42"/>
      <c r="J455" s="22"/>
      <c r="K455" s="42"/>
    </row>
    <row r="456" ht="39.75" customHeight="1">
      <c r="A456" s="1">
        <v>455.0</v>
      </c>
      <c r="B456" s="2" t="s">
        <v>267</v>
      </c>
      <c r="C456" s="2" t="s">
        <v>13</v>
      </c>
      <c r="D456" s="13"/>
      <c r="E456" s="13"/>
      <c r="F456" s="45"/>
      <c r="G456" s="42"/>
      <c r="H456" s="42"/>
      <c r="I456" s="42"/>
      <c r="J456" s="22"/>
      <c r="K456" s="42"/>
    </row>
    <row r="457" ht="39.75" customHeight="1">
      <c r="A457" s="1">
        <v>456.0</v>
      </c>
      <c r="B457" s="2" t="s">
        <v>46</v>
      </c>
      <c r="C457" s="2"/>
      <c r="D457" s="13"/>
      <c r="E457" s="13"/>
      <c r="F457" s="44" t="s">
        <v>3741</v>
      </c>
      <c r="G457" s="43">
        <v>1.0</v>
      </c>
      <c r="H457" s="42"/>
      <c r="I457" s="42"/>
      <c r="J457" s="22"/>
      <c r="K457" s="42"/>
    </row>
    <row r="458" ht="39.75" customHeight="1">
      <c r="A458" s="1">
        <v>457.0</v>
      </c>
      <c r="B458" s="2" t="s">
        <v>47</v>
      </c>
      <c r="C458" s="2" t="s">
        <v>69</v>
      </c>
      <c r="D458" s="13"/>
      <c r="E458" s="13"/>
      <c r="F458" s="44" t="s">
        <v>3742</v>
      </c>
      <c r="G458" s="43">
        <v>1.0</v>
      </c>
      <c r="H458" s="42"/>
      <c r="I458" s="43">
        <v>1.0</v>
      </c>
      <c r="J458" s="22"/>
      <c r="K458" s="42"/>
    </row>
    <row r="459" ht="39.75" customHeight="1">
      <c r="A459" s="1">
        <v>458.0</v>
      </c>
      <c r="B459" s="2" t="s">
        <v>48</v>
      </c>
      <c r="C459" s="2" t="s">
        <v>54</v>
      </c>
      <c r="D459" s="13"/>
      <c r="E459" s="13"/>
      <c r="F459" s="44" t="s">
        <v>3743</v>
      </c>
      <c r="G459" s="43">
        <v>1.0</v>
      </c>
      <c r="H459" s="42"/>
      <c r="I459" s="42"/>
      <c r="J459" s="22"/>
      <c r="K459" s="42"/>
    </row>
    <row r="460" ht="39.75" customHeight="1">
      <c r="A460" s="1">
        <v>459.0</v>
      </c>
      <c r="B460" s="21"/>
      <c r="C460" s="21"/>
      <c r="D460" s="21"/>
      <c r="E460" s="21"/>
      <c r="F460" s="46"/>
      <c r="G460" s="47"/>
      <c r="H460" s="47"/>
      <c r="I460" s="47"/>
      <c r="J460" s="48"/>
      <c r="K460" s="47"/>
      <c r="L460" s="49"/>
      <c r="M460" s="49"/>
      <c r="N460" s="49"/>
    </row>
    <row r="461" ht="39.75" customHeight="1">
      <c r="A461" s="1">
        <v>460.0</v>
      </c>
      <c r="B461" s="2" t="s">
        <v>12</v>
      </c>
      <c r="C461" s="2" t="s">
        <v>62</v>
      </c>
      <c r="D461" s="13"/>
      <c r="E461" s="13"/>
      <c r="F461" s="44" t="s">
        <v>3744</v>
      </c>
      <c r="G461" s="43">
        <v>2.0</v>
      </c>
      <c r="H461" s="42"/>
      <c r="I461" s="42"/>
      <c r="J461" s="27" t="s">
        <v>309</v>
      </c>
      <c r="K461" s="42"/>
      <c r="L461" s="15" t="s">
        <v>309</v>
      </c>
    </row>
    <row r="462" ht="39.75" customHeight="1">
      <c r="A462" s="1">
        <v>461.0</v>
      </c>
      <c r="B462" s="2" t="s">
        <v>16</v>
      </c>
      <c r="C462" s="2" t="s">
        <v>54</v>
      </c>
      <c r="D462" s="40"/>
      <c r="E462" s="13"/>
      <c r="F462" s="44" t="s">
        <v>3745</v>
      </c>
      <c r="G462" s="43">
        <v>1.0</v>
      </c>
      <c r="H462" s="42"/>
      <c r="I462" s="42"/>
      <c r="J462" s="27" t="s">
        <v>95</v>
      </c>
      <c r="K462" s="43"/>
    </row>
    <row r="463" ht="39.75" customHeight="1">
      <c r="A463" s="1">
        <v>462.0</v>
      </c>
      <c r="B463" s="2" t="s">
        <v>116</v>
      </c>
      <c r="C463" s="2"/>
      <c r="D463" s="13"/>
      <c r="E463" s="13"/>
      <c r="F463" s="44" t="s">
        <v>3746</v>
      </c>
      <c r="G463" s="43">
        <v>2.0</v>
      </c>
      <c r="H463" s="42"/>
      <c r="I463" s="43">
        <v>2.0</v>
      </c>
      <c r="J463" s="27" t="s">
        <v>2638</v>
      </c>
      <c r="K463" s="42"/>
    </row>
    <row r="464" ht="39.75" customHeight="1">
      <c r="A464" s="1">
        <v>463.0</v>
      </c>
      <c r="B464" s="2" t="s">
        <v>263</v>
      </c>
      <c r="C464" s="2" t="s">
        <v>54</v>
      </c>
      <c r="D464" s="13"/>
      <c r="E464" s="13"/>
      <c r="F464" s="45"/>
      <c r="G464" s="42"/>
      <c r="H464" s="42"/>
      <c r="I464" s="42"/>
      <c r="J464" s="27"/>
      <c r="K464" s="42"/>
    </row>
    <row r="465" ht="39.75" customHeight="1">
      <c r="A465" s="1">
        <v>464.0</v>
      </c>
      <c r="B465" s="2" t="s">
        <v>17</v>
      </c>
      <c r="C465" s="2" t="s">
        <v>3603</v>
      </c>
      <c r="D465" s="13"/>
      <c r="E465" s="13"/>
      <c r="F465" s="44" t="s">
        <v>3604</v>
      </c>
      <c r="G465" s="43">
        <v>1.0</v>
      </c>
      <c r="H465" s="42"/>
      <c r="I465" s="42"/>
      <c r="J465" s="27"/>
      <c r="K465" s="42"/>
    </row>
    <row r="466" ht="39.75" customHeight="1">
      <c r="A466" s="1">
        <v>465.0</v>
      </c>
      <c r="B466" s="2" t="s">
        <v>331</v>
      </c>
      <c r="C466" s="2" t="s">
        <v>13</v>
      </c>
      <c r="D466" s="13"/>
      <c r="E466" s="13"/>
      <c r="F466" s="44"/>
      <c r="G466" s="42"/>
      <c r="H466" s="42"/>
      <c r="I466" s="42"/>
      <c r="J466" s="111"/>
      <c r="K466" s="42"/>
    </row>
    <row r="467" ht="39.75" customHeight="1">
      <c r="A467" s="1">
        <v>466.0</v>
      </c>
      <c r="B467" s="2" t="s">
        <v>21</v>
      </c>
      <c r="C467" s="2"/>
      <c r="D467" s="13"/>
      <c r="E467" s="13"/>
      <c r="F467" s="44" t="s">
        <v>3747</v>
      </c>
      <c r="G467" s="42"/>
      <c r="H467" s="42"/>
      <c r="I467" s="42"/>
      <c r="J467" s="22"/>
      <c r="K467" s="42"/>
    </row>
    <row r="468" ht="39.75" customHeight="1">
      <c r="A468" s="1">
        <v>467.0</v>
      </c>
      <c r="B468" s="2" t="s">
        <v>22</v>
      </c>
      <c r="C468" s="2" t="s">
        <v>69</v>
      </c>
      <c r="D468" s="13"/>
      <c r="E468" s="13"/>
      <c r="F468" s="44" t="s">
        <v>3748</v>
      </c>
      <c r="G468" s="43">
        <v>1.0</v>
      </c>
      <c r="H468" s="42"/>
      <c r="I468" s="42"/>
      <c r="J468" s="22"/>
      <c r="K468" s="42"/>
    </row>
    <row r="469" ht="39.75" customHeight="1">
      <c r="A469" s="1">
        <v>468.0</v>
      </c>
      <c r="B469" s="2" t="s">
        <v>261</v>
      </c>
      <c r="C469" s="2" t="s">
        <v>13</v>
      </c>
      <c r="D469" s="13"/>
      <c r="E469" s="13"/>
      <c r="F469" s="45"/>
      <c r="G469" s="42"/>
      <c r="H469" s="42"/>
      <c r="I469" s="42"/>
      <c r="J469" s="22"/>
      <c r="K469" s="42"/>
    </row>
    <row r="470" ht="39.75" customHeight="1">
      <c r="A470" s="1">
        <v>469.0</v>
      </c>
      <c r="B470" s="2" t="s">
        <v>23</v>
      </c>
      <c r="C470" s="2"/>
      <c r="D470" s="13"/>
      <c r="E470" s="13"/>
      <c r="F470" s="44" t="s">
        <v>3749</v>
      </c>
      <c r="G470" s="43">
        <v>1.0</v>
      </c>
      <c r="H470" s="42"/>
      <c r="I470" s="42"/>
      <c r="J470" s="111"/>
      <c r="K470" s="42"/>
    </row>
    <row r="471" ht="39.75" customHeight="1">
      <c r="A471" s="1">
        <v>470.0</v>
      </c>
      <c r="B471" s="2" t="s">
        <v>24</v>
      </c>
      <c r="C471" s="2"/>
      <c r="D471" s="13"/>
      <c r="E471" s="13"/>
      <c r="F471" s="44" t="s">
        <v>3595</v>
      </c>
      <c r="G471" s="43">
        <v>1.0</v>
      </c>
      <c r="H471" s="42"/>
      <c r="I471" s="42"/>
      <c r="J471" s="22"/>
      <c r="K471" s="42"/>
    </row>
    <row r="472" ht="39.75" customHeight="1">
      <c r="A472" s="1">
        <v>471.0</v>
      </c>
      <c r="B472" s="2" t="s">
        <v>25</v>
      </c>
      <c r="C472" s="2" t="s">
        <v>39</v>
      </c>
      <c r="D472" s="13"/>
      <c r="E472" s="13"/>
      <c r="F472" s="44" t="s">
        <v>3750</v>
      </c>
      <c r="G472" s="43">
        <v>1.0</v>
      </c>
      <c r="H472" s="42"/>
      <c r="I472" s="42"/>
      <c r="J472" s="22"/>
      <c r="K472" s="42"/>
    </row>
    <row r="473" ht="39.75" customHeight="1">
      <c r="A473" s="1">
        <v>472.0</v>
      </c>
      <c r="B473" s="2" t="s">
        <v>26</v>
      </c>
      <c r="C473" s="2" t="s">
        <v>3557</v>
      </c>
      <c r="D473" s="13"/>
      <c r="E473" s="13"/>
      <c r="F473" s="44" t="s">
        <v>3751</v>
      </c>
      <c r="G473" s="43">
        <v>1.0</v>
      </c>
      <c r="H473" s="42"/>
      <c r="I473" s="42"/>
      <c r="J473" s="111"/>
      <c r="K473" s="42"/>
    </row>
    <row r="474" ht="39.75" customHeight="1">
      <c r="A474" s="1">
        <v>473.0</v>
      </c>
      <c r="B474" s="2" t="s">
        <v>29</v>
      </c>
      <c r="C474" s="2" t="s">
        <v>3571</v>
      </c>
      <c r="D474" s="13"/>
      <c r="E474" s="13"/>
      <c r="F474" s="45"/>
      <c r="G474" s="42"/>
      <c r="H474" s="42"/>
      <c r="I474" s="42"/>
      <c r="J474" s="22"/>
      <c r="K474" s="42"/>
    </row>
    <row r="475" ht="39.75" customHeight="1">
      <c r="A475" s="1">
        <v>474.0</v>
      </c>
      <c r="B475" s="2" t="s">
        <v>32</v>
      </c>
      <c r="C475" s="2" t="s">
        <v>69</v>
      </c>
      <c r="D475" s="40"/>
      <c r="E475" s="13"/>
      <c r="F475" s="44"/>
      <c r="G475" s="43"/>
      <c r="H475" s="42"/>
      <c r="I475" s="42"/>
      <c r="J475" s="111"/>
      <c r="K475" s="42"/>
    </row>
    <row r="476" ht="39.75" customHeight="1">
      <c r="A476" s="1">
        <v>475.0</v>
      </c>
      <c r="B476" s="2" t="s">
        <v>67</v>
      </c>
      <c r="C476" s="2" t="s">
        <v>44</v>
      </c>
      <c r="D476" s="40"/>
      <c r="E476" s="13"/>
      <c r="F476" s="44"/>
      <c r="G476" s="43"/>
      <c r="H476" s="42"/>
      <c r="I476" s="43"/>
      <c r="J476" s="111"/>
      <c r="K476" s="42"/>
    </row>
    <row r="477" ht="39.75" customHeight="1">
      <c r="A477" s="1">
        <v>476.0</v>
      </c>
      <c r="B477" s="2" t="s">
        <v>35</v>
      </c>
      <c r="C477" s="2" t="s">
        <v>3563</v>
      </c>
      <c r="D477" s="13"/>
      <c r="E477" s="13"/>
      <c r="F477" s="45"/>
      <c r="G477" s="42"/>
      <c r="H477" s="42"/>
      <c r="I477" s="42"/>
      <c r="J477" s="111"/>
      <c r="K477" s="42"/>
    </row>
    <row r="478" ht="39.75" customHeight="1">
      <c r="A478" s="1">
        <v>477.0</v>
      </c>
      <c r="B478" s="2" t="s">
        <v>36</v>
      </c>
      <c r="C478" s="2" t="s">
        <v>69</v>
      </c>
      <c r="D478" s="13"/>
      <c r="E478" s="13"/>
      <c r="F478" s="44" t="s">
        <v>3752</v>
      </c>
      <c r="G478" s="43">
        <v>1.0</v>
      </c>
      <c r="H478" s="42"/>
      <c r="I478" s="42"/>
      <c r="J478" s="22"/>
      <c r="K478" s="42"/>
    </row>
    <row r="479" ht="39.75" customHeight="1">
      <c r="A479" s="1">
        <v>478.0</v>
      </c>
      <c r="B479" s="2" t="s">
        <v>38</v>
      </c>
      <c r="C479" s="2" t="s">
        <v>54</v>
      </c>
      <c r="D479" s="13"/>
      <c r="E479" s="13"/>
      <c r="F479" s="44" t="s">
        <v>3753</v>
      </c>
      <c r="G479" s="43">
        <v>1.0</v>
      </c>
      <c r="H479" s="42"/>
      <c r="I479" s="43">
        <v>1.0</v>
      </c>
      <c r="J479" s="111"/>
      <c r="K479" s="42"/>
    </row>
    <row r="480" ht="39.75" customHeight="1">
      <c r="A480" s="1">
        <v>479.0</v>
      </c>
      <c r="B480" s="2" t="s">
        <v>41</v>
      </c>
      <c r="C480" s="2" t="s">
        <v>39</v>
      </c>
      <c r="D480" s="13"/>
      <c r="E480" s="13"/>
      <c r="F480" s="44" t="s">
        <v>3754</v>
      </c>
      <c r="G480" s="43">
        <v>1.0</v>
      </c>
      <c r="H480" s="42"/>
      <c r="I480" s="42"/>
      <c r="J480" s="22"/>
      <c r="K480" s="42"/>
    </row>
    <row r="481" ht="39.75" customHeight="1">
      <c r="A481" s="1">
        <v>480.0</v>
      </c>
      <c r="B481" s="2" t="s">
        <v>42</v>
      </c>
      <c r="C481" s="2"/>
      <c r="D481" s="13"/>
      <c r="E481" s="13"/>
      <c r="F481" s="44" t="s">
        <v>3755</v>
      </c>
      <c r="G481" s="43">
        <v>1.0</v>
      </c>
      <c r="H481" s="42"/>
      <c r="I481" s="42"/>
      <c r="J481" s="22"/>
      <c r="K481" s="42"/>
    </row>
    <row r="482" ht="39.75" customHeight="1">
      <c r="A482" s="1">
        <v>481.0</v>
      </c>
      <c r="B482" s="2" t="s">
        <v>43</v>
      </c>
      <c r="C482" s="2" t="s">
        <v>13</v>
      </c>
      <c r="D482" s="40"/>
      <c r="E482" s="13"/>
      <c r="F482" s="44"/>
      <c r="G482" s="42"/>
      <c r="H482" s="42"/>
      <c r="I482" s="42"/>
      <c r="J482" s="22"/>
      <c r="K482" s="42"/>
    </row>
    <row r="483" ht="39.75" customHeight="1">
      <c r="A483" s="1">
        <v>482.0</v>
      </c>
      <c r="B483" s="2" t="s">
        <v>267</v>
      </c>
      <c r="C483" s="2" t="s">
        <v>66</v>
      </c>
      <c r="D483" s="13"/>
      <c r="E483" s="13"/>
      <c r="F483" s="45"/>
      <c r="G483" s="42"/>
      <c r="H483" s="42"/>
      <c r="I483" s="42"/>
      <c r="J483" s="111"/>
      <c r="K483" s="42"/>
    </row>
    <row r="484" ht="39.75" customHeight="1">
      <c r="A484" s="1">
        <v>483.0</v>
      </c>
      <c r="B484" s="2" t="s">
        <v>46</v>
      </c>
      <c r="C484" s="2" t="s">
        <v>3756</v>
      </c>
      <c r="D484" s="13"/>
      <c r="E484" s="13"/>
      <c r="F484" s="44" t="s">
        <v>3757</v>
      </c>
      <c r="G484" s="43">
        <v>1.0</v>
      </c>
      <c r="H484" s="42"/>
      <c r="I484" s="42"/>
      <c r="J484" s="111"/>
      <c r="K484" s="42"/>
    </row>
    <row r="485" ht="39.75" customHeight="1">
      <c r="A485" s="1">
        <v>484.0</v>
      </c>
      <c r="B485" s="2" t="s">
        <v>47</v>
      </c>
      <c r="C485" s="2" t="s">
        <v>13</v>
      </c>
      <c r="D485" s="13"/>
      <c r="E485" s="13"/>
      <c r="F485" s="45"/>
      <c r="G485" s="42"/>
      <c r="H485" s="42"/>
      <c r="I485" s="42"/>
      <c r="J485" s="22"/>
      <c r="K485" s="42"/>
    </row>
    <row r="486" ht="39.75" customHeight="1">
      <c r="A486" s="1">
        <v>485.0</v>
      </c>
      <c r="B486" s="2" t="s">
        <v>48</v>
      </c>
      <c r="C486" s="2" t="s">
        <v>54</v>
      </c>
      <c r="D486" s="13"/>
      <c r="E486" s="13"/>
      <c r="F486" s="44" t="s">
        <v>3758</v>
      </c>
      <c r="G486" s="43">
        <v>1.0</v>
      </c>
      <c r="H486" s="42"/>
      <c r="I486" s="42"/>
      <c r="J486" s="22"/>
      <c r="K486" s="42"/>
    </row>
    <row r="487" ht="39.75" customHeight="1">
      <c r="A487" s="1">
        <v>486.0</v>
      </c>
      <c r="B487" s="21"/>
      <c r="C487" s="21"/>
      <c r="D487" s="21"/>
      <c r="E487" s="21"/>
      <c r="F487" s="46"/>
      <c r="G487" s="47"/>
      <c r="H487" s="47"/>
      <c r="I487" s="47"/>
      <c r="J487" s="48"/>
      <c r="K487" s="47"/>
      <c r="L487" s="49"/>
      <c r="M487" s="49"/>
      <c r="N487" s="49"/>
    </row>
    <row r="488" ht="39.75" customHeight="1">
      <c r="A488" s="1">
        <v>487.0</v>
      </c>
      <c r="B488" s="2" t="s">
        <v>12</v>
      </c>
      <c r="C488" s="2" t="s">
        <v>62</v>
      </c>
      <c r="D488" s="13"/>
      <c r="E488" s="13"/>
      <c r="F488" s="44" t="s">
        <v>3727</v>
      </c>
      <c r="G488" s="43">
        <v>1.0</v>
      </c>
      <c r="H488" s="42"/>
      <c r="I488" s="42"/>
      <c r="J488" s="22"/>
      <c r="K488" s="42"/>
      <c r="L488" s="15" t="s">
        <v>328</v>
      </c>
    </row>
    <row r="489" ht="39.75" customHeight="1">
      <c r="A489" s="1">
        <v>488.0</v>
      </c>
      <c r="B489" s="2" t="s">
        <v>16</v>
      </c>
      <c r="C489" s="2" t="s">
        <v>54</v>
      </c>
      <c r="D489" s="40"/>
      <c r="E489" s="13"/>
      <c r="F489" s="44" t="s">
        <v>3759</v>
      </c>
      <c r="G489" s="43">
        <v>1.0</v>
      </c>
      <c r="H489" s="42"/>
      <c r="I489" s="43">
        <v>1.0</v>
      </c>
      <c r="J489" s="27" t="s">
        <v>328</v>
      </c>
      <c r="K489" s="43"/>
    </row>
    <row r="490" ht="39.75" customHeight="1">
      <c r="A490" s="1">
        <v>489.0</v>
      </c>
      <c r="B490" s="2" t="s">
        <v>116</v>
      </c>
      <c r="C490" s="2" t="s">
        <v>69</v>
      </c>
      <c r="D490" s="13"/>
      <c r="E490" s="13"/>
      <c r="F490" s="44" t="s">
        <v>3760</v>
      </c>
      <c r="G490" s="43">
        <v>1.0</v>
      </c>
      <c r="H490" s="42"/>
      <c r="I490" s="43">
        <v>1.0</v>
      </c>
      <c r="J490" s="27" t="s">
        <v>111</v>
      </c>
      <c r="K490" s="42"/>
    </row>
    <row r="491" ht="39.75" customHeight="1">
      <c r="A491" s="1">
        <v>490.0</v>
      </c>
      <c r="B491" s="2" t="s">
        <v>263</v>
      </c>
      <c r="C491" s="2" t="s">
        <v>54</v>
      </c>
      <c r="D491" s="13"/>
      <c r="E491" s="13"/>
      <c r="F491" s="44" t="s">
        <v>3761</v>
      </c>
      <c r="G491" s="43">
        <v>1.0</v>
      </c>
      <c r="H491" s="42"/>
      <c r="I491" s="42"/>
      <c r="J491" s="27" t="s">
        <v>3715</v>
      </c>
      <c r="K491" s="42"/>
    </row>
    <row r="492" ht="39.75" customHeight="1">
      <c r="A492" s="1">
        <v>491.0</v>
      </c>
      <c r="B492" s="2" t="s">
        <v>17</v>
      </c>
      <c r="C492" s="2" t="s">
        <v>3603</v>
      </c>
      <c r="D492" s="13"/>
      <c r="E492" s="13"/>
      <c r="F492" s="44" t="s">
        <v>3392</v>
      </c>
      <c r="G492" s="43">
        <v>1.0</v>
      </c>
      <c r="H492" s="42"/>
      <c r="I492" s="42"/>
      <c r="J492" s="27" t="s">
        <v>412</v>
      </c>
      <c r="K492" s="42"/>
    </row>
    <row r="493" ht="39.75" customHeight="1">
      <c r="A493" s="1">
        <v>492.0</v>
      </c>
      <c r="B493" s="2" t="s">
        <v>331</v>
      </c>
      <c r="C493" s="2" t="s">
        <v>13</v>
      </c>
      <c r="D493" s="13"/>
      <c r="E493" s="13"/>
      <c r="F493" s="44"/>
      <c r="G493" s="42"/>
      <c r="H493" s="42"/>
      <c r="I493" s="42"/>
      <c r="J493" s="27"/>
      <c r="K493" s="42"/>
    </row>
    <row r="494" ht="39.75" customHeight="1">
      <c r="A494" s="1">
        <v>493.0</v>
      </c>
      <c r="B494" s="2" t="s">
        <v>21</v>
      </c>
      <c r="C494" s="2"/>
      <c r="D494" s="13"/>
      <c r="E494" s="13"/>
      <c r="F494" s="44" t="s">
        <v>3762</v>
      </c>
      <c r="G494" s="43">
        <v>1.0</v>
      </c>
      <c r="H494" s="42"/>
      <c r="I494" s="42"/>
      <c r="J494" s="22"/>
      <c r="K494" s="42"/>
    </row>
    <row r="495" ht="39.75" customHeight="1">
      <c r="A495" s="1">
        <v>494.0</v>
      </c>
      <c r="B495" s="2" t="s">
        <v>22</v>
      </c>
      <c r="C495" s="2"/>
      <c r="D495" s="13"/>
      <c r="E495" s="13"/>
      <c r="F495" s="44" t="s">
        <v>3763</v>
      </c>
      <c r="G495" s="43">
        <v>1.0</v>
      </c>
      <c r="H495" s="42"/>
      <c r="I495" s="42"/>
      <c r="J495" s="22"/>
      <c r="K495" s="42"/>
    </row>
    <row r="496" ht="39.75" customHeight="1">
      <c r="A496" s="1">
        <v>495.0</v>
      </c>
      <c r="B496" s="2" t="s">
        <v>261</v>
      </c>
      <c r="C496" s="2" t="s">
        <v>13</v>
      </c>
      <c r="D496" s="13"/>
      <c r="E496" s="13"/>
      <c r="F496" s="45"/>
      <c r="G496" s="42"/>
      <c r="H496" s="42"/>
      <c r="I496" s="42"/>
      <c r="J496" s="22"/>
      <c r="K496" s="42"/>
    </row>
    <row r="497" ht="39.75" customHeight="1">
      <c r="A497" s="1">
        <v>496.0</v>
      </c>
      <c r="B497" s="2" t="s">
        <v>23</v>
      </c>
      <c r="C497" s="2" t="s">
        <v>54</v>
      </c>
      <c r="D497" s="13"/>
      <c r="E497" s="13"/>
      <c r="F497" s="44" t="s">
        <v>3764</v>
      </c>
      <c r="G497" s="43">
        <v>1.0</v>
      </c>
      <c r="H497" s="42"/>
      <c r="I497" s="42"/>
      <c r="J497" s="22"/>
      <c r="K497" s="42"/>
    </row>
    <row r="498" ht="39.75" customHeight="1">
      <c r="A498" s="1">
        <v>497.0</v>
      </c>
      <c r="B498" s="2" t="s">
        <v>24</v>
      </c>
      <c r="C498" s="2" t="s">
        <v>13</v>
      </c>
      <c r="D498" s="13"/>
      <c r="E498" s="13"/>
      <c r="F498" s="45"/>
      <c r="G498" s="42"/>
      <c r="H498" s="42"/>
      <c r="I498" s="42"/>
      <c r="J498" s="22"/>
      <c r="K498" s="42"/>
    </row>
    <row r="499" ht="39.75" customHeight="1">
      <c r="A499" s="1">
        <v>498.0</v>
      </c>
      <c r="B499" s="2" t="s">
        <v>25</v>
      </c>
      <c r="C499" s="2" t="s">
        <v>3571</v>
      </c>
      <c r="D499" s="13"/>
      <c r="E499" s="13"/>
      <c r="F499" s="45"/>
      <c r="G499" s="42"/>
      <c r="H499" s="42"/>
      <c r="I499" s="42"/>
      <c r="J499" s="22"/>
      <c r="K499" s="42"/>
    </row>
    <row r="500" ht="39.75" customHeight="1">
      <c r="A500" s="1">
        <v>499.0</v>
      </c>
      <c r="B500" s="2" t="s">
        <v>26</v>
      </c>
      <c r="C500" s="2" t="s">
        <v>3557</v>
      </c>
      <c r="D500" s="13"/>
      <c r="E500" s="13"/>
      <c r="F500" s="44" t="s">
        <v>3765</v>
      </c>
      <c r="G500" s="43">
        <v>1.0</v>
      </c>
      <c r="H500" s="42"/>
      <c r="I500" s="42"/>
      <c r="J500" s="22"/>
      <c r="K500" s="42"/>
    </row>
    <row r="501" ht="39.75" customHeight="1">
      <c r="A501" s="1">
        <v>500.0</v>
      </c>
      <c r="B501" s="2" t="s">
        <v>29</v>
      </c>
      <c r="C501" s="2" t="s">
        <v>44</v>
      </c>
      <c r="D501" s="13"/>
      <c r="E501" s="13"/>
      <c r="F501" s="45"/>
      <c r="G501" s="42"/>
      <c r="H501" s="42"/>
      <c r="I501" s="42"/>
      <c r="J501" s="22"/>
      <c r="K501" s="42"/>
    </row>
    <row r="502" ht="39.75" customHeight="1">
      <c r="A502" s="1">
        <v>501.0</v>
      </c>
      <c r="B502" s="2" t="s">
        <v>32</v>
      </c>
      <c r="C502" s="2"/>
      <c r="D502" s="40"/>
      <c r="E502" s="13"/>
      <c r="F502" s="44" t="s">
        <v>3766</v>
      </c>
      <c r="G502" s="43">
        <v>1.0</v>
      </c>
      <c r="H502" s="42"/>
      <c r="I502" s="42"/>
      <c r="J502" s="22"/>
      <c r="K502" s="42"/>
    </row>
    <row r="503" ht="39.75" customHeight="1">
      <c r="A503" s="1">
        <v>502.0</v>
      </c>
      <c r="B503" s="2" t="s">
        <v>67</v>
      </c>
      <c r="C503" s="2" t="s">
        <v>39</v>
      </c>
      <c r="D503" s="40"/>
      <c r="E503" s="13"/>
      <c r="F503" s="44" t="s">
        <v>3767</v>
      </c>
      <c r="G503" s="43">
        <v>1.0</v>
      </c>
      <c r="H503" s="42"/>
      <c r="I503" s="43"/>
      <c r="J503" s="22"/>
      <c r="K503" s="42"/>
    </row>
    <row r="504" ht="39.75" customHeight="1">
      <c r="A504" s="1">
        <v>503.0</v>
      </c>
      <c r="B504" s="2" t="s">
        <v>35</v>
      </c>
      <c r="C504" s="2" t="s">
        <v>3563</v>
      </c>
      <c r="D504" s="13"/>
      <c r="E504" s="13"/>
      <c r="F504" s="45"/>
      <c r="G504" s="42"/>
      <c r="H504" s="42"/>
      <c r="I504" s="42"/>
      <c r="J504" s="22"/>
      <c r="K504" s="42"/>
    </row>
    <row r="505" ht="39.75" customHeight="1">
      <c r="A505" s="1">
        <v>504.0</v>
      </c>
      <c r="B505" s="2" t="s">
        <v>36</v>
      </c>
      <c r="C505" s="2" t="s">
        <v>69</v>
      </c>
      <c r="D505" s="13"/>
      <c r="E505" s="13"/>
      <c r="F505" s="44" t="s">
        <v>3768</v>
      </c>
      <c r="G505" s="43">
        <v>1.0</v>
      </c>
      <c r="H505" s="42"/>
      <c r="I505" s="43">
        <v>1.0</v>
      </c>
      <c r="J505" s="22"/>
      <c r="K505" s="42"/>
    </row>
    <row r="506" ht="39.75" customHeight="1">
      <c r="A506" s="1">
        <v>505.0</v>
      </c>
      <c r="B506" s="2" t="s">
        <v>38</v>
      </c>
      <c r="C506" s="2"/>
      <c r="D506" s="13"/>
      <c r="E506" s="13"/>
      <c r="F506" s="44" t="s">
        <v>3769</v>
      </c>
      <c r="G506" s="43">
        <v>1.0</v>
      </c>
      <c r="H506" s="42"/>
      <c r="I506" s="42"/>
      <c r="J506" s="22"/>
      <c r="K506" s="42"/>
    </row>
    <row r="507" ht="39.75" customHeight="1">
      <c r="A507" s="1">
        <v>506.0</v>
      </c>
      <c r="B507" s="2" t="s">
        <v>41</v>
      </c>
      <c r="C507" s="2" t="s">
        <v>69</v>
      </c>
      <c r="D507" s="13"/>
      <c r="E507" s="13"/>
      <c r="F507" s="44" t="s">
        <v>3770</v>
      </c>
      <c r="G507" s="43">
        <v>1.0</v>
      </c>
      <c r="H507" s="42"/>
      <c r="I507" s="42"/>
      <c r="J507" s="22"/>
      <c r="K507" s="42"/>
    </row>
    <row r="508" ht="39.75" customHeight="1">
      <c r="A508" s="1">
        <v>507.0</v>
      </c>
      <c r="B508" s="2" t="s">
        <v>42</v>
      </c>
      <c r="C508" s="2"/>
      <c r="D508" s="13"/>
      <c r="E508" s="13"/>
      <c r="F508" s="45"/>
      <c r="G508" s="42"/>
      <c r="H508" s="42"/>
      <c r="I508" s="42"/>
      <c r="J508" s="22"/>
      <c r="K508" s="42"/>
    </row>
    <row r="509" ht="39.75" customHeight="1">
      <c r="A509" s="1">
        <v>508.0</v>
      </c>
      <c r="B509" s="2" t="s">
        <v>43</v>
      </c>
      <c r="C509" s="2" t="s">
        <v>66</v>
      </c>
      <c r="D509" s="40"/>
      <c r="E509" s="13"/>
      <c r="F509" s="44"/>
      <c r="G509" s="42"/>
      <c r="H509" s="42"/>
      <c r="I509" s="42"/>
      <c r="J509" s="22"/>
      <c r="K509" s="42"/>
    </row>
    <row r="510" ht="39.75" customHeight="1">
      <c r="A510" s="1">
        <v>509.0</v>
      </c>
      <c r="B510" s="2" t="s">
        <v>267</v>
      </c>
      <c r="C510" s="2"/>
      <c r="D510" s="13"/>
      <c r="E510" s="13"/>
      <c r="F510" s="44" t="s">
        <v>3595</v>
      </c>
      <c r="G510" s="43">
        <v>1.0</v>
      </c>
      <c r="H510" s="42"/>
      <c r="I510" s="42"/>
      <c r="J510" s="22"/>
      <c r="K510" s="42"/>
    </row>
    <row r="511" ht="39.75" customHeight="1">
      <c r="A511" s="1">
        <v>510.0</v>
      </c>
      <c r="B511" s="2" t="s">
        <v>46</v>
      </c>
      <c r="C511" s="2" t="s">
        <v>13</v>
      </c>
      <c r="D511" s="13"/>
      <c r="E511" s="13"/>
      <c r="F511" s="45"/>
      <c r="G511" s="42"/>
      <c r="H511" s="42"/>
      <c r="I511" s="42"/>
      <c r="J511" s="22"/>
      <c r="K511" s="42"/>
    </row>
    <row r="512" ht="39.75" customHeight="1">
      <c r="A512" s="1">
        <v>511.0</v>
      </c>
      <c r="B512" s="2" t="s">
        <v>47</v>
      </c>
      <c r="C512" s="2"/>
      <c r="D512" s="13"/>
      <c r="E512" s="13"/>
      <c r="F512" s="44" t="s">
        <v>3771</v>
      </c>
      <c r="G512" s="43">
        <v>1.0</v>
      </c>
      <c r="H512" s="42"/>
      <c r="I512" s="43">
        <v>1.0</v>
      </c>
      <c r="J512" s="22"/>
      <c r="K512" s="42"/>
    </row>
    <row r="513" ht="39.75" customHeight="1">
      <c r="A513" s="1">
        <v>512.0</v>
      </c>
      <c r="B513" s="2" t="s">
        <v>48</v>
      </c>
      <c r="C513" s="2" t="s">
        <v>54</v>
      </c>
      <c r="D513" s="13"/>
      <c r="E513" s="13"/>
      <c r="F513" s="44" t="s">
        <v>3772</v>
      </c>
      <c r="G513" s="43">
        <v>1.0</v>
      </c>
      <c r="H513" s="42"/>
      <c r="I513" s="42"/>
      <c r="J513" s="22"/>
      <c r="K513" s="42"/>
    </row>
    <row r="514" ht="39.75" customHeight="1">
      <c r="A514" s="1">
        <v>513.0</v>
      </c>
      <c r="B514" s="21"/>
      <c r="C514" s="21"/>
      <c r="D514" s="21"/>
      <c r="E514" s="21"/>
      <c r="F514" s="46"/>
      <c r="G514" s="47"/>
      <c r="H514" s="47"/>
      <c r="I514" s="47"/>
      <c r="J514" s="48"/>
      <c r="K514" s="47"/>
      <c r="L514" s="49"/>
      <c r="M514" s="49"/>
      <c r="N514" s="49"/>
    </row>
    <row r="515" ht="39.75" customHeight="1">
      <c r="A515" s="1">
        <v>514.0</v>
      </c>
      <c r="B515" s="2" t="s">
        <v>12</v>
      </c>
      <c r="C515" s="2" t="s">
        <v>62</v>
      </c>
      <c r="D515" s="13"/>
      <c r="E515" s="13"/>
      <c r="F515" s="44" t="s">
        <v>3773</v>
      </c>
      <c r="G515" s="43">
        <v>1.0</v>
      </c>
      <c r="H515" s="42"/>
      <c r="I515" s="42"/>
      <c r="J515" s="22"/>
      <c r="K515" s="42"/>
      <c r="L515" s="15" t="s">
        <v>347</v>
      </c>
    </row>
    <row r="516" ht="39.75" customHeight="1">
      <c r="A516" s="1">
        <v>515.0</v>
      </c>
      <c r="B516" s="2" t="s">
        <v>16</v>
      </c>
      <c r="C516" s="2" t="s">
        <v>54</v>
      </c>
      <c r="D516" s="40"/>
      <c r="E516" s="13"/>
      <c r="F516" s="44" t="s">
        <v>3774</v>
      </c>
      <c r="G516" s="43">
        <v>1.0</v>
      </c>
      <c r="H516" s="42"/>
      <c r="I516" s="43">
        <v>1.0</v>
      </c>
      <c r="J516" s="27" t="s">
        <v>347</v>
      </c>
      <c r="K516" s="43"/>
    </row>
    <row r="517" ht="39.75" customHeight="1">
      <c r="A517" s="1">
        <v>516.0</v>
      </c>
      <c r="B517" s="2" t="s">
        <v>116</v>
      </c>
      <c r="C517" s="2" t="s">
        <v>69</v>
      </c>
      <c r="D517" s="13"/>
      <c r="E517" s="13"/>
      <c r="F517" s="45"/>
      <c r="G517" s="42"/>
      <c r="H517" s="42"/>
      <c r="I517" s="42"/>
      <c r="J517" s="27" t="s">
        <v>131</v>
      </c>
      <c r="K517" s="42"/>
    </row>
    <row r="518" ht="39.75" customHeight="1">
      <c r="A518" s="1">
        <v>517.0</v>
      </c>
      <c r="B518" s="2" t="s">
        <v>263</v>
      </c>
      <c r="C518" s="2" t="s">
        <v>54</v>
      </c>
      <c r="D518" s="13"/>
      <c r="E518" s="13"/>
      <c r="F518" s="45"/>
      <c r="G518" s="42"/>
      <c r="H518" s="42"/>
      <c r="I518" s="42"/>
      <c r="J518" s="27" t="s">
        <v>165</v>
      </c>
      <c r="K518" s="42"/>
    </row>
    <row r="519" ht="39.75" customHeight="1">
      <c r="A519" s="1">
        <v>518.0</v>
      </c>
      <c r="B519" s="2" t="s">
        <v>17</v>
      </c>
      <c r="C519" s="2" t="s">
        <v>3603</v>
      </c>
      <c r="D519" s="13"/>
      <c r="E519" s="13"/>
      <c r="F519" s="44" t="s">
        <v>3392</v>
      </c>
      <c r="G519" s="43">
        <v>1.0</v>
      </c>
      <c r="H519" s="42"/>
      <c r="I519" s="42"/>
      <c r="J519" s="27" t="s">
        <v>2637</v>
      </c>
      <c r="K519" s="42"/>
    </row>
    <row r="520" ht="39.75" customHeight="1">
      <c r="A520" s="1">
        <v>519.0</v>
      </c>
      <c r="B520" s="2" t="s">
        <v>331</v>
      </c>
      <c r="C520" s="2" t="s">
        <v>542</v>
      </c>
      <c r="D520" s="13"/>
      <c r="E520" s="13"/>
      <c r="F520" s="44"/>
      <c r="G520" s="42"/>
      <c r="H520" s="42"/>
      <c r="I520" s="42"/>
      <c r="J520" s="27" t="s">
        <v>2638</v>
      </c>
      <c r="K520" s="42"/>
    </row>
    <row r="521" ht="39.75" customHeight="1">
      <c r="A521" s="1">
        <v>520.0</v>
      </c>
      <c r="B521" s="2" t="s">
        <v>21</v>
      </c>
      <c r="C521" s="2" t="s">
        <v>66</v>
      </c>
      <c r="D521" s="13"/>
      <c r="E521" s="13"/>
      <c r="F521" s="45"/>
      <c r="G521" s="42"/>
      <c r="H521" s="42"/>
      <c r="I521" s="42"/>
      <c r="J521" s="22"/>
      <c r="K521" s="42"/>
    </row>
    <row r="522" ht="39.75" customHeight="1">
      <c r="A522" s="1">
        <v>521.0</v>
      </c>
      <c r="B522" s="2" t="s">
        <v>22</v>
      </c>
      <c r="C522" s="2"/>
      <c r="D522" s="13"/>
      <c r="E522" s="13"/>
      <c r="F522" s="44" t="s">
        <v>3775</v>
      </c>
      <c r="G522" s="43">
        <v>1.0</v>
      </c>
      <c r="H522" s="42"/>
      <c r="I522" s="42"/>
      <c r="J522" s="22"/>
      <c r="K522" s="42"/>
    </row>
    <row r="523" ht="39.75" customHeight="1">
      <c r="A523" s="1">
        <v>522.0</v>
      </c>
      <c r="B523" s="2" t="s">
        <v>261</v>
      </c>
      <c r="C523" s="2" t="s">
        <v>13</v>
      </c>
      <c r="D523" s="13"/>
      <c r="E523" s="13"/>
      <c r="F523" s="45"/>
      <c r="G523" s="42"/>
      <c r="H523" s="42"/>
      <c r="I523" s="42"/>
      <c r="J523" s="22"/>
      <c r="K523" s="42"/>
    </row>
    <row r="524" ht="39.75" customHeight="1">
      <c r="A524" s="1">
        <v>523.0</v>
      </c>
      <c r="B524" s="2" t="s">
        <v>23</v>
      </c>
      <c r="C524" s="2" t="s">
        <v>13</v>
      </c>
      <c r="D524" s="13"/>
      <c r="E524" s="13"/>
      <c r="F524" s="45"/>
      <c r="G524" s="42"/>
      <c r="H524" s="42"/>
      <c r="I524" s="42"/>
      <c r="J524" s="22"/>
      <c r="K524" s="42"/>
    </row>
    <row r="525" ht="39.75" customHeight="1">
      <c r="A525" s="1">
        <v>524.0</v>
      </c>
      <c r="B525" s="2" t="s">
        <v>24</v>
      </c>
      <c r="C525" s="2" t="s">
        <v>13</v>
      </c>
      <c r="D525" s="13"/>
      <c r="E525" s="13"/>
      <c r="F525" s="45"/>
      <c r="G525" s="42"/>
      <c r="H525" s="42"/>
      <c r="I525" s="42"/>
      <c r="J525" s="22"/>
      <c r="K525" s="42"/>
    </row>
    <row r="526" ht="39.75" customHeight="1">
      <c r="A526" s="1">
        <v>525.0</v>
      </c>
      <c r="B526" s="2" t="s">
        <v>25</v>
      </c>
      <c r="C526" s="2" t="s">
        <v>44</v>
      </c>
      <c r="D526" s="13"/>
      <c r="E526" s="112">
        <v>0.375</v>
      </c>
      <c r="F526" s="44" t="s">
        <v>3776</v>
      </c>
      <c r="G526" s="56">
        <v>1.0</v>
      </c>
      <c r="H526" s="42"/>
      <c r="I526" s="42"/>
      <c r="J526" s="22"/>
      <c r="K526" s="42"/>
    </row>
    <row r="527" ht="39.75" customHeight="1">
      <c r="A527" s="1">
        <v>526.0</v>
      </c>
      <c r="B527" s="2" t="s">
        <v>26</v>
      </c>
      <c r="C527" s="2" t="s">
        <v>3557</v>
      </c>
      <c r="D527" s="13"/>
      <c r="E527" s="13"/>
      <c r="F527" s="44" t="s">
        <v>3765</v>
      </c>
      <c r="G527" s="43">
        <v>1.0</v>
      </c>
      <c r="H527" s="42"/>
      <c r="I527" s="42"/>
      <c r="J527" s="22"/>
      <c r="K527" s="42"/>
    </row>
    <row r="528" ht="39.75" customHeight="1">
      <c r="A528" s="1">
        <v>527.0</v>
      </c>
      <c r="B528" s="2" t="s">
        <v>29</v>
      </c>
      <c r="C528" s="2" t="s">
        <v>66</v>
      </c>
      <c r="D528" s="13"/>
      <c r="E528" s="13"/>
      <c r="F528" s="45"/>
      <c r="G528" s="42"/>
      <c r="H528" s="42"/>
      <c r="I528" s="42"/>
      <c r="J528" s="22"/>
      <c r="K528" s="42"/>
    </row>
    <row r="529" ht="39.75" customHeight="1">
      <c r="A529" s="1">
        <v>528.0</v>
      </c>
      <c r="B529" s="2" t="s">
        <v>32</v>
      </c>
      <c r="C529" s="2" t="s">
        <v>3571</v>
      </c>
      <c r="D529" s="40"/>
      <c r="E529" s="13"/>
      <c r="F529" s="44"/>
      <c r="G529" s="43"/>
      <c r="H529" s="42"/>
      <c r="I529" s="42"/>
      <c r="J529" s="22"/>
      <c r="K529" s="42"/>
    </row>
    <row r="530" ht="39.75" customHeight="1">
      <c r="A530" s="1">
        <v>529.0</v>
      </c>
      <c r="B530" s="2" t="s">
        <v>67</v>
      </c>
      <c r="C530" s="2" t="s">
        <v>54</v>
      </c>
      <c r="D530" s="40"/>
      <c r="E530" s="13"/>
      <c r="F530" s="44" t="s">
        <v>3777</v>
      </c>
      <c r="G530" s="43">
        <v>1.0</v>
      </c>
      <c r="H530" s="43"/>
      <c r="I530" s="43"/>
      <c r="J530" s="22"/>
      <c r="K530" s="42"/>
    </row>
    <row r="531" ht="39.75" customHeight="1">
      <c r="A531" s="1">
        <v>530.0</v>
      </c>
      <c r="B531" s="2" t="s">
        <v>35</v>
      </c>
      <c r="C531" s="2" t="s">
        <v>3563</v>
      </c>
      <c r="D531" s="13"/>
      <c r="E531" s="13"/>
      <c r="F531" s="45"/>
      <c r="G531" s="42"/>
      <c r="H531" s="42"/>
      <c r="I531" s="42"/>
      <c r="J531" s="22"/>
      <c r="K531" s="42"/>
    </row>
    <row r="532" ht="39.75" customHeight="1">
      <c r="A532" s="1">
        <v>531.0</v>
      </c>
      <c r="B532" s="2" t="s">
        <v>36</v>
      </c>
      <c r="C532" s="2" t="s">
        <v>13</v>
      </c>
      <c r="D532" s="13"/>
      <c r="E532" s="13"/>
      <c r="F532" s="45"/>
      <c r="G532" s="42"/>
      <c r="H532" s="42"/>
      <c r="I532" s="42"/>
      <c r="J532" s="22"/>
      <c r="K532" s="42"/>
    </row>
    <row r="533" ht="39.75" customHeight="1">
      <c r="A533" s="1">
        <v>532.0</v>
      </c>
      <c r="B533" s="2" t="s">
        <v>38</v>
      </c>
      <c r="C533" s="2" t="s">
        <v>54</v>
      </c>
      <c r="D533" s="2">
        <v>700.0</v>
      </c>
      <c r="E533" s="13"/>
      <c r="F533" s="44" t="s">
        <v>3778</v>
      </c>
      <c r="G533" s="43">
        <v>1.0</v>
      </c>
      <c r="H533" s="43">
        <v>1.0</v>
      </c>
      <c r="I533" s="42"/>
      <c r="J533" s="22"/>
      <c r="K533" s="42"/>
    </row>
    <row r="534" ht="39.75" customHeight="1">
      <c r="A534" s="1">
        <v>533.0</v>
      </c>
      <c r="B534" s="2" t="s">
        <v>41</v>
      </c>
      <c r="C534" s="2"/>
      <c r="D534" s="13"/>
      <c r="E534" s="13"/>
      <c r="F534" s="44" t="s">
        <v>3779</v>
      </c>
      <c r="G534" s="43">
        <v>1.0</v>
      </c>
      <c r="H534" s="42"/>
      <c r="I534" s="42"/>
      <c r="J534" s="22"/>
      <c r="K534" s="42"/>
    </row>
    <row r="535" ht="39.75" customHeight="1">
      <c r="A535" s="1">
        <v>534.0</v>
      </c>
      <c r="B535" s="2" t="s">
        <v>42</v>
      </c>
      <c r="C535" s="2" t="s">
        <v>39</v>
      </c>
      <c r="D535" s="13"/>
      <c r="E535" s="13"/>
      <c r="F535" s="44" t="s">
        <v>3780</v>
      </c>
      <c r="G535" s="43">
        <v>1.0</v>
      </c>
      <c r="H535" s="42"/>
      <c r="I535" s="43">
        <v>1.0</v>
      </c>
      <c r="J535" s="22"/>
      <c r="K535" s="42"/>
    </row>
    <row r="536" ht="39.75" customHeight="1">
      <c r="A536" s="1">
        <v>535.0</v>
      </c>
      <c r="B536" s="2" t="s">
        <v>43</v>
      </c>
      <c r="C536" s="2" t="s">
        <v>69</v>
      </c>
      <c r="D536" s="40"/>
      <c r="E536" s="13"/>
      <c r="F536" s="44"/>
      <c r="G536" s="42"/>
      <c r="H536" s="42"/>
      <c r="I536" s="42"/>
      <c r="J536" s="22"/>
      <c r="K536" s="42"/>
    </row>
    <row r="537" ht="39.75" customHeight="1">
      <c r="A537" s="1">
        <v>536.0</v>
      </c>
      <c r="B537" s="2" t="s">
        <v>267</v>
      </c>
      <c r="C537" s="2" t="s">
        <v>39</v>
      </c>
      <c r="D537" s="13"/>
      <c r="E537" s="13"/>
      <c r="F537" s="44" t="s">
        <v>3781</v>
      </c>
      <c r="G537" s="43">
        <v>1.0</v>
      </c>
      <c r="H537" s="42"/>
      <c r="I537" s="43">
        <v>1.0</v>
      </c>
      <c r="J537" s="22"/>
      <c r="K537" s="42"/>
    </row>
    <row r="538" ht="39.75" customHeight="1">
      <c r="A538" s="1">
        <v>537.0</v>
      </c>
      <c r="B538" s="2" t="s">
        <v>46</v>
      </c>
      <c r="C538" s="2"/>
      <c r="D538" s="13"/>
      <c r="E538" s="13"/>
      <c r="F538" s="44" t="s">
        <v>3782</v>
      </c>
      <c r="G538" s="43">
        <v>1.0</v>
      </c>
      <c r="H538" s="42"/>
      <c r="I538" s="42"/>
      <c r="J538" s="22"/>
      <c r="K538" s="42"/>
    </row>
    <row r="539" ht="39.75" customHeight="1">
      <c r="A539" s="1">
        <v>538.0</v>
      </c>
      <c r="B539" s="2" t="s">
        <v>47</v>
      </c>
      <c r="C539" s="2"/>
      <c r="D539" s="13"/>
      <c r="E539" s="13"/>
      <c r="F539" s="44" t="s">
        <v>3783</v>
      </c>
      <c r="G539" s="43">
        <v>1.0</v>
      </c>
      <c r="H539" s="42"/>
      <c r="I539" s="42"/>
      <c r="J539" s="22"/>
      <c r="K539" s="42"/>
    </row>
    <row r="540" ht="39.75" customHeight="1">
      <c r="A540" s="1">
        <v>539.0</v>
      </c>
      <c r="B540" s="2" t="s">
        <v>48</v>
      </c>
      <c r="C540" s="2" t="s">
        <v>69</v>
      </c>
      <c r="D540" s="13"/>
      <c r="E540" s="13"/>
      <c r="F540" s="45"/>
      <c r="G540" s="42"/>
      <c r="H540" s="42"/>
      <c r="I540" s="42"/>
      <c r="J540" s="22"/>
      <c r="K540" s="42"/>
    </row>
    <row r="541" ht="39.75" customHeight="1">
      <c r="A541" s="1">
        <v>540.0</v>
      </c>
      <c r="B541" s="21"/>
      <c r="C541" s="21"/>
      <c r="D541" s="21"/>
      <c r="E541" s="21"/>
      <c r="F541" s="46"/>
      <c r="G541" s="47"/>
      <c r="H541" s="47"/>
      <c r="I541" s="47"/>
      <c r="J541" s="48"/>
      <c r="K541" s="47"/>
      <c r="L541" s="49"/>
      <c r="M541" s="49"/>
      <c r="N541" s="49"/>
    </row>
    <row r="542" ht="39.75" customHeight="1">
      <c r="A542" s="1">
        <v>541.0</v>
      </c>
      <c r="B542" s="2" t="s">
        <v>12</v>
      </c>
      <c r="C542" s="2" t="s">
        <v>13</v>
      </c>
      <c r="D542" s="13"/>
      <c r="E542" s="13"/>
      <c r="F542" s="45"/>
      <c r="G542" s="42"/>
      <c r="H542" s="42"/>
      <c r="I542" s="42"/>
      <c r="J542" s="22"/>
      <c r="K542" s="42"/>
      <c r="L542" s="15" t="s">
        <v>362</v>
      </c>
    </row>
    <row r="543" ht="39.75" customHeight="1">
      <c r="A543" s="1">
        <v>542.0</v>
      </c>
      <c r="B543" s="2" t="s">
        <v>16</v>
      </c>
      <c r="C543" s="2" t="s">
        <v>13</v>
      </c>
      <c r="D543" s="40"/>
      <c r="E543" s="13"/>
      <c r="F543" s="45"/>
      <c r="G543" s="42"/>
      <c r="H543" s="42"/>
      <c r="I543" s="42"/>
      <c r="J543" s="27" t="s">
        <v>362</v>
      </c>
      <c r="K543" s="43"/>
    </row>
    <row r="544" ht="39.75" customHeight="1">
      <c r="A544" s="1">
        <v>543.0</v>
      </c>
      <c r="B544" s="2" t="s">
        <v>116</v>
      </c>
      <c r="C544" s="2" t="s">
        <v>13</v>
      </c>
      <c r="D544" s="13"/>
      <c r="E544" s="13"/>
      <c r="F544" s="45"/>
      <c r="G544" s="42"/>
      <c r="H544" s="42"/>
      <c r="I544" s="42"/>
      <c r="J544" s="27" t="s">
        <v>149</v>
      </c>
      <c r="K544" s="42"/>
    </row>
    <row r="545" ht="39.75" customHeight="1">
      <c r="A545" s="1">
        <v>544.0</v>
      </c>
      <c r="B545" s="2" t="s">
        <v>263</v>
      </c>
      <c r="C545" s="2" t="s">
        <v>13</v>
      </c>
      <c r="D545" s="13"/>
      <c r="E545" s="13"/>
      <c r="F545" s="45"/>
      <c r="G545" s="42"/>
      <c r="H545" s="42"/>
      <c r="I545" s="42"/>
      <c r="J545" s="27" t="s">
        <v>266</v>
      </c>
      <c r="K545" s="42"/>
    </row>
    <row r="546" ht="39.75" customHeight="1">
      <c r="A546" s="1">
        <v>545.0</v>
      </c>
      <c r="B546" s="2" t="s">
        <v>17</v>
      </c>
      <c r="C546" s="2" t="s">
        <v>13</v>
      </c>
      <c r="D546" s="13"/>
      <c r="E546" s="13"/>
      <c r="F546" s="45"/>
      <c r="G546" s="42"/>
      <c r="H546" s="42"/>
      <c r="I546" s="42"/>
      <c r="J546" s="27"/>
      <c r="K546" s="42"/>
    </row>
    <row r="547" ht="39.75" customHeight="1">
      <c r="A547" s="1">
        <v>546.0</v>
      </c>
      <c r="B547" s="2" t="s">
        <v>331</v>
      </c>
      <c r="C547" s="2" t="s">
        <v>13</v>
      </c>
      <c r="D547" s="13"/>
      <c r="E547" s="13"/>
      <c r="F547" s="44"/>
      <c r="G547" s="42"/>
      <c r="H547" s="42"/>
      <c r="I547" s="42"/>
      <c r="J547" s="22"/>
      <c r="K547" s="42"/>
    </row>
    <row r="548" ht="39.75" customHeight="1">
      <c r="A548" s="1">
        <v>547.0</v>
      </c>
      <c r="B548" s="2" t="s">
        <v>21</v>
      </c>
      <c r="C548" s="2" t="s">
        <v>13</v>
      </c>
      <c r="D548" s="13"/>
      <c r="E548" s="13"/>
      <c r="F548" s="45"/>
      <c r="G548" s="42"/>
      <c r="H548" s="42"/>
      <c r="I548" s="42"/>
      <c r="J548" s="22"/>
      <c r="K548" s="42"/>
    </row>
    <row r="549" ht="39.75" customHeight="1">
      <c r="A549" s="1">
        <v>548.0</v>
      </c>
      <c r="B549" s="2" t="s">
        <v>22</v>
      </c>
      <c r="C549" s="2"/>
      <c r="D549" s="40">
        <v>0.5416666666666666</v>
      </c>
      <c r="E549" s="59">
        <v>0.041666666666666664</v>
      </c>
      <c r="F549" s="44" t="s">
        <v>3784</v>
      </c>
      <c r="G549" s="43">
        <v>2.0</v>
      </c>
      <c r="H549" s="43">
        <v>1.0</v>
      </c>
      <c r="I549" s="43">
        <v>1.0</v>
      </c>
      <c r="J549" s="22"/>
      <c r="K549" s="42"/>
    </row>
    <row r="550" ht="39.75" customHeight="1">
      <c r="A550" s="1">
        <v>549.0</v>
      </c>
      <c r="B550" s="2" t="s">
        <v>261</v>
      </c>
      <c r="C550" s="2" t="s">
        <v>13</v>
      </c>
      <c r="D550" s="13"/>
      <c r="E550" s="13"/>
      <c r="F550" s="45"/>
      <c r="G550" s="42"/>
      <c r="H550" s="42"/>
      <c r="I550" s="42"/>
      <c r="J550" s="22"/>
      <c r="K550" s="42"/>
    </row>
    <row r="551" ht="39.75" customHeight="1">
      <c r="A551" s="1">
        <v>550.0</v>
      </c>
      <c r="B551" s="2" t="s">
        <v>23</v>
      </c>
      <c r="C551" s="2" t="s">
        <v>13</v>
      </c>
      <c r="D551" s="13"/>
      <c r="E551" s="13"/>
      <c r="F551" s="45"/>
      <c r="G551" s="42"/>
      <c r="H551" s="42"/>
      <c r="I551" s="42"/>
      <c r="J551" s="22"/>
      <c r="K551" s="42"/>
    </row>
    <row r="552" ht="39.75" customHeight="1">
      <c r="A552" s="1">
        <v>551.0</v>
      </c>
      <c r="B552" s="2" t="s">
        <v>24</v>
      </c>
      <c r="C552" s="2" t="s">
        <v>13</v>
      </c>
      <c r="D552" s="13"/>
      <c r="E552" s="13"/>
      <c r="F552" s="45"/>
      <c r="G552" s="42"/>
      <c r="H552" s="42"/>
      <c r="I552" s="42"/>
      <c r="J552" s="22"/>
      <c r="K552" s="42"/>
    </row>
    <row r="553" ht="39.75" customHeight="1">
      <c r="A553" s="1">
        <v>552.0</v>
      </c>
      <c r="B553" s="2" t="s">
        <v>25</v>
      </c>
      <c r="C553" s="2" t="s">
        <v>39</v>
      </c>
      <c r="D553" s="2">
        <v>900.0</v>
      </c>
      <c r="E553" s="2">
        <v>1600.0</v>
      </c>
      <c r="F553" s="44" t="s">
        <v>3785</v>
      </c>
      <c r="G553" s="43">
        <v>1.0</v>
      </c>
      <c r="H553" s="42"/>
      <c r="I553" s="43">
        <v>1.0</v>
      </c>
      <c r="J553" s="22"/>
      <c r="K553" s="42"/>
    </row>
    <row r="554" ht="39.75" customHeight="1">
      <c r="A554" s="1">
        <v>553.0</v>
      </c>
      <c r="B554" s="2" t="s">
        <v>26</v>
      </c>
      <c r="C554" s="2"/>
      <c r="D554" s="13"/>
      <c r="E554" s="13"/>
      <c r="F554" s="44" t="s">
        <v>3786</v>
      </c>
      <c r="G554" s="43">
        <v>1.0</v>
      </c>
      <c r="H554" s="43">
        <v>1.0</v>
      </c>
      <c r="I554" s="42"/>
      <c r="J554" s="22"/>
      <c r="K554" s="42"/>
    </row>
    <row r="555" ht="39.75" customHeight="1">
      <c r="A555" s="1">
        <v>554.0</v>
      </c>
      <c r="B555" s="2" t="s">
        <v>29</v>
      </c>
      <c r="C555" s="2" t="s">
        <v>13</v>
      </c>
      <c r="D555" s="13"/>
      <c r="E555" s="13"/>
      <c r="F555" s="45"/>
      <c r="G555" s="42"/>
      <c r="H555" s="42"/>
      <c r="I555" s="42"/>
      <c r="J555" s="22"/>
      <c r="K555" s="42"/>
    </row>
    <row r="556" ht="39.75" customHeight="1">
      <c r="A556" s="1">
        <v>555.0</v>
      </c>
      <c r="B556" s="2" t="s">
        <v>32</v>
      </c>
      <c r="C556" s="2" t="s">
        <v>44</v>
      </c>
      <c r="D556" s="40"/>
      <c r="E556" s="13"/>
      <c r="F556" s="44"/>
      <c r="G556" s="43"/>
      <c r="H556" s="42"/>
      <c r="I556" s="42"/>
      <c r="J556" s="22"/>
      <c r="K556" s="42"/>
    </row>
    <row r="557" ht="39.75" customHeight="1">
      <c r="A557" s="1">
        <v>556.0</v>
      </c>
      <c r="B557" s="2" t="s">
        <v>67</v>
      </c>
      <c r="C557" s="2" t="s">
        <v>13</v>
      </c>
      <c r="D557" s="40"/>
      <c r="E557" s="13"/>
      <c r="F557" s="44"/>
      <c r="G557" s="43"/>
      <c r="H557" s="42"/>
      <c r="I557" s="43"/>
      <c r="J557" s="22"/>
      <c r="K557" s="42"/>
    </row>
    <row r="558" ht="39.75" customHeight="1">
      <c r="A558" s="1">
        <v>557.0</v>
      </c>
      <c r="B558" s="2" t="s">
        <v>35</v>
      </c>
      <c r="C558" s="2" t="s">
        <v>3563</v>
      </c>
      <c r="D558" s="13"/>
      <c r="E558" s="13"/>
      <c r="F558" s="45"/>
      <c r="G558" s="42"/>
      <c r="H558" s="42"/>
      <c r="I558" s="42"/>
      <c r="J558" s="22"/>
      <c r="K558" s="42"/>
    </row>
    <row r="559" ht="39.75" customHeight="1">
      <c r="A559" s="1">
        <v>558.0</v>
      </c>
      <c r="B559" s="2" t="s">
        <v>36</v>
      </c>
      <c r="C559" s="2" t="s">
        <v>13</v>
      </c>
      <c r="D559" s="13"/>
      <c r="E559" s="13"/>
      <c r="F559" s="45"/>
      <c r="G559" s="42"/>
      <c r="H559" s="42"/>
      <c r="I559" s="42"/>
      <c r="J559" s="22"/>
      <c r="K559" s="42"/>
    </row>
    <row r="560" ht="39.75" customHeight="1">
      <c r="A560" s="1">
        <v>559.0</v>
      </c>
      <c r="B560" s="2" t="s">
        <v>38</v>
      </c>
      <c r="C560" s="2" t="s">
        <v>13</v>
      </c>
      <c r="D560" s="13"/>
      <c r="E560" s="13"/>
      <c r="F560" s="45"/>
      <c r="G560" s="42"/>
      <c r="H560" s="42"/>
      <c r="I560" s="42"/>
      <c r="J560" s="22"/>
      <c r="K560" s="42"/>
    </row>
    <row r="561" ht="39.75" customHeight="1">
      <c r="A561" s="1">
        <v>560.0</v>
      </c>
      <c r="B561" s="2" t="s">
        <v>41</v>
      </c>
      <c r="C561" s="2" t="s">
        <v>49</v>
      </c>
      <c r="D561" s="40">
        <v>0.625</v>
      </c>
      <c r="E561" s="59">
        <v>0.9791666666666666</v>
      </c>
      <c r="F561" s="44" t="s">
        <v>3787</v>
      </c>
      <c r="G561" s="43">
        <v>1.0</v>
      </c>
      <c r="H561" s="42"/>
      <c r="I561" s="42"/>
      <c r="J561" s="22"/>
      <c r="K561" s="42"/>
    </row>
    <row r="562" ht="39.75" customHeight="1">
      <c r="A562" s="1">
        <v>561.0</v>
      </c>
      <c r="B562" s="2" t="s">
        <v>42</v>
      </c>
      <c r="C562" s="2"/>
      <c r="D562" s="40">
        <v>0.5416666666666666</v>
      </c>
      <c r="E562" s="59">
        <v>0.9444444444444444</v>
      </c>
      <c r="F562" s="44" t="s">
        <v>3788</v>
      </c>
      <c r="G562" s="43">
        <v>1.0</v>
      </c>
      <c r="H562" s="42"/>
      <c r="I562" s="43">
        <v>1.0</v>
      </c>
      <c r="J562" s="22"/>
      <c r="K562" s="42"/>
    </row>
    <row r="563" ht="39.75" customHeight="1">
      <c r="A563" s="1">
        <v>562.0</v>
      </c>
      <c r="B563" s="2" t="s">
        <v>43</v>
      </c>
      <c r="C563" s="2" t="s">
        <v>13</v>
      </c>
      <c r="D563" s="40"/>
      <c r="E563" s="13"/>
      <c r="F563" s="44"/>
      <c r="G563" s="42"/>
      <c r="H563" s="42"/>
      <c r="I563" s="42"/>
      <c r="J563" s="22"/>
      <c r="K563" s="42"/>
    </row>
    <row r="564" ht="39.75" customHeight="1">
      <c r="A564" s="1">
        <v>563.0</v>
      </c>
      <c r="B564" s="2" t="s">
        <v>267</v>
      </c>
      <c r="C564" s="2" t="s">
        <v>13</v>
      </c>
      <c r="D564" s="13"/>
      <c r="E564" s="13"/>
      <c r="F564" s="45"/>
      <c r="G564" s="42"/>
      <c r="H564" s="42"/>
      <c r="I564" s="42"/>
      <c r="J564" s="22"/>
      <c r="K564" s="42"/>
    </row>
    <row r="565" ht="39.75" customHeight="1">
      <c r="A565" s="1">
        <v>564.0</v>
      </c>
      <c r="B565" s="2" t="s">
        <v>46</v>
      </c>
      <c r="C565" s="2" t="s">
        <v>13</v>
      </c>
      <c r="D565" s="13"/>
      <c r="E565" s="13"/>
      <c r="F565" s="45"/>
      <c r="G565" s="42"/>
      <c r="H565" s="42"/>
      <c r="I565" s="42"/>
      <c r="J565" s="22"/>
      <c r="K565" s="42"/>
    </row>
    <row r="566" ht="39.75" customHeight="1">
      <c r="A566" s="1">
        <v>565.0</v>
      </c>
      <c r="B566" s="2" t="s">
        <v>47</v>
      </c>
      <c r="C566" s="2" t="s">
        <v>3571</v>
      </c>
      <c r="D566" s="82">
        <v>0.625</v>
      </c>
      <c r="E566" s="2" t="s">
        <v>3789</v>
      </c>
      <c r="F566" s="44" t="s">
        <v>3790</v>
      </c>
      <c r="G566" s="43">
        <v>1.0</v>
      </c>
      <c r="H566" s="42"/>
      <c r="I566" s="42"/>
      <c r="J566" s="22"/>
      <c r="K566" s="42"/>
    </row>
    <row r="567" ht="39.75" customHeight="1">
      <c r="A567" s="1">
        <v>566.0</v>
      </c>
      <c r="B567" s="2" t="s">
        <v>48</v>
      </c>
      <c r="C567" s="2" t="s">
        <v>13</v>
      </c>
      <c r="D567" s="13"/>
      <c r="E567" s="13"/>
      <c r="F567" s="45"/>
      <c r="G567" s="42"/>
      <c r="H567" s="42"/>
      <c r="I567" s="42"/>
      <c r="J567" s="22"/>
      <c r="K567" s="42"/>
    </row>
    <row r="568" ht="39.75" customHeight="1">
      <c r="A568" s="1">
        <v>567.0</v>
      </c>
      <c r="B568" s="21"/>
      <c r="C568" s="21"/>
      <c r="D568" s="21"/>
      <c r="E568" s="21"/>
      <c r="F568" s="46"/>
      <c r="G568" s="47"/>
      <c r="H568" s="47"/>
      <c r="I568" s="47"/>
      <c r="J568" s="48"/>
      <c r="K568" s="47"/>
      <c r="L568" s="49"/>
      <c r="M568" s="49"/>
      <c r="N568" s="49"/>
    </row>
    <row r="569" ht="39.75" customHeight="1">
      <c r="A569" s="1">
        <v>568.0</v>
      </c>
      <c r="B569" s="2" t="s">
        <v>12</v>
      </c>
      <c r="C569" s="2" t="s">
        <v>13</v>
      </c>
      <c r="D569" s="2"/>
      <c r="E569" s="2"/>
      <c r="F569" s="45"/>
      <c r="G569" s="42"/>
      <c r="H569" s="42"/>
      <c r="I569" s="42"/>
      <c r="J569" s="22"/>
      <c r="K569" s="42"/>
      <c r="L569" s="15" t="s">
        <v>369</v>
      </c>
    </row>
    <row r="570" ht="39.75" customHeight="1">
      <c r="A570" s="1">
        <v>569.0</v>
      </c>
      <c r="B570" s="2" t="s">
        <v>16</v>
      </c>
      <c r="C570" s="2" t="s">
        <v>3571</v>
      </c>
      <c r="D570" s="2">
        <v>1630.0</v>
      </c>
      <c r="E570" s="2" t="s">
        <v>3789</v>
      </c>
      <c r="F570" s="44" t="s">
        <v>3791</v>
      </c>
      <c r="G570" s="43">
        <v>1.0</v>
      </c>
      <c r="H570" s="42"/>
      <c r="I570" s="42"/>
      <c r="J570" s="27" t="s">
        <v>369</v>
      </c>
      <c r="K570" s="43"/>
    </row>
    <row r="571" ht="39.75" customHeight="1">
      <c r="A571" s="1">
        <v>570.0</v>
      </c>
      <c r="B571" s="2" t="s">
        <v>116</v>
      </c>
      <c r="C571" s="2"/>
      <c r="D571" s="2">
        <v>900.0</v>
      </c>
      <c r="E571" s="2">
        <v>1800.0</v>
      </c>
      <c r="F571" s="44" t="s">
        <v>926</v>
      </c>
      <c r="G571" s="43">
        <v>1.0</v>
      </c>
      <c r="H571" s="42"/>
      <c r="I571" s="43">
        <v>1.0</v>
      </c>
      <c r="J571" s="27" t="s">
        <v>19</v>
      </c>
      <c r="K571" s="42"/>
    </row>
    <row r="572" ht="39.75" customHeight="1">
      <c r="A572" s="1">
        <v>571.0</v>
      </c>
      <c r="B572" s="2" t="s">
        <v>263</v>
      </c>
      <c r="C572" s="2" t="s">
        <v>13</v>
      </c>
      <c r="D572" s="13"/>
      <c r="E572" s="13"/>
      <c r="F572" s="44"/>
      <c r="G572" s="42"/>
      <c r="H572" s="42"/>
      <c r="I572" s="42"/>
      <c r="J572" s="27" t="s">
        <v>263</v>
      </c>
      <c r="K572" s="42"/>
    </row>
    <row r="573" ht="39.75" customHeight="1">
      <c r="A573" s="1">
        <v>572.0</v>
      </c>
      <c r="B573" s="2" t="s">
        <v>17</v>
      </c>
      <c r="C573" s="2" t="s">
        <v>13</v>
      </c>
      <c r="D573" s="13"/>
      <c r="E573" s="13"/>
      <c r="F573" s="45"/>
      <c r="G573" s="42"/>
      <c r="H573" s="42"/>
      <c r="I573" s="42"/>
      <c r="J573" s="22"/>
      <c r="K573" s="42"/>
    </row>
    <row r="574" ht="39.75" customHeight="1">
      <c r="A574" s="1">
        <v>573.0</v>
      </c>
      <c r="B574" s="2" t="s">
        <v>331</v>
      </c>
      <c r="C574" s="2" t="s">
        <v>13</v>
      </c>
      <c r="D574" s="13"/>
      <c r="E574" s="13"/>
      <c r="F574" s="45"/>
      <c r="G574" s="42"/>
      <c r="H574" s="42"/>
      <c r="I574" s="42"/>
      <c r="J574" s="22"/>
      <c r="K574" s="42"/>
    </row>
    <row r="575" ht="39.75" customHeight="1">
      <c r="A575" s="1">
        <v>574.0</v>
      </c>
      <c r="B575" s="2" t="s">
        <v>21</v>
      </c>
      <c r="C575" s="2"/>
      <c r="D575" s="2">
        <v>900.0</v>
      </c>
      <c r="E575" s="13"/>
      <c r="F575" s="44" t="s">
        <v>3792</v>
      </c>
      <c r="G575" s="43">
        <v>1.0</v>
      </c>
      <c r="H575" s="43">
        <v>1.0</v>
      </c>
      <c r="I575" s="42"/>
      <c r="J575" s="22"/>
      <c r="K575" s="42"/>
    </row>
    <row r="576" ht="39.75" customHeight="1">
      <c r="A576" s="1">
        <v>575.0</v>
      </c>
      <c r="B576" s="2" t="s">
        <v>22</v>
      </c>
      <c r="C576" s="2"/>
      <c r="D576" s="77">
        <v>1200.0</v>
      </c>
      <c r="E576" s="2"/>
      <c r="F576" s="113" t="s">
        <v>3793</v>
      </c>
      <c r="G576" s="43">
        <v>1.0</v>
      </c>
      <c r="H576" s="43">
        <v>1.0</v>
      </c>
      <c r="I576" s="42"/>
      <c r="J576" s="22"/>
      <c r="K576" s="42"/>
    </row>
    <row r="577" ht="39.75" customHeight="1">
      <c r="A577" s="1">
        <v>576.0</v>
      </c>
      <c r="B577" s="2" t="s">
        <v>261</v>
      </c>
      <c r="C577" s="2" t="s">
        <v>13</v>
      </c>
      <c r="D577" s="13"/>
      <c r="E577" s="13"/>
      <c r="F577" s="45"/>
      <c r="G577" s="42"/>
      <c r="H577" s="42"/>
      <c r="I577" s="42"/>
      <c r="J577" s="22"/>
      <c r="K577" s="42"/>
    </row>
    <row r="578" ht="39.75" customHeight="1">
      <c r="A578" s="1">
        <v>577.0</v>
      </c>
      <c r="B578" s="2" t="s">
        <v>23</v>
      </c>
      <c r="C578" s="2" t="s">
        <v>13</v>
      </c>
      <c r="D578" s="13"/>
      <c r="E578" s="13"/>
      <c r="F578" s="45"/>
      <c r="G578" s="42"/>
      <c r="H578" s="42"/>
      <c r="I578" s="42"/>
      <c r="J578" s="22"/>
      <c r="K578" s="42"/>
    </row>
    <row r="579" ht="39.75" customHeight="1">
      <c r="A579" s="1">
        <v>578.0</v>
      </c>
      <c r="B579" s="2" t="s">
        <v>24</v>
      </c>
      <c r="C579" s="2" t="s">
        <v>13</v>
      </c>
      <c r="D579" s="13"/>
      <c r="E579" s="13"/>
      <c r="F579" s="45"/>
      <c r="G579" s="42"/>
      <c r="H579" s="42"/>
      <c r="I579" s="42"/>
      <c r="J579" s="22"/>
      <c r="K579" s="42"/>
    </row>
    <row r="580" ht="39.75" customHeight="1">
      <c r="A580" s="1">
        <v>579.0</v>
      </c>
      <c r="B580" s="2" t="s">
        <v>25</v>
      </c>
      <c r="C580" s="2" t="s">
        <v>13</v>
      </c>
      <c r="D580" s="13"/>
      <c r="E580" s="13"/>
      <c r="F580" s="45"/>
      <c r="G580" s="42"/>
      <c r="H580" s="42"/>
      <c r="I580" s="42"/>
      <c r="J580" s="22"/>
      <c r="K580" s="42"/>
    </row>
    <row r="581" ht="39.75" customHeight="1">
      <c r="A581" s="1">
        <v>580.0</v>
      </c>
      <c r="B581" s="2" t="s">
        <v>26</v>
      </c>
      <c r="C581" s="2"/>
      <c r="D581" s="13"/>
      <c r="E581" s="13"/>
      <c r="F581" s="44" t="s">
        <v>3794</v>
      </c>
      <c r="G581" s="43">
        <v>1.0</v>
      </c>
      <c r="H581" s="43">
        <v>1.0</v>
      </c>
      <c r="I581" s="42"/>
      <c r="J581" s="22"/>
      <c r="K581" s="42"/>
    </row>
    <row r="582" ht="39.75" customHeight="1">
      <c r="A582" s="1">
        <v>581.0</v>
      </c>
      <c r="B582" s="2" t="s">
        <v>29</v>
      </c>
      <c r="C582" s="2" t="s">
        <v>13</v>
      </c>
      <c r="D582" s="13"/>
      <c r="E582" s="13"/>
      <c r="F582" s="45"/>
      <c r="G582" s="42"/>
      <c r="H582" s="42"/>
      <c r="I582" s="42"/>
      <c r="J582" s="22"/>
      <c r="K582" s="42"/>
    </row>
    <row r="583" ht="39.75" customHeight="1">
      <c r="A583" s="1">
        <v>582.0</v>
      </c>
      <c r="B583" s="2" t="s">
        <v>32</v>
      </c>
      <c r="C583" s="2" t="s">
        <v>13</v>
      </c>
      <c r="D583" s="2"/>
      <c r="E583" s="2"/>
      <c r="F583" s="57"/>
      <c r="G583" s="43"/>
      <c r="H583" s="42"/>
      <c r="I583" s="43"/>
      <c r="J583" s="22"/>
      <c r="K583" s="42"/>
    </row>
    <row r="584" ht="39.75" customHeight="1">
      <c r="A584" s="1">
        <v>583.0</v>
      </c>
      <c r="B584" s="2" t="s">
        <v>67</v>
      </c>
      <c r="C584" s="2" t="s">
        <v>13</v>
      </c>
      <c r="D584" s="2"/>
      <c r="E584" s="13"/>
      <c r="F584" s="45"/>
      <c r="G584" s="42"/>
      <c r="H584" s="42"/>
      <c r="I584" s="42"/>
      <c r="J584" s="22"/>
      <c r="K584" s="42"/>
    </row>
    <row r="585" ht="39.75" customHeight="1">
      <c r="A585" s="1">
        <v>584.0</v>
      </c>
      <c r="B585" s="2" t="s">
        <v>35</v>
      </c>
      <c r="C585" s="2" t="s">
        <v>13</v>
      </c>
      <c r="D585" s="2"/>
      <c r="E585" s="13"/>
      <c r="F585" s="45"/>
      <c r="G585" s="42"/>
      <c r="H585" s="42"/>
      <c r="I585" s="42"/>
      <c r="J585" s="22"/>
      <c r="K585" s="42"/>
    </row>
    <row r="586" ht="39.75" customHeight="1">
      <c r="A586" s="1">
        <v>585.0</v>
      </c>
      <c r="B586" s="2" t="s">
        <v>36</v>
      </c>
      <c r="C586" s="2" t="s">
        <v>13</v>
      </c>
      <c r="D586" s="13"/>
      <c r="E586" s="13"/>
      <c r="F586" s="45"/>
      <c r="G586" s="42"/>
      <c r="H586" s="42"/>
      <c r="I586" s="42"/>
      <c r="J586" s="22"/>
      <c r="K586" s="42"/>
    </row>
    <row r="587" ht="39.75" customHeight="1">
      <c r="A587" s="1">
        <v>586.0</v>
      </c>
      <c r="B587" s="2" t="s">
        <v>38</v>
      </c>
      <c r="C587" s="2" t="s">
        <v>49</v>
      </c>
      <c r="D587" s="2">
        <v>1000.0</v>
      </c>
      <c r="E587" s="2">
        <v>1630.0</v>
      </c>
      <c r="F587" s="44" t="s">
        <v>3778</v>
      </c>
      <c r="G587" s="43">
        <v>1.0</v>
      </c>
      <c r="H587" s="43">
        <v>1.0</v>
      </c>
      <c r="I587" s="42"/>
      <c r="J587" s="22"/>
      <c r="K587" s="42"/>
    </row>
    <row r="588" ht="39.75" customHeight="1">
      <c r="A588" s="1">
        <v>587.0</v>
      </c>
      <c r="B588" s="2" t="s">
        <v>41</v>
      </c>
      <c r="C588" s="2" t="s">
        <v>13</v>
      </c>
      <c r="D588" s="13"/>
      <c r="E588" s="13"/>
      <c r="F588" s="45"/>
      <c r="G588" s="42"/>
      <c r="H588" s="42"/>
      <c r="I588" s="42"/>
      <c r="J588" s="22"/>
      <c r="K588" s="42"/>
    </row>
    <row r="589" ht="39.75" customHeight="1">
      <c r="A589" s="1">
        <v>588.0</v>
      </c>
      <c r="B589" s="2" t="s">
        <v>42</v>
      </c>
      <c r="C589" s="2" t="s">
        <v>13</v>
      </c>
      <c r="D589" s="13"/>
      <c r="E589" s="13"/>
      <c r="F589" s="45"/>
      <c r="G589" s="42"/>
      <c r="H589" s="42"/>
      <c r="I589" s="42"/>
      <c r="J589" s="22"/>
      <c r="K589" s="42"/>
    </row>
    <row r="590" ht="39.75" customHeight="1">
      <c r="A590" s="1">
        <v>589.0</v>
      </c>
      <c r="B590" s="2" t="s">
        <v>43</v>
      </c>
      <c r="C590" s="2" t="s">
        <v>13</v>
      </c>
      <c r="D590" s="13"/>
      <c r="E590" s="13"/>
      <c r="F590" s="45"/>
      <c r="G590" s="42"/>
      <c r="H590" s="42"/>
      <c r="I590" s="42"/>
      <c r="J590" s="22"/>
      <c r="K590" s="42"/>
    </row>
    <row r="591" ht="39.75" customHeight="1">
      <c r="A591" s="1">
        <v>590.0</v>
      </c>
      <c r="B591" s="2" t="s">
        <v>267</v>
      </c>
      <c r="C591" s="2" t="s">
        <v>13</v>
      </c>
      <c r="D591" s="13"/>
      <c r="E591" s="13"/>
      <c r="F591" s="45"/>
      <c r="G591" s="42"/>
      <c r="H591" s="42"/>
      <c r="I591" s="42"/>
      <c r="J591" s="22"/>
      <c r="K591" s="42"/>
    </row>
    <row r="592" ht="39.75" customHeight="1">
      <c r="A592" s="1">
        <v>591.0</v>
      </c>
      <c r="B592" s="2" t="s">
        <v>46</v>
      </c>
      <c r="C592" s="2" t="s">
        <v>13</v>
      </c>
      <c r="D592" s="13"/>
      <c r="E592" s="13"/>
      <c r="F592" s="45"/>
      <c r="G592" s="42"/>
      <c r="H592" s="42"/>
      <c r="I592" s="42"/>
      <c r="J592" s="22"/>
      <c r="K592" s="42"/>
    </row>
    <row r="593" ht="39.75" customHeight="1">
      <c r="A593" s="1">
        <v>592.0</v>
      </c>
      <c r="B593" s="2" t="s">
        <v>47</v>
      </c>
      <c r="C593" s="2" t="s">
        <v>44</v>
      </c>
      <c r="D593" s="13"/>
      <c r="E593" s="13"/>
      <c r="F593" s="45"/>
      <c r="G593" s="42"/>
      <c r="H593" s="42"/>
      <c r="I593" s="42"/>
      <c r="J593" s="22"/>
      <c r="K593" s="42"/>
    </row>
    <row r="594" ht="39.75" customHeight="1">
      <c r="A594" s="1">
        <v>593.0</v>
      </c>
      <c r="B594" s="2" t="s">
        <v>48</v>
      </c>
      <c r="C594" s="2"/>
      <c r="D594" s="82">
        <v>0.2777777777777778</v>
      </c>
      <c r="E594" s="13"/>
      <c r="F594" s="57" t="s">
        <v>3795</v>
      </c>
      <c r="G594" s="43">
        <v>1.0</v>
      </c>
      <c r="H594" s="42"/>
      <c r="I594" s="42"/>
      <c r="J594" s="22"/>
      <c r="K594" s="42"/>
    </row>
    <row r="595" ht="39.75" customHeight="1">
      <c r="A595" s="1">
        <v>594.0</v>
      </c>
      <c r="B595" s="21"/>
      <c r="C595" s="21"/>
      <c r="D595" s="21"/>
      <c r="E595" s="21"/>
      <c r="F595" s="46"/>
      <c r="G595" s="47"/>
      <c r="H595" s="47"/>
      <c r="I595" s="47"/>
      <c r="J595" s="48"/>
      <c r="K595" s="47"/>
      <c r="L595" s="49"/>
      <c r="M595" s="49"/>
      <c r="N595" s="49"/>
    </row>
    <row r="596" ht="39.75" customHeight="1">
      <c r="A596" s="1">
        <v>595.0</v>
      </c>
      <c r="B596" s="2" t="s">
        <v>12</v>
      </c>
      <c r="C596" s="2" t="s">
        <v>62</v>
      </c>
      <c r="D596" s="13"/>
      <c r="E596" s="13"/>
      <c r="F596" s="44" t="s">
        <v>1993</v>
      </c>
      <c r="G596" s="43">
        <v>1.0</v>
      </c>
      <c r="H596" s="42"/>
      <c r="I596" s="43">
        <v>1.0</v>
      </c>
      <c r="J596" s="22"/>
      <c r="K596" s="42"/>
      <c r="L596" s="15" t="s">
        <v>376</v>
      </c>
    </row>
    <row r="597" ht="39.75" customHeight="1">
      <c r="A597" s="1">
        <v>596.0</v>
      </c>
      <c r="B597" s="2" t="s">
        <v>16</v>
      </c>
      <c r="C597" s="2" t="s">
        <v>44</v>
      </c>
      <c r="D597" s="13"/>
      <c r="E597" s="13"/>
      <c r="F597" s="44"/>
      <c r="G597" s="43"/>
      <c r="H597" s="42"/>
      <c r="I597" s="43"/>
      <c r="J597" s="27" t="s">
        <v>376</v>
      </c>
      <c r="K597" s="43"/>
    </row>
    <row r="598" ht="39.75" customHeight="1">
      <c r="A598" s="1">
        <v>597.0</v>
      </c>
      <c r="B598" s="2" t="s">
        <v>116</v>
      </c>
      <c r="C598" s="2" t="s">
        <v>39</v>
      </c>
      <c r="D598" s="114">
        <v>630.0</v>
      </c>
      <c r="E598" s="13"/>
      <c r="F598" s="75" t="s">
        <v>3796</v>
      </c>
      <c r="G598" s="43">
        <v>1.0</v>
      </c>
      <c r="H598" s="42"/>
      <c r="I598" s="42"/>
      <c r="J598" s="27" t="s">
        <v>56</v>
      </c>
      <c r="K598" s="42"/>
    </row>
    <row r="599" ht="39.75" customHeight="1">
      <c r="A599" s="1">
        <v>598.0</v>
      </c>
      <c r="B599" s="2" t="s">
        <v>263</v>
      </c>
      <c r="C599" s="2" t="s">
        <v>69</v>
      </c>
      <c r="D599" s="2">
        <v>1300.0</v>
      </c>
      <c r="E599" s="13"/>
      <c r="F599" s="44" t="s">
        <v>3797</v>
      </c>
      <c r="G599" s="43">
        <v>1.0</v>
      </c>
      <c r="H599" s="42"/>
      <c r="I599" s="42"/>
      <c r="J599" s="27" t="s">
        <v>30</v>
      </c>
      <c r="K599" s="42"/>
    </row>
    <row r="600" ht="39.75" customHeight="1">
      <c r="A600" s="1">
        <v>599.0</v>
      </c>
      <c r="B600" s="2" t="s">
        <v>17</v>
      </c>
      <c r="C600" s="2" t="s">
        <v>3603</v>
      </c>
      <c r="D600" s="2">
        <v>900.0</v>
      </c>
      <c r="E600" s="13"/>
      <c r="F600" s="44" t="s">
        <v>3392</v>
      </c>
      <c r="G600" s="43">
        <v>1.0</v>
      </c>
      <c r="H600" s="42"/>
      <c r="I600" s="42"/>
      <c r="J600" s="27"/>
      <c r="K600" s="42"/>
    </row>
    <row r="601" ht="39.75" customHeight="1">
      <c r="A601" s="1">
        <v>600.0</v>
      </c>
      <c r="B601" s="2" t="s">
        <v>331</v>
      </c>
      <c r="C601" s="2" t="s">
        <v>542</v>
      </c>
      <c r="D601" s="2">
        <v>900.0</v>
      </c>
      <c r="E601" s="13"/>
      <c r="F601" s="44"/>
      <c r="G601" s="42"/>
      <c r="H601" s="42"/>
      <c r="I601" s="42"/>
      <c r="J601" s="27"/>
      <c r="K601" s="42"/>
    </row>
    <row r="602" ht="39.75" customHeight="1">
      <c r="A602" s="1">
        <v>601.0</v>
      </c>
      <c r="B602" s="2" t="s">
        <v>21</v>
      </c>
      <c r="C602" s="2" t="s">
        <v>54</v>
      </c>
      <c r="D602" s="13"/>
      <c r="E602" s="13"/>
      <c r="F602" s="44" t="s">
        <v>3798</v>
      </c>
      <c r="G602" s="43">
        <v>1.0</v>
      </c>
      <c r="H602" s="43">
        <v>1.0</v>
      </c>
      <c r="I602" s="42"/>
      <c r="J602" s="27"/>
      <c r="K602" s="42"/>
    </row>
    <row r="603" ht="39.75" customHeight="1">
      <c r="A603" s="1">
        <v>602.0</v>
      </c>
      <c r="B603" s="2" t="s">
        <v>22</v>
      </c>
      <c r="C603" s="2"/>
      <c r="D603" s="13"/>
      <c r="E603" s="13"/>
      <c r="F603" s="64" t="s">
        <v>3799</v>
      </c>
      <c r="G603" s="43">
        <v>1.0</v>
      </c>
      <c r="H603" s="43">
        <v>1.0</v>
      </c>
      <c r="I603" s="42"/>
      <c r="J603" s="22"/>
      <c r="K603" s="42"/>
    </row>
    <row r="604" ht="39.75" customHeight="1">
      <c r="A604" s="1">
        <v>603.0</v>
      </c>
      <c r="B604" s="2" t="s">
        <v>261</v>
      </c>
      <c r="C604" s="2" t="s">
        <v>13</v>
      </c>
      <c r="D604" s="13"/>
      <c r="E604" s="13"/>
      <c r="F604" s="45"/>
      <c r="G604" s="42"/>
      <c r="H604" s="42"/>
      <c r="I604" s="42"/>
      <c r="J604" s="22"/>
      <c r="K604" s="42"/>
    </row>
    <row r="605" ht="39.75" customHeight="1">
      <c r="A605" s="1">
        <v>604.0</v>
      </c>
      <c r="B605" s="2" t="s">
        <v>23</v>
      </c>
      <c r="C605" s="2" t="s">
        <v>69</v>
      </c>
      <c r="D605" s="2">
        <v>1300.0</v>
      </c>
      <c r="E605" s="13"/>
      <c r="F605" s="44"/>
      <c r="G605" s="42"/>
      <c r="H605" s="42"/>
      <c r="I605" s="42"/>
      <c r="J605" s="22"/>
      <c r="K605" s="42"/>
    </row>
    <row r="606" ht="39.75" customHeight="1">
      <c r="A606" s="1">
        <v>605.0</v>
      </c>
      <c r="B606" s="2" t="s">
        <v>24</v>
      </c>
      <c r="C606" s="2" t="s">
        <v>3563</v>
      </c>
      <c r="D606" s="13"/>
      <c r="E606" s="13"/>
      <c r="F606" s="45"/>
      <c r="G606" s="42"/>
      <c r="H606" s="42"/>
      <c r="I606" s="42"/>
      <c r="J606" s="22"/>
      <c r="K606" s="42"/>
    </row>
    <row r="607" ht="39.75" customHeight="1">
      <c r="A607" s="1">
        <v>606.0</v>
      </c>
      <c r="B607" s="2" t="s">
        <v>25</v>
      </c>
      <c r="C607" s="2"/>
      <c r="D607" s="2">
        <v>900.0</v>
      </c>
      <c r="E607" s="13"/>
      <c r="F607" s="61" t="s">
        <v>3800</v>
      </c>
      <c r="G607" s="43">
        <v>1.0</v>
      </c>
      <c r="H607" s="42"/>
      <c r="I607" s="43">
        <v>1.0</v>
      </c>
      <c r="J607" s="22"/>
      <c r="K607" s="42"/>
    </row>
    <row r="608" ht="39.75" customHeight="1">
      <c r="A608" s="1">
        <v>607.0</v>
      </c>
      <c r="B608" s="2" t="s">
        <v>26</v>
      </c>
      <c r="C608" s="2" t="s">
        <v>39</v>
      </c>
      <c r="D608" s="13"/>
      <c r="E608" s="13"/>
      <c r="F608" s="44" t="s">
        <v>3794</v>
      </c>
      <c r="G608" s="43">
        <v>1.0</v>
      </c>
      <c r="H608" s="43">
        <v>1.0</v>
      </c>
      <c r="I608" s="42"/>
      <c r="J608" s="22"/>
      <c r="K608" s="42"/>
    </row>
    <row r="609" ht="39.75" customHeight="1">
      <c r="A609" s="1">
        <v>608.0</v>
      </c>
      <c r="B609" s="2" t="s">
        <v>29</v>
      </c>
      <c r="C609" s="2" t="s">
        <v>13</v>
      </c>
      <c r="D609" s="13"/>
      <c r="E609" s="13"/>
      <c r="F609" s="45"/>
      <c r="G609" s="42"/>
      <c r="H609" s="42"/>
      <c r="I609" s="42"/>
      <c r="J609" s="22"/>
      <c r="K609" s="42"/>
    </row>
    <row r="610" ht="39.75" customHeight="1">
      <c r="A610" s="1">
        <v>609.0</v>
      </c>
      <c r="B610" s="2" t="s">
        <v>32</v>
      </c>
      <c r="C610" s="2" t="s">
        <v>13</v>
      </c>
      <c r="D610" s="40"/>
      <c r="E610" s="40"/>
      <c r="F610" s="57"/>
      <c r="G610" s="43"/>
      <c r="H610" s="43"/>
      <c r="I610" s="42"/>
      <c r="J610" s="22"/>
      <c r="K610" s="42"/>
    </row>
    <row r="611" ht="39.75" customHeight="1">
      <c r="A611" s="1">
        <v>610.0</v>
      </c>
      <c r="B611" s="2" t="s">
        <v>67</v>
      </c>
      <c r="C611" s="2" t="s">
        <v>3571</v>
      </c>
      <c r="D611" s="13"/>
      <c r="E611" s="13"/>
      <c r="F611" s="44" t="s">
        <v>3801</v>
      </c>
      <c r="G611" s="43">
        <v>1.0</v>
      </c>
      <c r="H611" s="42"/>
      <c r="I611" s="42"/>
      <c r="J611" s="22"/>
      <c r="K611" s="42"/>
    </row>
    <row r="612" ht="39.75" customHeight="1">
      <c r="A612" s="1">
        <v>611.0</v>
      </c>
      <c r="B612" s="2" t="s">
        <v>35</v>
      </c>
      <c r="C612" s="2" t="s">
        <v>13</v>
      </c>
      <c r="D612" s="13"/>
      <c r="E612" s="13"/>
      <c r="F612" s="44"/>
      <c r="G612" s="43"/>
      <c r="H612" s="42"/>
      <c r="I612" s="42"/>
      <c r="J612" s="22"/>
      <c r="K612" s="42"/>
    </row>
    <row r="613" ht="39.75" customHeight="1">
      <c r="A613" s="1">
        <v>612.0</v>
      </c>
      <c r="B613" s="2" t="s">
        <v>36</v>
      </c>
      <c r="C613" s="2" t="s">
        <v>54</v>
      </c>
      <c r="D613" s="2">
        <v>1000.0</v>
      </c>
      <c r="E613" s="13"/>
      <c r="F613" s="44" t="s">
        <v>3802</v>
      </c>
      <c r="G613" s="43">
        <v>1.0</v>
      </c>
      <c r="H613" s="42"/>
      <c r="I613" s="42"/>
      <c r="J613" s="22"/>
      <c r="K613" s="42"/>
    </row>
    <row r="614" ht="39.75" customHeight="1">
      <c r="A614" s="1">
        <v>613.0</v>
      </c>
      <c r="B614" s="2" t="s">
        <v>38</v>
      </c>
      <c r="C614" s="2" t="s">
        <v>13</v>
      </c>
      <c r="D614" s="13"/>
      <c r="E614" s="13"/>
      <c r="F614" s="45"/>
      <c r="G614" s="42"/>
      <c r="H614" s="42"/>
      <c r="I614" s="42"/>
      <c r="J614" s="22"/>
      <c r="K614" s="42"/>
    </row>
    <row r="615" ht="39.75" customHeight="1">
      <c r="A615" s="1">
        <v>614.0</v>
      </c>
      <c r="B615" s="2" t="s">
        <v>41</v>
      </c>
      <c r="C615" s="2" t="s">
        <v>54</v>
      </c>
      <c r="D615" s="2">
        <v>1000.0</v>
      </c>
      <c r="E615" s="13"/>
      <c r="F615" s="44" t="s">
        <v>3803</v>
      </c>
      <c r="G615" s="43">
        <v>1.0</v>
      </c>
      <c r="H615" s="42"/>
      <c r="I615" s="42"/>
      <c r="J615" s="22"/>
      <c r="K615" s="42"/>
    </row>
    <row r="616" ht="39.75" customHeight="1">
      <c r="A616" s="1">
        <v>615.0</v>
      </c>
      <c r="B616" s="2" t="s">
        <v>42</v>
      </c>
      <c r="C616" s="2" t="s">
        <v>69</v>
      </c>
      <c r="D616" s="2">
        <v>1300.0</v>
      </c>
      <c r="E616" s="13"/>
      <c r="F616" s="44" t="s">
        <v>3804</v>
      </c>
      <c r="G616" s="43">
        <v>1.0</v>
      </c>
      <c r="H616" s="42"/>
      <c r="I616" s="43">
        <v>1.0</v>
      </c>
      <c r="J616" s="22"/>
      <c r="K616" s="42"/>
    </row>
    <row r="617" ht="39.75" customHeight="1">
      <c r="A617" s="1">
        <v>616.0</v>
      </c>
      <c r="B617" s="2" t="s">
        <v>43</v>
      </c>
      <c r="C617" s="2"/>
      <c r="D617" s="114">
        <v>600.0</v>
      </c>
      <c r="E617" s="13"/>
      <c r="F617" s="44" t="s">
        <v>3805</v>
      </c>
      <c r="G617" s="43">
        <v>1.0</v>
      </c>
      <c r="H617" s="42"/>
      <c r="I617" s="42"/>
      <c r="J617" s="22"/>
      <c r="K617" s="42"/>
    </row>
    <row r="618" ht="39.75" customHeight="1">
      <c r="A618" s="1">
        <v>617.0</v>
      </c>
      <c r="B618" s="2" t="s">
        <v>267</v>
      </c>
      <c r="C618" s="2"/>
      <c r="D618" s="2">
        <v>900.0</v>
      </c>
      <c r="E618" s="13"/>
      <c r="F618" s="44" t="s">
        <v>3806</v>
      </c>
      <c r="G618" s="43">
        <v>1.0</v>
      </c>
      <c r="H618" s="42"/>
      <c r="I618" s="43">
        <v>1.0</v>
      </c>
      <c r="J618" s="22"/>
      <c r="K618" s="42"/>
    </row>
    <row r="619" ht="39.75" customHeight="1">
      <c r="A619" s="1">
        <v>618.0</v>
      </c>
      <c r="B619" s="2" t="s">
        <v>46</v>
      </c>
      <c r="C619" s="2" t="s">
        <v>3756</v>
      </c>
      <c r="D619" s="2">
        <v>900.0</v>
      </c>
      <c r="E619" s="40"/>
      <c r="F619" s="44" t="s">
        <v>3807</v>
      </c>
      <c r="G619" s="43">
        <v>1.0</v>
      </c>
      <c r="H619" s="42"/>
      <c r="I619" s="43"/>
      <c r="J619" s="22"/>
      <c r="K619" s="42"/>
    </row>
    <row r="620" ht="39.75" customHeight="1">
      <c r="A620" s="1">
        <v>619.0</v>
      </c>
      <c r="B620" s="2" t="s">
        <v>47</v>
      </c>
      <c r="C620" s="2" t="s">
        <v>54</v>
      </c>
      <c r="D620" s="2">
        <v>1000.0</v>
      </c>
      <c r="E620" s="13"/>
      <c r="F620" s="44" t="s">
        <v>3808</v>
      </c>
      <c r="G620" s="43">
        <v>1.0</v>
      </c>
      <c r="H620" s="42"/>
      <c r="I620" s="42"/>
      <c r="J620" s="22"/>
      <c r="K620" s="42"/>
    </row>
    <row r="621" ht="39.75" customHeight="1">
      <c r="A621" s="1">
        <v>620.0</v>
      </c>
      <c r="B621" s="2" t="s">
        <v>48</v>
      </c>
      <c r="C621" s="2" t="s">
        <v>66</v>
      </c>
      <c r="D621" s="40"/>
      <c r="E621" s="40"/>
      <c r="F621" s="64"/>
      <c r="G621" s="43"/>
      <c r="H621" s="43"/>
      <c r="I621" s="43"/>
      <c r="J621" s="22"/>
      <c r="K621" s="42"/>
    </row>
    <row r="622" ht="39.75" customHeight="1">
      <c r="A622" s="1">
        <v>621.0</v>
      </c>
      <c r="B622" s="21"/>
      <c r="C622" s="21"/>
      <c r="D622" s="21"/>
      <c r="E622" s="21"/>
      <c r="F622" s="46"/>
      <c r="G622" s="47"/>
      <c r="H622" s="47"/>
      <c r="I622" s="47"/>
      <c r="J622" s="48"/>
      <c r="K622" s="47"/>
      <c r="L622" s="49"/>
      <c r="M622" s="49"/>
      <c r="N622" s="49"/>
    </row>
    <row r="623" ht="39.75" customHeight="1">
      <c r="A623" s="1">
        <v>622.0</v>
      </c>
      <c r="B623" s="2" t="s">
        <v>12</v>
      </c>
      <c r="C623" s="2" t="s">
        <v>62</v>
      </c>
      <c r="D623" s="13"/>
      <c r="E623" s="13"/>
      <c r="F623" s="44" t="s">
        <v>3809</v>
      </c>
      <c r="G623" s="43">
        <v>1.0</v>
      </c>
      <c r="H623" s="42"/>
      <c r="I623" s="42"/>
      <c r="J623" s="22"/>
      <c r="K623" s="42"/>
      <c r="L623" s="15" t="s">
        <v>3810</v>
      </c>
    </row>
    <row r="624" ht="39.75" customHeight="1">
      <c r="A624" s="1">
        <v>623.0</v>
      </c>
      <c r="B624" s="2" t="s">
        <v>16</v>
      </c>
      <c r="C624" s="2"/>
      <c r="D624" s="13"/>
      <c r="E624" s="13"/>
      <c r="F624" s="44" t="s">
        <v>3595</v>
      </c>
      <c r="G624" s="43">
        <v>1.0</v>
      </c>
      <c r="H624" s="42"/>
      <c r="I624" s="43"/>
      <c r="J624" s="27" t="s">
        <v>389</v>
      </c>
      <c r="K624" s="43"/>
    </row>
    <row r="625" ht="39.75" customHeight="1">
      <c r="A625" s="1">
        <v>624.0</v>
      </c>
      <c r="B625" s="2" t="s">
        <v>116</v>
      </c>
      <c r="C625" s="2" t="s">
        <v>39</v>
      </c>
      <c r="D625" s="13"/>
      <c r="E625" s="13"/>
      <c r="F625" s="44" t="s">
        <v>3811</v>
      </c>
      <c r="G625" s="43">
        <v>1.0</v>
      </c>
      <c r="H625" s="42"/>
      <c r="I625" s="43">
        <v>1.0</v>
      </c>
      <c r="J625" s="27" t="s">
        <v>77</v>
      </c>
      <c r="K625" s="42"/>
    </row>
    <row r="626" ht="39.75" customHeight="1">
      <c r="A626" s="1">
        <v>625.0</v>
      </c>
      <c r="B626" s="2" t="s">
        <v>263</v>
      </c>
      <c r="C626" s="2" t="s">
        <v>39</v>
      </c>
      <c r="D626" s="13"/>
      <c r="E626" s="13"/>
      <c r="F626" s="44" t="s">
        <v>3812</v>
      </c>
      <c r="G626" s="43">
        <v>1.0</v>
      </c>
      <c r="H626" s="42"/>
      <c r="I626" s="42"/>
      <c r="J626" s="27" t="s">
        <v>3637</v>
      </c>
      <c r="K626" s="42"/>
    </row>
    <row r="627" ht="39.75" customHeight="1">
      <c r="A627" s="1">
        <v>626.0</v>
      </c>
      <c r="B627" s="2" t="s">
        <v>17</v>
      </c>
      <c r="C627" s="2" t="s">
        <v>3603</v>
      </c>
      <c r="D627" s="13"/>
      <c r="E627" s="13"/>
      <c r="F627" s="44" t="s">
        <v>3813</v>
      </c>
      <c r="G627" s="43">
        <v>2.0</v>
      </c>
      <c r="H627" s="42"/>
      <c r="I627" s="42"/>
      <c r="J627" s="27"/>
      <c r="K627" s="42"/>
    </row>
    <row r="628" ht="39.75" customHeight="1">
      <c r="A628" s="1">
        <v>627.0</v>
      </c>
      <c r="B628" s="2" t="s">
        <v>331</v>
      </c>
      <c r="C628" s="2" t="s">
        <v>542</v>
      </c>
      <c r="D628" s="13"/>
      <c r="E628" s="13"/>
      <c r="F628" s="44" t="s">
        <v>3814</v>
      </c>
      <c r="G628" s="43">
        <v>1.0</v>
      </c>
      <c r="H628" s="42"/>
      <c r="I628" s="42"/>
      <c r="J628" s="27"/>
      <c r="K628" s="42"/>
    </row>
    <row r="629" ht="39.75" customHeight="1">
      <c r="A629" s="1">
        <v>628.0</v>
      </c>
      <c r="B629" s="2" t="s">
        <v>21</v>
      </c>
      <c r="C629" s="2" t="s">
        <v>54</v>
      </c>
      <c r="D629" s="40"/>
      <c r="E629" s="13"/>
      <c r="F629" s="44" t="s">
        <v>3815</v>
      </c>
      <c r="G629" s="43">
        <v>1.0</v>
      </c>
      <c r="H629" s="42"/>
      <c r="I629" s="42"/>
      <c r="J629" s="22"/>
      <c r="K629" s="42"/>
    </row>
    <row r="630" ht="39.75" customHeight="1">
      <c r="A630" s="1">
        <v>629.0</v>
      </c>
      <c r="B630" s="2" t="s">
        <v>22</v>
      </c>
      <c r="C630" s="2"/>
      <c r="D630" s="13"/>
      <c r="E630" s="13"/>
      <c r="F630" s="44" t="s">
        <v>3816</v>
      </c>
      <c r="G630" s="43">
        <v>1.0</v>
      </c>
      <c r="H630" s="42"/>
      <c r="I630" s="43"/>
      <c r="J630" s="22"/>
      <c r="K630" s="42"/>
    </row>
    <row r="631" ht="39.75" customHeight="1">
      <c r="A631" s="1">
        <v>630.0</v>
      </c>
      <c r="B631" s="2" t="s">
        <v>261</v>
      </c>
      <c r="C631" s="2" t="s">
        <v>13</v>
      </c>
      <c r="D631" s="13"/>
      <c r="E631" s="13"/>
      <c r="F631" s="45"/>
      <c r="G631" s="42"/>
      <c r="H631" s="42"/>
      <c r="I631" s="42"/>
      <c r="J631" s="22"/>
      <c r="K631" s="42"/>
    </row>
    <row r="632" ht="39.75" customHeight="1">
      <c r="A632" s="1">
        <v>631.0</v>
      </c>
      <c r="B632" s="2" t="s">
        <v>23</v>
      </c>
      <c r="C632" s="2" t="s">
        <v>54</v>
      </c>
      <c r="D632" s="13"/>
      <c r="E632" s="13"/>
      <c r="F632" s="44" t="s">
        <v>3817</v>
      </c>
      <c r="G632" s="43">
        <v>1.0</v>
      </c>
      <c r="H632" s="42"/>
      <c r="I632" s="42"/>
      <c r="J632" s="22"/>
      <c r="K632" s="42"/>
    </row>
    <row r="633" ht="39.75" customHeight="1">
      <c r="A633" s="1">
        <v>632.0</v>
      </c>
      <c r="B633" s="2" t="s">
        <v>24</v>
      </c>
      <c r="C633" s="2" t="s">
        <v>3563</v>
      </c>
      <c r="D633" s="13"/>
      <c r="E633" s="13"/>
      <c r="F633" s="45"/>
      <c r="G633" s="42"/>
      <c r="H633" s="42"/>
      <c r="I633" s="42"/>
      <c r="J633" s="22"/>
      <c r="K633" s="42"/>
    </row>
    <row r="634" ht="39.75" customHeight="1">
      <c r="A634" s="1">
        <v>633.0</v>
      </c>
      <c r="B634" s="2" t="s">
        <v>25</v>
      </c>
      <c r="C634" s="2"/>
      <c r="D634" s="13"/>
      <c r="E634" s="13"/>
      <c r="F634" s="44" t="s">
        <v>3818</v>
      </c>
      <c r="G634" s="43">
        <v>1.0</v>
      </c>
      <c r="H634" s="42"/>
      <c r="I634" s="43">
        <v>1.0</v>
      </c>
      <c r="J634" s="22"/>
      <c r="K634" s="42"/>
    </row>
    <row r="635" ht="39.75" customHeight="1">
      <c r="A635" s="1">
        <v>634.0</v>
      </c>
      <c r="B635" s="2" t="s">
        <v>26</v>
      </c>
      <c r="C635" s="2"/>
      <c r="D635" s="13"/>
      <c r="E635" s="13"/>
      <c r="F635" s="44" t="s">
        <v>3819</v>
      </c>
      <c r="G635" s="42"/>
      <c r="H635" s="42"/>
      <c r="I635" s="42"/>
      <c r="J635" s="22"/>
      <c r="K635" s="42"/>
    </row>
    <row r="636" ht="39.75" customHeight="1">
      <c r="A636" s="1">
        <v>635.0</v>
      </c>
      <c r="B636" s="2" t="s">
        <v>29</v>
      </c>
      <c r="C636" s="2" t="s">
        <v>69</v>
      </c>
      <c r="D636" s="13"/>
      <c r="E636" s="13"/>
      <c r="F636" s="44" t="s">
        <v>3820</v>
      </c>
      <c r="G636" s="43">
        <v>2.0</v>
      </c>
      <c r="H636" s="42"/>
      <c r="I636" s="42"/>
      <c r="J636" s="22"/>
      <c r="K636" s="42"/>
    </row>
    <row r="637" ht="39.75" customHeight="1">
      <c r="A637" s="1">
        <v>636.0</v>
      </c>
      <c r="B637" s="2" t="s">
        <v>32</v>
      </c>
      <c r="C637" s="2" t="s">
        <v>66</v>
      </c>
      <c r="D637" s="13"/>
      <c r="E637" s="13"/>
      <c r="F637" s="44"/>
      <c r="G637" s="43"/>
      <c r="H637" s="42"/>
      <c r="I637" s="43"/>
      <c r="J637" s="22"/>
      <c r="K637" s="42"/>
    </row>
    <row r="638" ht="39.75" customHeight="1">
      <c r="A638" s="1">
        <v>637.0</v>
      </c>
      <c r="B638" s="2" t="s">
        <v>67</v>
      </c>
      <c r="C638" s="2" t="s">
        <v>44</v>
      </c>
      <c r="D638" s="13"/>
      <c r="E638" s="13"/>
      <c r="F638" s="45"/>
      <c r="G638" s="42"/>
      <c r="H638" s="42"/>
      <c r="I638" s="42"/>
      <c r="J638" s="22"/>
      <c r="K638" s="42"/>
    </row>
    <row r="639" ht="39.75" customHeight="1">
      <c r="A639" s="1">
        <v>638.0</v>
      </c>
      <c r="B639" s="2" t="s">
        <v>35</v>
      </c>
      <c r="C639" s="2" t="s">
        <v>13</v>
      </c>
      <c r="D639" s="13"/>
      <c r="E639" s="13"/>
      <c r="F639" s="44"/>
      <c r="G639" s="42"/>
      <c r="H639" s="42"/>
      <c r="I639" s="42"/>
      <c r="J639" s="22"/>
      <c r="K639" s="42"/>
    </row>
    <row r="640" ht="39.75" customHeight="1">
      <c r="A640" s="1">
        <v>639.0</v>
      </c>
      <c r="B640" s="2" t="s">
        <v>36</v>
      </c>
      <c r="C640" s="2" t="s">
        <v>54</v>
      </c>
      <c r="D640" s="13"/>
      <c r="E640" s="13"/>
      <c r="F640" s="44" t="s">
        <v>3821</v>
      </c>
      <c r="G640" s="43">
        <v>2.0</v>
      </c>
      <c r="H640" s="42"/>
      <c r="I640" s="43">
        <v>1.0</v>
      </c>
      <c r="J640" s="22"/>
      <c r="K640" s="42"/>
    </row>
    <row r="641" ht="39.75" customHeight="1">
      <c r="A641" s="1">
        <v>640.0</v>
      </c>
      <c r="B641" s="2" t="s">
        <v>38</v>
      </c>
      <c r="C641" s="2" t="s">
        <v>13</v>
      </c>
      <c r="D641" s="13"/>
      <c r="E641" s="13"/>
      <c r="F641" s="45"/>
      <c r="G641" s="42"/>
      <c r="H641" s="42"/>
      <c r="I641" s="42"/>
      <c r="J641" s="22"/>
      <c r="K641" s="42"/>
    </row>
    <row r="642" ht="39.75" customHeight="1">
      <c r="A642" s="1">
        <v>641.0</v>
      </c>
      <c r="B642" s="2" t="s">
        <v>41</v>
      </c>
      <c r="C642" s="115" t="s">
        <v>3571</v>
      </c>
      <c r="D642" s="40"/>
      <c r="E642" s="13"/>
      <c r="F642" s="44" t="s">
        <v>3822</v>
      </c>
      <c r="G642" s="43">
        <v>1.0</v>
      </c>
      <c r="H642" s="42"/>
      <c r="I642" s="42"/>
      <c r="J642" s="22"/>
      <c r="K642" s="42"/>
    </row>
    <row r="643" ht="39.75" customHeight="1">
      <c r="A643" s="1">
        <v>642.0</v>
      </c>
      <c r="B643" s="2" t="s">
        <v>42</v>
      </c>
      <c r="C643" s="2"/>
      <c r="D643" s="13"/>
      <c r="E643" s="13"/>
      <c r="F643" s="44" t="s">
        <v>3823</v>
      </c>
      <c r="G643" s="43">
        <v>1.0</v>
      </c>
      <c r="H643" s="42"/>
      <c r="I643" s="42"/>
      <c r="J643" s="22"/>
      <c r="K643" s="42"/>
    </row>
    <row r="644" ht="39.75" customHeight="1">
      <c r="A644" s="1">
        <v>643.0</v>
      </c>
      <c r="B644" s="2" t="s">
        <v>43</v>
      </c>
      <c r="C644" s="2"/>
      <c r="D644" s="13"/>
      <c r="E644" s="13"/>
      <c r="F644" s="44" t="s">
        <v>3824</v>
      </c>
      <c r="G644" s="43">
        <v>1.0</v>
      </c>
      <c r="H644" s="42"/>
      <c r="I644" s="42"/>
      <c r="J644" s="22"/>
      <c r="K644" s="42"/>
    </row>
    <row r="645" ht="39.75" customHeight="1">
      <c r="A645" s="1">
        <v>644.0</v>
      </c>
      <c r="B645" s="2" t="s">
        <v>267</v>
      </c>
      <c r="C645" s="2"/>
      <c r="D645" s="13"/>
      <c r="E645" s="13"/>
      <c r="F645" s="44" t="s">
        <v>3825</v>
      </c>
      <c r="G645" s="42"/>
      <c r="H645" s="42"/>
      <c r="I645" s="42"/>
      <c r="J645" s="22"/>
      <c r="K645" s="42"/>
    </row>
    <row r="646" ht="39.75" customHeight="1">
      <c r="A646" s="1">
        <v>645.0</v>
      </c>
      <c r="B646" s="2" t="s">
        <v>46</v>
      </c>
      <c r="C646" s="2" t="s">
        <v>3756</v>
      </c>
      <c r="D646" s="13"/>
      <c r="E646" s="13"/>
      <c r="F646" s="44" t="s">
        <v>3826</v>
      </c>
      <c r="G646" s="43"/>
      <c r="H646" s="42"/>
      <c r="I646" s="42"/>
      <c r="J646" s="22"/>
      <c r="K646" s="42"/>
    </row>
    <row r="647" ht="39.75" customHeight="1">
      <c r="A647" s="1">
        <v>646.0</v>
      </c>
      <c r="B647" s="2" t="s">
        <v>47</v>
      </c>
      <c r="C647" s="2" t="s">
        <v>54</v>
      </c>
      <c r="D647" s="13"/>
      <c r="E647" s="13"/>
      <c r="F647" s="44" t="s">
        <v>3826</v>
      </c>
      <c r="G647" s="42"/>
      <c r="H647" s="42"/>
      <c r="I647" s="42"/>
      <c r="J647" s="22"/>
      <c r="K647" s="42"/>
    </row>
    <row r="648" ht="39.75" customHeight="1">
      <c r="A648" s="1">
        <v>647.0</v>
      </c>
      <c r="B648" s="2" t="s">
        <v>48</v>
      </c>
      <c r="C648" s="2" t="s">
        <v>69</v>
      </c>
      <c r="D648" s="13"/>
      <c r="E648" s="40"/>
      <c r="F648" s="44" t="s">
        <v>3826</v>
      </c>
      <c r="G648" s="43"/>
      <c r="H648" s="42"/>
      <c r="I648" s="42"/>
      <c r="J648" s="22"/>
      <c r="K648" s="42"/>
    </row>
    <row r="649" ht="39.75" customHeight="1">
      <c r="A649" s="1">
        <v>648.0</v>
      </c>
      <c r="B649" s="21"/>
      <c r="C649" s="21"/>
      <c r="D649" s="21"/>
      <c r="E649" s="21"/>
      <c r="F649" s="46"/>
      <c r="G649" s="47"/>
      <c r="H649" s="47"/>
      <c r="I649" s="47"/>
      <c r="J649" s="48"/>
      <c r="K649" s="47"/>
      <c r="L649" s="49"/>
      <c r="M649" s="49"/>
      <c r="N649" s="49"/>
    </row>
    <row r="650" ht="39.75" customHeight="1">
      <c r="A650" s="1">
        <v>649.0</v>
      </c>
      <c r="B650" s="2" t="s">
        <v>12</v>
      </c>
      <c r="C650" s="2" t="s">
        <v>62</v>
      </c>
      <c r="D650" s="13"/>
      <c r="E650" s="13"/>
      <c r="F650" s="44" t="s">
        <v>3727</v>
      </c>
      <c r="G650" s="43"/>
      <c r="H650" s="42"/>
      <c r="I650" s="43"/>
      <c r="J650" s="22"/>
      <c r="K650" s="42"/>
      <c r="L650" s="15" t="s">
        <v>406</v>
      </c>
    </row>
    <row r="651" ht="39.75" customHeight="1">
      <c r="A651" s="1">
        <v>650.0</v>
      </c>
      <c r="B651" s="2" t="s">
        <v>16</v>
      </c>
      <c r="C651" s="2" t="s">
        <v>69</v>
      </c>
      <c r="D651" s="13"/>
      <c r="E651" s="13"/>
      <c r="F651" s="44"/>
      <c r="G651" s="43"/>
      <c r="H651" s="42"/>
      <c r="I651" s="43"/>
      <c r="J651" s="27" t="s">
        <v>406</v>
      </c>
      <c r="K651" s="43"/>
    </row>
    <row r="652" ht="39.75" customHeight="1">
      <c r="A652" s="1">
        <v>651.0</v>
      </c>
      <c r="B652" s="2" t="s">
        <v>116</v>
      </c>
      <c r="C652" s="2" t="s">
        <v>13</v>
      </c>
      <c r="D652" s="13"/>
      <c r="E652" s="13"/>
      <c r="F652" s="44"/>
      <c r="G652" s="43"/>
      <c r="H652" s="42"/>
      <c r="I652" s="42"/>
      <c r="J652" s="27" t="s">
        <v>95</v>
      </c>
      <c r="K652" s="42"/>
    </row>
    <row r="653" ht="39.75" customHeight="1">
      <c r="A653" s="1">
        <v>652.0</v>
      </c>
      <c r="B653" s="2" t="s">
        <v>263</v>
      </c>
      <c r="C653" s="2" t="s">
        <v>69</v>
      </c>
      <c r="D653" s="13"/>
      <c r="E653" s="13"/>
      <c r="F653" s="44"/>
      <c r="G653" s="42"/>
      <c r="H653" s="42"/>
      <c r="I653" s="42"/>
      <c r="J653" s="27" t="s">
        <v>266</v>
      </c>
      <c r="K653" s="42"/>
    </row>
    <row r="654" ht="39.75" customHeight="1">
      <c r="A654" s="1">
        <v>653.0</v>
      </c>
      <c r="B654" s="2" t="s">
        <v>17</v>
      </c>
      <c r="C654" s="2" t="s">
        <v>3603</v>
      </c>
      <c r="D654" s="13"/>
      <c r="E654" s="13"/>
      <c r="F654" s="44" t="s">
        <v>3392</v>
      </c>
      <c r="G654" s="43">
        <v>1.0</v>
      </c>
      <c r="H654" s="42"/>
      <c r="I654" s="42"/>
      <c r="J654" s="22"/>
      <c r="K654" s="42"/>
    </row>
    <row r="655" ht="39.75" customHeight="1">
      <c r="A655" s="1">
        <v>654.0</v>
      </c>
      <c r="B655" s="2" t="s">
        <v>331</v>
      </c>
      <c r="C655" s="2" t="s">
        <v>542</v>
      </c>
      <c r="D655" s="13"/>
      <c r="E655" s="13"/>
      <c r="F655" s="44"/>
      <c r="G655" s="43"/>
      <c r="H655" s="42"/>
      <c r="I655" s="42"/>
      <c r="J655" s="22"/>
      <c r="K655" s="42"/>
    </row>
    <row r="656" ht="39.75" customHeight="1">
      <c r="A656" s="1">
        <v>655.0</v>
      </c>
      <c r="B656" s="2" t="s">
        <v>21</v>
      </c>
      <c r="C656" s="91"/>
      <c r="D656" s="13"/>
      <c r="E656" s="13"/>
      <c r="F656" s="44" t="s">
        <v>3827</v>
      </c>
      <c r="G656" s="43">
        <v>1.0</v>
      </c>
      <c r="H656" s="42"/>
      <c r="I656" s="42"/>
      <c r="J656" s="22"/>
      <c r="K656" s="42"/>
    </row>
    <row r="657" ht="39.75" customHeight="1">
      <c r="A657" s="1">
        <v>656.0</v>
      </c>
      <c r="B657" s="2" t="s">
        <v>22</v>
      </c>
      <c r="C657" s="2" t="s">
        <v>3557</v>
      </c>
      <c r="D657" s="13"/>
      <c r="E657" s="13"/>
      <c r="F657" s="44" t="s">
        <v>3828</v>
      </c>
      <c r="G657" s="43">
        <v>1.0</v>
      </c>
      <c r="H657" s="43">
        <v>1.0</v>
      </c>
      <c r="I657" s="42"/>
      <c r="J657" s="22"/>
      <c r="K657" s="42"/>
    </row>
    <row r="658" ht="39.75" customHeight="1">
      <c r="A658" s="1">
        <v>657.0</v>
      </c>
      <c r="B658" s="2" t="s">
        <v>261</v>
      </c>
      <c r="C658" s="2" t="s">
        <v>13</v>
      </c>
      <c r="D658" s="13"/>
      <c r="E658" s="13"/>
      <c r="F658" s="45"/>
      <c r="G658" s="42"/>
      <c r="H658" s="42"/>
      <c r="I658" s="42"/>
      <c r="J658" s="22"/>
      <c r="K658" s="42"/>
    </row>
    <row r="659" ht="39.75" customHeight="1">
      <c r="A659" s="1">
        <v>658.0</v>
      </c>
      <c r="B659" s="2" t="s">
        <v>23</v>
      </c>
      <c r="C659" s="2" t="s">
        <v>39</v>
      </c>
      <c r="D659" s="13"/>
      <c r="E659" s="13"/>
      <c r="F659" s="44" t="s">
        <v>3829</v>
      </c>
      <c r="G659" s="43">
        <v>1.0</v>
      </c>
      <c r="H659" s="42"/>
      <c r="I659" s="42"/>
      <c r="J659" s="22"/>
      <c r="K659" s="42"/>
    </row>
    <row r="660" ht="39.75" customHeight="1">
      <c r="A660" s="1">
        <v>659.0</v>
      </c>
      <c r="B660" s="2" t="s">
        <v>24</v>
      </c>
      <c r="C660" s="2" t="s">
        <v>3563</v>
      </c>
      <c r="D660" s="13"/>
      <c r="E660" s="13"/>
      <c r="F660" s="45"/>
      <c r="G660" s="42"/>
      <c r="H660" s="42"/>
      <c r="I660" s="42"/>
      <c r="J660" s="22"/>
      <c r="K660" s="42"/>
    </row>
    <row r="661" ht="39.75" customHeight="1">
      <c r="A661" s="1">
        <v>660.0</v>
      </c>
      <c r="B661" s="2" t="s">
        <v>25</v>
      </c>
      <c r="C661" s="2" t="s">
        <v>39</v>
      </c>
      <c r="D661" s="13"/>
      <c r="E661" s="13"/>
      <c r="F661" s="44" t="s">
        <v>3830</v>
      </c>
      <c r="G661" s="43">
        <v>1.0</v>
      </c>
      <c r="H661" s="42"/>
      <c r="I661" s="42"/>
      <c r="J661" s="22"/>
      <c r="K661" s="42"/>
    </row>
    <row r="662" ht="39.75" customHeight="1">
      <c r="A662" s="1">
        <v>661.0</v>
      </c>
      <c r="B662" s="2" t="s">
        <v>26</v>
      </c>
      <c r="C662" s="2" t="s">
        <v>3571</v>
      </c>
      <c r="D662" s="13"/>
      <c r="E662" s="13"/>
      <c r="F662" s="45"/>
      <c r="G662" s="42"/>
      <c r="H662" s="42"/>
      <c r="I662" s="42"/>
      <c r="J662" s="22"/>
      <c r="K662" s="42"/>
    </row>
    <row r="663" ht="39.75" customHeight="1">
      <c r="A663" s="1">
        <v>662.0</v>
      </c>
      <c r="B663" s="2" t="s">
        <v>29</v>
      </c>
      <c r="C663" s="2" t="s">
        <v>69</v>
      </c>
      <c r="D663" s="13"/>
      <c r="E663" s="13"/>
      <c r="F663" s="44" t="s">
        <v>3831</v>
      </c>
      <c r="G663" s="43">
        <v>1.0</v>
      </c>
      <c r="H663" s="42"/>
      <c r="I663" s="42"/>
      <c r="J663" s="22"/>
      <c r="K663" s="42"/>
    </row>
    <row r="664" ht="39.75" customHeight="1">
      <c r="A664" s="1">
        <v>663.0</v>
      </c>
      <c r="B664" s="2" t="s">
        <v>32</v>
      </c>
      <c r="C664" s="2" t="s">
        <v>54</v>
      </c>
      <c r="D664" s="13"/>
      <c r="E664" s="13"/>
      <c r="F664" s="44" t="s">
        <v>3832</v>
      </c>
      <c r="G664" s="43">
        <v>1.0</v>
      </c>
      <c r="H664" s="43">
        <v>1.0</v>
      </c>
      <c r="I664" s="42"/>
      <c r="J664" s="22"/>
      <c r="K664" s="42"/>
    </row>
    <row r="665" ht="39.75" customHeight="1">
      <c r="A665" s="1">
        <v>664.0</v>
      </c>
      <c r="B665" s="2" t="s">
        <v>67</v>
      </c>
      <c r="C665" s="2" t="s">
        <v>54</v>
      </c>
      <c r="D665" s="13"/>
      <c r="E665" s="13"/>
      <c r="F665" s="44" t="s">
        <v>3833</v>
      </c>
      <c r="G665" s="43">
        <v>1.0</v>
      </c>
      <c r="H665" s="43">
        <v>1.0</v>
      </c>
      <c r="I665" s="42"/>
      <c r="J665" s="22"/>
      <c r="K665" s="42"/>
    </row>
    <row r="666" ht="39.75" customHeight="1">
      <c r="A666" s="1">
        <v>665.0</v>
      </c>
      <c r="B666" s="2" t="s">
        <v>35</v>
      </c>
      <c r="C666" s="2" t="s">
        <v>66</v>
      </c>
      <c r="D666" s="40"/>
      <c r="E666" s="13"/>
      <c r="F666" s="44"/>
      <c r="G666" s="43"/>
      <c r="H666" s="42"/>
      <c r="I666" s="43"/>
      <c r="J666" s="22"/>
      <c r="K666" s="42"/>
    </row>
    <row r="667" ht="39.75" customHeight="1">
      <c r="A667" s="1">
        <v>666.0</v>
      </c>
      <c r="B667" s="2" t="s">
        <v>36</v>
      </c>
      <c r="C667" s="2"/>
      <c r="D667" s="13"/>
      <c r="E667" s="13"/>
      <c r="F667" s="44" t="s">
        <v>3834</v>
      </c>
      <c r="G667" s="43">
        <v>1.0</v>
      </c>
      <c r="H667" s="42"/>
      <c r="I667" s="42"/>
      <c r="J667" s="22"/>
      <c r="K667" s="42"/>
    </row>
    <row r="668" ht="39.75" customHeight="1">
      <c r="A668" s="1">
        <v>667.0</v>
      </c>
      <c r="B668" s="2" t="s">
        <v>38</v>
      </c>
      <c r="C668" s="2" t="s">
        <v>13</v>
      </c>
      <c r="D668" s="13"/>
      <c r="E668" s="13"/>
      <c r="F668" s="44"/>
      <c r="G668" s="43"/>
      <c r="H668" s="42"/>
      <c r="I668" s="42"/>
      <c r="J668" s="22"/>
      <c r="K668" s="42"/>
    </row>
    <row r="669" ht="39.75" customHeight="1">
      <c r="A669" s="1">
        <v>668.0</v>
      </c>
      <c r="B669" s="2" t="s">
        <v>41</v>
      </c>
      <c r="C669" s="2" t="s">
        <v>44</v>
      </c>
      <c r="D669" s="13"/>
      <c r="E669" s="13"/>
      <c r="F669" s="44"/>
      <c r="G669" s="43"/>
      <c r="H669" s="42"/>
      <c r="I669" s="42"/>
      <c r="J669" s="22"/>
      <c r="K669" s="42"/>
    </row>
    <row r="670" ht="39.75" customHeight="1">
      <c r="A670" s="1">
        <v>669.0</v>
      </c>
      <c r="B670" s="2" t="s">
        <v>42</v>
      </c>
      <c r="C670" s="2"/>
      <c r="D670" s="13"/>
      <c r="E670" s="13"/>
      <c r="F670" s="44" t="s">
        <v>3835</v>
      </c>
      <c r="G670" s="43">
        <v>2.0</v>
      </c>
      <c r="H670" s="42"/>
      <c r="I670" s="42"/>
      <c r="J670" s="22"/>
      <c r="K670" s="42"/>
    </row>
    <row r="671" ht="39.75" customHeight="1">
      <c r="A671" s="1">
        <v>670.0</v>
      </c>
      <c r="B671" s="2" t="s">
        <v>43</v>
      </c>
      <c r="C671" s="2" t="s">
        <v>3557</v>
      </c>
      <c r="D671" s="13"/>
      <c r="E671" s="13"/>
      <c r="F671" s="116" t="s">
        <v>3836</v>
      </c>
      <c r="G671" s="43">
        <v>1.0</v>
      </c>
      <c r="H671" s="42"/>
      <c r="I671" s="43"/>
      <c r="J671" s="22"/>
      <c r="K671" s="42"/>
    </row>
    <row r="672" ht="39.75" customHeight="1">
      <c r="A672" s="1">
        <v>671.0</v>
      </c>
      <c r="B672" s="2" t="s">
        <v>267</v>
      </c>
      <c r="C672" s="2" t="s">
        <v>13</v>
      </c>
      <c r="D672" s="13"/>
      <c r="E672" s="13"/>
      <c r="F672" s="44"/>
      <c r="G672" s="42"/>
      <c r="H672" s="42"/>
      <c r="I672" s="42"/>
      <c r="J672" s="22"/>
      <c r="K672" s="42"/>
    </row>
    <row r="673" ht="39.75" customHeight="1">
      <c r="A673" s="1">
        <v>672.0</v>
      </c>
      <c r="B673" s="2" t="s">
        <v>46</v>
      </c>
      <c r="C673" s="2" t="s">
        <v>3756</v>
      </c>
      <c r="D673" s="13"/>
      <c r="E673" s="13"/>
      <c r="F673" s="44" t="s">
        <v>881</v>
      </c>
      <c r="G673" s="43">
        <v>1.0</v>
      </c>
      <c r="H673" s="42"/>
      <c r="I673" s="42"/>
      <c r="J673" s="22"/>
      <c r="K673" s="42"/>
    </row>
    <row r="674" ht="39.75" customHeight="1">
      <c r="A674" s="1">
        <v>673.0</v>
      </c>
      <c r="B674" s="2" t="s">
        <v>47</v>
      </c>
      <c r="C674" s="2" t="s">
        <v>54</v>
      </c>
      <c r="D674" s="13"/>
      <c r="E674" s="13"/>
      <c r="F674" s="44" t="s">
        <v>3837</v>
      </c>
      <c r="G674" s="43">
        <v>1.0</v>
      </c>
      <c r="H674" s="42"/>
      <c r="I674" s="42"/>
      <c r="J674" s="22"/>
      <c r="K674" s="42"/>
    </row>
    <row r="675" ht="39.75" customHeight="1">
      <c r="A675" s="1">
        <v>674.0</v>
      </c>
      <c r="B675" s="2" t="s">
        <v>48</v>
      </c>
      <c r="C675" s="2" t="s">
        <v>13</v>
      </c>
      <c r="D675" s="40"/>
      <c r="E675" s="13"/>
      <c r="F675" s="44"/>
      <c r="G675" s="43"/>
      <c r="H675" s="42"/>
      <c r="I675" s="42"/>
      <c r="J675" s="22"/>
      <c r="K675" s="42"/>
    </row>
    <row r="676" ht="39.75" customHeight="1">
      <c r="A676" s="1">
        <v>675.0</v>
      </c>
      <c r="B676" s="21"/>
      <c r="C676" s="21"/>
      <c r="D676" s="21"/>
      <c r="E676" s="21"/>
      <c r="F676" s="46"/>
      <c r="G676" s="47"/>
      <c r="H676" s="47"/>
      <c r="I676" s="47"/>
      <c r="J676" s="48"/>
      <c r="K676" s="47"/>
      <c r="L676" s="49"/>
      <c r="M676" s="49"/>
      <c r="N676" s="49"/>
    </row>
    <row r="677" ht="39.75" customHeight="1">
      <c r="A677" s="1">
        <v>676.0</v>
      </c>
      <c r="B677" s="2" t="s">
        <v>12</v>
      </c>
      <c r="C677" s="2" t="s">
        <v>13</v>
      </c>
      <c r="D677" s="13"/>
      <c r="E677" s="13"/>
      <c r="F677" s="96"/>
      <c r="G677" s="43"/>
      <c r="H677" s="43"/>
      <c r="I677" s="43"/>
      <c r="J677" s="22"/>
      <c r="K677" s="42"/>
      <c r="L677" s="15" t="s">
        <v>3838</v>
      </c>
    </row>
    <row r="678" ht="39.75" customHeight="1">
      <c r="A678" s="1">
        <v>677.0</v>
      </c>
      <c r="B678" s="2" t="s">
        <v>16</v>
      </c>
      <c r="C678" s="2"/>
      <c r="D678" s="13"/>
      <c r="E678" s="13"/>
      <c r="F678" s="44" t="s">
        <v>3839</v>
      </c>
      <c r="G678" s="43">
        <v>1.0</v>
      </c>
      <c r="H678" s="42"/>
      <c r="I678" s="43"/>
      <c r="J678" s="27" t="s">
        <v>423</v>
      </c>
      <c r="K678" s="43"/>
    </row>
    <row r="679" ht="39.75" customHeight="1">
      <c r="A679" s="1">
        <v>678.0</v>
      </c>
      <c r="B679" s="2" t="s">
        <v>116</v>
      </c>
      <c r="C679" s="2" t="s">
        <v>13</v>
      </c>
      <c r="D679" s="40"/>
      <c r="E679" s="13"/>
      <c r="F679" s="44"/>
      <c r="G679" s="43"/>
      <c r="H679" s="42"/>
      <c r="I679" s="43"/>
      <c r="J679" s="27" t="s">
        <v>111</v>
      </c>
      <c r="K679" s="42"/>
    </row>
    <row r="680" ht="39.75" customHeight="1">
      <c r="A680" s="1">
        <v>679.0</v>
      </c>
      <c r="B680" s="2" t="s">
        <v>263</v>
      </c>
      <c r="C680" s="2" t="s">
        <v>39</v>
      </c>
      <c r="D680" s="13"/>
      <c r="E680" s="13"/>
      <c r="F680" s="44" t="s">
        <v>3840</v>
      </c>
      <c r="G680" s="43">
        <v>1.0</v>
      </c>
      <c r="H680" s="42"/>
      <c r="I680" s="42"/>
      <c r="J680" s="27" t="s">
        <v>30</v>
      </c>
      <c r="K680" s="42"/>
    </row>
    <row r="681" ht="39.75" customHeight="1">
      <c r="A681" s="1">
        <v>680.0</v>
      </c>
      <c r="B681" s="2" t="s">
        <v>17</v>
      </c>
      <c r="C681" s="2" t="s">
        <v>3603</v>
      </c>
      <c r="D681" s="13"/>
      <c r="E681" s="13"/>
      <c r="F681" s="44" t="s">
        <v>3392</v>
      </c>
      <c r="G681" s="42"/>
      <c r="H681" s="42"/>
      <c r="I681" s="42"/>
      <c r="J681" s="27"/>
      <c r="K681" s="42"/>
    </row>
    <row r="682" ht="39.75" customHeight="1">
      <c r="A682" s="1">
        <v>681.0</v>
      </c>
      <c r="B682" s="2" t="s">
        <v>331</v>
      </c>
      <c r="C682" s="2" t="s">
        <v>66</v>
      </c>
      <c r="D682" s="13"/>
      <c r="E682" s="13"/>
      <c r="F682" s="44"/>
      <c r="G682" s="42"/>
      <c r="H682" s="42"/>
      <c r="I682" s="42"/>
      <c r="J682" s="27"/>
      <c r="K682" s="42"/>
    </row>
    <row r="683" ht="39.75" customHeight="1">
      <c r="A683" s="1">
        <v>682.0</v>
      </c>
      <c r="B683" s="2" t="s">
        <v>21</v>
      </c>
      <c r="C683" s="2" t="s">
        <v>54</v>
      </c>
      <c r="D683" s="13"/>
      <c r="E683" s="13"/>
      <c r="F683" s="44" t="s">
        <v>3841</v>
      </c>
      <c r="G683" s="43">
        <v>1.0</v>
      </c>
      <c r="H683" s="42"/>
      <c r="I683" s="42"/>
      <c r="J683" s="27"/>
      <c r="K683" s="42"/>
    </row>
    <row r="684" ht="39.75" customHeight="1">
      <c r="A684" s="1">
        <v>683.0</v>
      </c>
      <c r="B684" s="2" t="s">
        <v>22</v>
      </c>
      <c r="C684" s="2" t="s">
        <v>3557</v>
      </c>
      <c r="D684" s="13"/>
      <c r="E684" s="13"/>
      <c r="F684" s="44" t="s">
        <v>3842</v>
      </c>
      <c r="G684" s="43">
        <v>1.0</v>
      </c>
      <c r="H684" s="43">
        <v>1.0</v>
      </c>
      <c r="I684" s="42"/>
      <c r="J684" s="27"/>
      <c r="K684" s="42"/>
    </row>
    <row r="685" ht="39.75" customHeight="1">
      <c r="A685" s="1">
        <v>684.0</v>
      </c>
      <c r="B685" s="2" t="s">
        <v>261</v>
      </c>
      <c r="C685" s="2" t="s">
        <v>13</v>
      </c>
      <c r="D685" s="13"/>
      <c r="E685" s="13"/>
      <c r="F685" s="45"/>
      <c r="G685" s="42"/>
      <c r="H685" s="42"/>
      <c r="I685" s="42"/>
      <c r="J685" s="22"/>
      <c r="K685" s="42"/>
    </row>
    <row r="686" ht="39.75" customHeight="1">
      <c r="A686" s="1">
        <v>685.0</v>
      </c>
      <c r="B686" s="2" t="s">
        <v>23</v>
      </c>
      <c r="C686" s="2"/>
      <c r="D686" s="13"/>
      <c r="E686" s="13"/>
      <c r="F686" s="44" t="s">
        <v>3843</v>
      </c>
      <c r="G686" s="43">
        <v>1.0</v>
      </c>
      <c r="H686" s="42"/>
      <c r="I686" s="42"/>
      <c r="J686" s="22"/>
      <c r="K686" s="42"/>
    </row>
    <row r="687" ht="39.75" customHeight="1">
      <c r="A687" s="1">
        <v>686.0</v>
      </c>
      <c r="B687" s="2" t="s">
        <v>24</v>
      </c>
      <c r="C687" s="2" t="s">
        <v>3563</v>
      </c>
      <c r="D687" s="13"/>
      <c r="E687" s="13"/>
      <c r="F687" s="45"/>
      <c r="G687" s="42"/>
      <c r="H687" s="42"/>
      <c r="I687" s="42"/>
      <c r="J687" s="22"/>
      <c r="K687" s="42"/>
    </row>
    <row r="688" ht="39.75" customHeight="1">
      <c r="A688" s="1">
        <v>687.0</v>
      </c>
      <c r="B688" s="2" t="s">
        <v>25</v>
      </c>
      <c r="C688" s="2" t="s">
        <v>69</v>
      </c>
      <c r="D688" s="13"/>
      <c r="E688" s="13"/>
      <c r="F688" s="44" t="s">
        <v>3844</v>
      </c>
      <c r="G688" s="43">
        <v>1.0</v>
      </c>
      <c r="H688" s="42"/>
      <c r="I688" s="43"/>
      <c r="J688" s="22"/>
      <c r="K688" s="42"/>
    </row>
    <row r="689" ht="39.75" customHeight="1">
      <c r="A689" s="1">
        <v>688.0</v>
      </c>
      <c r="B689" s="2" t="s">
        <v>26</v>
      </c>
      <c r="C689" s="2" t="s">
        <v>44</v>
      </c>
      <c r="D689" s="40"/>
      <c r="E689" s="13"/>
      <c r="F689" s="44"/>
      <c r="G689" s="43"/>
      <c r="H689" s="42"/>
      <c r="I689" s="42"/>
      <c r="J689" s="22"/>
      <c r="K689" s="42"/>
    </row>
    <row r="690" ht="39.75" customHeight="1">
      <c r="A690" s="1">
        <v>689.0</v>
      </c>
      <c r="B690" s="2" t="s">
        <v>29</v>
      </c>
      <c r="C690" s="2" t="s">
        <v>39</v>
      </c>
      <c r="D690" s="13"/>
      <c r="E690" s="13"/>
      <c r="F690" s="44" t="s">
        <v>3845</v>
      </c>
      <c r="G690" s="43">
        <v>1.0</v>
      </c>
      <c r="H690" s="42"/>
      <c r="I690" s="42"/>
      <c r="J690" s="22"/>
      <c r="K690" s="42"/>
    </row>
    <row r="691" ht="39.75" customHeight="1">
      <c r="A691" s="1">
        <v>690.0</v>
      </c>
      <c r="B691" s="2" t="s">
        <v>32</v>
      </c>
      <c r="C691" s="2"/>
      <c r="D691" s="13"/>
      <c r="E691" s="40"/>
      <c r="F691" s="44" t="s">
        <v>3832</v>
      </c>
      <c r="G691" s="43">
        <v>1.0</v>
      </c>
      <c r="H691" s="43"/>
      <c r="I691" s="43"/>
      <c r="J691" s="22"/>
      <c r="K691" s="42"/>
    </row>
    <row r="692" ht="39.75" customHeight="1">
      <c r="A692" s="1">
        <v>691.0</v>
      </c>
      <c r="B692" s="2" t="s">
        <v>67</v>
      </c>
      <c r="C692" s="2"/>
      <c r="D692" s="13"/>
      <c r="E692" s="13"/>
      <c r="F692" s="44" t="s">
        <v>3833</v>
      </c>
      <c r="G692" s="43">
        <v>1.0</v>
      </c>
      <c r="H692" s="42"/>
      <c r="I692" s="42"/>
      <c r="J692" s="22"/>
      <c r="K692" s="42"/>
    </row>
    <row r="693" ht="39.75" customHeight="1">
      <c r="A693" s="1">
        <v>692.0</v>
      </c>
      <c r="B693" s="2" t="s">
        <v>35</v>
      </c>
      <c r="C693" s="2"/>
      <c r="D693" s="13"/>
      <c r="E693" s="13"/>
      <c r="F693" s="44" t="s">
        <v>3595</v>
      </c>
      <c r="G693" s="43">
        <v>1.0</v>
      </c>
      <c r="H693" s="42"/>
      <c r="I693" s="43"/>
      <c r="J693" s="22"/>
      <c r="K693" s="42"/>
    </row>
    <row r="694" ht="39.75" customHeight="1">
      <c r="A694" s="1">
        <v>693.0</v>
      </c>
      <c r="B694" s="2" t="s">
        <v>36</v>
      </c>
      <c r="C694" s="2" t="s">
        <v>54</v>
      </c>
      <c r="D694" s="13"/>
      <c r="E694" s="13"/>
      <c r="F694" s="44" t="s">
        <v>3846</v>
      </c>
      <c r="G694" s="43">
        <v>1.0</v>
      </c>
      <c r="H694" s="42"/>
      <c r="I694" s="42"/>
      <c r="J694" s="22"/>
      <c r="K694" s="42"/>
    </row>
    <row r="695" ht="39.75" customHeight="1">
      <c r="A695" s="1">
        <v>694.0</v>
      </c>
      <c r="B695" s="2" t="s">
        <v>38</v>
      </c>
      <c r="C695" s="2" t="s">
        <v>13</v>
      </c>
      <c r="D695" s="13"/>
      <c r="E695" s="13"/>
      <c r="F695" s="44"/>
      <c r="G695" s="43"/>
      <c r="H695" s="43"/>
      <c r="I695" s="42"/>
      <c r="J695" s="22"/>
      <c r="K695" s="42"/>
    </row>
    <row r="696" ht="39.75" customHeight="1">
      <c r="A696" s="1">
        <v>695.0</v>
      </c>
      <c r="B696" s="2" t="s">
        <v>41</v>
      </c>
      <c r="C696" s="2" t="s">
        <v>54</v>
      </c>
      <c r="D696" s="13"/>
      <c r="E696" s="13"/>
      <c r="F696" s="44" t="s">
        <v>3847</v>
      </c>
      <c r="G696" s="43">
        <v>1.0</v>
      </c>
      <c r="H696" s="42"/>
      <c r="I696" s="42"/>
      <c r="J696" s="22"/>
      <c r="K696" s="42"/>
    </row>
    <row r="697" ht="39.75" customHeight="1">
      <c r="A697" s="1">
        <v>696.0</v>
      </c>
      <c r="B697" s="2" t="s">
        <v>42</v>
      </c>
      <c r="C697" s="2" t="s">
        <v>69</v>
      </c>
      <c r="D697" s="13"/>
      <c r="E697" s="13"/>
      <c r="F697" s="44" t="s">
        <v>3848</v>
      </c>
      <c r="G697" s="43">
        <v>1.0</v>
      </c>
      <c r="H697" s="42"/>
      <c r="I697" s="42"/>
      <c r="J697" s="22"/>
      <c r="K697" s="42"/>
    </row>
    <row r="698" ht="39.75" customHeight="1">
      <c r="A698" s="1">
        <v>697.0</v>
      </c>
      <c r="B698" s="2" t="s">
        <v>43</v>
      </c>
      <c r="C698" s="2" t="s">
        <v>3557</v>
      </c>
      <c r="D698" s="13"/>
      <c r="E698" s="13"/>
      <c r="F698" s="44" t="s">
        <v>3849</v>
      </c>
      <c r="G698" s="43">
        <v>1.0</v>
      </c>
      <c r="H698" s="42"/>
      <c r="I698" s="42"/>
      <c r="J698" s="22"/>
      <c r="K698" s="42"/>
    </row>
    <row r="699" ht="39.75" customHeight="1">
      <c r="A699" s="1">
        <v>698.0</v>
      </c>
      <c r="B699" s="2" t="s">
        <v>267</v>
      </c>
      <c r="C699" s="2" t="s">
        <v>3571</v>
      </c>
      <c r="D699" s="13"/>
      <c r="E699" s="13"/>
      <c r="F699" s="44"/>
      <c r="G699" s="42"/>
      <c r="H699" s="42"/>
      <c r="I699" s="42"/>
      <c r="J699" s="22"/>
      <c r="K699" s="42"/>
    </row>
    <row r="700" ht="39.75" customHeight="1">
      <c r="A700" s="1">
        <v>699.0</v>
      </c>
      <c r="B700" s="2" t="s">
        <v>46</v>
      </c>
      <c r="C700" s="2" t="s">
        <v>13</v>
      </c>
      <c r="D700" s="13"/>
      <c r="E700" s="13"/>
      <c r="F700" s="44"/>
      <c r="G700" s="43"/>
      <c r="H700" s="42"/>
      <c r="I700" s="43"/>
      <c r="J700" s="22"/>
      <c r="K700" s="42"/>
    </row>
    <row r="701" ht="39.75" customHeight="1">
      <c r="A701" s="1">
        <v>700.0</v>
      </c>
      <c r="B701" s="2" t="s">
        <v>47</v>
      </c>
      <c r="C701" s="2" t="s">
        <v>54</v>
      </c>
      <c r="D701" s="13"/>
      <c r="E701" s="13"/>
      <c r="F701" s="44" t="s">
        <v>3850</v>
      </c>
      <c r="G701" s="43">
        <v>1.0</v>
      </c>
      <c r="H701" s="42"/>
      <c r="I701" s="42"/>
      <c r="J701" s="22"/>
      <c r="K701" s="42"/>
    </row>
    <row r="702" ht="39.75" customHeight="1">
      <c r="A702" s="1">
        <v>701.0</v>
      </c>
      <c r="B702" s="2" t="s">
        <v>48</v>
      </c>
      <c r="C702" s="2"/>
      <c r="D702" s="13"/>
      <c r="E702" s="13"/>
      <c r="F702" s="44" t="s">
        <v>3851</v>
      </c>
      <c r="G702" s="43">
        <v>2.0</v>
      </c>
      <c r="H702" s="42"/>
      <c r="I702" s="43">
        <v>1.0</v>
      </c>
      <c r="J702" s="22"/>
      <c r="K702" s="42"/>
    </row>
    <row r="703" ht="39.75" customHeight="1">
      <c r="A703" s="1">
        <v>702.0</v>
      </c>
      <c r="B703" s="21"/>
      <c r="C703" s="21"/>
      <c r="D703" s="21"/>
      <c r="E703" s="21"/>
      <c r="F703" s="46"/>
      <c r="G703" s="47"/>
      <c r="H703" s="47"/>
      <c r="I703" s="47"/>
      <c r="J703" s="48"/>
      <c r="K703" s="47"/>
      <c r="L703" s="49"/>
      <c r="M703" s="49"/>
      <c r="N703" s="49"/>
    </row>
    <row r="704" ht="39.75" customHeight="1">
      <c r="A704" s="1">
        <v>703.0</v>
      </c>
      <c r="B704" s="2" t="s">
        <v>12</v>
      </c>
      <c r="C704" s="2" t="s">
        <v>62</v>
      </c>
      <c r="D704" s="13"/>
      <c r="E704" s="13"/>
      <c r="F704" s="44" t="s">
        <v>2011</v>
      </c>
      <c r="G704" s="43">
        <v>1.0</v>
      </c>
      <c r="H704" s="42"/>
      <c r="I704" s="42"/>
      <c r="J704" s="22"/>
      <c r="K704" s="42"/>
      <c r="L704" s="15" t="s">
        <v>3852</v>
      </c>
    </row>
    <row r="705" ht="39.75" customHeight="1">
      <c r="A705" s="1">
        <v>704.0</v>
      </c>
      <c r="B705" s="2" t="s">
        <v>16</v>
      </c>
      <c r="C705" s="2" t="s">
        <v>13</v>
      </c>
      <c r="D705" s="13"/>
      <c r="E705" s="13"/>
      <c r="F705" s="44"/>
      <c r="G705" s="43"/>
      <c r="H705" s="42"/>
      <c r="I705" s="43"/>
      <c r="J705" s="27" t="s">
        <v>438</v>
      </c>
      <c r="K705" s="43"/>
    </row>
    <row r="706" ht="39.75" customHeight="1">
      <c r="A706" s="1">
        <v>705.0</v>
      </c>
      <c r="B706" s="2" t="s">
        <v>116</v>
      </c>
      <c r="C706" s="2" t="s">
        <v>66</v>
      </c>
      <c r="D706" s="13"/>
      <c r="E706" s="13"/>
      <c r="F706" s="44"/>
      <c r="G706" s="43"/>
      <c r="H706" s="42"/>
      <c r="I706" s="42"/>
      <c r="J706" s="27" t="s">
        <v>131</v>
      </c>
      <c r="K706" s="42"/>
    </row>
    <row r="707" ht="39.75" customHeight="1">
      <c r="A707" s="1">
        <v>706.0</v>
      </c>
      <c r="B707" s="2" t="s">
        <v>263</v>
      </c>
      <c r="C707" s="2" t="s">
        <v>69</v>
      </c>
      <c r="D707" s="13"/>
      <c r="E707" s="13"/>
      <c r="F707" s="44" t="s">
        <v>3853</v>
      </c>
      <c r="G707" s="43">
        <v>1.0</v>
      </c>
      <c r="H707" s="42"/>
      <c r="I707" s="43">
        <v>1.0</v>
      </c>
      <c r="J707" s="27" t="s">
        <v>3637</v>
      </c>
      <c r="K707" s="42"/>
    </row>
    <row r="708" ht="39.75" customHeight="1">
      <c r="A708" s="1">
        <v>707.0</v>
      </c>
      <c r="B708" s="2" t="s">
        <v>17</v>
      </c>
      <c r="C708" s="2" t="s">
        <v>3603</v>
      </c>
      <c r="D708" s="13"/>
      <c r="E708" s="13"/>
      <c r="F708" s="44" t="s">
        <v>3392</v>
      </c>
      <c r="G708" s="43">
        <v>1.0</v>
      </c>
      <c r="H708" s="42"/>
      <c r="I708" s="42"/>
      <c r="J708" s="27"/>
      <c r="K708" s="42"/>
    </row>
    <row r="709" ht="39.75" customHeight="1">
      <c r="A709" s="1">
        <v>708.0</v>
      </c>
      <c r="B709" s="2" t="s">
        <v>331</v>
      </c>
      <c r="C709" s="2" t="s">
        <v>542</v>
      </c>
      <c r="D709" s="13"/>
      <c r="E709" s="13"/>
      <c r="F709" s="44" t="s">
        <v>3854</v>
      </c>
      <c r="G709" s="43">
        <v>1.0</v>
      </c>
      <c r="H709" s="42"/>
      <c r="I709" s="42"/>
      <c r="J709" s="27"/>
      <c r="K709" s="42"/>
    </row>
    <row r="710" ht="39.75" customHeight="1">
      <c r="A710" s="1">
        <v>709.0</v>
      </c>
      <c r="B710" s="2" t="s">
        <v>21</v>
      </c>
      <c r="C710" s="2" t="s">
        <v>54</v>
      </c>
      <c r="D710" s="13"/>
      <c r="E710" s="13"/>
      <c r="F710" s="44" t="s">
        <v>3855</v>
      </c>
      <c r="G710" s="43">
        <v>1.0</v>
      </c>
      <c r="H710" s="42"/>
      <c r="I710" s="42"/>
      <c r="J710" s="27"/>
      <c r="K710" s="42"/>
    </row>
    <row r="711" ht="39.75" customHeight="1">
      <c r="A711" s="1">
        <v>710.0</v>
      </c>
      <c r="B711" s="2" t="s">
        <v>22</v>
      </c>
      <c r="C711" s="2" t="s">
        <v>3557</v>
      </c>
      <c r="D711" s="13"/>
      <c r="E711" s="13"/>
      <c r="F711" s="44" t="s">
        <v>3828</v>
      </c>
      <c r="G711" s="43">
        <v>1.0</v>
      </c>
      <c r="H711" s="42"/>
      <c r="I711" s="42"/>
      <c r="J711" s="22"/>
      <c r="K711" s="42"/>
    </row>
    <row r="712" ht="39.75" customHeight="1">
      <c r="A712" s="1">
        <v>711.0</v>
      </c>
      <c r="B712" s="2" t="s">
        <v>261</v>
      </c>
      <c r="C712" s="2" t="s">
        <v>13</v>
      </c>
      <c r="D712" s="13"/>
      <c r="E712" s="13"/>
      <c r="F712" s="45"/>
      <c r="G712" s="42"/>
      <c r="H712" s="42"/>
      <c r="I712" s="42"/>
      <c r="J712" s="22"/>
      <c r="K712" s="42"/>
    </row>
    <row r="713" ht="39.75" customHeight="1">
      <c r="A713" s="1">
        <v>712.0</v>
      </c>
      <c r="B713" s="2" t="s">
        <v>23</v>
      </c>
      <c r="C713" s="2" t="s">
        <v>3571</v>
      </c>
      <c r="D713" s="13"/>
      <c r="E713" s="13"/>
      <c r="F713" s="44" t="s">
        <v>3856</v>
      </c>
      <c r="G713" s="43">
        <v>1.0</v>
      </c>
      <c r="H713" s="42"/>
      <c r="I713" s="42"/>
      <c r="J713" s="22"/>
      <c r="K713" s="42"/>
    </row>
    <row r="714" ht="39.75" customHeight="1">
      <c r="A714" s="1">
        <v>713.0</v>
      </c>
      <c r="B714" s="2" t="s">
        <v>24</v>
      </c>
      <c r="C714" s="2" t="s">
        <v>3563</v>
      </c>
      <c r="D714" s="13"/>
      <c r="E714" s="13"/>
      <c r="F714" s="45"/>
      <c r="G714" s="42"/>
      <c r="H714" s="42"/>
      <c r="I714" s="42"/>
      <c r="J714" s="22"/>
      <c r="K714" s="42"/>
    </row>
    <row r="715" ht="39.75" customHeight="1">
      <c r="A715" s="1">
        <v>714.0</v>
      </c>
      <c r="B715" s="2" t="s">
        <v>25</v>
      </c>
      <c r="C715" s="2"/>
      <c r="D715" s="13"/>
      <c r="E715" s="13"/>
      <c r="F715" s="44" t="s">
        <v>3857</v>
      </c>
      <c r="G715" s="43">
        <v>1.0</v>
      </c>
      <c r="H715" s="43"/>
      <c r="I715" s="42"/>
      <c r="J715" s="22"/>
      <c r="K715" s="42"/>
    </row>
    <row r="716" ht="39.75" customHeight="1">
      <c r="A716" s="1">
        <v>715.0</v>
      </c>
      <c r="B716" s="2" t="s">
        <v>26</v>
      </c>
      <c r="C716" s="2" t="s">
        <v>66</v>
      </c>
      <c r="D716" s="13"/>
      <c r="E716" s="13"/>
      <c r="F716" s="44"/>
      <c r="G716" s="43"/>
      <c r="H716" s="42"/>
      <c r="I716" s="43"/>
      <c r="J716" s="22"/>
      <c r="K716" s="42"/>
    </row>
    <row r="717" ht="39.75" customHeight="1">
      <c r="A717" s="1">
        <v>716.0</v>
      </c>
      <c r="B717" s="2" t="s">
        <v>29</v>
      </c>
      <c r="C717" s="2" t="s">
        <v>13</v>
      </c>
      <c r="D717" s="13"/>
      <c r="E717" s="13"/>
      <c r="F717" s="44"/>
      <c r="G717" s="42"/>
      <c r="H717" s="42"/>
      <c r="I717" s="42"/>
      <c r="J717" s="22"/>
      <c r="K717" s="42"/>
    </row>
    <row r="718" ht="39.75" customHeight="1">
      <c r="A718" s="1">
        <v>717.0</v>
      </c>
      <c r="B718" s="2" t="s">
        <v>32</v>
      </c>
      <c r="C718" s="2" t="s">
        <v>69</v>
      </c>
      <c r="D718" s="13"/>
      <c r="E718" s="13"/>
      <c r="F718" s="44" t="s">
        <v>3858</v>
      </c>
      <c r="G718" s="43">
        <v>2.0</v>
      </c>
      <c r="H718" s="42"/>
      <c r="I718" s="43">
        <v>1.0</v>
      </c>
      <c r="J718" s="22"/>
      <c r="K718" s="42"/>
    </row>
    <row r="719" ht="39.75" customHeight="1">
      <c r="A719" s="1">
        <v>718.0</v>
      </c>
      <c r="B719" s="2" t="s">
        <v>67</v>
      </c>
      <c r="C719" s="2" t="s">
        <v>39</v>
      </c>
      <c r="D719" s="40"/>
      <c r="E719" s="13"/>
      <c r="F719" s="44" t="s">
        <v>3859</v>
      </c>
      <c r="G719" s="43">
        <v>1.0</v>
      </c>
      <c r="H719" s="42"/>
      <c r="I719" s="42"/>
      <c r="J719" s="22"/>
      <c r="K719" s="42"/>
    </row>
    <row r="720" ht="39.75" customHeight="1">
      <c r="A720" s="1">
        <v>719.0</v>
      </c>
      <c r="B720" s="2" t="s">
        <v>35</v>
      </c>
      <c r="C720" s="2"/>
      <c r="D720" s="13"/>
      <c r="E720" s="13"/>
      <c r="F720" s="44" t="s">
        <v>3860</v>
      </c>
      <c r="G720" s="43">
        <v>1.0</v>
      </c>
      <c r="H720" s="42"/>
      <c r="I720" s="42"/>
      <c r="J720" s="22"/>
      <c r="K720" s="42"/>
    </row>
    <row r="721" ht="39.75" customHeight="1">
      <c r="A721" s="1">
        <v>720.0</v>
      </c>
      <c r="B721" s="2" t="s">
        <v>36</v>
      </c>
      <c r="C721" s="2" t="s">
        <v>54</v>
      </c>
      <c r="D721" s="13"/>
      <c r="E721" s="13"/>
      <c r="F721" s="44" t="s">
        <v>3861</v>
      </c>
      <c r="G721" s="43">
        <v>1.0</v>
      </c>
      <c r="H721" s="42"/>
      <c r="I721" s="42"/>
      <c r="J721" s="22"/>
      <c r="K721" s="42"/>
    </row>
    <row r="722" ht="39.75" customHeight="1">
      <c r="A722" s="1">
        <v>721.0</v>
      </c>
      <c r="B722" s="2" t="s">
        <v>38</v>
      </c>
      <c r="C722" s="2" t="s">
        <v>13</v>
      </c>
      <c r="D722" s="13"/>
      <c r="E722" s="13"/>
      <c r="F722" s="44"/>
      <c r="G722" s="43"/>
      <c r="H722" s="42"/>
      <c r="I722" s="43"/>
      <c r="J722" s="22"/>
      <c r="K722" s="42"/>
    </row>
    <row r="723" ht="39.75" customHeight="1">
      <c r="A723" s="1">
        <v>722.0</v>
      </c>
      <c r="B723" s="2" t="s">
        <v>41</v>
      </c>
      <c r="C723" s="2" t="s">
        <v>54</v>
      </c>
      <c r="D723" s="13"/>
      <c r="E723" s="13"/>
      <c r="F723" s="44" t="s">
        <v>3862</v>
      </c>
      <c r="G723" s="43">
        <v>1.0</v>
      </c>
      <c r="H723" s="42"/>
      <c r="I723" s="42"/>
      <c r="J723" s="22"/>
      <c r="K723" s="42"/>
    </row>
    <row r="724" ht="39.75" customHeight="1">
      <c r="A724" s="1">
        <v>723.0</v>
      </c>
      <c r="B724" s="2" t="s">
        <v>42</v>
      </c>
      <c r="C724" s="2" t="s">
        <v>66</v>
      </c>
      <c r="D724" s="13"/>
      <c r="E724" s="13"/>
      <c r="F724" s="44"/>
      <c r="G724" s="42"/>
      <c r="H724" s="42"/>
      <c r="I724" s="42"/>
      <c r="J724" s="22"/>
      <c r="K724" s="42"/>
    </row>
    <row r="725" ht="39.75" customHeight="1">
      <c r="A725" s="1">
        <v>724.0</v>
      </c>
      <c r="B725" s="2" t="s">
        <v>43</v>
      </c>
      <c r="C725" s="2" t="s">
        <v>3557</v>
      </c>
      <c r="D725" s="13"/>
      <c r="E725" s="13"/>
      <c r="F725" s="44" t="s">
        <v>3863</v>
      </c>
      <c r="G725" s="43">
        <v>1.0</v>
      </c>
      <c r="H725" s="42"/>
      <c r="I725" s="42"/>
      <c r="J725" s="22"/>
      <c r="K725" s="42"/>
    </row>
    <row r="726" ht="39.75" customHeight="1">
      <c r="A726" s="1">
        <v>725.0</v>
      </c>
      <c r="B726" s="2" t="s">
        <v>267</v>
      </c>
      <c r="C726" s="2" t="s">
        <v>44</v>
      </c>
      <c r="D726" s="13"/>
      <c r="E726" s="13"/>
      <c r="F726" s="44"/>
      <c r="G726" s="42"/>
      <c r="H726" s="42"/>
      <c r="I726" s="42"/>
      <c r="J726" s="22"/>
      <c r="K726" s="42"/>
    </row>
    <row r="727" ht="39.75" customHeight="1">
      <c r="A727" s="1">
        <v>726.0</v>
      </c>
      <c r="B727" s="2" t="s">
        <v>46</v>
      </c>
      <c r="C727" s="2" t="s">
        <v>13</v>
      </c>
      <c r="D727" s="13"/>
      <c r="E727" s="13"/>
      <c r="F727" s="45"/>
      <c r="G727" s="42"/>
      <c r="H727" s="42"/>
      <c r="I727" s="42"/>
      <c r="J727" s="22"/>
      <c r="K727" s="42"/>
    </row>
    <row r="728" ht="39.75" customHeight="1">
      <c r="A728" s="1">
        <v>727.0</v>
      </c>
      <c r="B728" s="2" t="s">
        <v>47</v>
      </c>
      <c r="C728" s="2" t="s">
        <v>54</v>
      </c>
      <c r="D728" s="13"/>
      <c r="E728" s="13"/>
      <c r="F728" s="44" t="s">
        <v>3864</v>
      </c>
      <c r="G728" s="43">
        <v>2.0</v>
      </c>
      <c r="H728" s="42"/>
      <c r="I728" s="42"/>
      <c r="J728" s="22"/>
      <c r="K728" s="42"/>
    </row>
    <row r="729" ht="39.75" customHeight="1">
      <c r="A729" s="1">
        <v>728.0</v>
      </c>
      <c r="B729" s="2" t="s">
        <v>48</v>
      </c>
      <c r="C729" s="2" t="s">
        <v>39</v>
      </c>
      <c r="D729" s="13"/>
      <c r="E729" s="13"/>
      <c r="F729" s="44" t="s">
        <v>3865</v>
      </c>
      <c r="G729" s="43">
        <v>2.0</v>
      </c>
      <c r="H729" s="42"/>
      <c r="I729" s="42"/>
      <c r="J729" s="22"/>
      <c r="K729" s="42"/>
    </row>
    <row r="730" ht="39.75" customHeight="1">
      <c r="A730" s="1">
        <v>729.0</v>
      </c>
      <c r="B730" s="21"/>
      <c r="C730" s="21"/>
      <c r="D730" s="21"/>
      <c r="E730" s="21"/>
      <c r="F730" s="46"/>
      <c r="G730" s="47"/>
      <c r="H730" s="47"/>
      <c r="I730" s="47"/>
      <c r="J730" s="48"/>
      <c r="K730" s="47"/>
      <c r="L730" s="49"/>
      <c r="M730" s="49"/>
      <c r="N730" s="49"/>
    </row>
    <row r="731" ht="39.75" customHeight="1">
      <c r="A731" s="1">
        <v>730.0</v>
      </c>
      <c r="B731" s="2" t="s">
        <v>12</v>
      </c>
      <c r="C731" s="2" t="s">
        <v>13</v>
      </c>
      <c r="D731" s="13"/>
      <c r="E731" s="13"/>
      <c r="F731" s="45"/>
      <c r="G731" s="42"/>
      <c r="H731" s="42"/>
      <c r="I731" s="42"/>
      <c r="J731" s="22"/>
      <c r="K731" s="42"/>
      <c r="L731" s="15" t="s">
        <v>3866</v>
      </c>
    </row>
    <row r="732" ht="39.75" customHeight="1">
      <c r="A732" s="1">
        <v>731.0</v>
      </c>
      <c r="B732" s="2" t="s">
        <v>16</v>
      </c>
      <c r="C732" s="2" t="s">
        <v>13</v>
      </c>
      <c r="D732" s="13"/>
      <c r="E732" s="13"/>
      <c r="F732" s="45"/>
      <c r="G732" s="42"/>
      <c r="H732" s="42"/>
      <c r="I732" s="42"/>
      <c r="J732" s="27"/>
      <c r="K732" s="43"/>
    </row>
    <row r="733" ht="39.75" customHeight="1">
      <c r="A733" s="1">
        <v>732.0</v>
      </c>
      <c r="B733" s="2" t="s">
        <v>116</v>
      </c>
      <c r="C733" s="2" t="s">
        <v>13</v>
      </c>
      <c r="D733" s="13"/>
      <c r="E733" s="13"/>
      <c r="F733" s="44"/>
      <c r="G733" s="42"/>
      <c r="H733" s="42"/>
      <c r="I733" s="42"/>
      <c r="J733" s="27"/>
      <c r="K733" s="42"/>
    </row>
    <row r="734" ht="39.75" customHeight="1">
      <c r="A734" s="1">
        <v>733.0</v>
      </c>
      <c r="B734" s="2" t="s">
        <v>263</v>
      </c>
      <c r="C734" s="2" t="s">
        <v>13</v>
      </c>
      <c r="D734" s="13"/>
      <c r="E734" s="13"/>
      <c r="F734" s="44"/>
      <c r="G734" s="43"/>
      <c r="H734" s="42"/>
      <c r="I734" s="42"/>
      <c r="J734" s="27"/>
      <c r="K734" s="42"/>
    </row>
    <row r="735" ht="39.75" customHeight="1">
      <c r="A735" s="1">
        <v>734.0</v>
      </c>
      <c r="B735" s="2" t="s">
        <v>17</v>
      </c>
      <c r="C735" s="2" t="s">
        <v>13</v>
      </c>
      <c r="D735" s="13"/>
      <c r="E735" s="13"/>
      <c r="F735" s="45"/>
      <c r="G735" s="42"/>
      <c r="H735" s="42"/>
      <c r="I735" s="42"/>
      <c r="J735" s="27"/>
      <c r="K735" s="42"/>
    </row>
    <row r="736" ht="39.75" customHeight="1">
      <c r="A736" s="1">
        <v>735.0</v>
      </c>
      <c r="B736" s="2" t="s">
        <v>331</v>
      </c>
      <c r="C736" s="2" t="s">
        <v>13</v>
      </c>
      <c r="D736" s="13"/>
      <c r="E736" s="13"/>
      <c r="F736" s="45"/>
      <c r="G736" s="42"/>
      <c r="H736" s="42"/>
      <c r="I736" s="42"/>
      <c r="J736" s="27"/>
      <c r="K736" s="42"/>
    </row>
    <row r="737" ht="39.75" customHeight="1">
      <c r="A737" s="1">
        <v>736.0</v>
      </c>
      <c r="B737" s="2" t="s">
        <v>21</v>
      </c>
      <c r="C737" s="2" t="s">
        <v>13</v>
      </c>
      <c r="D737" s="13"/>
      <c r="E737" s="13"/>
      <c r="F737" s="117"/>
      <c r="G737" s="42"/>
      <c r="H737" s="42"/>
      <c r="I737" s="42"/>
      <c r="J737" s="22"/>
      <c r="K737" s="42"/>
    </row>
    <row r="738" ht="39.75" customHeight="1">
      <c r="A738" s="1">
        <v>737.0</v>
      </c>
      <c r="B738" s="2" t="s">
        <v>22</v>
      </c>
      <c r="C738" s="2" t="s">
        <v>3557</v>
      </c>
      <c r="D738" s="13"/>
      <c r="E738" s="13"/>
      <c r="F738" s="118" t="s">
        <v>3867</v>
      </c>
      <c r="G738" s="43">
        <v>1.0</v>
      </c>
      <c r="H738" s="42"/>
      <c r="I738" s="42"/>
      <c r="J738" s="27" t="s">
        <v>452</v>
      </c>
      <c r="K738" s="42"/>
    </row>
    <row r="739" ht="39.75" customHeight="1">
      <c r="A739" s="1">
        <v>738.0</v>
      </c>
      <c r="B739" s="2" t="s">
        <v>261</v>
      </c>
      <c r="C739" s="2" t="s">
        <v>13</v>
      </c>
      <c r="D739" s="13"/>
      <c r="E739" s="13"/>
      <c r="F739" s="45"/>
      <c r="G739" s="42"/>
      <c r="H739" s="42"/>
      <c r="I739" s="42"/>
      <c r="J739" s="22"/>
      <c r="K739" s="42"/>
    </row>
    <row r="740" ht="39.75" customHeight="1">
      <c r="A740" s="1">
        <v>739.0</v>
      </c>
      <c r="B740" s="2" t="s">
        <v>23</v>
      </c>
      <c r="C740" s="2" t="s">
        <v>44</v>
      </c>
      <c r="D740" s="13"/>
      <c r="E740" s="13"/>
      <c r="F740" s="44"/>
      <c r="G740" s="42"/>
      <c r="H740" s="42"/>
      <c r="I740" s="42"/>
      <c r="J740" s="22"/>
      <c r="K740" s="42"/>
    </row>
    <row r="741" ht="39.75" customHeight="1">
      <c r="A741" s="1">
        <v>740.0</v>
      </c>
      <c r="B741" s="2" t="s">
        <v>24</v>
      </c>
      <c r="C741" s="2" t="s">
        <v>13</v>
      </c>
      <c r="D741" s="13"/>
      <c r="E741" s="13"/>
      <c r="F741" s="45"/>
      <c r="G741" s="42"/>
      <c r="H741" s="42"/>
      <c r="I741" s="42"/>
      <c r="J741" s="27" t="s">
        <v>149</v>
      </c>
      <c r="K741" s="42"/>
    </row>
    <row r="742" ht="39.75" customHeight="1">
      <c r="A742" s="1">
        <v>741.0</v>
      </c>
      <c r="B742" s="2" t="s">
        <v>25</v>
      </c>
      <c r="C742" s="2" t="s">
        <v>3571</v>
      </c>
      <c r="D742" s="13"/>
      <c r="E742" s="13"/>
      <c r="F742" s="45"/>
      <c r="G742" s="42"/>
      <c r="H742" s="42"/>
      <c r="I742" s="42"/>
      <c r="J742" s="27" t="s">
        <v>3637</v>
      </c>
      <c r="K742" s="42"/>
    </row>
    <row r="743" ht="39.75" customHeight="1">
      <c r="A743" s="1">
        <v>742.0</v>
      </c>
      <c r="B743" s="2" t="s">
        <v>26</v>
      </c>
      <c r="C743" s="2" t="s">
        <v>13</v>
      </c>
      <c r="D743" s="13"/>
      <c r="E743" s="40"/>
      <c r="F743" s="44"/>
      <c r="G743" s="43"/>
      <c r="H743" s="42"/>
      <c r="I743" s="42"/>
      <c r="J743" s="22"/>
      <c r="K743" s="42"/>
    </row>
    <row r="744" ht="39.75" customHeight="1">
      <c r="A744" s="1">
        <v>743.0</v>
      </c>
      <c r="B744" s="2" t="s">
        <v>29</v>
      </c>
      <c r="C744" s="2"/>
      <c r="D744" s="13"/>
      <c r="E744" s="13"/>
      <c r="F744" s="44" t="s">
        <v>3868</v>
      </c>
      <c r="G744" s="43">
        <v>2.0</v>
      </c>
      <c r="H744" s="42"/>
      <c r="I744" s="43">
        <v>2.0</v>
      </c>
      <c r="J744" s="22"/>
      <c r="K744" s="42"/>
    </row>
    <row r="745" ht="39.75" customHeight="1">
      <c r="A745" s="1">
        <v>744.0</v>
      </c>
      <c r="B745" s="2" t="s">
        <v>32</v>
      </c>
      <c r="C745" s="2" t="s">
        <v>13</v>
      </c>
      <c r="D745" s="13"/>
      <c r="E745" s="13"/>
      <c r="F745" s="44"/>
      <c r="G745" s="43"/>
      <c r="H745" s="42"/>
      <c r="I745" s="43"/>
      <c r="J745" s="22"/>
      <c r="K745" s="42"/>
    </row>
    <row r="746" ht="39.75" customHeight="1">
      <c r="A746" s="1">
        <v>745.0</v>
      </c>
      <c r="B746" s="2" t="s">
        <v>67</v>
      </c>
      <c r="C746" s="2"/>
      <c r="D746" s="13"/>
      <c r="E746" s="13"/>
      <c r="F746" s="45"/>
      <c r="G746" s="42"/>
      <c r="H746" s="42"/>
      <c r="I746" s="42"/>
      <c r="J746" s="22"/>
      <c r="K746" s="42"/>
    </row>
    <row r="747" ht="39.75" customHeight="1">
      <c r="A747" s="1">
        <v>746.0</v>
      </c>
      <c r="B747" s="2" t="s">
        <v>35</v>
      </c>
      <c r="C747" s="2" t="s">
        <v>13</v>
      </c>
      <c r="D747" s="13"/>
      <c r="E747" s="13"/>
      <c r="F747" s="45"/>
      <c r="G747" s="42"/>
      <c r="H747" s="42"/>
      <c r="I747" s="42"/>
      <c r="J747" s="22"/>
      <c r="K747" s="42"/>
    </row>
    <row r="748" ht="39.75" customHeight="1">
      <c r="A748" s="1">
        <v>747.0</v>
      </c>
      <c r="B748" s="2" t="s">
        <v>36</v>
      </c>
      <c r="C748" s="2" t="s">
        <v>13</v>
      </c>
      <c r="D748" s="13"/>
      <c r="E748" s="13"/>
      <c r="F748" s="45"/>
      <c r="G748" s="42"/>
      <c r="H748" s="42"/>
      <c r="I748" s="42"/>
      <c r="J748" s="22"/>
      <c r="K748" s="42"/>
    </row>
    <row r="749" ht="39.75" customHeight="1">
      <c r="A749" s="1">
        <v>748.0</v>
      </c>
      <c r="B749" s="2" t="s">
        <v>38</v>
      </c>
      <c r="C749" s="2" t="s">
        <v>13</v>
      </c>
      <c r="D749" s="13"/>
      <c r="E749" s="13"/>
      <c r="F749" s="45"/>
      <c r="G749" s="42"/>
      <c r="H749" s="42"/>
      <c r="I749" s="42"/>
      <c r="J749" s="22"/>
      <c r="K749" s="42"/>
    </row>
    <row r="750" ht="39.75" customHeight="1">
      <c r="A750" s="1">
        <v>749.0</v>
      </c>
      <c r="B750" s="2" t="s">
        <v>41</v>
      </c>
      <c r="C750" s="2"/>
      <c r="D750" s="13"/>
      <c r="E750" s="13"/>
      <c r="F750" s="44" t="s">
        <v>3869</v>
      </c>
      <c r="G750" s="43">
        <v>1.0</v>
      </c>
      <c r="H750" s="42"/>
      <c r="I750" s="42"/>
      <c r="J750" s="22"/>
      <c r="K750" s="42"/>
    </row>
    <row r="751" ht="39.75" customHeight="1">
      <c r="A751" s="1">
        <v>750.0</v>
      </c>
      <c r="B751" s="2" t="s">
        <v>42</v>
      </c>
      <c r="C751" s="2" t="s">
        <v>13</v>
      </c>
      <c r="D751" s="13"/>
      <c r="E751" s="13"/>
      <c r="F751" s="44"/>
      <c r="G751" s="42"/>
      <c r="H751" s="42"/>
      <c r="I751" s="42"/>
      <c r="J751" s="22"/>
      <c r="K751" s="42"/>
    </row>
    <row r="752" ht="39.75" customHeight="1">
      <c r="A752" s="1">
        <v>751.0</v>
      </c>
      <c r="B752" s="2" t="s">
        <v>43</v>
      </c>
      <c r="C752" s="2" t="s">
        <v>3557</v>
      </c>
      <c r="D752" s="13"/>
      <c r="E752" s="13"/>
      <c r="F752" s="44" t="s">
        <v>3863</v>
      </c>
      <c r="G752" s="43">
        <v>1.0</v>
      </c>
      <c r="H752" s="42"/>
      <c r="I752" s="43"/>
      <c r="J752" s="22"/>
      <c r="K752" s="42"/>
    </row>
    <row r="753" ht="39.75" customHeight="1">
      <c r="A753" s="1">
        <v>752.0</v>
      </c>
      <c r="B753" s="2" t="s">
        <v>267</v>
      </c>
      <c r="C753" s="2" t="s">
        <v>13</v>
      </c>
      <c r="D753" s="13"/>
      <c r="E753" s="13"/>
      <c r="F753" s="45"/>
      <c r="G753" s="42"/>
      <c r="H753" s="42"/>
      <c r="I753" s="42"/>
      <c r="J753" s="22"/>
      <c r="K753" s="42"/>
    </row>
    <row r="754" ht="39.75" customHeight="1">
      <c r="A754" s="1">
        <v>753.0</v>
      </c>
      <c r="B754" s="2" t="s">
        <v>46</v>
      </c>
      <c r="C754" s="2" t="s">
        <v>13</v>
      </c>
      <c r="D754" s="13"/>
      <c r="E754" s="13"/>
      <c r="F754" s="45"/>
      <c r="G754" s="42"/>
      <c r="H754" s="42"/>
      <c r="I754" s="42"/>
      <c r="J754" s="22"/>
      <c r="K754" s="42"/>
    </row>
    <row r="755" ht="39.75" customHeight="1">
      <c r="A755" s="1">
        <v>754.0</v>
      </c>
      <c r="B755" s="2" t="s">
        <v>47</v>
      </c>
      <c r="C755" s="2" t="s">
        <v>13</v>
      </c>
      <c r="D755" s="13"/>
      <c r="E755" s="13"/>
      <c r="F755" s="44"/>
      <c r="G755" s="42"/>
      <c r="H755" s="42"/>
      <c r="I755" s="42"/>
      <c r="J755" s="22"/>
      <c r="K755" s="42"/>
    </row>
    <row r="756" ht="39.75" customHeight="1">
      <c r="A756" s="1">
        <v>755.0</v>
      </c>
      <c r="B756" s="2" t="s">
        <v>48</v>
      </c>
      <c r="C756" s="2" t="s">
        <v>13</v>
      </c>
      <c r="D756" s="13"/>
      <c r="E756" s="13"/>
      <c r="F756" s="45"/>
      <c r="G756" s="42"/>
      <c r="H756" s="42"/>
      <c r="I756" s="42"/>
      <c r="J756" s="22"/>
      <c r="K756" s="42"/>
    </row>
    <row r="757" ht="39.75" customHeight="1">
      <c r="A757" s="1">
        <v>756.0</v>
      </c>
      <c r="B757" s="21"/>
      <c r="C757" s="21"/>
      <c r="D757" s="21"/>
      <c r="E757" s="21"/>
      <c r="F757" s="46"/>
      <c r="G757" s="47"/>
      <c r="H757" s="47"/>
      <c r="I757" s="47"/>
      <c r="J757" s="48"/>
      <c r="K757" s="47"/>
      <c r="L757" s="119" t="s">
        <v>15</v>
      </c>
      <c r="M757" s="49"/>
      <c r="N757" s="49"/>
    </row>
    <row r="758" ht="39.75" customHeight="1">
      <c r="A758" s="1">
        <v>757.0</v>
      </c>
      <c r="B758" s="2" t="s">
        <v>12</v>
      </c>
      <c r="C758" s="2" t="s">
        <v>13</v>
      </c>
      <c r="D758" s="13"/>
      <c r="E758" s="13"/>
      <c r="F758" s="45"/>
      <c r="G758" s="42"/>
      <c r="H758" s="42"/>
      <c r="I758" s="42"/>
      <c r="J758" s="27"/>
      <c r="K758" s="42"/>
      <c r="L758" s="15" t="s">
        <v>3870</v>
      </c>
    </row>
    <row r="759" ht="39.75" customHeight="1">
      <c r="A759" s="1">
        <v>758.0</v>
      </c>
      <c r="B759" s="2" t="s">
        <v>16</v>
      </c>
      <c r="C759" s="2" t="s">
        <v>13</v>
      </c>
      <c r="D759" s="13"/>
      <c r="E759" s="13"/>
      <c r="F759" s="44"/>
      <c r="G759" s="43"/>
      <c r="H759" s="42"/>
      <c r="I759" s="42"/>
      <c r="J759" s="27"/>
      <c r="K759" s="43"/>
    </row>
    <row r="760" ht="39.75" customHeight="1">
      <c r="A760" s="1">
        <v>759.0</v>
      </c>
      <c r="B760" s="2" t="s">
        <v>116</v>
      </c>
      <c r="C760" s="2" t="s">
        <v>13</v>
      </c>
      <c r="D760" s="13"/>
      <c r="E760" s="13"/>
      <c r="F760" s="44"/>
      <c r="G760" s="43"/>
      <c r="H760" s="42"/>
      <c r="I760" s="42"/>
      <c r="J760" s="27"/>
      <c r="K760" s="42"/>
    </row>
    <row r="761" ht="39.75" customHeight="1">
      <c r="A761" s="1">
        <v>760.0</v>
      </c>
      <c r="B761" s="2" t="s">
        <v>263</v>
      </c>
      <c r="C761" s="2" t="s">
        <v>13</v>
      </c>
      <c r="D761" s="13"/>
      <c r="E761" s="13"/>
      <c r="F761" s="44"/>
      <c r="G761" s="42"/>
      <c r="H761" s="42"/>
      <c r="I761" s="42"/>
      <c r="J761" s="27"/>
      <c r="K761" s="42"/>
    </row>
    <row r="762" ht="39.75" customHeight="1">
      <c r="A762" s="1">
        <v>761.0</v>
      </c>
      <c r="B762" s="2" t="s">
        <v>17</v>
      </c>
      <c r="C762" s="2" t="s">
        <v>13</v>
      </c>
      <c r="D762" s="13"/>
      <c r="E762" s="13"/>
      <c r="F762" s="44"/>
      <c r="G762" s="43"/>
      <c r="H762" s="42"/>
      <c r="I762" s="43"/>
      <c r="J762" s="27"/>
      <c r="K762" s="42"/>
    </row>
    <row r="763" ht="39.75" customHeight="1">
      <c r="A763" s="1">
        <v>762.0</v>
      </c>
      <c r="B763" s="2" t="s">
        <v>331</v>
      </c>
      <c r="C763" s="2" t="s">
        <v>13</v>
      </c>
      <c r="D763" s="13"/>
      <c r="E763" s="13"/>
      <c r="F763" s="44"/>
      <c r="G763" s="42"/>
      <c r="H763" s="42"/>
      <c r="I763" s="42"/>
      <c r="J763" s="27"/>
      <c r="K763" s="42"/>
    </row>
    <row r="764" ht="39.75" customHeight="1">
      <c r="A764" s="1">
        <v>763.0</v>
      </c>
      <c r="B764" s="2" t="s">
        <v>21</v>
      </c>
      <c r="C764" s="2" t="s">
        <v>49</v>
      </c>
      <c r="D764" s="13"/>
      <c r="E764" s="13"/>
      <c r="F764" s="45"/>
      <c r="G764" s="42"/>
      <c r="H764" s="42"/>
      <c r="I764" s="42"/>
      <c r="J764" s="27" t="s">
        <v>460</v>
      </c>
      <c r="K764" s="42"/>
    </row>
    <row r="765" ht="39.75" customHeight="1">
      <c r="A765" s="1">
        <v>764.0</v>
      </c>
      <c r="B765" s="2" t="s">
        <v>22</v>
      </c>
      <c r="C765" s="2" t="s">
        <v>3557</v>
      </c>
      <c r="D765" s="13"/>
      <c r="E765" s="13"/>
      <c r="F765" s="45"/>
      <c r="G765" s="42"/>
      <c r="H765" s="42"/>
      <c r="I765" s="42"/>
      <c r="J765" s="27" t="s">
        <v>19</v>
      </c>
      <c r="K765" s="42"/>
    </row>
    <row r="766" ht="39.75" customHeight="1">
      <c r="A766" s="1">
        <v>765.0</v>
      </c>
      <c r="B766" s="2" t="s">
        <v>261</v>
      </c>
      <c r="C766" s="2" t="s">
        <v>13</v>
      </c>
      <c r="D766" s="13"/>
      <c r="E766" s="13"/>
      <c r="F766" s="45"/>
      <c r="G766" s="42"/>
      <c r="H766" s="42"/>
      <c r="I766" s="42"/>
      <c r="J766" s="22"/>
      <c r="K766" s="42"/>
    </row>
    <row r="767" ht="39.75" customHeight="1">
      <c r="A767" s="1">
        <v>766.0</v>
      </c>
      <c r="B767" s="2" t="s">
        <v>23</v>
      </c>
      <c r="C767" s="2"/>
      <c r="D767" s="13"/>
      <c r="E767" s="13"/>
      <c r="F767" s="45"/>
      <c r="G767" s="42"/>
      <c r="H767" s="42"/>
      <c r="I767" s="42"/>
      <c r="J767" s="27" t="s">
        <v>30</v>
      </c>
      <c r="K767" s="42"/>
    </row>
    <row r="768" ht="39.75" customHeight="1">
      <c r="A768" s="1">
        <v>767.0</v>
      </c>
      <c r="B768" s="2" t="s">
        <v>24</v>
      </c>
      <c r="C768" s="2" t="s">
        <v>3563</v>
      </c>
      <c r="D768" s="13"/>
      <c r="E768" s="13"/>
      <c r="F768" s="45"/>
      <c r="G768" s="42"/>
      <c r="H768" s="42"/>
      <c r="I768" s="42"/>
      <c r="J768" s="22"/>
      <c r="K768" s="42"/>
    </row>
    <row r="769" ht="39.75" customHeight="1">
      <c r="A769" s="1">
        <v>768.0</v>
      </c>
      <c r="B769" s="2" t="s">
        <v>25</v>
      </c>
      <c r="C769" s="2" t="s">
        <v>44</v>
      </c>
      <c r="D769" s="13"/>
      <c r="E769" s="13"/>
      <c r="F769" s="45"/>
      <c r="G769" s="42"/>
      <c r="H769" s="42"/>
      <c r="I769" s="42"/>
      <c r="J769" s="22"/>
      <c r="K769" s="42"/>
    </row>
    <row r="770" ht="39.75" customHeight="1">
      <c r="A770" s="1">
        <v>769.0</v>
      </c>
      <c r="B770" s="2" t="s">
        <v>26</v>
      </c>
      <c r="C770" s="2" t="s">
        <v>13</v>
      </c>
      <c r="D770" s="13"/>
      <c r="E770" s="13"/>
      <c r="F770" s="45"/>
      <c r="G770" s="42"/>
      <c r="H770" s="42"/>
      <c r="I770" s="42"/>
      <c r="J770" s="22"/>
      <c r="K770" s="42"/>
    </row>
    <row r="771" ht="39.75" customHeight="1">
      <c r="A771" s="1">
        <v>770.0</v>
      </c>
      <c r="B771" s="2" t="s">
        <v>29</v>
      </c>
      <c r="C771" s="2" t="s">
        <v>3571</v>
      </c>
      <c r="D771" s="13"/>
      <c r="E771" s="13"/>
      <c r="F771" s="44"/>
      <c r="G771" s="43"/>
      <c r="H771" s="42"/>
      <c r="I771" s="43"/>
      <c r="J771" s="22"/>
      <c r="K771" s="42"/>
    </row>
    <row r="772" ht="39.75" customHeight="1">
      <c r="A772" s="1">
        <v>771.0</v>
      </c>
      <c r="B772" s="2" t="s">
        <v>32</v>
      </c>
      <c r="C772" s="2" t="s">
        <v>13</v>
      </c>
      <c r="D772" s="13"/>
      <c r="E772" s="13"/>
      <c r="F772" s="45"/>
      <c r="G772" s="42"/>
      <c r="H772" s="42"/>
      <c r="I772" s="42"/>
      <c r="J772" s="22"/>
      <c r="K772" s="42"/>
    </row>
    <row r="773" ht="39.75" customHeight="1">
      <c r="A773" s="1">
        <v>772.0</v>
      </c>
      <c r="B773" s="2" t="s">
        <v>67</v>
      </c>
      <c r="C773" s="2" t="s">
        <v>13</v>
      </c>
      <c r="D773" s="13"/>
      <c r="E773" s="13"/>
      <c r="F773" s="45"/>
      <c r="G773" s="42"/>
      <c r="H773" s="42"/>
      <c r="I773" s="42"/>
      <c r="J773" s="22"/>
      <c r="K773" s="42"/>
    </row>
    <row r="774" ht="39.75" customHeight="1">
      <c r="A774" s="1">
        <v>773.0</v>
      </c>
      <c r="B774" s="2" t="s">
        <v>35</v>
      </c>
      <c r="C774" s="2" t="s">
        <v>3563</v>
      </c>
      <c r="D774" s="13"/>
      <c r="E774" s="13"/>
      <c r="F774" s="44"/>
      <c r="G774" s="42"/>
      <c r="H774" s="42"/>
      <c r="I774" s="42"/>
      <c r="J774" s="22"/>
      <c r="K774" s="42"/>
    </row>
    <row r="775" ht="39.75" customHeight="1">
      <c r="A775" s="1">
        <v>774.0</v>
      </c>
      <c r="B775" s="2" t="s">
        <v>36</v>
      </c>
      <c r="C775" s="2" t="s">
        <v>13</v>
      </c>
      <c r="D775" s="13"/>
      <c r="E775" s="13"/>
      <c r="F775" s="45"/>
      <c r="G775" s="42"/>
      <c r="H775" s="42"/>
      <c r="I775" s="42"/>
      <c r="J775" s="22"/>
      <c r="K775" s="42"/>
    </row>
    <row r="776" ht="39.75" customHeight="1">
      <c r="A776" s="1">
        <v>775.0</v>
      </c>
      <c r="B776" s="2" t="s">
        <v>38</v>
      </c>
      <c r="C776" s="2" t="s">
        <v>13</v>
      </c>
      <c r="D776" s="13"/>
      <c r="E776" s="13"/>
      <c r="F776" s="44"/>
      <c r="G776" s="43"/>
      <c r="H776" s="42"/>
      <c r="I776" s="42"/>
      <c r="J776" s="22"/>
      <c r="K776" s="42"/>
    </row>
    <row r="777" ht="39.75" customHeight="1">
      <c r="A777" s="1">
        <v>776.0</v>
      </c>
      <c r="B777" s="2" t="s">
        <v>41</v>
      </c>
      <c r="C777" s="2" t="s">
        <v>13</v>
      </c>
      <c r="D777" s="13"/>
      <c r="E777" s="13"/>
      <c r="F777" s="45"/>
      <c r="G777" s="42"/>
      <c r="H777" s="42"/>
      <c r="I777" s="42"/>
      <c r="J777" s="22"/>
      <c r="K777" s="42"/>
    </row>
    <row r="778" ht="39.75" customHeight="1">
      <c r="A778" s="1">
        <v>777.0</v>
      </c>
      <c r="B778" s="2" t="s">
        <v>42</v>
      </c>
      <c r="C778" s="2" t="s">
        <v>13</v>
      </c>
      <c r="D778" s="13"/>
      <c r="E778" s="13"/>
      <c r="F778" s="44"/>
      <c r="G778" s="43"/>
      <c r="H778" s="42"/>
      <c r="I778" s="42"/>
      <c r="J778" s="22"/>
      <c r="K778" s="42"/>
    </row>
    <row r="779" ht="39.75" customHeight="1">
      <c r="A779" s="1">
        <v>778.0</v>
      </c>
      <c r="B779" s="2" t="s">
        <v>43</v>
      </c>
      <c r="C779" s="2" t="s">
        <v>3557</v>
      </c>
      <c r="D779" s="13"/>
      <c r="E779" s="13"/>
      <c r="F779" s="45"/>
      <c r="G779" s="42"/>
      <c r="H779" s="42"/>
      <c r="I779" s="42"/>
      <c r="J779" s="22"/>
      <c r="K779" s="42"/>
    </row>
    <row r="780" ht="39.75" customHeight="1">
      <c r="A780" s="1">
        <v>779.0</v>
      </c>
      <c r="B780" s="2" t="s">
        <v>267</v>
      </c>
      <c r="C780" s="2"/>
      <c r="D780" s="13"/>
      <c r="E780" s="13"/>
      <c r="F780" s="45"/>
      <c r="G780" s="42"/>
      <c r="H780" s="42"/>
      <c r="I780" s="42"/>
      <c r="J780" s="22"/>
      <c r="K780" s="42"/>
    </row>
    <row r="781" ht="39.75" customHeight="1">
      <c r="A781" s="1">
        <v>780.0</v>
      </c>
      <c r="B781" s="2" t="s">
        <v>46</v>
      </c>
      <c r="C781" s="2" t="s">
        <v>13</v>
      </c>
      <c r="D781" s="13"/>
      <c r="E781" s="13"/>
      <c r="F781" s="45"/>
      <c r="G781" s="42"/>
      <c r="H781" s="42"/>
      <c r="I781" s="42"/>
      <c r="J781" s="22"/>
      <c r="K781" s="42"/>
    </row>
    <row r="782" ht="39.75" customHeight="1">
      <c r="A782" s="1">
        <v>781.0</v>
      </c>
      <c r="B782" s="2" t="s">
        <v>47</v>
      </c>
      <c r="C782" s="2" t="s">
        <v>13</v>
      </c>
      <c r="D782" s="13"/>
      <c r="E782" s="13"/>
      <c r="F782" s="44"/>
      <c r="G782" s="42"/>
      <c r="H782" s="42"/>
      <c r="I782" s="42"/>
      <c r="J782" s="22"/>
      <c r="K782" s="42"/>
    </row>
    <row r="783" ht="39.75" customHeight="1">
      <c r="A783" s="1">
        <v>782.0</v>
      </c>
      <c r="B783" s="2" t="s">
        <v>48</v>
      </c>
      <c r="C783" s="2"/>
      <c r="D783" s="13"/>
      <c r="E783" s="13"/>
      <c r="F783" s="45"/>
      <c r="G783" s="42"/>
      <c r="H783" s="42"/>
      <c r="I783" s="42"/>
      <c r="J783" s="22"/>
      <c r="K783" s="42"/>
    </row>
    <row r="784" ht="39.75" customHeight="1">
      <c r="A784" s="1">
        <v>783.0</v>
      </c>
      <c r="B784" s="21"/>
      <c r="C784" s="21"/>
      <c r="D784" s="21"/>
      <c r="E784" s="21"/>
      <c r="F784" s="46"/>
      <c r="G784" s="47"/>
      <c r="H784" s="47"/>
      <c r="I784" s="47"/>
      <c r="J784" s="48"/>
      <c r="K784" s="47"/>
      <c r="L784" s="49"/>
      <c r="M784" s="49"/>
      <c r="N784" s="49"/>
    </row>
    <row r="785" ht="39.75" customHeight="1">
      <c r="A785" s="1">
        <v>784.0</v>
      </c>
      <c r="B785" s="2" t="s">
        <v>12</v>
      </c>
      <c r="C785" s="2" t="s">
        <v>62</v>
      </c>
      <c r="D785" s="13"/>
      <c r="E785" s="13"/>
      <c r="F785" s="45"/>
      <c r="G785" s="42"/>
      <c r="H785" s="42"/>
      <c r="I785" s="42"/>
      <c r="J785" s="22"/>
      <c r="K785" s="42"/>
      <c r="L785" s="15" t="s">
        <v>3875</v>
      </c>
    </row>
    <row r="786" ht="39.75" customHeight="1">
      <c r="A786" s="1">
        <v>785.0</v>
      </c>
      <c r="B786" s="2" t="s">
        <v>16</v>
      </c>
      <c r="C786" s="2" t="s">
        <v>66</v>
      </c>
      <c r="D786" s="13"/>
      <c r="E786" s="13"/>
      <c r="F786" s="45"/>
      <c r="G786" s="42"/>
      <c r="H786" s="42"/>
      <c r="I786" s="42"/>
      <c r="J786" s="27" t="s">
        <v>467</v>
      </c>
      <c r="K786" s="43"/>
    </row>
    <row r="787" ht="39.75" customHeight="1">
      <c r="A787" s="1">
        <v>786.0</v>
      </c>
      <c r="B787" s="2" t="s">
        <v>116</v>
      </c>
      <c r="C787" s="2" t="s">
        <v>54</v>
      </c>
      <c r="D787" s="13"/>
      <c r="E787" s="13"/>
      <c r="F787" s="45"/>
      <c r="G787" s="42"/>
      <c r="H787" s="42"/>
      <c r="I787" s="42"/>
      <c r="J787" s="27" t="s">
        <v>56</v>
      </c>
      <c r="K787" s="42"/>
    </row>
    <row r="788" ht="39.75" customHeight="1">
      <c r="A788" s="1">
        <v>787.0</v>
      </c>
      <c r="B788" s="2" t="s">
        <v>263</v>
      </c>
      <c r="C788" s="2" t="s">
        <v>3571</v>
      </c>
      <c r="D788" s="13"/>
      <c r="E788" s="13"/>
      <c r="F788" s="44"/>
      <c r="G788" s="42"/>
      <c r="H788" s="42"/>
      <c r="I788" s="42"/>
      <c r="J788" s="27" t="s">
        <v>3588</v>
      </c>
      <c r="K788" s="42"/>
    </row>
    <row r="789" ht="39.75" customHeight="1">
      <c r="A789" s="1">
        <v>788.0</v>
      </c>
      <c r="B789" s="2" t="s">
        <v>17</v>
      </c>
      <c r="C789" s="2" t="s">
        <v>64</v>
      </c>
      <c r="D789" s="13"/>
      <c r="E789" s="13"/>
      <c r="F789" s="45"/>
      <c r="G789" s="42"/>
      <c r="H789" s="42"/>
      <c r="I789" s="42"/>
      <c r="J789" s="22"/>
      <c r="K789" s="42"/>
    </row>
    <row r="790" ht="39.75" customHeight="1">
      <c r="A790" s="1">
        <v>789.0</v>
      </c>
      <c r="B790" s="2" t="s">
        <v>331</v>
      </c>
      <c r="C790" s="2" t="s">
        <v>13</v>
      </c>
      <c r="D790" s="13"/>
      <c r="E790" s="13"/>
      <c r="F790" s="45"/>
      <c r="G790" s="42"/>
      <c r="H790" s="42"/>
      <c r="I790" s="42"/>
      <c r="J790" s="22"/>
      <c r="K790" s="42"/>
    </row>
    <row r="791" ht="39.75" customHeight="1">
      <c r="A791" s="1">
        <v>790.0</v>
      </c>
      <c r="B791" s="2" t="s">
        <v>21</v>
      </c>
      <c r="C791" s="2" t="s">
        <v>39</v>
      </c>
      <c r="D791" s="13"/>
      <c r="E791" s="13"/>
      <c r="F791" s="45"/>
      <c r="G791" s="42"/>
      <c r="H791" s="42"/>
      <c r="I791" s="42"/>
      <c r="J791" s="22"/>
      <c r="K791" s="42"/>
    </row>
    <row r="792" ht="39.75" customHeight="1">
      <c r="A792" s="1">
        <v>791.0</v>
      </c>
      <c r="B792" s="2" t="s">
        <v>22</v>
      </c>
      <c r="C792" s="2" t="s">
        <v>3557</v>
      </c>
      <c r="D792" s="13"/>
      <c r="E792" s="13"/>
      <c r="F792" s="45"/>
      <c r="G792" s="42"/>
      <c r="H792" s="42"/>
      <c r="I792" s="42"/>
      <c r="J792" s="22"/>
      <c r="K792" s="42"/>
    </row>
    <row r="793" ht="39.75" customHeight="1">
      <c r="A793" s="1">
        <v>792.0</v>
      </c>
      <c r="B793" s="2" t="s">
        <v>261</v>
      </c>
      <c r="C793" s="2" t="s">
        <v>13</v>
      </c>
      <c r="D793" s="13"/>
      <c r="E793" s="13"/>
      <c r="F793" s="45"/>
      <c r="G793" s="42"/>
      <c r="H793" s="42"/>
      <c r="I793" s="42"/>
      <c r="J793" s="22"/>
      <c r="K793" s="42"/>
    </row>
    <row r="794" ht="39.75" customHeight="1">
      <c r="A794" s="1">
        <v>793.0</v>
      </c>
      <c r="B794" s="2" t="s">
        <v>23</v>
      </c>
      <c r="C794" s="2" t="s">
        <v>69</v>
      </c>
      <c r="D794" s="13"/>
      <c r="E794" s="13"/>
      <c r="F794" s="45"/>
      <c r="G794" s="42"/>
      <c r="H794" s="42"/>
      <c r="I794" s="42"/>
      <c r="J794" s="22"/>
      <c r="K794" s="42"/>
    </row>
    <row r="795" ht="39.75" customHeight="1">
      <c r="A795" s="1">
        <v>794.0</v>
      </c>
      <c r="B795" s="2" t="s">
        <v>24</v>
      </c>
      <c r="C795" s="2" t="s">
        <v>66</v>
      </c>
      <c r="D795" s="13"/>
      <c r="E795" s="13"/>
      <c r="F795" s="45"/>
      <c r="G795" s="42"/>
      <c r="H795" s="42"/>
      <c r="I795" s="42"/>
      <c r="J795" s="22"/>
      <c r="K795" s="42"/>
    </row>
    <row r="796" ht="39.75" customHeight="1">
      <c r="A796" s="1">
        <v>795.0</v>
      </c>
      <c r="B796" s="2" t="s">
        <v>25</v>
      </c>
      <c r="C796" s="2" t="s">
        <v>54</v>
      </c>
      <c r="D796" s="13"/>
      <c r="E796" s="13"/>
      <c r="F796" s="45"/>
      <c r="G796" s="42"/>
      <c r="H796" s="42"/>
      <c r="I796" s="42"/>
      <c r="J796" s="22"/>
      <c r="K796" s="42"/>
    </row>
    <row r="797" ht="39.75" customHeight="1">
      <c r="A797" s="1">
        <v>796.0</v>
      </c>
      <c r="B797" s="2" t="s">
        <v>26</v>
      </c>
      <c r="C797" s="2" t="s">
        <v>54</v>
      </c>
      <c r="D797" s="13"/>
      <c r="E797" s="13"/>
      <c r="F797" s="45"/>
      <c r="G797" s="42"/>
      <c r="H797" s="42"/>
      <c r="I797" s="42"/>
      <c r="J797" s="22"/>
      <c r="K797" s="42"/>
    </row>
    <row r="798" ht="39.75" customHeight="1">
      <c r="A798" s="1">
        <v>797.0</v>
      </c>
      <c r="B798" s="2" t="s">
        <v>29</v>
      </c>
      <c r="C798" s="2" t="s">
        <v>44</v>
      </c>
      <c r="D798" s="13"/>
      <c r="E798" s="13"/>
      <c r="F798" s="45"/>
      <c r="G798" s="42"/>
      <c r="H798" s="42"/>
      <c r="I798" s="42"/>
      <c r="J798" s="22"/>
      <c r="K798" s="42"/>
    </row>
    <row r="799" ht="39.75" customHeight="1">
      <c r="A799" s="1">
        <v>798.0</v>
      </c>
      <c r="B799" s="2" t="s">
        <v>32</v>
      </c>
      <c r="C799" s="2" t="s">
        <v>13</v>
      </c>
      <c r="D799" s="13"/>
      <c r="E799" s="13"/>
      <c r="F799" s="45"/>
      <c r="G799" s="42"/>
      <c r="H799" s="42"/>
      <c r="I799" s="42"/>
      <c r="J799" s="22"/>
      <c r="K799" s="42"/>
    </row>
    <row r="800" ht="39.75" customHeight="1">
      <c r="A800" s="1">
        <v>799.0</v>
      </c>
      <c r="B800" s="2" t="s">
        <v>67</v>
      </c>
      <c r="C800" s="2"/>
      <c r="D800" s="13"/>
      <c r="E800" s="13"/>
      <c r="F800" s="45"/>
      <c r="G800" s="42"/>
      <c r="H800" s="42"/>
      <c r="I800" s="42"/>
      <c r="J800" s="22"/>
      <c r="K800" s="42"/>
    </row>
    <row r="801" ht="39.75" customHeight="1">
      <c r="A801" s="1">
        <v>800.0</v>
      </c>
      <c r="B801" s="2" t="s">
        <v>35</v>
      </c>
      <c r="C801" s="2" t="s">
        <v>3563</v>
      </c>
      <c r="D801" s="13"/>
      <c r="E801" s="13"/>
      <c r="F801" s="45"/>
      <c r="G801" s="42"/>
      <c r="H801" s="42"/>
      <c r="I801" s="42"/>
      <c r="J801" s="22"/>
      <c r="K801" s="42"/>
    </row>
    <row r="802" ht="39.75" customHeight="1">
      <c r="A802" s="1">
        <v>801.0</v>
      </c>
      <c r="B802" s="2" t="s">
        <v>36</v>
      </c>
      <c r="C802" s="2" t="s">
        <v>69</v>
      </c>
      <c r="D802" s="13"/>
      <c r="E802" s="13"/>
      <c r="F802" s="45"/>
      <c r="G802" s="42"/>
      <c r="H802" s="42"/>
      <c r="I802" s="42"/>
      <c r="J802" s="22"/>
      <c r="K802" s="42"/>
    </row>
    <row r="803" ht="39.75" customHeight="1">
      <c r="A803" s="1">
        <v>802.0</v>
      </c>
      <c r="B803" s="2" t="s">
        <v>38</v>
      </c>
      <c r="C803" s="2" t="s">
        <v>69</v>
      </c>
      <c r="D803" s="13"/>
      <c r="E803" s="13"/>
      <c r="F803" s="45"/>
      <c r="G803" s="42"/>
      <c r="H803" s="42"/>
      <c r="I803" s="42"/>
      <c r="J803" s="22"/>
      <c r="K803" s="42"/>
    </row>
    <row r="804" ht="39.75" customHeight="1">
      <c r="A804" s="1">
        <v>803.0</v>
      </c>
      <c r="B804" s="2" t="s">
        <v>41</v>
      </c>
      <c r="C804" s="2" t="s">
        <v>39</v>
      </c>
      <c r="D804" s="13"/>
      <c r="E804" s="13"/>
      <c r="F804" s="45"/>
      <c r="G804" s="42"/>
      <c r="H804" s="42"/>
      <c r="I804" s="42"/>
      <c r="J804" s="22"/>
      <c r="K804" s="42"/>
    </row>
    <row r="805" ht="39.75" customHeight="1">
      <c r="A805" s="1">
        <v>804.0</v>
      </c>
      <c r="B805" s="2" t="s">
        <v>42</v>
      </c>
      <c r="C805" s="2"/>
      <c r="D805" s="13"/>
      <c r="E805" s="13"/>
      <c r="F805" s="45"/>
      <c r="G805" s="42"/>
      <c r="H805" s="42"/>
      <c r="I805" s="42"/>
      <c r="J805" s="22"/>
      <c r="K805" s="42"/>
    </row>
    <row r="806" ht="39.75" customHeight="1">
      <c r="A806" s="1">
        <v>805.0</v>
      </c>
      <c r="B806" s="2" t="s">
        <v>43</v>
      </c>
      <c r="C806" s="2" t="s">
        <v>3557</v>
      </c>
      <c r="D806" s="13"/>
      <c r="E806" s="13"/>
      <c r="F806" s="45"/>
      <c r="G806" s="42"/>
      <c r="H806" s="42"/>
      <c r="I806" s="42"/>
      <c r="J806" s="22"/>
      <c r="K806" s="42"/>
    </row>
    <row r="807" ht="39.75" customHeight="1">
      <c r="A807" s="1">
        <v>806.0</v>
      </c>
      <c r="B807" s="2" t="s">
        <v>267</v>
      </c>
      <c r="C807" s="2" t="s">
        <v>54</v>
      </c>
      <c r="D807" s="13"/>
      <c r="E807" s="13"/>
      <c r="F807" s="45"/>
      <c r="G807" s="42"/>
      <c r="H807" s="42"/>
      <c r="I807" s="42"/>
      <c r="J807" s="22"/>
      <c r="K807" s="42"/>
    </row>
    <row r="808" ht="39.75" customHeight="1">
      <c r="A808" s="1">
        <v>807.0</v>
      </c>
      <c r="B808" s="2" t="s">
        <v>46</v>
      </c>
      <c r="C808" s="2" t="s">
        <v>13</v>
      </c>
      <c r="D808" s="13"/>
      <c r="E808" s="13"/>
      <c r="F808" s="45"/>
      <c r="G808" s="42"/>
      <c r="H808" s="42"/>
      <c r="I808" s="42"/>
      <c r="J808" s="22"/>
      <c r="K808" s="42"/>
    </row>
    <row r="809" ht="39.75" customHeight="1">
      <c r="A809" s="1">
        <v>808.0</v>
      </c>
      <c r="B809" s="2" t="s">
        <v>47</v>
      </c>
      <c r="C809" s="2" t="s">
        <v>13</v>
      </c>
      <c r="D809" s="13"/>
      <c r="E809" s="13"/>
      <c r="F809" s="45"/>
      <c r="G809" s="42"/>
      <c r="H809" s="42"/>
      <c r="I809" s="42"/>
      <c r="J809" s="22"/>
      <c r="K809" s="42"/>
    </row>
    <row r="810" ht="39.75" customHeight="1">
      <c r="A810" s="1">
        <v>809.0</v>
      </c>
      <c r="B810" s="2" t="s">
        <v>48</v>
      </c>
      <c r="C810" s="2"/>
      <c r="D810" s="13"/>
      <c r="E810" s="13"/>
      <c r="F810" s="45"/>
      <c r="G810" s="42"/>
      <c r="H810" s="42"/>
      <c r="I810" s="42"/>
      <c r="J810" s="22"/>
      <c r="K810" s="42"/>
    </row>
    <row r="811" ht="39.75" customHeight="1">
      <c r="A811" s="1">
        <v>810.0</v>
      </c>
      <c r="B811" s="21"/>
      <c r="C811" s="21"/>
      <c r="D811" s="21"/>
      <c r="E811" s="21"/>
      <c r="F811" s="46"/>
      <c r="G811" s="47"/>
      <c r="H811" s="47"/>
      <c r="I811" s="47"/>
      <c r="J811" s="48"/>
      <c r="K811" s="47"/>
      <c r="L811" s="49"/>
      <c r="M811" s="49"/>
      <c r="N811" s="49"/>
    </row>
    <row r="812" ht="39.75" customHeight="1">
      <c r="A812" s="1">
        <v>811.0</v>
      </c>
      <c r="B812" s="2" t="s">
        <v>12</v>
      </c>
      <c r="C812" s="2" t="s">
        <v>62</v>
      </c>
      <c r="D812" s="13"/>
      <c r="E812" s="13"/>
      <c r="F812" s="45"/>
      <c r="G812" s="42"/>
      <c r="H812" s="42"/>
      <c r="I812" s="42"/>
      <c r="J812" s="22"/>
      <c r="K812" s="42"/>
      <c r="L812" s="15" t="s">
        <v>3889</v>
      </c>
    </row>
    <row r="813" ht="39.75" customHeight="1">
      <c r="A813" s="1">
        <v>812.0</v>
      </c>
      <c r="B813" s="2" t="s">
        <v>16</v>
      </c>
      <c r="C813" s="2" t="s">
        <v>13</v>
      </c>
      <c r="D813" s="13"/>
      <c r="E813" s="13"/>
      <c r="F813" s="45"/>
      <c r="G813" s="42"/>
      <c r="H813" s="42"/>
      <c r="I813" s="42"/>
      <c r="J813" s="27" t="s">
        <v>477</v>
      </c>
      <c r="K813" s="43"/>
    </row>
    <row r="814" ht="39.75" customHeight="1">
      <c r="A814" s="1">
        <v>813.0</v>
      </c>
      <c r="B814" s="2" t="s">
        <v>116</v>
      </c>
      <c r="C814" s="2" t="s">
        <v>3571</v>
      </c>
      <c r="D814" s="13"/>
      <c r="E814" s="13"/>
      <c r="F814" s="45"/>
      <c r="G814" s="42"/>
      <c r="H814" s="42"/>
      <c r="I814" s="42"/>
      <c r="J814" s="27" t="s">
        <v>77</v>
      </c>
      <c r="K814" s="42"/>
    </row>
    <row r="815" ht="39.75" customHeight="1">
      <c r="A815" s="1">
        <v>814.0</v>
      </c>
      <c r="B815" s="2" t="s">
        <v>263</v>
      </c>
      <c r="C815" s="2" t="s">
        <v>44</v>
      </c>
      <c r="D815" s="13"/>
      <c r="E815" s="13"/>
      <c r="F815" s="44"/>
      <c r="G815" s="42"/>
      <c r="H815" s="42"/>
      <c r="I815" s="42"/>
      <c r="J815" s="27" t="s">
        <v>3637</v>
      </c>
      <c r="K815" s="42"/>
    </row>
    <row r="816" ht="39.75" customHeight="1">
      <c r="A816" s="1">
        <v>815.0</v>
      </c>
      <c r="B816" s="2" t="s">
        <v>17</v>
      </c>
      <c r="C816" s="2" t="s">
        <v>64</v>
      </c>
      <c r="D816" s="13"/>
      <c r="E816" s="13"/>
      <c r="F816" s="45"/>
      <c r="G816" s="42"/>
      <c r="H816" s="42"/>
      <c r="I816" s="42"/>
      <c r="J816" s="22"/>
      <c r="K816" s="42"/>
    </row>
    <row r="817" ht="39.75" customHeight="1">
      <c r="A817" s="1">
        <v>816.0</v>
      </c>
      <c r="B817" s="2" t="s">
        <v>331</v>
      </c>
      <c r="C817" s="2" t="s">
        <v>542</v>
      </c>
      <c r="D817" s="13"/>
      <c r="E817" s="13"/>
      <c r="F817" s="45"/>
      <c r="G817" s="42"/>
      <c r="H817" s="42"/>
      <c r="I817" s="42"/>
      <c r="J817" s="22"/>
      <c r="K817" s="42"/>
    </row>
    <row r="818" ht="39.75" customHeight="1">
      <c r="A818" s="1">
        <v>817.0</v>
      </c>
      <c r="B818" s="2" t="s">
        <v>21</v>
      </c>
      <c r="C818" s="2" t="s">
        <v>69</v>
      </c>
      <c r="D818" s="13"/>
      <c r="E818" s="13"/>
      <c r="F818" s="45"/>
      <c r="G818" s="42"/>
      <c r="H818" s="42"/>
      <c r="I818" s="42"/>
      <c r="J818" s="22"/>
      <c r="K818" s="42"/>
    </row>
    <row r="819" ht="39.75" customHeight="1">
      <c r="A819" s="1">
        <v>818.0</v>
      </c>
      <c r="B819" s="2" t="s">
        <v>22</v>
      </c>
      <c r="C819" s="2" t="s">
        <v>39</v>
      </c>
      <c r="D819" s="13"/>
      <c r="E819" s="13"/>
      <c r="F819" s="45"/>
      <c r="G819" s="42"/>
      <c r="H819" s="42"/>
      <c r="I819" s="42"/>
      <c r="J819" s="22"/>
      <c r="K819" s="42"/>
    </row>
    <row r="820" ht="39.75" customHeight="1">
      <c r="A820" s="1">
        <v>819.0</v>
      </c>
      <c r="B820" s="2" t="s">
        <v>261</v>
      </c>
      <c r="C820" s="2" t="s">
        <v>13</v>
      </c>
      <c r="D820" s="13"/>
      <c r="E820" s="13"/>
      <c r="F820" s="45"/>
      <c r="G820" s="42"/>
      <c r="H820" s="42"/>
      <c r="I820" s="42"/>
      <c r="J820" s="22"/>
      <c r="K820" s="42"/>
    </row>
    <row r="821" ht="39.75" customHeight="1">
      <c r="A821" s="1">
        <v>820.0</v>
      </c>
      <c r="B821" s="2" t="s">
        <v>23</v>
      </c>
      <c r="C821" s="2" t="s">
        <v>69</v>
      </c>
      <c r="D821" s="13"/>
      <c r="E821" s="13"/>
      <c r="F821" s="45"/>
      <c r="G821" s="42"/>
      <c r="H821" s="42"/>
      <c r="I821" s="42"/>
      <c r="J821" s="22"/>
      <c r="K821" s="42"/>
    </row>
    <row r="822" ht="39.75" customHeight="1">
      <c r="A822" s="1">
        <v>821.0</v>
      </c>
      <c r="B822" s="2" t="s">
        <v>24</v>
      </c>
      <c r="C822" s="2" t="s">
        <v>13</v>
      </c>
      <c r="D822" s="13"/>
      <c r="E822" s="13"/>
      <c r="F822" s="45"/>
      <c r="G822" s="42"/>
      <c r="H822" s="42"/>
      <c r="I822" s="42"/>
      <c r="J822" s="22"/>
      <c r="K822" s="42"/>
    </row>
    <row r="823" ht="39.75" customHeight="1">
      <c r="A823" s="1">
        <v>822.0</v>
      </c>
      <c r="B823" s="2" t="s">
        <v>25</v>
      </c>
      <c r="C823" s="2" t="s">
        <v>54</v>
      </c>
      <c r="D823" s="13"/>
      <c r="E823" s="13"/>
      <c r="F823" s="45"/>
      <c r="G823" s="42"/>
      <c r="H823" s="42"/>
      <c r="I823" s="42"/>
      <c r="J823" s="22"/>
      <c r="K823" s="42"/>
    </row>
    <row r="824" ht="39.75" customHeight="1">
      <c r="A824" s="1">
        <v>823.0</v>
      </c>
      <c r="B824" s="2" t="s">
        <v>26</v>
      </c>
      <c r="C824" s="2" t="s">
        <v>54</v>
      </c>
      <c r="D824" s="13"/>
      <c r="E824" s="13"/>
      <c r="F824" s="45"/>
      <c r="G824" s="42"/>
      <c r="H824" s="42"/>
      <c r="I824" s="42"/>
      <c r="J824" s="22"/>
      <c r="K824" s="42"/>
    </row>
    <row r="825" ht="39.75" customHeight="1">
      <c r="A825" s="1">
        <v>824.0</v>
      </c>
      <c r="B825" s="2" t="s">
        <v>29</v>
      </c>
      <c r="C825" s="13"/>
      <c r="D825" s="13"/>
      <c r="E825" s="13"/>
      <c r="F825" s="45"/>
      <c r="G825" s="42"/>
      <c r="H825" s="42"/>
      <c r="I825" s="42"/>
      <c r="J825" s="22"/>
      <c r="K825" s="42"/>
    </row>
    <row r="826" ht="39.75" customHeight="1">
      <c r="A826" s="1">
        <v>825.0</v>
      </c>
      <c r="B826" s="2" t="s">
        <v>32</v>
      </c>
      <c r="C826" s="2" t="s">
        <v>69</v>
      </c>
      <c r="D826" s="13"/>
      <c r="E826" s="13"/>
      <c r="F826" s="45"/>
      <c r="G826" s="42"/>
      <c r="H826" s="42"/>
      <c r="I826" s="42"/>
      <c r="J826" s="22"/>
      <c r="K826" s="42"/>
    </row>
    <row r="827" ht="39.75" customHeight="1">
      <c r="A827" s="1">
        <v>826.0</v>
      </c>
      <c r="B827" s="2" t="s">
        <v>67</v>
      </c>
      <c r="C827" s="2" t="s">
        <v>13</v>
      </c>
      <c r="D827" s="13"/>
      <c r="E827" s="13"/>
      <c r="F827" s="45"/>
      <c r="G827" s="42"/>
      <c r="H827" s="42"/>
      <c r="I827" s="42"/>
      <c r="J827" s="22"/>
      <c r="K827" s="42"/>
    </row>
    <row r="828" ht="39.75" customHeight="1">
      <c r="A828" s="1">
        <v>827.0</v>
      </c>
      <c r="B828" s="2" t="s">
        <v>35</v>
      </c>
      <c r="C828" s="2" t="s">
        <v>3563</v>
      </c>
      <c r="D828" s="13"/>
      <c r="E828" s="13"/>
      <c r="F828" s="45"/>
      <c r="G828" s="42"/>
      <c r="H828" s="42"/>
      <c r="I828" s="42"/>
      <c r="J828" s="22"/>
      <c r="K828" s="42"/>
    </row>
    <row r="829" ht="39.75" customHeight="1">
      <c r="A829" s="1">
        <v>828.0</v>
      </c>
      <c r="B829" s="2" t="s">
        <v>36</v>
      </c>
      <c r="C829" s="2" t="s">
        <v>54</v>
      </c>
      <c r="D829" s="13"/>
      <c r="E829" s="13"/>
      <c r="F829" s="45"/>
      <c r="G829" s="42"/>
      <c r="H829" s="42"/>
      <c r="I829" s="42"/>
      <c r="J829" s="22"/>
      <c r="K829" s="42"/>
    </row>
    <row r="830" ht="39.75" customHeight="1">
      <c r="A830" s="1">
        <v>829.0</v>
      </c>
      <c r="B830" s="2" t="s">
        <v>38</v>
      </c>
      <c r="C830" s="2"/>
      <c r="D830" s="13"/>
      <c r="E830" s="13"/>
      <c r="F830" s="45"/>
      <c r="G830" s="42"/>
      <c r="H830" s="42"/>
      <c r="I830" s="42"/>
      <c r="J830" s="22"/>
      <c r="K830" s="42"/>
    </row>
    <row r="831" ht="39.75" customHeight="1">
      <c r="A831" s="1">
        <v>830.0</v>
      </c>
      <c r="B831" s="2" t="s">
        <v>41</v>
      </c>
      <c r="C831" s="2" t="s">
        <v>66</v>
      </c>
      <c r="D831" s="13"/>
      <c r="E831" s="13"/>
      <c r="F831" s="45"/>
      <c r="G831" s="42"/>
      <c r="H831" s="42"/>
      <c r="I831" s="42"/>
      <c r="J831" s="22"/>
      <c r="K831" s="42"/>
    </row>
    <row r="832" ht="39.75" customHeight="1">
      <c r="A832" s="1">
        <v>831.0</v>
      </c>
      <c r="B832" s="2" t="s">
        <v>42</v>
      </c>
      <c r="C832" s="2" t="s">
        <v>39</v>
      </c>
      <c r="D832" s="13"/>
      <c r="E832" s="13"/>
      <c r="F832" s="45"/>
      <c r="G832" s="42"/>
      <c r="H832" s="42"/>
      <c r="I832" s="42"/>
      <c r="J832" s="22"/>
      <c r="K832" s="42"/>
    </row>
    <row r="833" ht="39.75" customHeight="1">
      <c r="A833" s="1">
        <v>832.0</v>
      </c>
      <c r="B833" s="2" t="s">
        <v>43</v>
      </c>
      <c r="C833" s="2" t="s">
        <v>3557</v>
      </c>
      <c r="D833" s="13"/>
      <c r="E833" s="13"/>
      <c r="F833" s="45"/>
      <c r="G833" s="42"/>
      <c r="H833" s="42"/>
      <c r="I833" s="42"/>
      <c r="J833" s="22"/>
      <c r="K833" s="42"/>
    </row>
    <row r="834" ht="39.75" customHeight="1">
      <c r="A834" s="1">
        <v>833.0</v>
      </c>
      <c r="B834" s="2" t="s">
        <v>267</v>
      </c>
      <c r="C834" s="2" t="s">
        <v>54</v>
      </c>
      <c r="D834" s="13"/>
      <c r="E834" s="13"/>
      <c r="F834" s="45"/>
      <c r="G834" s="42"/>
      <c r="H834" s="42"/>
      <c r="I834" s="42"/>
      <c r="J834" s="22"/>
      <c r="K834" s="42"/>
    </row>
    <row r="835" ht="39.75" customHeight="1">
      <c r="A835" s="1">
        <v>834.0</v>
      </c>
      <c r="B835" s="2" t="s">
        <v>46</v>
      </c>
      <c r="C835" s="2" t="s">
        <v>13</v>
      </c>
      <c r="D835" s="13"/>
      <c r="E835" s="13"/>
      <c r="F835" s="45"/>
      <c r="G835" s="42"/>
      <c r="H835" s="42"/>
      <c r="I835" s="42"/>
      <c r="J835" s="22"/>
      <c r="K835" s="42"/>
    </row>
    <row r="836" ht="39.75" customHeight="1">
      <c r="A836" s="1">
        <v>835.0</v>
      </c>
      <c r="B836" s="2" t="s">
        <v>47</v>
      </c>
      <c r="C836" s="2"/>
      <c r="D836" s="13"/>
      <c r="E836" s="13"/>
      <c r="F836" s="45"/>
      <c r="G836" s="42"/>
      <c r="H836" s="42"/>
      <c r="I836" s="42"/>
      <c r="J836" s="22"/>
      <c r="K836" s="42"/>
    </row>
    <row r="837" ht="39.75" customHeight="1">
      <c r="A837" s="1">
        <v>836.0</v>
      </c>
      <c r="B837" s="2" t="s">
        <v>48</v>
      </c>
      <c r="C837" s="2"/>
      <c r="D837" s="13"/>
      <c r="E837" s="13"/>
      <c r="F837" s="45"/>
      <c r="G837" s="42"/>
      <c r="H837" s="42"/>
      <c r="I837" s="42"/>
      <c r="J837" s="22"/>
      <c r="K837" s="42"/>
    </row>
    <row r="838" ht="39.75" customHeight="1">
      <c r="A838" s="1">
        <v>837.0</v>
      </c>
      <c r="B838" s="21"/>
      <c r="C838" s="21"/>
      <c r="D838" s="21"/>
      <c r="E838" s="21"/>
      <c r="F838" s="46"/>
      <c r="G838" s="47"/>
      <c r="H838" s="47"/>
      <c r="I838" s="47"/>
      <c r="J838" s="48"/>
      <c r="K838" s="47"/>
      <c r="L838" s="49"/>
      <c r="M838" s="49"/>
      <c r="N838" s="49"/>
    </row>
  </sheetData>
  <mergeCells count="31">
    <mergeCell ref="L2:N27"/>
    <mergeCell ref="L29:N54"/>
    <mergeCell ref="L56:N81"/>
    <mergeCell ref="L83:N108"/>
    <mergeCell ref="L110:N135"/>
    <mergeCell ref="L137:N162"/>
    <mergeCell ref="L164:N189"/>
    <mergeCell ref="L191:N216"/>
    <mergeCell ref="L218:N243"/>
    <mergeCell ref="L245:N270"/>
    <mergeCell ref="L272:N297"/>
    <mergeCell ref="L299:N324"/>
    <mergeCell ref="L326:N351"/>
    <mergeCell ref="L353:N378"/>
    <mergeCell ref="L380:N405"/>
    <mergeCell ref="L407:N432"/>
    <mergeCell ref="L434:N459"/>
    <mergeCell ref="L461:N486"/>
    <mergeCell ref="L488:N513"/>
    <mergeCell ref="L515:N540"/>
    <mergeCell ref="L542:N567"/>
    <mergeCell ref="L758:N783"/>
    <mergeCell ref="L785:N810"/>
    <mergeCell ref="L812:N837"/>
    <mergeCell ref="L569:N594"/>
    <mergeCell ref="L596:N621"/>
    <mergeCell ref="L623:N648"/>
    <mergeCell ref="L650:N675"/>
    <mergeCell ref="L677:N702"/>
    <mergeCell ref="L704:N729"/>
    <mergeCell ref="L731:N756"/>
  </mergeCells>
  <conditionalFormatting sqref="B2:I838">
    <cfRule type="expression" dxfId="6" priority="1">
      <formula>$C2="휴가"</formula>
    </cfRule>
  </conditionalFormatting>
  <conditionalFormatting sqref="B2:I838">
    <cfRule type="expression" dxfId="6" priority="2">
      <formula>$C2="휴무"</formula>
    </cfRule>
  </conditionalFormatting>
  <conditionalFormatting sqref="B2:I838">
    <cfRule type="expression" dxfId="6" priority="3">
      <formula>$C2="제크"</formula>
    </cfRule>
  </conditionalFormatting>
  <conditionalFormatting sqref="B2:I838">
    <cfRule type="expression" dxfId="7" priority="4">
      <formula>$C2="야퇴"</formula>
    </cfRule>
  </conditionalFormatting>
  <conditionalFormatting sqref="B2:I838">
    <cfRule type="expression" dxfId="8" priority="5">
      <formula>$C2="청와대"</formula>
    </cfRule>
  </conditionalFormatting>
  <conditionalFormatting sqref="B2:I838">
    <cfRule type="expression" dxfId="9" priority="6">
      <formula>$C2="국회"</formula>
    </cfRule>
  </conditionalFormatting>
  <conditionalFormatting sqref="A1">
    <cfRule type="notContainsBlanks" dxfId="5" priority="7">
      <formula>LEN(TRIM(A1))&gt;0</formula>
    </cfRule>
  </conditionalFormatting>
  <conditionalFormatting sqref="K20">
    <cfRule type="expression" dxfId="10" priority="8">
      <formula>"밀라노"</formula>
    </cfRule>
  </conditionalFormatting>
  <conditionalFormatting sqref="B2:I838">
    <cfRule type="expression" dxfId="11" priority="9">
      <formula>$C2="밀라노"</formula>
    </cfRule>
  </conditionalFormatting>
  <conditionalFormatting sqref="C72">
    <cfRule type="containsText" dxfId="5" priority="10" operator="containsText" text="해외출장">
      <formula>NOT(ISERROR(SEARCH(("해외출장"),(C72))))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8.25"/>
    <col customWidth="1" min="3" max="3" width="10.75"/>
    <col customWidth="1" min="4" max="5" width="8.88"/>
    <col customWidth="1" min="6" max="6" width="50.13"/>
    <col customWidth="1" min="7" max="7" width="8.88"/>
    <col customWidth="1" min="8" max="8" width="10.63"/>
    <col customWidth="1" min="9" max="9" width="11.38"/>
    <col customWidth="1" min="10" max="10" width="8.5"/>
    <col customWidth="1" min="11" max="11" width="11.38"/>
    <col customWidth="1" min="12" max="14" width="12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36"/>
      <c r="K1" s="2" t="s">
        <v>1160</v>
      </c>
      <c r="L1" s="37" t="s">
        <v>490</v>
      </c>
      <c r="M1" s="38" t="s">
        <v>10</v>
      </c>
      <c r="N1" s="39" t="s">
        <v>11</v>
      </c>
    </row>
    <row r="2" ht="39.75" customHeight="1">
      <c r="A2" s="1">
        <v>1.0</v>
      </c>
      <c r="B2" s="2" t="s">
        <v>12</v>
      </c>
      <c r="C2" s="2" t="s">
        <v>13</v>
      </c>
      <c r="D2" s="40"/>
      <c r="E2" s="40"/>
      <c r="F2" s="45"/>
      <c r="G2" s="42"/>
      <c r="H2" s="42"/>
      <c r="I2" s="42"/>
      <c r="J2" s="14" t="s">
        <v>840</v>
      </c>
      <c r="K2" s="43"/>
      <c r="L2" s="15" t="s">
        <v>15</v>
      </c>
    </row>
    <row r="3" ht="39.75" customHeight="1">
      <c r="A3" s="1">
        <v>2.0</v>
      </c>
      <c r="B3" s="2" t="s">
        <v>16</v>
      </c>
      <c r="C3" s="2" t="s">
        <v>13</v>
      </c>
      <c r="D3" s="13"/>
      <c r="E3" s="13"/>
      <c r="F3" s="44"/>
      <c r="G3" s="42"/>
      <c r="H3" s="42"/>
      <c r="I3" s="42"/>
      <c r="J3" s="14" t="s">
        <v>15</v>
      </c>
      <c r="K3" s="43"/>
    </row>
    <row r="4" ht="39.75" customHeight="1">
      <c r="A4" s="1">
        <v>3.0</v>
      </c>
      <c r="B4" s="2" t="s">
        <v>116</v>
      </c>
      <c r="C4" s="2" t="s">
        <v>3560</v>
      </c>
      <c r="D4" s="13"/>
      <c r="E4" s="13"/>
      <c r="F4" s="44" t="s">
        <v>3897</v>
      </c>
      <c r="G4" s="43">
        <v>1.0</v>
      </c>
      <c r="H4" s="42"/>
      <c r="I4" s="43">
        <v>1.0</v>
      </c>
      <c r="J4" s="14" t="s">
        <v>19</v>
      </c>
      <c r="K4" s="43"/>
    </row>
    <row r="5" ht="39.75" customHeight="1">
      <c r="A5" s="1">
        <v>4.0</v>
      </c>
      <c r="B5" s="2" t="s">
        <v>263</v>
      </c>
      <c r="C5" s="2" t="s">
        <v>13</v>
      </c>
      <c r="D5" s="13"/>
      <c r="E5" s="13"/>
      <c r="F5" s="44"/>
      <c r="G5" s="42"/>
      <c r="H5" s="42"/>
      <c r="I5" s="42"/>
      <c r="J5" s="14" t="s">
        <v>151</v>
      </c>
      <c r="K5" s="43"/>
    </row>
    <row r="6" ht="39.75" customHeight="1">
      <c r="A6" s="1">
        <v>5.0</v>
      </c>
      <c r="B6" s="2" t="s">
        <v>17</v>
      </c>
      <c r="C6" s="2" t="s">
        <v>13</v>
      </c>
      <c r="D6" s="13"/>
      <c r="E6" s="13"/>
      <c r="F6" s="45"/>
      <c r="G6" s="42"/>
      <c r="H6" s="42"/>
      <c r="I6" s="42"/>
      <c r="J6" s="14" t="s">
        <v>152</v>
      </c>
      <c r="K6" s="43"/>
    </row>
    <row r="7" ht="39.75" customHeight="1">
      <c r="A7" s="1">
        <v>6.0</v>
      </c>
      <c r="B7" s="92" t="s">
        <v>331</v>
      </c>
      <c r="C7" s="92"/>
      <c r="D7" s="92"/>
      <c r="E7" s="93"/>
      <c r="F7" s="94" t="s">
        <v>3898</v>
      </c>
      <c r="G7" s="95"/>
      <c r="H7" s="95"/>
      <c r="I7" s="95"/>
      <c r="J7" s="14" t="s">
        <v>154</v>
      </c>
      <c r="K7" s="43"/>
    </row>
    <row r="8" ht="39.75" customHeight="1">
      <c r="A8" s="1">
        <v>7.0</v>
      </c>
      <c r="B8" s="2" t="s">
        <v>21</v>
      </c>
      <c r="C8" s="2" t="s">
        <v>13</v>
      </c>
      <c r="D8" s="13"/>
      <c r="E8" s="13"/>
      <c r="F8" s="44"/>
      <c r="G8" s="42"/>
      <c r="H8" s="42"/>
      <c r="I8" s="42"/>
      <c r="J8" s="14"/>
      <c r="K8" s="43"/>
    </row>
    <row r="9" ht="39.75" customHeight="1">
      <c r="A9" s="1">
        <v>8.0</v>
      </c>
      <c r="B9" s="2" t="s">
        <v>22</v>
      </c>
      <c r="C9" s="2" t="s">
        <v>13</v>
      </c>
      <c r="D9" s="13"/>
      <c r="E9" s="13"/>
      <c r="F9" s="45"/>
      <c r="G9" s="42"/>
      <c r="H9" s="42"/>
      <c r="I9" s="42"/>
      <c r="J9" s="14"/>
      <c r="K9" s="43"/>
    </row>
    <row r="10" ht="39.75" customHeight="1">
      <c r="A10" s="1">
        <v>9.0</v>
      </c>
      <c r="B10" s="2" t="s">
        <v>261</v>
      </c>
      <c r="C10" s="2" t="s">
        <v>13</v>
      </c>
      <c r="D10" s="13"/>
      <c r="E10" s="13"/>
      <c r="F10" s="44"/>
      <c r="G10" s="42"/>
      <c r="H10" s="43"/>
      <c r="I10" s="43"/>
      <c r="J10" s="14"/>
      <c r="K10" s="43"/>
    </row>
    <row r="11" ht="39.75" customHeight="1">
      <c r="A11" s="1">
        <v>10.0</v>
      </c>
      <c r="B11" s="2" t="s">
        <v>23</v>
      </c>
      <c r="C11" s="2" t="s">
        <v>13</v>
      </c>
      <c r="D11" s="13"/>
      <c r="E11" s="13"/>
      <c r="F11" s="45"/>
      <c r="G11" s="42"/>
      <c r="H11" s="42"/>
      <c r="I11" s="42"/>
      <c r="J11" s="14"/>
      <c r="K11" s="43"/>
    </row>
    <row r="12" ht="39.75" customHeight="1">
      <c r="A12" s="1">
        <v>11.0</v>
      </c>
      <c r="B12" s="2" t="s">
        <v>24</v>
      </c>
      <c r="C12" s="2" t="s">
        <v>13</v>
      </c>
      <c r="D12" s="13"/>
      <c r="E12" s="13"/>
      <c r="F12" s="44"/>
      <c r="G12" s="42"/>
      <c r="H12" s="42"/>
      <c r="I12" s="42"/>
      <c r="J12" s="14"/>
      <c r="K12" s="43"/>
    </row>
    <row r="13" ht="39.75" customHeight="1">
      <c r="A13" s="1">
        <v>12.0</v>
      </c>
      <c r="B13" s="2" t="s">
        <v>25</v>
      </c>
      <c r="C13" s="2" t="s">
        <v>13</v>
      </c>
      <c r="D13" s="13"/>
      <c r="E13" s="13"/>
      <c r="F13" s="44"/>
      <c r="G13" s="42"/>
      <c r="H13" s="42"/>
      <c r="I13" s="42"/>
      <c r="J13" s="14"/>
      <c r="K13" s="43"/>
    </row>
    <row r="14" ht="39.75" customHeight="1">
      <c r="A14" s="1">
        <v>13.0</v>
      </c>
      <c r="B14" s="2" t="s">
        <v>26</v>
      </c>
      <c r="C14" s="2" t="s">
        <v>3707</v>
      </c>
      <c r="D14" s="13"/>
      <c r="E14" s="13"/>
      <c r="F14" s="44" t="s">
        <v>3899</v>
      </c>
      <c r="G14" s="43">
        <v>1.0</v>
      </c>
      <c r="H14" s="42"/>
      <c r="I14" s="43">
        <v>1.0</v>
      </c>
      <c r="J14" s="14"/>
      <c r="K14" s="43"/>
    </row>
    <row r="15" ht="39.75" customHeight="1">
      <c r="A15" s="1">
        <v>14.0</v>
      </c>
      <c r="B15" s="2" t="s">
        <v>29</v>
      </c>
      <c r="C15" s="2" t="s">
        <v>3600</v>
      </c>
      <c r="D15" s="13"/>
      <c r="E15" s="13"/>
      <c r="F15" s="44" t="s">
        <v>3900</v>
      </c>
      <c r="G15" s="42"/>
      <c r="H15" s="42"/>
      <c r="I15" s="42"/>
      <c r="J15" s="14"/>
      <c r="K15" s="43"/>
    </row>
    <row r="16" ht="39.75" customHeight="1">
      <c r="A16" s="1">
        <v>15.0</v>
      </c>
      <c r="B16" s="2" t="s">
        <v>32</v>
      </c>
      <c r="C16" s="2" t="s">
        <v>13</v>
      </c>
      <c r="D16" s="13"/>
      <c r="E16" s="13"/>
      <c r="F16" s="45"/>
      <c r="G16" s="42"/>
      <c r="H16" s="42"/>
      <c r="I16" s="42"/>
      <c r="J16" s="14"/>
      <c r="K16" s="43"/>
    </row>
    <row r="17" ht="39.75" customHeight="1">
      <c r="A17" s="1">
        <v>16.0</v>
      </c>
      <c r="B17" s="2" t="s">
        <v>67</v>
      </c>
      <c r="C17" s="2" t="s">
        <v>44</v>
      </c>
      <c r="D17" s="13"/>
      <c r="E17" s="13"/>
      <c r="F17" s="44"/>
      <c r="G17" s="42"/>
      <c r="H17" s="43"/>
      <c r="I17" s="43"/>
      <c r="J17" s="14"/>
      <c r="K17" s="43"/>
    </row>
    <row r="18" ht="39.75" customHeight="1">
      <c r="A18" s="1">
        <v>17.0</v>
      </c>
      <c r="B18" s="2" t="s">
        <v>35</v>
      </c>
      <c r="C18" s="2" t="s">
        <v>13</v>
      </c>
      <c r="D18" s="13"/>
      <c r="E18" s="13"/>
      <c r="F18" s="45"/>
      <c r="G18" s="42"/>
      <c r="H18" s="42"/>
      <c r="I18" s="42"/>
      <c r="J18" s="14"/>
      <c r="K18" s="43"/>
    </row>
    <row r="19" ht="39.75" customHeight="1">
      <c r="A19" s="1">
        <v>18.0</v>
      </c>
      <c r="B19" s="2" t="s">
        <v>36</v>
      </c>
      <c r="C19" s="2" t="s">
        <v>13</v>
      </c>
      <c r="D19" s="13"/>
      <c r="E19" s="13"/>
      <c r="F19" s="44"/>
      <c r="G19" s="42"/>
      <c r="H19" s="42"/>
      <c r="I19" s="42"/>
      <c r="J19" s="14"/>
      <c r="K19" s="43"/>
    </row>
    <row r="20" ht="39.75" customHeight="1">
      <c r="A20" s="1">
        <v>19.0</v>
      </c>
      <c r="B20" s="2" t="s">
        <v>38</v>
      </c>
      <c r="C20" s="2" t="s">
        <v>27</v>
      </c>
      <c r="D20" s="13"/>
      <c r="E20" s="13"/>
      <c r="F20" s="44"/>
      <c r="G20" s="42"/>
      <c r="H20" s="42"/>
      <c r="I20" s="42"/>
      <c r="J20" s="14"/>
      <c r="K20" s="43"/>
    </row>
    <row r="21" ht="39.75" customHeight="1">
      <c r="A21" s="1">
        <v>20.0</v>
      </c>
      <c r="B21" s="2" t="s">
        <v>41</v>
      </c>
      <c r="C21" s="2" t="s">
        <v>13</v>
      </c>
      <c r="D21" s="13"/>
      <c r="E21" s="13"/>
      <c r="F21" s="44"/>
      <c r="G21" s="42"/>
      <c r="H21" s="42"/>
      <c r="I21" s="42"/>
      <c r="J21" s="14"/>
      <c r="K21" s="43"/>
    </row>
    <row r="22" ht="39.75" customHeight="1">
      <c r="A22" s="1">
        <v>21.0</v>
      </c>
      <c r="B22" s="2" t="s">
        <v>42</v>
      </c>
      <c r="C22" s="2" t="s">
        <v>13</v>
      </c>
      <c r="D22" s="13"/>
      <c r="E22" s="13"/>
      <c r="F22" s="45"/>
      <c r="G22" s="42"/>
      <c r="H22" s="42"/>
      <c r="I22" s="42"/>
      <c r="J22" s="14"/>
      <c r="K22" s="43"/>
    </row>
    <row r="23" ht="39.75" customHeight="1">
      <c r="A23" s="1">
        <v>22.0</v>
      </c>
      <c r="B23" s="2" t="s">
        <v>43</v>
      </c>
      <c r="C23" s="2" t="s">
        <v>13</v>
      </c>
      <c r="D23" s="13"/>
      <c r="E23" s="13"/>
      <c r="F23" s="45"/>
      <c r="G23" s="42"/>
      <c r="H23" s="42"/>
      <c r="I23" s="42"/>
      <c r="J23" s="14"/>
      <c r="K23" s="43"/>
    </row>
    <row r="24" ht="39.75" customHeight="1">
      <c r="A24" s="1">
        <v>23.0</v>
      </c>
      <c r="B24" s="2" t="s">
        <v>267</v>
      </c>
      <c r="C24" s="2" t="s">
        <v>39</v>
      </c>
      <c r="D24" s="2"/>
      <c r="E24" s="13"/>
      <c r="F24" s="44" t="s">
        <v>3901</v>
      </c>
      <c r="G24" s="42"/>
      <c r="H24" s="42"/>
      <c r="I24" s="42"/>
      <c r="J24" s="14"/>
      <c r="K24" s="43"/>
    </row>
    <row r="25" ht="39.75" customHeight="1">
      <c r="A25" s="1">
        <v>24.0</v>
      </c>
      <c r="B25" s="2" t="s">
        <v>46</v>
      </c>
      <c r="C25" s="2" t="s">
        <v>13</v>
      </c>
      <c r="D25" s="40"/>
      <c r="E25" s="13"/>
      <c r="F25" s="44"/>
      <c r="G25" s="42"/>
      <c r="H25" s="42"/>
      <c r="I25" s="42"/>
      <c r="J25" s="14"/>
      <c r="K25" s="43"/>
    </row>
    <row r="26" ht="39.75" customHeight="1">
      <c r="A26" s="1">
        <v>25.0</v>
      </c>
      <c r="B26" s="2" t="s">
        <v>47</v>
      </c>
      <c r="C26" s="2" t="s">
        <v>3560</v>
      </c>
      <c r="D26" s="13"/>
      <c r="E26" s="13"/>
      <c r="F26" s="44" t="s">
        <v>3902</v>
      </c>
      <c r="G26" s="43">
        <v>1.0</v>
      </c>
      <c r="H26" s="42"/>
      <c r="I26" s="43">
        <v>1.0</v>
      </c>
      <c r="J26" s="14"/>
      <c r="K26" s="43"/>
    </row>
    <row r="27" ht="39.75" customHeight="1">
      <c r="A27" s="1">
        <v>26.0</v>
      </c>
      <c r="B27" s="2" t="s">
        <v>48</v>
      </c>
      <c r="C27" s="2" t="s">
        <v>13</v>
      </c>
      <c r="D27" s="13"/>
      <c r="E27" s="13"/>
      <c r="F27" s="45"/>
      <c r="G27" s="42"/>
      <c r="H27" s="42"/>
      <c r="I27" s="42"/>
      <c r="J27" s="14"/>
      <c r="K27" s="43"/>
    </row>
    <row r="28" ht="39.75" customHeight="1">
      <c r="A28" s="1">
        <v>27.0</v>
      </c>
      <c r="B28" s="21"/>
      <c r="C28" s="21"/>
      <c r="D28" s="21"/>
      <c r="E28" s="21"/>
      <c r="F28" s="46"/>
      <c r="G28" s="47"/>
      <c r="H28" s="47"/>
      <c r="I28" s="47"/>
      <c r="J28" s="48"/>
      <c r="K28" s="47"/>
      <c r="L28" s="49"/>
      <c r="M28" s="49"/>
      <c r="N28" s="49"/>
    </row>
    <row r="29" ht="39.75" customHeight="1">
      <c r="A29" s="1">
        <v>28.0</v>
      </c>
      <c r="B29" s="2" t="s">
        <v>12</v>
      </c>
      <c r="C29" s="2" t="s">
        <v>62</v>
      </c>
      <c r="D29" s="13"/>
      <c r="E29" s="13"/>
      <c r="F29" s="45"/>
      <c r="G29" s="42"/>
      <c r="H29" s="42"/>
      <c r="I29" s="42"/>
      <c r="J29" s="14" t="s">
        <v>840</v>
      </c>
      <c r="K29" s="43"/>
      <c r="L29" s="15" t="s">
        <v>52</v>
      </c>
    </row>
    <row r="30" ht="39.75" customHeight="1">
      <c r="A30" s="1">
        <v>29.0</v>
      </c>
      <c r="B30" s="2" t="s">
        <v>16</v>
      </c>
      <c r="C30" s="2" t="s">
        <v>69</v>
      </c>
      <c r="D30" s="13"/>
      <c r="E30" s="13"/>
      <c r="F30" s="44" t="s">
        <v>3903</v>
      </c>
      <c r="G30" s="43">
        <v>1.0</v>
      </c>
      <c r="H30" s="42"/>
      <c r="I30" s="42"/>
      <c r="J30" s="14" t="s">
        <v>52</v>
      </c>
      <c r="K30" s="43"/>
    </row>
    <row r="31" ht="39.75" customHeight="1">
      <c r="A31" s="1">
        <v>30.0</v>
      </c>
      <c r="B31" s="2" t="s">
        <v>116</v>
      </c>
      <c r="C31" s="2"/>
      <c r="D31" s="13"/>
      <c r="E31" s="13"/>
      <c r="F31" s="44" t="s">
        <v>3904</v>
      </c>
      <c r="G31" s="42"/>
      <c r="H31" s="42"/>
      <c r="I31" s="42"/>
      <c r="J31" s="14" t="s">
        <v>56</v>
      </c>
      <c r="K31" s="43"/>
    </row>
    <row r="32" ht="39.75" customHeight="1">
      <c r="A32" s="1">
        <v>31.0</v>
      </c>
      <c r="B32" s="2" t="s">
        <v>263</v>
      </c>
      <c r="C32" s="2" t="s">
        <v>27</v>
      </c>
      <c r="D32" s="13"/>
      <c r="E32" s="13"/>
      <c r="F32" s="45"/>
      <c r="G32" s="42"/>
      <c r="H32" s="42"/>
      <c r="I32" s="42"/>
      <c r="J32" s="14"/>
      <c r="K32" s="43"/>
    </row>
    <row r="33" ht="39.75" customHeight="1">
      <c r="A33" s="1">
        <v>32.0</v>
      </c>
      <c r="B33" s="2" t="s">
        <v>17</v>
      </c>
      <c r="C33" s="2" t="s">
        <v>64</v>
      </c>
      <c r="D33" s="13"/>
      <c r="E33" s="13"/>
      <c r="F33" s="45"/>
      <c r="G33" s="42"/>
      <c r="H33" s="42"/>
      <c r="I33" s="42"/>
      <c r="J33" s="14"/>
      <c r="K33" s="43"/>
    </row>
    <row r="34" ht="39.75" customHeight="1">
      <c r="A34" s="1">
        <v>33.0</v>
      </c>
      <c r="B34" s="2" t="s">
        <v>331</v>
      </c>
      <c r="C34" s="2"/>
      <c r="D34" s="13"/>
      <c r="E34" s="13"/>
      <c r="F34" s="44" t="s">
        <v>3905</v>
      </c>
      <c r="G34" s="42"/>
      <c r="H34" s="42"/>
      <c r="I34" s="42"/>
      <c r="J34" s="14"/>
      <c r="K34" s="43"/>
    </row>
    <row r="35" ht="39.75" customHeight="1">
      <c r="A35" s="1">
        <v>34.0</v>
      </c>
      <c r="B35" s="2" t="s">
        <v>21</v>
      </c>
      <c r="C35" s="2" t="s">
        <v>54</v>
      </c>
      <c r="D35" s="13"/>
      <c r="E35" s="13"/>
      <c r="F35" s="44" t="s">
        <v>3906</v>
      </c>
      <c r="G35" s="42"/>
      <c r="H35" s="42"/>
      <c r="I35" s="42"/>
      <c r="J35" s="14"/>
      <c r="K35" s="43"/>
    </row>
    <row r="36" ht="39.75" customHeight="1">
      <c r="A36" s="1">
        <v>35.0</v>
      </c>
      <c r="B36" s="2" t="s">
        <v>22</v>
      </c>
      <c r="C36" s="2"/>
      <c r="D36" s="13"/>
      <c r="E36" s="13"/>
      <c r="F36" s="44" t="s">
        <v>3907</v>
      </c>
      <c r="G36" s="42"/>
      <c r="H36" s="42"/>
      <c r="I36" s="42"/>
      <c r="J36" s="14"/>
      <c r="K36" s="43"/>
    </row>
    <row r="37" ht="39.75" customHeight="1">
      <c r="A37" s="1">
        <v>36.0</v>
      </c>
      <c r="B37" s="2" t="s">
        <v>261</v>
      </c>
      <c r="C37" s="2" t="s">
        <v>13</v>
      </c>
      <c r="D37" s="13"/>
      <c r="E37" s="13"/>
      <c r="F37" s="45"/>
      <c r="G37" s="42"/>
      <c r="H37" s="42"/>
      <c r="I37" s="42"/>
      <c r="J37" s="14"/>
      <c r="K37" s="43"/>
    </row>
    <row r="38" ht="39.75" customHeight="1">
      <c r="A38" s="1">
        <v>37.0</v>
      </c>
      <c r="B38" s="2" t="s">
        <v>23</v>
      </c>
      <c r="C38" s="2" t="s">
        <v>69</v>
      </c>
      <c r="D38" s="13"/>
      <c r="E38" s="13"/>
      <c r="F38" s="44" t="s">
        <v>3908</v>
      </c>
      <c r="G38" s="43">
        <v>2.0</v>
      </c>
      <c r="H38" s="42"/>
      <c r="I38" s="42"/>
      <c r="J38" s="14"/>
      <c r="K38" s="43"/>
    </row>
    <row r="39" ht="39.75" customHeight="1">
      <c r="A39" s="1">
        <v>38.0</v>
      </c>
      <c r="B39" s="2" t="s">
        <v>24</v>
      </c>
      <c r="C39" s="2"/>
      <c r="D39" s="13"/>
      <c r="E39" s="13"/>
      <c r="F39" s="44" t="s">
        <v>3909</v>
      </c>
      <c r="G39" s="43">
        <v>1.0</v>
      </c>
      <c r="H39" s="42"/>
      <c r="I39" s="42"/>
      <c r="J39" s="14"/>
      <c r="K39" s="43"/>
    </row>
    <row r="40" ht="39.75" customHeight="1">
      <c r="A40" s="1">
        <v>39.0</v>
      </c>
      <c r="B40" s="2" t="s">
        <v>25</v>
      </c>
      <c r="C40" s="2"/>
      <c r="D40" s="13"/>
      <c r="E40" s="13"/>
      <c r="F40" s="44" t="s">
        <v>3910</v>
      </c>
      <c r="G40" s="43">
        <v>1.0</v>
      </c>
      <c r="H40" s="42"/>
      <c r="I40" s="42"/>
      <c r="J40" s="14"/>
      <c r="K40" s="43"/>
    </row>
    <row r="41" ht="39.75" customHeight="1">
      <c r="A41" s="1">
        <v>40.0</v>
      </c>
      <c r="B41" s="2" t="s">
        <v>26</v>
      </c>
      <c r="C41" s="2" t="s">
        <v>54</v>
      </c>
      <c r="D41" s="13"/>
      <c r="E41" s="13"/>
      <c r="F41" s="44" t="s">
        <v>3911</v>
      </c>
      <c r="G41" s="43">
        <v>1.0</v>
      </c>
      <c r="H41" s="42"/>
      <c r="I41" s="43">
        <v>1.0</v>
      </c>
      <c r="J41" s="14"/>
      <c r="K41" s="43"/>
    </row>
    <row r="42" ht="39.75" customHeight="1">
      <c r="A42" s="1">
        <v>41.0</v>
      </c>
      <c r="B42" s="2" t="s">
        <v>29</v>
      </c>
      <c r="C42" s="2" t="s">
        <v>3600</v>
      </c>
      <c r="D42" s="13"/>
      <c r="E42" s="13"/>
      <c r="F42" s="44" t="s">
        <v>3912</v>
      </c>
      <c r="G42" s="42"/>
      <c r="H42" s="42"/>
      <c r="I42" s="42"/>
      <c r="J42" s="14"/>
      <c r="K42" s="43"/>
    </row>
    <row r="43" ht="39.75" customHeight="1">
      <c r="A43" s="1">
        <v>42.0</v>
      </c>
      <c r="B43" s="2" t="s">
        <v>32</v>
      </c>
      <c r="C43" s="2" t="s">
        <v>39</v>
      </c>
      <c r="D43" s="13"/>
      <c r="E43" s="13"/>
      <c r="F43" s="44" t="s">
        <v>3913</v>
      </c>
      <c r="G43" s="43">
        <v>1.0</v>
      </c>
      <c r="H43" s="42"/>
      <c r="I43" s="43">
        <v>1.0</v>
      </c>
      <c r="J43" s="14"/>
      <c r="K43" s="43"/>
    </row>
    <row r="44" ht="39.75" customHeight="1">
      <c r="A44" s="1">
        <v>43.0</v>
      </c>
      <c r="B44" s="2" t="s">
        <v>67</v>
      </c>
      <c r="C44" s="2"/>
      <c r="D44" s="13"/>
      <c r="E44" s="13"/>
      <c r="F44" s="44" t="s">
        <v>3914</v>
      </c>
      <c r="G44" s="43">
        <v>1.0</v>
      </c>
      <c r="H44" s="42"/>
      <c r="I44" s="43">
        <v>1.0</v>
      </c>
      <c r="J44" s="14"/>
      <c r="K44" s="43"/>
    </row>
    <row r="45" ht="39.75" customHeight="1">
      <c r="A45" s="1">
        <v>44.0</v>
      </c>
      <c r="B45" s="2" t="s">
        <v>35</v>
      </c>
      <c r="C45" s="2" t="s">
        <v>3563</v>
      </c>
      <c r="D45" s="13"/>
      <c r="E45" s="13"/>
      <c r="F45" s="45"/>
      <c r="G45" s="42"/>
      <c r="H45" s="42"/>
      <c r="I45" s="42"/>
      <c r="J45" s="14"/>
      <c r="K45" s="43"/>
    </row>
    <row r="46" ht="39.75" customHeight="1">
      <c r="A46" s="1">
        <v>45.0</v>
      </c>
      <c r="B46" s="2" t="s">
        <v>36</v>
      </c>
      <c r="C46" s="2" t="s">
        <v>3600</v>
      </c>
      <c r="D46" s="13"/>
      <c r="E46" s="13"/>
      <c r="F46" s="44" t="s">
        <v>3912</v>
      </c>
      <c r="G46" s="42"/>
      <c r="H46" s="42"/>
      <c r="I46" s="42"/>
      <c r="J46" s="14"/>
      <c r="K46" s="43"/>
    </row>
    <row r="47" ht="39.75" customHeight="1">
      <c r="A47" s="1">
        <v>46.0</v>
      </c>
      <c r="B47" s="2" t="s">
        <v>38</v>
      </c>
      <c r="C47" s="2" t="s">
        <v>44</v>
      </c>
      <c r="D47" s="13"/>
      <c r="E47" s="13"/>
      <c r="F47" s="52" t="s">
        <v>3915</v>
      </c>
      <c r="G47" s="42"/>
      <c r="H47" s="42"/>
      <c r="I47" s="42"/>
      <c r="J47" s="14"/>
      <c r="K47" s="43"/>
    </row>
    <row r="48" ht="39.75" customHeight="1">
      <c r="A48" s="1">
        <v>47.0</v>
      </c>
      <c r="B48" s="2" t="s">
        <v>41</v>
      </c>
      <c r="C48" s="2" t="s">
        <v>13</v>
      </c>
      <c r="D48" s="13"/>
      <c r="E48" s="13"/>
      <c r="F48" s="45"/>
      <c r="G48" s="42"/>
      <c r="H48" s="42"/>
      <c r="I48" s="42"/>
      <c r="J48" s="14"/>
      <c r="K48" s="43"/>
    </row>
    <row r="49" ht="39.75" customHeight="1">
      <c r="A49" s="1">
        <v>48.0</v>
      </c>
      <c r="B49" s="2" t="s">
        <v>42</v>
      </c>
      <c r="C49" s="2" t="s">
        <v>69</v>
      </c>
      <c r="D49" s="13"/>
      <c r="E49" s="13"/>
      <c r="F49" s="96" t="s">
        <v>3916</v>
      </c>
      <c r="G49" s="43">
        <v>2.0</v>
      </c>
      <c r="H49" s="42"/>
      <c r="I49" s="42"/>
      <c r="J49" s="14"/>
      <c r="K49" s="43"/>
    </row>
    <row r="50" ht="39.75" customHeight="1">
      <c r="A50" s="1">
        <v>49.0</v>
      </c>
      <c r="B50" s="120" t="s">
        <v>43</v>
      </c>
      <c r="C50" s="120" t="s">
        <v>3917</v>
      </c>
      <c r="D50" s="121"/>
      <c r="E50" s="121"/>
      <c r="F50" s="122"/>
      <c r="G50" s="123"/>
      <c r="H50" s="123"/>
      <c r="I50" s="123"/>
      <c r="J50" s="14"/>
      <c r="K50" s="43"/>
    </row>
    <row r="51" ht="39.75" customHeight="1">
      <c r="A51" s="1">
        <v>50.0</v>
      </c>
      <c r="B51" s="2" t="s">
        <v>267</v>
      </c>
      <c r="C51" s="2"/>
      <c r="D51" s="13"/>
      <c r="E51" s="13"/>
      <c r="F51" s="44" t="s">
        <v>3918</v>
      </c>
      <c r="G51" s="43">
        <v>2.0</v>
      </c>
      <c r="H51" s="42"/>
      <c r="I51" s="42"/>
      <c r="J51" s="14"/>
      <c r="K51" s="43"/>
    </row>
    <row r="52" ht="39.75" customHeight="1">
      <c r="A52" s="1">
        <v>51.0</v>
      </c>
      <c r="B52" s="2" t="s">
        <v>46</v>
      </c>
      <c r="C52" s="2" t="s">
        <v>39</v>
      </c>
      <c r="D52" s="13"/>
      <c r="E52" s="13"/>
      <c r="F52" s="44" t="s">
        <v>3919</v>
      </c>
      <c r="G52" s="43">
        <v>1.0</v>
      </c>
      <c r="H52" s="42"/>
      <c r="I52" s="42"/>
      <c r="J52" s="14"/>
      <c r="K52" s="43"/>
    </row>
    <row r="53" ht="39.75" customHeight="1">
      <c r="A53" s="1">
        <v>52.0</v>
      </c>
      <c r="B53" s="2" t="s">
        <v>47</v>
      </c>
      <c r="C53" s="2" t="s">
        <v>3600</v>
      </c>
      <c r="D53" s="13"/>
      <c r="E53" s="2"/>
      <c r="F53" s="44" t="s">
        <v>3920</v>
      </c>
      <c r="G53" s="42"/>
      <c r="H53" s="42"/>
      <c r="I53" s="42"/>
      <c r="J53" s="14"/>
      <c r="K53" s="43"/>
    </row>
    <row r="54" ht="39.75" customHeight="1">
      <c r="A54" s="1">
        <v>53.0</v>
      </c>
      <c r="B54" s="2" t="s">
        <v>48</v>
      </c>
      <c r="C54" s="2" t="s">
        <v>54</v>
      </c>
      <c r="D54" s="13"/>
      <c r="E54" s="13"/>
      <c r="F54" s="96" t="s">
        <v>3921</v>
      </c>
      <c r="G54" s="43">
        <v>1.0</v>
      </c>
      <c r="H54" s="42"/>
      <c r="I54" s="42"/>
      <c r="J54" s="14"/>
      <c r="K54" s="43"/>
    </row>
    <row r="55" ht="39.75" customHeight="1">
      <c r="A55" s="1">
        <v>54.0</v>
      </c>
      <c r="B55" s="21"/>
      <c r="C55" s="21"/>
      <c r="D55" s="21"/>
      <c r="E55" s="21"/>
      <c r="F55" s="46"/>
      <c r="G55" s="47"/>
      <c r="H55" s="47"/>
      <c r="I55" s="47"/>
      <c r="J55" s="48"/>
      <c r="K55" s="47"/>
      <c r="L55" s="49"/>
      <c r="M55" s="49"/>
      <c r="N55" s="49"/>
    </row>
    <row r="56" ht="39.75" customHeight="1">
      <c r="A56" s="1">
        <v>55.0</v>
      </c>
      <c r="B56" s="2" t="s">
        <v>12</v>
      </c>
      <c r="C56" s="2" t="s">
        <v>62</v>
      </c>
      <c r="D56" s="13"/>
      <c r="E56" s="13"/>
      <c r="F56" s="44" t="s">
        <v>3922</v>
      </c>
      <c r="G56" s="43">
        <v>1.0</v>
      </c>
      <c r="H56" s="42"/>
      <c r="I56" s="42"/>
      <c r="J56" s="14"/>
      <c r="K56" s="43"/>
      <c r="L56" s="15" t="s">
        <v>74</v>
      </c>
    </row>
    <row r="57" ht="39.75" customHeight="1">
      <c r="A57" s="1">
        <v>56.0</v>
      </c>
      <c r="B57" s="2" t="s">
        <v>16</v>
      </c>
      <c r="C57" s="2"/>
      <c r="D57" s="13"/>
      <c r="E57" s="13"/>
      <c r="F57" s="44" t="s">
        <v>3923</v>
      </c>
      <c r="G57" s="43">
        <v>1.0</v>
      </c>
      <c r="H57" s="42"/>
      <c r="I57" s="42"/>
      <c r="J57" s="14" t="s">
        <v>74</v>
      </c>
      <c r="K57" s="43"/>
    </row>
    <row r="58" ht="39.75" customHeight="1">
      <c r="A58" s="1">
        <v>57.0</v>
      </c>
      <c r="B58" s="2" t="s">
        <v>116</v>
      </c>
      <c r="C58" s="2" t="s">
        <v>69</v>
      </c>
      <c r="D58" s="13"/>
      <c r="E58" s="13"/>
      <c r="F58" s="44" t="s">
        <v>3924</v>
      </c>
      <c r="G58" s="43">
        <v>2.0</v>
      </c>
      <c r="H58" s="42"/>
      <c r="I58" s="42"/>
      <c r="J58" s="14"/>
      <c r="K58" s="43"/>
    </row>
    <row r="59" ht="39.75" customHeight="1">
      <c r="A59" s="1">
        <v>58.0</v>
      </c>
      <c r="B59" s="2" t="s">
        <v>263</v>
      </c>
      <c r="C59" s="2" t="s">
        <v>44</v>
      </c>
      <c r="D59" s="13"/>
      <c r="E59" s="13"/>
      <c r="F59" s="45"/>
      <c r="G59" s="42"/>
      <c r="H59" s="42"/>
      <c r="I59" s="42"/>
      <c r="J59" s="14"/>
      <c r="K59" s="43"/>
    </row>
    <row r="60" ht="39.75" customHeight="1">
      <c r="A60" s="1">
        <v>59.0</v>
      </c>
      <c r="B60" s="2" t="s">
        <v>17</v>
      </c>
      <c r="C60" s="2" t="s">
        <v>64</v>
      </c>
      <c r="D60" s="13"/>
      <c r="E60" s="13"/>
      <c r="F60" s="45"/>
      <c r="G60" s="42"/>
      <c r="H60" s="42"/>
      <c r="I60" s="42"/>
      <c r="J60" s="14"/>
      <c r="K60" s="43"/>
    </row>
    <row r="61" ht="39.75" customHeight="1">
      <c r="A61" s="1">
        <v>60.0</v>
      </c>
      <c r="B61" s="2" t="s">
        <v>331</v>
      </c>
      <c r="C61" s="2"/>
      <c r="D61" s="13"/>
      <c r="E61" s="13"/>
      <c r="F61" s="44" t="s">
        <v>3905</v>
      </c>
      <c r="G61" s="42"/>
      <c r="H61" s="42"/>
      <c r="I61" s="42"/>
      <c r="J61" s="14"/>
      <c r="K61" s="43"/>
    </row>
    <row r="62" ht="39.75" customHeight="1">
      <c r="A62" s="1">
        <v>61.0</v>
      </c>
      <c r="B62" s="2" t="s">
        <v>21</v>
      </c>
      <c r="C62" s="2"/>
      <c r="D62" s="2"/>
      <c r="E62" s="13"/>
      <c r="F62" s="44" t="s">
        <v>3925</v>
      </c>
      <c r="G62" s="43">
        <v>2.0</v>
      </c>
      <c r="H62" s="42"/>
      <c r="I62" s="42"/>
      <c r="J62" s="14"/>
      <c r="K62" s="43"/>
    </row>
    <row r="63" ht="39.75" customHeight="1">
      <c r="A63" s="1">
        <v>62.0</v>
      </c>
      <c r="B63" s="2" t="s">
        <v>22</v>
      </c>
      <c r="C63" s="2" t="s">
        <v>69</v>
      </c>
      <c r="D63" s="2"/>
      <c r="E63" s="13"/>
      <c r="F63" s="44" t="s">
        <v>3926</v>
      </c>
      <c r="G63" s="43">
        <v>1.0</v>
      </c>
      <c r="H63" s="42"/>
      <c r="I63" s="42"/>
      <c r="J63" s="14"/>
      <c r="K63" s="43"/>
    </row>
    <row r="64" ht="39.75" customHeight="1">
      <c r="A64" s="1">
        <v>63.0</v>
      </c>
      <c r="B64" s="2" t="s">
        <v>261</v>
      </c>
      <c r="C64" s="2" t="s">
        <v>13</v>
      </c>
      <c r="D64" s="13"/>
      <c r="E64" s="13"/>
      <c r="F64" s="45"/>
      <c r="G64" s="42"/>
      <c r="H64" s="42"/>
      <c r="I64" s="42"/>
      <c r="J64" s="14"/>
      <c r="K64" s="43"/>
    </row>
    <row r="65" ht="39.75" customHeight="1">
      <c r="A65" s="1">
        <v>64.0</v>
      </c>
      <c r="B65" s="2" t="s">
        <v>23</v>
      </c>
      <c r="C65" s="2"/>
      <c r="D65" s="13"/>
      <c r="E65" s="13"/>
      <c r="F65" s="44" t="s">
        <v>3927</v>
      </c>
      <c r="G65" s="43">
        <v>1.0</v>
      </c>
      <c r="H65" s="42"/>
      <c r="I65" s="42"/>
      <c r="J65" s="14"/>
      <c r="K65" s="43"/>
    </row>
    <row r="66" ht="39.75" customHeight="1">
      <c r="A66" s="1">
        <v>65.0</v>
      </c>
      <c r="B66" s="2" t="s">
        <v>24</v>
      </c>
      <c r="C66" s="2"/>
      <c r="D66" s="13"/>
      <c r="E66" s="13"/>
      <c r="F66" s="44" t="s">
        <v>3928</v>
      </c>
      <c r="G66" s="43">
        <v>2.0</v>
      </c>
      <c r="H66" s="42"/>
      <c r="I66" s="43">
        <v>1.0</v>
      </c>
      <c r="J66" s="14"/>
      <c r="K66" s="43"/>
    </row>
    <row r="67" ht="39.75" customHeight="1">
      <c r="A67" s="1">
        <v>66.0</v>
      </c>
      <c r="B67" s="2" t="s">
        <v>25</v>
      </c>
      <c r="C67" s="2"/>
      <c r="D67" s="13"/>
      <c r="E67" s="13"/>
      <c r="F67" s="44" t="s">
        <v>3929</v>
      </c>
      <c r="G67" s="43">
        <v>1.0</v>
      </c>
      <c r="H67" s="42"/>
      <c r="I67" s="42"/>
      <c r="J67" s="14"/>
      <c r="K67" s="43"/>
    </row>
    <row r="68" ht="39.75" customHeight="1">
      <c r="A68" s="1">
        <v>67.0</v>
      </c>
      <c r="B68" s="2" t="s">
        <v>26</v>
      </c>
      <c r="C68" s="2" t="s">
        <v>54</v>
      </c>
      <c r="D68" s="13"/>
      <c r="E68" s="13"/>
      <c r="F68" s="44" t="s">
        <v>3930</v>
      </c>
      <c r="G68" s="43">
        <v>1.0</v>
      </c>
      <c r="H68" s="42"/>
      <c r="I68" s="43">
        <v>1.0</v>
      </c>
      <c r="J68" s="14"/>
      <c r="K68" s="43"/>
    </row>
    <row r="69" ht="39.75" customHeight="1">
      <c r="A69" s="1">
        <v>68.0</v>
      </c>
      <c r="B69" s="2" t="s">
        <v>29</v>
      </c>
      <c r="C69" s="2" t="s">
        <v>3600</v>
      </c>
      <c r="D69" s="13"/>
      <c r="E69" s="13"/>
      <c r="F69" s="45"/>
      <c r="G69" s="42"/>
      <c r="H69" s="42"/>
      <c r="I69" s="42"/>
      <c r="J69" s="14"/>
      <c r="K69" s="43"/>
    </row>
    <row r="70" ht="39.75" customHeight="1">
      <c r="A70" s="1">
        <v>69.0</v>
      </c>
      <c r="B70" s="2" t="s">
        <v>32</v>
      </c>
      <c r="C70" s="2" t="s">
        <v>69</v>
      </c>
      <c r="D70" s="13"/>
      <c r="E70" s="13"/>
      <c r="F70" s="44" t="s">
        <v>3931</v>
      </c>
      <c r="G70" s="42"/>
      <c r="H70" s="42"/>
      <c r="I70" s="42"/>
      <c r="J70" s="14"/>
      <c r="K70" s="43"/>
    </row>
    <row r="71" ht="39.75" customHeight="1">
      <c r="A71" s="1">
        <v>70.0</v>
      </c>
      <c r="B71" s="2" t="s">
        <v>67</v>
      </c>
      <c r="C71" s="2"/>
      <c r="D71" s="13"/>
      <c r="E71" s="13"/>
      <c r="F71" s="44" t="s">
        <v>3932</v>
      </c>
      <c r="G71" s="42"/>
      <c r="H71" s="42"/>
      <c r="I71" s="42"/>
      <c r="J71" s="14"/>
      <c r="K71" s="43"/>
    </row>
    <row r="72" ht="39.75" customHeight="1">
      <c r="A72" s="1">
        <v>71.0</v>
      </c>
      <c r="B72" s="2" t="s">
        <v>35</v>
      </c>
      <c r="C72" s="2" t="s">
        <v>3563</v>
      </c>
      <c r="D72" s="13"/>
      <c r="E72" s="13"/>
      <c r="F72" s="45"/>
      <c r="G72" s="42"/>
      <c r="H72" s="42"/>
      <c r="I72" s="42"/>
      <c r="J72" s="14"/>
      <c r="K72" s="43"/>
    </row>
    <row r="73" ht="39.75" customHeight="1">
      <c r="A73" s="1">
        <v>72.0</v>
      </c>
      <c r="B73" s="2" t="s">
        <v>36</v>
      </c>
      <c r="C73" s="2" t="s">
        <v>3600</v>
      </c>
      <c r="D73" s="13"/>
      <c r="E73" s="13"/>
      <c r="F73" s="45"/>
      <c r="G73" s="42"/>
      <c r="H73" s="42"/>
      <c r="I73" s="42"/>
      <c r="J73" s="14"/>
      <c r="K73" s="43"/>
    </row>
    <row r="74" ht="39.75" customHeight="1">
      <c r="A74" s="1">
        <v>73.0</v>
      </c>
      <c r="B74" s="2" t="s">
        <v>38</v>
      </c>
      <c r="C74" s="2" t="s">
        <v>39</v>
      </c>
      <c r="D74" s="13"/>
      <c r="E74" s="13"/>
      <c r="F74" s="44" t="s">
        <v>3933</v>
      </c>
      <c r="G74" s="42"/>
      <c r="H74" s="42"/>
      <c r="I74" s="42"/>
      <c r="J74" s="14"/>
      <c r="K74" s="43"/>
    </row>
    <row r="75" ht="39.75" customHeight="1">
      <c r="A75" s="1">
        <v>74.0</v>
      </c>
      <c r="B75" s="2" t="s">
        <v>41</v>
      </c>
      <c r="C75" s="2" t="s">
        <v>13</v>
      </c>
      <c r="D75" s="13"/>
      <c r="E75" s="13"/>
      <c r="F75" s="45"/>
      <c r="G75" s="42"/>
      <c r="H75" s="42"/>
      <c r="I75" s="42"/>
      <c r="J75" s="14"/>
      <c r="K75" s="43"/>
    </row>
    <row r="76" ht="39.75" customHeight="1">
      <c r="A76" s="1">
        <v>75.0</v>
      </c>
      <c r="B76" s="2" t="s">
        <v>42</v>
      </c>
      <c r="C76" s="2"/>
      <c r="D76" s="13"/>
      <c r="E76" s="13"/>
      <c r="F76" s="44" t="s">
        <v>3934</v>
      </c>
      <c r="G76" s="43">
        <v>1.0</v>
      </c>
      <c r="H76" s="42"/>
      <c r="I76" s="43">
        <v>1.0</v>
      </c>
      <c r="J76" s="14"/>
      <c r="K76" s="43"/>
    </row>
    <row r="77" ht="39.75" customHeight="1">
      <c r="A77" s="1">
        <v>76.0</v>
      </c>
      <c r="B77" s="2" t="s">
        <v>43</v>
      </c>
      <c r="C77" s="2" t="s">
        <v>39</v>
      </c>
      <c r="D77" s="13"/>
      <c r="E77" s="13"/>
      <c r="F77" s="44" t="s">
        <v>3935</v>
      </c>
      <c r="G77" s="43">
        <v>1.0</v>
      </c>
      <c r="H77" s="42"/>
      <c r="I77" s="43">
        <v>1.0</v>
      </c>
      <c r="J77" s="14"/>
      <c r="K77" s="43"/>
    </row>
    <row r="78" ht="39.75" customHeight="1">
      <c r="A78" s="1">
        <v>77.0</v>
      </c>
      <c r="B78" s="2" t="s">
        <v>267</v>
      </c>
      <c r="C78" s="2" t="s">
        <v>66</v>
      </c>
      <c r="D78" s="13"/>
      <c r="E78" s="13"/>
      <c r="F78" s="45"/>
      <c r="G78" s="42"/>
      <c r="H78" s="42"/>
      <c r="I78" s="42"/>
      <c r="J78" s="14"/>
      <c r="K78" s="43"/>
    </row>
    <row r="79" ht="39.75" customHeight="1">
      <c r="A79" s="1">
        <v>78.0</v>
      </c>
      <c r="B79" s="2" t="s">
        <v>46</v>
      </c>
      <c r="C79" s="2" t="s">
        <v>27</v>
      </c>
      <c r="D79" s="13"/>
      <c r="E79" s="13"/>
      <c r="F79" s="45"/>
      <c r="G79" s="42"/>
      <c r="H79" s="42"/>
      <c r="I79" s="42"/>
      <c r="J79" s="14"/>
      <c r="K79" s="43"/>
    </row>
    <row r="80" ht="39.75" customHeight="1">
      <c r="A80" s="1">
        <v>79.0</v>
      </c>
      <c r="B80" s="2" t="s">
        <v>47</v>
      </c>
      <c r="C80" s="2" t="s">
        <v>3600</v>
      </c>
      <c r="D80" s="13"/>
      <c r="E80" s="13"/>
      <c r="F80" s="45"/>
      <c r="G80" s="42"/>
      <c r="H80" s="42"/>
      <c r="I80" s="42"/>
      <c r="J80" s="14"/>
      <c r="K80" s="43"/>
    </row>
    <row r="81" ht="39.75" customHeight="1">
      <c r="A81" s="1">
        <v>80.0</v>
      </c>
      <c r="B81" s="2" t="s">
        <v>48</v>
      </c>
      <c r="C81" s="2" t="s">
        <v>54</v>
      </c>
      <c r="D81" s="13"/>
      <c r="E81" s="13"/>
      <c r="F81" s="45"/>
      <c r="G81" s="42"/>
      <c r="H81" s="42"/>
      <c r="I81" s="42"/>
      <c r="J81" s="14"/>
      <c r="K81" s="43"/>
    </row>
    <row r="82" ht="39.75" customHeight="1">
      <c r="A82" s="1">
        <v>81.0</v>
      </c>
      <c r="B82" s="21"/>
      <c r="C82" s="21"/>
      <c r="D82" s="21"/>
      <c r="E82" s="21"/>
      <c r="F82" s="46"/>
      <c r="G82" s="47"/>
      <c r="H82" s="47"/>
      <c r="I82" s="47"/>
      <c r="J82" s="48"/>
      <c r="K82" s="47"/>
      <c r="L82" s="49"/>
      <c r="M82" s="49"/>
      <c r="N82" s="49"/>
    </row>
    <row r="83" ht="39.75" customHeight="1">
      <c r="A83" s="1">
        <v>82.0</v>
      </c>
      <c r="B83" s="2" t="s">
        <v>12</v>
      </c>
      <c r="C83" s="2" t="s">
        <v>62</v>
      </c>
      <c r="D83" s="13"/>
      <c r="E83" s="13"/>
      <c r="F83" s="45"/>
      <c r="G83" s="42"/>
      <c r="H83" s="42"/>
      <c r="I83" s="42"/>
      <c r="J83" s="14"/>
      <c r="K83" s="43"/>
      <c r="L83" s="15" t="s">
        <v>94</v>
      </c>
    </row>
    <row r="84" ht="39.75" customHeight="1">
      <c r="A84" s="1">
        <v>83.0</v>
      </c>
      <c r="B84" s="2" t="s">
        <v>16</v>
      </c>
      <c r="C84" s="2" t="s">
        <v>27</v>
      </c>
      <c r="D84" s="13"/>
      <c r="E84" s="13"/>
      <c r="F84" s="44" t="s">
        <v>3936</v>
      </c>
      <c r="G84" s="43">
        <v>1.0</v>
      </c>
      <c r="H84" s="43"/>
      <c r="I84" s="43">
        <v>1.0</v>
      </c>
      <c r="J84" s="14" t="s">
        <v>94</v>
      </c>
      <c r="K84" s="43"/>
    </row>
    <row r="85" ht="39.75" customHeight="1">
      <c r="A85" s="1">
        <v>84.0</v>
      </c>
      <c r="B85" s="2" t="s">
        <v>116</v>
      </c>
      <c r="C85" s="2" t="s">
        <v>54</v>
      </c>
      <c r="D85" s="13"/>
      <c r="E85" s="13"/>
      <c r="F85" s="44" t="s">
        <v>3937</v>
      </c>
      <c r="G85" s="43">
        <v>1.0</v>
      </c>
      <c r="H85" s="42"/>
      <c r="I85" s="42"/>
      <c r="J85" s="14"/>
      <c r="K85" s="43"/>
    </row>
    <row r="86" ht="39.75" customHeight="1">
      <c r="A86" s="1">
        <v>85.0</v>
      </c>
      <c r="B86" s="2" t="s">
        <v>263</v>
      </c>
      <c r="C86" s="2"/>
      <c r="D86" s="13"/>
      <c r="E86" s="13"/>
      <c r="F86" s="44" t="s">
        <v>3905</v>
      </c>
      <c r="G86" s="42"/>
      <c r="H86" s="42"/>
      <c r="I86" s="42"/>
      <c r="J86" s="14"/>
      <c r="K86" s="43"/>
    </row>
    <row r="87" ht="39.75" customHeight="1">
      <c r="A87" s="1">
        <v>86.0</v>
      </c>
      <c r="B87" s="2" t="s">
        <v>17</v>
      </c>
      <c r="C87" s="2" t="s">
        <v>64</v>
      </c>
      <c r="D87" s="13"/>
      <c r="E87" s="13"/>
      <c r="F87" s="45"/>
      <c r="G87" s="42"/>
      <c r="H87" s="42"/>
      <c r="I87" s="42"/>
      <c r="J87" s="14"/>
      <c r="K87" s="43"/>
    </row>
    <row r="88" ht="39.75" customHeight="1">
      <c r="A88" s="1">
        <v>87.0</v>
      </c>
      <c r="B88" s="2" t="s">
        <v>331</v>
      </c>
      <c r="C88" s="2"/>
      <c r="D88" s="13"/>
      <c r="E88" s="13"/>
      <c r="F88" s="44" t="s">
        <v>3905</v>
      </c>
      <c r="G88" s="42"/>
      <c r="H88" s="42"/>
      <c r="I88" s="42"/>
      <c r="J88" s="14"/>
      <c r="K88" s="43"/>
    </row>
    <row r="89" ht="39.75" customHeight="1">
      <c r="A89" s="1">
        <v>88.0</v>
      </c>
      <c r="B89" s="2" t="s">
        <v>21</v>
      </c>
      <c r="C89" s="2" t="s">
        <v>54</v>
      </c>
      <c r="D89" s="13"/>
      <c r="E89" s="13"/>
      <c r="F89" s="44" t="s">
        <v>1889</v>
      </c>
      <c r="G89" s="42"/>
      <c r="H89" s="42"/>
      <c r="I89" s="42"/>
      <c r="J89" s="14"/>
      <c r="K89" s="43"/>
    </row>
    <row r="90" ht="39.75" customHeight="1">
      <c r="A90" s="1">
        <v>89.0</v>
      </c>
      <c r="B90" s="2" t="s">
        <v>22</v>
      </c>
      <c r="C90" s="2" t="s">
        <v>39</v>
      </c>
      <c r="D90" s="13"/>
      <c r="E90" s="13"/>
      <c r="F90" s="44" t="s">
        <v>1889</v>
      </c>
      <c r="G90" s="42"/>
      <c r="H90" s="42"/>
      <c r="I90" s="42"/>
      <c r="J90" s="14"/>
      <c r="K90" s="43"/>
    </row>
    <row r="91" ht="39.75" customHeight="1">
      <c r="A91" s="1">
        <v>90.0</v>
      </c>
      <c r="B91" s="2" t="s">
        <v>261</v>
      </c>
      <c r="C91" s="2" t="s">
        <v>13</v>
      </c>
      <c r="D91" s="13"/>
      <c r="E91" s="13"/>
      <c r="F91" s="45"/>
      <c r="G91" s="42"/>
      <c r="H91" s="42"/>
      <c r="I91" s="42"/>
      <c r="J91" s="14"/>
      <c r="K91" s="43"/>
    </row>
    <row r="92" ht="39.75" customHeight="1">
      <c r="A92" s="1">
        <v>91.0</v>
      </c>
      <c r="B92" s="2" t="s">
        <v>23</v>
      </c>
      <c r="C92" s="2" t="s">
        <v>69</v>
      </c>
      <c r="D92" s="13"/>
      <c r="E92" s="13"/>
      <c r="F92" s="44" t="s">
        <v>1889</v>
      </c>
      <c r="G92" s="42"/>
      <c r="H92" s="42"/>
      <c r="I92" s="42"/>
      <c r="J92" s="14"/>
      <c r="K92" s="43"/>
    </row>
    <row r="93" ht="39.75" customHeight="1">
      <c r="A93" s="1">
        <v>92.0</v>
      </c>
      <c r="B93" s="2" t="s">
        <v>24</v>
      </c>
      <c r="C93" s="2"/>
      <c r="D93" s="13"/>
      <c r="E93" s="13"/>
      <c r="F93" s="96" t="s">
        <v>3938</v>
      </c>
      <c r="G93" s="43">
        <v>1.0</v>
      </c>
      <c r="H93" s="42"/>
      <c r="I93" s="42"/>
      <c r="J93" s="14"/>
      <c r="K93" s="43"/>
    </row>
    <row r="94" ht="39.75" customHeight="1">
      <c r="A94" s="1">
        <v>93.0</v>
      </c>
      <c r="B94" s="2" t="s">
        <v>25</v>
      </c>
      <c r="C94" s="2" t="s">
        <v>54</v>
      </c>
      <c r="D94" s="13"/>
      <c r="E94" s="13"/>
      <c r="F94" s="96" t="s">
        <v>3939</v>
      </c>
      <c r="G94" s="43">
        <v>1.0</v>
      </c>
      <c r="H94" s="42"/>
      <c r="I94" s="43">
        <v>1.0</v>
      </c>
      <c r="J94" s="14"/>
      <c r="K94" s="43"/>
    </row>
    <row r="95" ht="39.75" customHeight="1">
      <c r="A95" s="1">
        <v>94.0</v>
      </c>
      <c r="B95" s="2" t="s">
        <v>26</v>
      </c>
      <c r="C95" s="2" t="s">
        <v>54</v>
      </c>
      <c r="D95" s="13"/>
      <c r="E95" s="13"/>
      <c r="F95" s="96" t="s">
        <v>3940</v>
      </c>
      <c r="G95" s="43">
        <v>1.0</v>
      </c>
      <c r="H95" s="42"/>
      <c r="I95" s="43">
        <v>1.0</v>
      </c>
      <c r="J95" s="14"/>
      <c r="K95" s="43"/>
    </row>
    <row r="96" ht="39.75" customHeight="1">
      <c r="A96" s="1">
        <v>95.0</v>
      </c>
      <c r="B96" s="2" t="s">
        <v>29</v>
      </c>
      <c r="C96" s="2" t="s">
        <v>3600</v>
      </c>
      <c r="D96" s="13"/>
      <c r="E96" s="13"/>
      <c r="F96" s="45"/>
      <c r="G96" s="42"/>
      <c r="H96" s="42"/>
      <c r="I96" s="42"/>
      <c r="J96" s="14"/>
      <c r="K96" s="43"/>
    </row>
    <row r="97" ht="39.75" customHeight="1">
      <c r="A97" s="1">
        <v>96.0</v>
      </c>
      <c r="B97" s="2" t="s">
        <v>32</v>
      </c>
      <c r="C97" s="2" t="s">
        <v>66</v>
      </c>
      <c r="D97" s="13"/>
      <c r="E97" s="13"/>
      <c r="F97" s="45"/>
      <c r="G97" s="42"/>
      <c r="H97" s="42"/>
      <c r="I97" s="42"/>
      <c r="J97" s="14"/>
      <c r="K97" s="43"/>
    </row>
    <row r="98" ht="39.75" customHeight="1">
      <c r="A98" s="1">
        <v>97.0</v>
      </c>
      <c r="B98" s="2" t="s">
        <v>67</v>
      </c>
      <c r="C98" s="2" t="s">
        <v>542</v>
      </c>
      <c r="D98" s="13"/>
      <c r="E98" s="13"/>
      <c r="F98" s="44" t="s">
        <v>3941</v>
      </c>
      <c r="G98" s="43">
        <v>1.0</v>
      </c>
      <c r="H98" s="42"/>
      <c r="I98" s="43">
        <v>1.0</v>
      </c>
      <c r="J98" s="14"/>
      <c r="K98" s="43"/>
    </row>
    <row r="99" ht="39.75" customHeight="1">
      <c r="A99" s="1">
        <v>98.0</v>
      </c>
      <c r="B99" s="2" t="s">
        <v>35</v>
      </c>
      <c r="C99" s="2" t="s">
        <v>3563</v>
      </c>
      <c r="D99" s="13"/>
      <c r="E99" s="13"/>
      <c r="F99" s="45"/>
      <c r="G99" s="42"/>
      <c r="H99" s="42"/>
      <c r="I99" s="42"/>
      <c r="J99" s="14"/>
      <c r="K99" s="43"/>
    </row>
    <row r="100" ht="39.75" customHeight="1">
      <c r="A100" s="1">
        <v>99.0</v>
      </c>
      <c r="B100" s="2" t="s">
        <v>36</v>
      </c>
      <c r="C100" s="2" t="s">
        <v>3600</v>
      </c>
      <c r="D100" s="13"/>
      <c r="E100" s="13"/>
      <c r="F100" s="45"/>
      <c r="G100" s="42"/>
      <c r="H100" s="42"/>
      <c r="I100" s="42"/>
      <c r="J100" s="14"/>
      <c r="K100" s="43"/>
    </row>
    <row r="101" ht="39.75" customHeight="1">
      <c r="A101" s="1">
        <v>100.0</v>
      </c>
      <c r="B101" s="2" t="s">
        <v>38</v>
      </c>
      <c r="C101" s="2"/>
      <c r="D101" s="13"/>
      <c r="E101" s="13"/>
      <c r="F101" s="44" t="s">
        <v>3942</v>
      </c>
      <c r="G101" s="43">
        <v>1.0</v>
      </c>
      <c r="H101" s="42"/>
      <c r="I101" s="43">
        <v>1.0</v>
      </c>
      <c r="J101" s="14"/>
      <c r="K101" s="43"/>
    </row>
    <row r="102" ht="39.75" customHeight="1">
      <c r="A102" s="1">
        <v>101.0</v>
      </c>
      <c r="B102" s="2" t="s">
        <v>41</v>
      </c>
      <c r="C102" s="2" t="s">
        <v>13</v>
      </c>
      <c r="D102" s="13"/>
      <c r="E102" s="13"/>
      <c r="F102" s="45"/>
      <c r="G102" s="42"/>
      <c r="H102" s="42"/>
      <c r="I102" s="42"/>
      <c r="J102" s="14"/>
      <c r="K102" s="43"/>
    </row>
    <row r="103" ht="39.75" customHeight="1">
      <c r="A103" s="1">
        <v>102.0</v>
      </c>
      <c r="B103" s="2" t="s">
        <v>42</v>
      </c>
      <c r="C103" s="2" t="s">
        <v>3600</v>
      </c>
      <c r="D103" s="13"/>
      <c r="E103" s="13"/>
      <c r="F103" s="44" t="s">
        <v>3943</v>
      </c>
      <c r="G103" s="42"/>
      <c r="H103" s="42"/>
      <c r="I103" s="42"/>
      <c r="J103" s="14"/>
      <c r="K103" s="43"/>
    </row>
    <row r="104" ht="39.75" customHeight="1">
      <c r="A104" s="1">
        <v>103.0</v>
      </c>
      <c r="B104" s="2" t="s">
        <v>43</v>
      </c>
      <c r="C104" s="2"/>
      <c r="D104" s="13"/>
      <c r="E104" s="13"/>
      <c r="F104" s="44" t="s">
        <v>3944</v>
      </c>
      <c r="G104" s="43">
        <v>1.0</v>
      </c>
      <c r="H104" s="42"/>
      <c r="I104" s="42"/>
      <c r="J104" s="14"/>
      <c r="K104" s="43"/>
    </row>
    <row r="105" ht="39.75" customHeight="1">
      <c r="A105" s="1">
        <v>104.0</v>
      </c>
      <c r="B105" s="2" t="s">
        <v>267</v>
      </c>
      <c r="C105" s="115" t="s">
        <v>39</v>
      </c>
      <c r="D105" s="40">
        <v>0.25</v>
      </c>
      <c r="E105" s="13"/>
      <c r="F105" s="44" t="s">
        <v>3945</v>
      </c>
      <c r="G105" s="43">
        <v>2.0</v>
      </c>
      <c r="H105" s="42"/>
      <c r="I105" s="42"/>
      <c r="J105" s="14"/>
      <c r="K105" s="43"/>
    </row>
    <row r="106" ht="39.75" customHeight="1">
      <c r="A106" s="1">
        <v>105.0</v>
      </c>
      <c r="B106" s="2" t="s">
        <v>46</v>
      </c>
      <c r="C106" s="2" t="s">
        <v>44</v>
      </c>
      <c r="D106" s="13"/>
      <c r="E106" s="13"/>
      <c r="F106" s="96" t="s">
        <v>3946</v>
      </c>
      <c r="G106" s="42"/>
      <c r="H106" s="42"/>
      <c r="I106" s="42"/>
      <c r="J106" s="14"/>
      <c r="K106" s="43"/>
    </row>
    <row r="107" ht="39.75" customHeight="1">
      <c r="A107" s="1">
        <v>106.0</v>
      </c>
      <c r="B107" s="2" t="s">
        <v>47</v>
      </c>
      <c r="C107" s="2" t="s">
        <v>3600</v>
      </c>
      <c r="D107" s="13"/>
      <c r="E107" s="13"/>
      <c r="F107" s="45"/>
      <c r="G107" s="42"/>
      <c r="H107" s="42"/>
      <c r="I107" s="42"/>
      <c r="J107" s="14"/>
      <c r="K107" s="43"/>
    </row>
    <row r="108" ht="39.75" customHeight="1">
      <c r="A108" s="1">
        <v>107.0</v>
      </c>
      <c r="B108" s="2" t="s">
        <v>48</v>
      </c>
      <c r="C108" s="2" t="s">
        <v>69</v>
      </c>
      <c r="D108" s="13"/>
      <c r="E108" s="13"/>
      <c r="F108" s="44" t="s">
        <v>3947</v>
      </c>
      <c r="G108" s="43">
        <v>1.0</v>
      </c>
      <c r="H108" s="42"/>
      <c r="I108" s="42"/>
      <c r="J108" s="14"/>
      <c r="K108" s="43"/>
    </row>
    <row r="109" ht="39.75" customHeight="1">
      <c r="A109" s="1">
        <v>108.0</v>
      </c>
      <c r="B109" s="21"/>
      <c r="C109" s="21"/>
      <c r="D109" s="21"/>
      <c r="E109" s="21"/>
      <c r="F109" s="46"/>
      <c r="G109" s="47"/>
      <c r="H109" s="47"/>
      <c r="I109" s="47"/>
      <c r="J109" s="54"/>
      <c r="K109" s="72"/>
      <c r="L109" s="49"/>
      <c r="M109" s="49"/>
      <c r="N109" s="49"/>
    </row>
    <row r="110" ht="39.75" customHeight="1">
      <c r="A110" s="1">
        <v>109.0</v>
      </c>
      <c r="B110" s="2" t="s">
        <v>12</v>
      </c>
      <c r="C110" s="2" t="s">
        <v>62</v>
      </c>
      <c r="D110" s="13"/>
      <c r="E110" s="13"/>
      <c r="F110" s="44" t="s">
        <v>3948</v>
      </c>
      <c r="G110" s="43">
        <v>1.0</v>
      </c>
      <c r="H110" s="42"/>
      <c r="I110" s="42"/>
      <c r="J110" s="27"/>
      <c r="K110" s="43"/>
      <c r="L110" s="15" t="s">
        <v>109</v>
      </c>
    </row>
    <row r="111" ht="39.75" customHeight="1">
      <c r="A111" s="1">
        <v>110.0</v>
      </c>
      <c r="B111" s="2" t="s">
        <v>16</v>
      </c>
      <c r="C111" s="2" t="s">
        <v>44</v>
      </c>
      <c r="D111" s="13"/>
      <c r="E111" s="13"/>
      <c r="F111" s="45"/>
      <c r="G111" s="42"/>
      <c r="H111" s="42"/>
      <c r="I111" s="42"/>
      <c r="J111" s="27" t="s">
        <v>109</v>
      </c>
      <c r="K111" s="43"/>
    </row>
    <row r="112" ht="39.75" customHeight="1">
      <c r="A112" s="1">
        <v>111.0</v>
      </c>
      <c r="B112" s="2" t="s">
        <v>116</v>
      </c>
      <c r="C112" s="2" t="s">
        <v>54</v>
      </c>
      <c r="D112" s="13"/>
      <c r="E112" s="13"/>
      <c r="F112" s="44" t="s">
        <v>3949</v>
      </c>
      <c r="G112" s="42"/>
      <c r="H112" s="42"/>
      <c r="I112" s="42"/>
      <c r="J112" s="27" t="s">
        <v>111</v>
      </c>
      <c r="K112" s="43"/>
    </row>
    <row r="113" ht="39.75" customHeight="1">
      <c r="A113" s="1">
        <v>112.0</v>
      </c>
      <c r="B113" s="2" t="s">
        <v>263</v>
      </c>
      <c r="C113" s="2"/>
      <c r="D113" s="13"/>
      <c r="E113" s="13"/>
      <c r="F113" s="44" t="s">
        <v>3905</v>
      </c>
      <c r="G113" s="42"/>
      <c r="H113" s="42"/>
      <c r="I113" s="42"/>
      <c r="J113" s="27" t="s">
        <v>151</v>
      </c>
      <c r="K113" s="42"/>
    </row>
    <row r="114" ht="39.75" customHeight="1">
      <c r="A114" s="1">
        <v>113.0</v>
      </c>
      <c r="B114" s="2" t="s">
        <v>17</v>
      </c>
      <c r="C114" s="2" t="s">
        <v>64</v>
      </c>
      <c r="D114" s="13"/>
      <c r="E114" s="13"/>
      <c r="F114" s="45"/>
      <c r="G114" s="42"/>
      <c r="H114" s="42"/>
      <c r="I114" s="42"/>
      <c r="J114" s="27" t="s">
        <v>152</v>
      </c>
      <c r="K114" s="42"/>
    </row>
    <row r="115" ht="39.75" customHeight="1">
      <c r="A115" s="1">
        <v>114.0</v>
      </c>
      <c r="B115" s="2" t="s">
        <v>331</v>
      </c>
      <c r="C115" s="2"/>
      <c r="D115" s="13"/>
      <c r="E115" s="13"/>
      <c r="F115" s="44" t="s">
        <v>3905</v>
      </c>
      <c r="G115" s="42"/>
      <c r="H115" s="42"/>
      <c r="I115" s="42"/>
      <c r="J115" s="27" t="s">
        <v>154</v>
      </c>
      <c r="K115" s="42"/>
    </row>
    <row r="116" ht="39.75" customHeight="1">
      <c r="A116" s="1">
        <v>115.0</v>
      </c>
      <c r="B116" s="2" t="s">
        <v>21</v>
      </c>
      <c r="C116" s="2" t="s">
        <v>54</v>
      </c>
      <c r="D116" s="40">
        <v>0.2916666666666667</v>
      </c>
      <c r="E116" s="40">
        <v>0.875</v>
      </c>
      <c r="F116" s="96" t="s">
        <v>3950</v>
      </c>
      <c r="G116" s="42"/>
      <c r="H116" s="42"/>
      <c r="I116" s="42"/>
      <c r="J116" s="22"/>
      <c r="K116" s="42"/>
    </row>
    <row r="117" ht="39.75" customHeight="1">
      <c r="A117" s="1">
        <v>116.0</v>
      </c>
      <c r="B117" s="2" t="s">
        <v>22</v>
      </c>
      <c r="C117" s="13"/>
      <c r="D117" s="13"/>
      <c r="E117" s="13"/>
      <c r="F117" s="44" t="s">
        <v>3951</v>
      </c>
      <c r="G117" s="42"/>
      <c r="H117" s="42"/>
      <c r="I117" s="42"/>
      <c r="J117" s="22"/>
      <c r="K117" s="42"/>
    </row>
    <row r="118" ht="39.75" customHeight="1">
      <c r="A118" s="1">
        <v>117.0</v>
      </c>
      <c r="B118" s="2" t="s">
        <v>261</v>
      </c>
      <c r="C118" s="2" t="s">
        <v>13</v>
      </c>
      <c r="D118" s="13"/>
      <c r="E118" s="13"/>
      <c r="F118" s="45"/>
      <c r="G118" s="42"/>
      <c r="H118" s="42"/>
      <c r="I118" s="42"/>
      <c r="J118" s="22"/>
      <c r="K118" s="42"/>
    </row>
    <row r="119" ht="39.75" customHeight="1">
      <c r="A119" s="1">
        <v>118.0</v>
      </c>
      <c r="B119" s="2" t="s">
        <v>23</v>
      </c>
      <c r="C119" s="2" t="s">
        <v>27</v>
      </c>
      <c r="D119" s="13"/>
      <c r="E119" s="13"/>
      <c r="F119" s="45"/>
      <c r="G119" s="42"/>
      <c r="H119" s="42"/>
      <c r="I119" s="42"/>
      <c r="J119" s="22"/>
      <c r="K119" s="42"/>
    </row>
    <row r="120" ht="39.75" customHeight="1">
      <c r="A120" s="1">
        <v>119.0</v>
      </c>
      <c r="B120" s="2" t="s">
        <v>24</v>
      </c>
      <c r="C120" s="2"/>
      <c r="D120" s="13"/>
      <c r="E120" s="13"/>
      <c r="F120" s="44" t="s">
        <v>3952</v>
      </c>
      <c r="G120" s="42"/>
      <c r="H120" s="42"/>
      <c r="I120" s="42"/>
      <c r="J120" s="22"/>
      <c r="K120" s="42"/>
    </row>
    <row r="121" ht="39.75" customHeight="1">
      <c r="A121" s="1">
        <v>120.0</v>
      </c>
      <c r="B121" s="2" t="s">
        <v>25</v>
      </c>
      <c r="C121" s="2" t="s">
        <v>54</v>
      </c>
      <c r="D121" s="13"/>
      <c r="E121" s="13"/>
      <c r="F121" s="44" t="s">
        <v>3953</v>
      </c>
      <c r="G121" s="42"/>
      <c r="H121" s="42"/>
      <c r="I121" s="42"/>
      <c r="J121" s="22"/>
      <c r="K121" s="42"/>
    </row>
    <row r="122" ht="39.75" customHeight="1">
      <c r="A122" s="1">
        <v>121.0</v>
      </c>
      <c r="B122" s="2" t="s">
        <v>26</v>
      </c>
      <c r="C122" s="2" t="s">
        <v>54</v>
      </c>
      <c r="D122" s="13"/>
      <c r="E122" s="13"/>
      <c r="F122" s="44" t="s">
        <v>3954</v>
      </c>
      <c r="G122" s="43">
        <v>1.0</v>
      </c>
      <c r="H122" s="42"/>
      <c r="I122" s="43">
        <v>1.0</v>
      </c>
      <c r="J122" s="22"/>
      <c r="K122" s="42"/>
    </row>
    <row r="123" ht="39.75" customHeight="1">
      <c r="A123" s="1">
        <v>122.0</v>
      </c>
      <c r="B123" s="2" t="s">
        <v>29</v>
      </c>
      <c r="C123" s="2" t="s">
        <v>3600</v>
      </c>
      <c r="D123" s="13"/>
      <c r="E123" s="13"/>
      <c r="F123" s="45"/>
      <c r="G123" s="42"/>
      <c r="H123" s="42"/>
      <c r="I123" s="42"/>
      <c r="J123" s="22"/>
      <c r="K123" s="42"/>
    </row>
    <row r="124" ht="39.75" customHeight="1">
      <c r="A124" s="1">
        <v>123.0</v>
      </c>
      <c r="B124" s="2" t="s">
        <v>32</v>
      </c>
      <c r="C124" s="2" t="s">
        <v>39</v>
      </c>
      <c r="D124" s="13"/>
      <c r="E124" s="13"/>
      <c r="F124" s="61" t="s">
        <v>3955</v>
      </c>
      <c r="G124" s="42"/>
      <c r="H124" s="42"/>
      <c r="I124" s="42"/>
      <c r="J124" s="22"/>
      <c r="K124" s="42"/>
    </row>
    <row r="125" ht="39.75" customHeight="1">
      <c r="A125" s="1">
        <v>124.0</v>
      </c>
      <c r="B125" s="2" t="s">
        <v>67</v>
      </c>
      <c r="C125" s="2"/>
      <c r="D125" s="13"/>
      <c r="E125" s="13"/>
      <c r="F125" s="44" t="s">
        <v>3956</v>
      </c>
      <c r="G125" s="43">
        <v>2.0</v>
      </c>
      <c r="H125" s="42"/>
      <c r="I125" s="43">
        <v>1.0</v>
      </c>
      <c r="J125" s="22"/>
      <c r="K125" s="42"/>
    </row>
    <row r="126" ht="39.75" customHeight="1">
      <c r="A126" s="1">
        <v>125.0</v>
      </c>
      <c r="B126" s="2" t="s">
        <v>35</v>
      </c>
      <c r="C126" s="2" t="s">
        <v>3563</v>
      </c>
      <c r="D126" s="13"/>
      <c r="E126" s="13"/>
      <c r="F126" s="45"/>
      <c r="G126" s="42"/>
      <c r="H126" s="42"/>
      <c r="I126" s="42"/>
      <c r="J126" s="22"/>
      <c r="K126" s="42"/>
    </row>
    <row r="127" ht="39.75" customHeight="1">
      <c r="A127" s="1">
        <v>126.0</v>
      </c>
      <c r="B127" s="2" t="s">
        <v>36</v>
      </c>
      <c r="C127" s="2" t="s">
        <v>3600</v>
      </c>
      <c r="D127" s="13"/>
      <c r="E127" s="13"/>
      <c r="F127" s="45"/>
      <c r="G127" s="42"/>
      <c r="H127" s="42"/>
      <c r="I127" s="42"/>
      <c r="J127" s="22"/>
      <c r="K127" s="42"/>
    </row>
    <row r="128" ht="39.75" customHeight="1">
      <c r="A128" s="1">
        <v>127.0</v>
      </c>
      <c r="B128" s="2" t="s">
        <v>38</v>
      </c>
      <c r="C128" s="2" t="s">
        <v>39</v>
      </c>
      <c r="D128" s="13"/>
      <c r="E128" s="13"/>
      <c r="F128" s="96" t="s">
        <v>3957</v>
      </c>
      <c r="G128" s="43">
        <v>2.0</v>
      </c>
      <c r="H128" s="42"/>
      <c r="I128" s="43">
        <v>1.0</v>
      </c>
      <c r="J128" s="22"/>
      <c r="K128" s="42"/>
    </row>
    <row r="129" ht="39.75" customHeight="1">
      <c r="A129" s="1">
        <v>128.0</v>
      </c>
      <c r="B129" s="2" t="s">
        <v>41</v>
      </c>
      <c r="C129" s="2" t="s">
        <v>13</v>
      </c>
      <c r="D129" s="13"/>
      <c r="E129" s="13"/>
      <c r="F129" s="45"/>
      <c r="G129" s="42"/>
      <c r="H129" s="42"/>
      <c r="I129" s="42"/>
      <c r="J129" s="22"/>
      <c r="K129" s="42"/>
    </row>
    <row r="130" ht="39.75" customHeight="1">
      <c r="A130" s="1">
        <v>129.0</v>
      </c>
      <c r="B130" s="2" t="s">
        <v>42</v>
      </c>
      <c r="C130" s="2" t="s">
        <v>3600</v>
      </c>
      <c r="D130" s="13"/>
      <c r="E130" s="13"/>
      <c r="F130" s="45"/>
      <c r="G130" s="42"/>
      <c r="H130" s="42"/>
      <c r="I130" s="42"/>
      <c r="J130" s="22"/>
      <c r="K130" s="42"/>
    </row>
    <row r="131" ht="39.75" customHeight="1">
      <c r="A131" s="1">
        <v>130.0</v>
      </c>
      <c r="B131" s="2" t="s">
        <v>43</v>
      </c>
      <c r="C131" s="2" t="s">
        <v>69</v>
      </c>
      <c r="D131" s="13"/>
      <c r="E131" s="13"/>
      <c r="F131" s="44" t="s">
        <v>3949</v>
      </c>
      <c r="G131" s="42"/>
      <c r="H131" s="42"/>
      <c r="I131" s="42"/>
      <c r="J131" s="22"/>
      <c r="K131" s="42"/>
    </row>
    <row r="132" ht="39.75" customHeight="1">
      <c r="A132" s="1">
        <v>131.0</v>
      </c>
      <c r="B132" s="2" t="s">
        <v>267</v>
      </c>
      <c r="C132" s="2" t="s">
        <v>69</v>
      </c>
      <c r="D132" s="13"/>
      <c r="E132" s="13"/>
      <c r="F132" s="44" t="s">
        <v>3958</v>
      </c>
      <c r="G132" s="43">
        <v>1.0</v>
      </c>
      <c r="H132" s="42"/>
      <c r="I132" s="42"/>
      <c r="J132" s="22"/>
      <c r="K132" s="42"/>
    </row>
    <row r="133" ht="39.75" customHeight="1">
      <c r="A133" s="1">
        <v>132.0</v>
      </c>
      <c r="B133" s="2" t="s">
        <v>46</v>
      </c>
      <c r="C133" s="2" t="s">
        <v>66</v>
      </c>
      <c r="D133" s="13"/>
      <c r="E133" s="13"/>
      <c r="F133" s="45"/>
      <c r="G133" s="42"/>
      <c r="H133" s="42"/>
      <c r="I133" s="42"/>
      <c r="J133" s="22"/>
      <c r="K133" s="42"/>
    </row>
    <row r="134" ht="39.75" customHeight="1">
      <c r="A134" s="1">
        <v>133.0</v>
      </c>
      <c r="B134" s="2" t="s">
        <v>47</v>
      </c>
      <c r="C134" s="2" t="s">
        <v>3600</v>
      </c>
      <c r="D134" s="13"/>
      <c r="E134" s="13"/>
      <c r="F134" s="45"/>
      <c r="G134" s="42"/>
      <c r="H134" s="42"/>
      <c r="I134" s="42"/>
      <c r="J134" s="22"/>
      <c r="K134" s="42"/>
    </row>
    <row r="135" ht="39.75" customHeight="1">
      <c r="A135" s="1">
        <v>134.0</v>
      </c>
      <c r="B135" s="2" t="s">
        <v>48</v>
      </c>
      <c r="C135" s="2" t="s">
        <v>69</v>
      </c>
      <c r="D135" s="13"/>
      <c r="E135" s="13"/>
      <c r="F135" s="44" t="s">
        <v>3959</v>
      </c>
      <c r="G135" s="43">
        <v>2.0</v>
      </c>
      <c r="H135" s="42"/>
      <c r="I135" s="42"/>
      <c r="J135" s="22"/>
      <c r="K135" s="42"/>
    </row>
    <row r="136" ht="39.75" customHeight="1">
      <c r="A136" s="1">
        <v>135.0</v>
      </c>
      <c r="B136" s="21"/>
      <c r="C136" s="21"/>
      <c r="D136" s="21"/>
      <c r="E136" s="21"/>
      <c r="F136" s="46"/>
      <c r="G136" s="47"/>
      <c r="H136" s="47"/>
      <c r="I136" s="47"/>
      <c r="J136" s="48"/>
      <c r="K136" s="47"/>
      <c r="L136" s="49"/>
      <c r="M136" s="49"/>
      <c r="N136" s="49"/>
    </row>
    <row r="137" ht="39.75" customHeight="1">
      <c r="A137" s="1">
        <v>136.0</v>
      </c>
      <c r="B137" s="2" t="s">
        <v>12</v>
      </c>
      <c r="C137" s="2" t="s">
        <v>62</v>
      </c>
      <c r="D137" s="13"/>
      <c r="E137" s="13"/>
      <c r="F137" s="44" t="s">
        <v>3960</v>
      </c>
      <c r="G137" s="43">
        <v>1.0</v>
      </c>
      <c r="H137" s="42"/>
      <c r="I137" s="43">
        <v>1.0</v>
      </c>
      <c r="J137" s="27"/>
      <c r="K137" s="43"/>
      <c r="L137" s="15" t="s">
        <v>128</v>
      </c>
    </row>
    <row r="138" ht="39.75" customHeight="1">
      <c r="A138" s="1">
        <v>137.0</v>
      </c>
      <c r="B138" s="2" t="s">
        <v>16</v>
      </c>
      <c r="C138" s="2"/>
      <c r="D138" s="13"/>
      <c r="E138" s="13"/>
      <c r="F138" s="44" t="s">
        <v>3961</v>
      </c>
      <c r="G138" s="42"/>
      <c r="H138" s="42"/>
      <c r="I138" s="42"/>
      <c r="J138" s="27" t="s">
        <v>128</v>
      </c>
      <c r="K138" s="43"/>
    </row>
    <row r="139" ht="39.75" customHeight="1">
      <c r="A139" s="1">
        <v>138.0</v>
      </c>
      <c r="B139" s="2" t="s">
        <v>116</v>
      </c>
      <c r="C139" s="2" t="s">
        <v>54</v>
      </c>
      <c r="D139" s="13"/>
      <c r="E139" s="13"/>
      <c r="F139" s="44" t="s">
        <v>1889</v>
      </c>
      <c r="G139" s="42"/>
      <c r="H139" s="42"/>
      <c r="I139" s="42"/>
      <c r="J139" s="27" t="s">
        <v>131</v>
      </c>
      <c r="K139" s="43"/>
    </row>
    <row r="140" ht="39.75" customHeight="1">
      <c r="A140" s="1">
        <v>139.0</v>
      </c>
      <c r="B140" s="2" t="s">
        <v>263</v>
      </c>
      <c r="C140" s="2"/>
      <c r="D140" s="13"/>
      <c r="E140" s="13"/>
      <c r="F140" s="44" t="s">
        <v>3962</v>
      </c>
      <c r="G140" s="42"/>
      <c r="H140" s="42"/>
      <c r="I140" s="42"/>
      <c r="J140" s="27" t="s">
        <v>165</v>
      </c>
      <c r="K140" s="43"/>
    </row>
    <row r="141" ht="39.75" customHeight="1">
      <c r="A141" s="1">
        <v>140.0</v>
      </c>
      <c r="B141" s="2" t="s">
        <v>17</v>
      </c>
      <c r="C141" s="2" t="s">
        <v>64</v>
      </c>
      <c r="D141" s="13"/>
      <c r="E141" s="13"/>
      <c r="F141" s="45"/>
      <c r="G141" s="42"/>
      <c r="H141" s="42"/>
      <c r="I141" s="42"/>
      <c r="J141" s="27" t="s">
        <v>2637</v>
      </c>
      <c r="K141" s="43"/>
    </row>
    <row r="142" ht="39.75" customHeight="1">
      <c r="A142" s="1">
        <v>141.0</v>
      </c>
      <c r="B142" s="2" t="s">
        <v>331</v>
      </c>
      <c r="C142" s="2"/>
      <c r="D142" s="13"/>
      <c r="E142" s="13"/>
      <c r="F142" s="44" t="s">
        <v>3962</v>
      </c>
      <c r="G142" s="42"/>
      <c r="H142" s="42"/>
      <c r="I142" s="42"/>
      <c r="J142" s="27" t="s">
        <v>2638</v>
      </c>
      <c r="K142" s="43"/>
    </row>
    <row r="143" ht="39.75" customHeight="1">
      <c r="A143" s="1">
        <v>142.0</v>
      </c>
      <c r="B143" s="2" t="s">
        <v>21</v>
      </c>
      <c r="C143" s="2" t="s">
        <v>54</v>
      </c>
      <c r="D143" s="13"/>
      <c r="E143" s="13"/>
      <c r="F143" s="44" t="s">
        <v>3963</v>
      </c>
      <c r="G143" s="43">
        <v>1.0</v>
      </c>
      <c r="H143" s="42"/>
      <c r="I143" s="42"/>
      <c r="J143" s="22"/>
      <c r="K143" s="42"/>
    </row>
    <row r="144" ht="39.75" customHeight="1">
      <c r="A144" s="1">
        <v>143.0</v>
      </c>
      <c r="B144" s="2" t="s">
        <v>22</v>
      </c>
      <c r="C144" s="2" t="s">
        <v>39</v>
      </c>
      <c r="D144" s="13"/>
      <c r="E144" s="13"/>
      <c r="F144" s="44" t="s">
        <v>3964</v>
      </c>
      <c r="G144" s="43">
        <v>2.0</v>
      </c>
      <c r="H144" s="42"/>
      <c r="I144" s="42"/>
      <c r="J144" s="22"/>
      <c r="K144" s="42"/>
    </row>
    <row r="145" ht="39.75" customHeight="1">
      <c r="A145" s="1">
        <v>144.0</v>
      </c>
      <c r="B145" s="2" t="s">
        <v>261</v>
      </c>
      <c r="C145" s="2" t="s">
        <v>13</v>
      </c>
      <c r="D145" s="13"/>
      <c r="E145" s="13"/>
      <c r="F145" s="45"/>
      <c r="G145" s="42"/>
      <c r="H145" s="42"/>
      <c r="I145" s="42"/>
      <c r="J145" s="22"/>
      <c r="K145" s="42"/>
    </row>
    <row r="146" ht="39.75" customHeight="1">
      <c r="A146" s="1">
        <v>145.0</v>
      </c>
      <c r="B146" s="2" t="s">
        <v>23</v>
      </c>
      <c r="C146" s="2" t="s">
        <v>44</v>
      </c>
      <c r="D146" s="13"/>
      <c r="E146" s="13"/>
      <c r="F146" s="45"/>
      <c r="G146" s="42"/>
      <c r="H146" s="42"/>
      <c r="I146" s="42"/>
      <c r="J146" s="22"/>
      <c r="K146" s="42"/>
    </row>
    <row r="147" ht="39.75" customHeight="1">
      <c r="A147" s="1">
        <v>146.0</v>
      </c>
      <c r="B147" s="2" t="s">
        <v>24</v>
      </c>
      <c r="C147" s="2"/>
      <c r="D147" s="13"/>
      <c r="E147" s="13"/>
      <c r="F147" s="44" t="s">
        <v>3965</v>
      </c>
      <c r="G147" s="43">
        <v>1.0</v>
      </c>
      <c r="H147" s="42"/>
      <c r="I147" s="43"/>
      <c r="J147" s="22"/>
      <c r="K147" s="42"/>
    </row>
    <row r="148" ht="39.75" customHeight="1">
      <c r="A148" s="1">
        <v>147.0</v>
      </c>
      <c r="B148" s="2" t="s">
        <v>25</v>
      </c>
      <c r="C148" s="2" t="s">
        <v>54</v>
      </c>
      <c r="D148" s="13"/>
      <c r="E148" s="13"/>
      <c r="F148" s="44" t="s">
        <v>1889</v>
      </c>
      <c r="G148" s="42"/>
      <c r="H148" s="42"/>
      <c r="I148" s="42"/>
      <c r="J148" s="22"/>
      <c r="K148" s="42"/>
    </row>
    <row r="149" ht="39.75" customHeight="1">
      <c r="A149" s="1">
        <v>148.0</v>
      </c>
      <c r="B149" s="2" t="s">
        <v>26</v>
      </c>
      <c r="C149" s="2" t="s">
        <v>54</v>
      </c>
      <c r="D149" s="13"/>
      <c r="E149" s="13"/>
      <c r="F149" s="44" t="s">
        <v>3966</v>
      </c>
      <c r="G149" s="43">
        <v>1.0</v>
      </c>
      <c r="H149" s="42"/>
      <c r="I149" s="43">
        <v>1.0</v>
      </c>
      <c r="J149" s="22"/>
      <c r="K149" s="42"/>
    </row>
    <row r="150" ht="39.75" customHeight="1">
      <c r="A150" s="1">
        <v>149.0</v>
      </c>
      <c r="B150" s="2" t="s">
        <v>29</v>
      </c>
      <c r="C150" s="2" t="s">
        <v>3600</v>
      </c>
      <c r="D150" s="13"/>
      <c r="E150" s="13"/>
      <c r="F150" s="45"/>
      <c r="G150" s="42"/>
      <c r="H150" s="42"/>
      <c r="I150" s="42"/>
      <c r="J150" s="22"/>
      <c r="K150" s="42"/>
    </row>
    <row r="151" ht="39.75" customHeight="1">
      <c r="A151" s="1">
        <v>150.0</v>
      </c>
      <c r="B151" s="2" t="s">
        <v>32</v>
      </c>
      <c r="C151" s="2" t="s">
        <v>69</v>
      </c>
      <c r="D151" s="13"/>
      <c r="E151" s="13"/>
      <c r="F151" s="45"/>
      <c r="G151" s="42"/>
      <c r="H151" s="42"/>
      <c r="I151" s="42"/>
      <c r="J151" s="22"/>
      <c r="K151" s="42"/>
    </row>
    <row r="152" ht="39.75" customHeight="1">
      <c r="A152" s="1">
        <v>151.0</v>
      </c>
      <c r="B152" s="2" t="s">
        <v>67</v>
      </c>
      <c r="C152" s="2"/>
      <c r="D152" s="13"/>
      <c r="E152" s="13"/>
      <c r="F152" s="44" t="s">
        <v>542</v>
      </c>
      <c r="G152" s="42"/>
      <c r="H152" s="42"/>
      <c r="I152" s="42"/>
      <c r="J152" s="22"/>
      <c r="K152" s="42"/>
    </row>
    <row r="153" ht="39.75" customHeight="1">
      <c r="A153" s="1">
        <v>152.0</v>
      </c>
      <c r="B153" s="2" t="s">
        <v>35</v>
      </c>
      <c r="C153" s="2" t="s">
        <v>3563</v>
      </c>
      <c r="D153" s="13"/>
      <c r="E153" s="13"/>
      <c r="F153" s="45"/>
      <c r="G153" s="42"/>
      <c r="H153" s="42"/>
      <c r="I153" s="42"/>
      <c r="J153" s="22"/>
      <c r="K153" s="42"/>
    </row>
    <row r="154" ht="39.75" customHeight="1">
      <c r="A154" s="1">
        <v>153.0</v>
      </c>
      <c r="B154" s="2" t="s">
        <v>36</v>
      </c>
      <c r="C154" s="2" t="s">
        <v>3600</v>
      </c>
      <c r="D154" s="13"/>
      <c r="E154" s="13"/>
      <c r="F154" s="45"/>
      <c r="G154" s="42"/>
      <c r="H154" s="42"/>
      <c r="I154" s="42"/>
      <c r="J154" s="22"/>
      <c r="K154" s="42"/>
    </row>
    <row r="155" ht="39.75" customHeight="1">
      <c r="A155" s="1">
        <v>154.0</v>
      </c>
      <c r="B155" s="2" t="s">
        <v>38</v>
      </c>
      <c r="C155" s="2" t="s">
        <v>69</v>
      </c>
      <c r="D155" s="13"/>
      <c r="E155" s="13"/>
      <c r="F155" s="57" t="s">
        <v>3967</v>
      </c>
      <c r="G155" s="43">
        <v>1.0</v>
      </c>
      <c r="H155" s="42"/>
      <c r="I155" s="42"/>
      <c r="J155" s="22"/>
      <c r="K155" s="42"/>
    </row>
    <row r="156" ht="39.75" customHeight="1">
      <c r="A156" s="1">
        <v>155.0</v>
      </c>
      <c r="B156" s="2" t="s">
        <v>41</v>
      </c>
      <c r="C156" s="2" t="s">
        <v>13</v>
      </c>
      <c r="D156" s="13"/>
      <c r="E156" s="13"/>
      <c r="F156" s="45"/>
      <c r="G156" s="42"/>
      <c r="H156" s="42"/>
      <c r="I156" s="42"/>
      <c r="J156" s="22"/>
      <c r="K156" s="42"/>
    </row>
    <row r="157" ht="39.75" customHeight="1">
      <c r="A157" s="1">
        <v>156.0</v>
      </c>
      <c r="B157" s="2" t="s">
        <v>42</v>
      </c>
      <c r="C157" s="2" t="s">
        <v>3600</v>
      </c>
      <c r="D157" s="13"/>
      <c r="E157" s="13"/>
      <c r="F157" s="45"/>
      <c r="G157" s="42"/>
      <c r="H157" s="42"/>
      <c r="I157" s="42"/>
      <c r="J157" s="22"/>
      <c r="K157" s="42"/>
    </row>
    <row r="158" ht="39.75" customHeight="1">
      <c r="A158" s="1">
        <v>157.0</v>
      </c>
      <c r="B158" s="2" t="s">
        <v>43</v>
      </c>
      <c r="C158" s="2" t="s">
        <v>39</v>
      </c>
      <c r="D158" s="13"/>
      <c r="E158" s="13"/>
      <c r="F158" s="44" t="s">
        <v>3968</v>
      </c>
      <c r="G158" s="43">
        <v>1.0</v>
      </c>
      <c r="H158" s="42"/>
      <c r="I158" s="42"/>
      <c r="J158" s="22"/>
      <c r="K158" s="42"/>
    </row>
    <row r="159" ht="39.75" customHeight="1">
      <c r="A159" s="1">
        <v>158.0</v>
      </c>
      <c r="B159" s="2" t="s">
        <v>267</v>
      </c>
      <c r="C159" s="2"/>
      <c r="D159" s="13"/>
      <c r="E159" s="13"/>
      <c r="F159" s="44" t="s">
        <v>3969</v>
      </c>
      <c r="G159" s="43">
        <v>1.0</v>
      </c>
      <c r="H159" s="42"/>
      <c r="I159" s="43">
        <v>1.0</v>
      </c>
      <c r="J159" s="22"/>
      <c r="K159" s="42"/>
    </row>
    <row r="160" ht="39.75" customHeight="1">
      <c r="A160" s="1">
        <v>159.0</v>
      </c>
      <c r="B160" s="2" t="s">
        <v>46</v>
      </c>
      <c r="C160" s="2" t="s">
        <v>27</v>
      </c>
      <c r="D160" s="13"/>
      <c r="E160" s="13"/>
      <c r="F160" s="44" t="s">
        <v>3970</v>
      </c>
      <c r="G160" s="43">
        <v>1.0</v>
      </c>
      <c r="H160" s="42"/>
      <c r="I160" s="42"/>
      <c r="J160" s="22"/>
      <c r="K160" s="42"/>
    </row>
    <row r="161" ht="39.75" customHeight="1">
      <c r="A161" s="1">
        <v>160.0</v>
      </c>
      <c r="B161" s="2" t="s">
        <v>47</v>
      </c>
      <c r="C161" s="2" t="s">
        <v>3600</v>
      </c>
      <c r="D161" s="13"/>
      <c r="E161" s="13"/>
      <c r="F161" s="45"/>
      <c r="G161" s="42"/>
      <c r="H161" s="42"/>
      <c r="I161" s="42"/>
      <c r="J161" s="22"/>
      <c r="K161" s="42"/>
    </row>
    <row r="162" ht="39.75" customHeight="1">
      <c r="A162" s="1">
        <v>161.0</v>
      </c>
      <c r="B162" s="2" t="s">
        <v>48</v>
      </c>
      <c r="C162" s="2" t="s">
        <v>66</v>
      </c>
      <c r="D162" s="13"/>
      <c r="E162" s="13"/>
      <c r="F162" s="45"/>
      <c r="G162" s="42"/>
      <c r="H162" s="42"/>
      <c r="I162" s="42"/>
      <c r="J162" s="22"/>
      <c r="K162" s="42"/>
    </row>
    <row r="163" ht="39.75" customHeight="1">
      <c r="A163" s="1">
        <v>162.0</v>
      </c>
      <c r="B163" s="21"/>
      <c r="C163" s="21"/>
      <c r="D163" s="21"/>
      <c r="E163" s="21"/>
      <c r="F163" s="46"/>
      <c r="G163" s="47"/>
      <c r="H163" s="47"/>
      <c r="I163" s="47"/>
      <c r="J163" s="48"/>
      <c r="K163" s="47"/>
      <c r="L163" s="49"/>
      <c r="M163" s="49"/>
      <c r="N163" s="49"/>
    </row>
    <row r="164" ht="39.75" customHeight="1">
      <c r="A164" s="1">
        <v>163.0</v>
      </c>
      <c r="B164" s="103" t="s">
        <v>12</v>
      </c>
      <c r="C164" s="103" t="s">
        <v>13</v>
      </c>
      <c r="D164" s="104"/>
      <c r="E164" s="104"/>
      <c r="F164" s="105"/>
      <c r="G164" s="106"/>
      <c r="H164" s="106"/>
      <c r="I164" s="106"/>
      <c r="J164" s="27"/>
      <c r="K164" s="43"/>
      <c r="L164" s="15" t="s">
        <v>147</v>
      </c>
    </row>
    <row r="165" ht="39.75" customHeight="1">
      <c r="A165" s="1">
        <v>164.0</v>
      </c>
      <c r="B165" s="2" t="s">
        <v>16</v>
      </c>
      <c r="C165" s="2" t="s">
        <v>27</v>
      </c>
      <c r="D165" s="13"/>
      <c r="E165" s="13"/>
      <c r="F165" s="45"/>
      <c r="G165" s="42"/>
      <c r="H165" s="42"/>
      <c r="I165" s="42"/>
      <c r="J165" s="27" t="s">
        <v>147</v>
      </c>
      <c r="K165" s="43"/>
    </row>
    <row r="166" ht="39.75" customHeight="1">
      <c r="A166" s="1">
        <v>165.0</v>
      </c>
      <c r="B166" s="103" t="s">
        <v>116</v>
      </c>
      <c r="C166" s="103" t="s">
        <v>13</v>
      </c>
      <c r="D166" s="104"/>
      <c r="E166" s="104"/>
      <c r="F166" s="105"/>
      <c r="G166" s="106"/>
      <c r="H166" s="106"/>
      <c r="I166" s="106"/>
      <c r="J166" s="27" t="s">
        <v>3971</v>
      </c>
      <c r="K166" s="43"/>
    </row>
    <row r="167" ht="39.75" customHeight="1">
      <c r="A167" s="1">
        <v>166.0</v>
      </c>
      <c r="B167" s="2" t="s">
        <v>263</v>
      </c>
      <c r="C167" s="2" t="s">
        <v>3562</v>
      </c>
      <c r="D167" s="13"/>
      <c r="E167" s="13"/>
      <c r="F167" s="44"/>
      <c r="G167" s="42"/>
      <c r="H167" s="42"/>
      <c r="I167" s="42"/>
      <c r="J167" s="27"/>
      <c r="K167" s="43"/>
    </row>
    <row r="168" ht="39.75" customHeight="1">
      <c r="A168" s="1">
        <v>167.0</v>
      </c>
      <c r="B168" s="103" t="s">
        <v>17</v>
      </c>
      <c r="C168" s="103" t="s">
        <v>13</v>
      </c>
      <c r="D168" s="104"/>
      <c r="E168" s="104"/>
      <c r="F168" s="105"/>
      <c r="G168" s="106"/>
      <c r="H168" s="106"/>
      <c r="I168" s="106"/>
      <c r="J168" s="27"/>
      <c r="K168" s="43"/>
    </row>
    <row r="169" ht="39.75" customHeight="1">
      <c r="A169" s="1">
        <v>168.0</v>
      </c>
      <c r="B169" s="103" t="s">
        <v>331</v>
      </c>
      <c r="C169" s="103" t="s">
        <v>13</v>
      </c>
      <c r="D169" s="104"/>
      <c r="E169" s="104"/>
      <c r="F169" s="105"/>
      <c r="G169" s="106"/>
      <c r="H169" s="106"/>
      <c r="I169" s="106"/>
      <c r="J169" s="27"/>
      <c r="K169" s="43"/>
    </row>
    <row r="170" ht="39.75" customHeight="1">
      <c r="A170" s="1">
        <v>169.0</v>
      </c>
      <c r="B170" s="103" t="s">
        <v>21</v>
      </c>
      <c r="C170" s="103" t="s">
        <v>13</v>
      </c>
      <c r="D170" s="104"/>
      <c r="E170" s="104"/>
      <c r="F170" s="105"/>
      <c r="G170" s="106"/>
      <c r="H170" s="106"/>
      <c r="I170" s="106"/>
      <c r="J170" s="22"/>
      <c r="K170" s="42"/>
    </row>
    <row r="171" ht="39.75" customHeight="1">
      <c r="A171" s="1">
        <v>170.0</v>
      </c>
      <c r="B171" s="103" t="s">
        <v>22</v>
      </c>
      <c r="C171" s="103" t="s">
        <v>13</v>
      </c>
      <c r="D171" s="104"/>
      <c r="E171" s="104"/>
      <c r="F171" s="105"/>
      <c r="G171" s="106"/>
      <c r="H171" s="106"/>
      <c r="I171" s="106"/>
      <c r="J171" s="22"/>
      <c r="K171" s="42"/>
    </row>
    <row r="172" ht="39.75" customHeight="1">
      <c r="A172" s="1">
        <v>171.0</v>
      </c>
      <c r="B172" s="2" t="s">
        <v>261</v>
      </c>
      <c r="C172" s="2" t="s">
        <v>13</v>
      </c>
      <c r="D172" s="13"/>
      <c r="E172" s="13"/>
      <c r="F172" s="45"/>
      <c r="G172" s="42"/>
      <c r="H172" s="42"/>
      <c r="I172" s="42"/>
      <c r="J172" s="22"/>
      <c r="K172" s="42"/>
    </row>
    <row r="173" ht="39.75" customHeight="1">
      <c r="A173" s="1">
        <v>172.0</v>
      </c>
      <c r="B173" s="103" t="s">
        <v>23</v>
      </c>
      <c r="C173" s="103" t="s">
        <v>13</v>
      </c>
      <c r="D173" s="104"/>
      <c r="E173" s="104"/>
      <c r="F173" s="105"/>
      <c r="G173" s="106"/>
      <c r="H173" s="106"/>
      <c r="I173" s="106"/>
      <c r="J173" s="22"/>
      <c r="K173" s="42"/>
    </row>
    <row r="174" ht="39.75" customHeight="1">
      <c r="A174" s="1">
        <v>173.0</v>
      </c>
      <c r="B174" s="103" t="s">
        <v>24</v>
      </c>
      <c r="C174" s="103" t="s">
        <v>13</v>
      </c>
      <c r="D174" s="104"/>
      <c r="E174" s="104"/>
      <c r="F174" s="105"/>
      <c r="G174" s="106"/>
      <c r="H174" s="106"/>
      <c r="I174" s="106"/>
      <c r="J174" s="22"/>
      <c r="K174" s="42"/>
    </row>
    <row r="175" ht="39.75" customHeight="1">
      <c r="A175" s="1">
        <v>174.0</v>
      </c>
      <c r="B175" s="2" t="s">
        <v>25</v>
      </c>
      <c r="C175" s="2"/>
      <c r="D175" s="13"/>
      <c r="E175" s="13"/>
      <c r="F175" s="44" t="s">
        <v>3972</v>
      </c>
      <c r="G175" s="43">
        <v>1.0</v>
      </c>
      <c r="H175" s="42"/>
      <c r="I175" s="43">
        <v>1.0</v>
      </c>
      <c r="J175" s="22"/>
      <c r="K175" s="42"/>
    </row>
    <row r="176" ht="39.75" customHeight="1">
      <c r="A176" s="1">
        <v>175.0</v>
      </c>
      <c r="B176" s="103" t="s">
        <v>26</v>
      </c>
      <c r="C176" s="103" t="s">
        <v>13</v>
      </c>
      <c r="D176" s="104"/>
      <c r="E176" s="104"/>
      <c r="F176" s="105"/>
      <c r="G176" s="106"/>
      <c r="H176" s="106"/>
      <c r="I176" s="106"/>
      <c r="J176" s="22"/>
      <c r="K176" s="42"/>
    </row>
    <row r="177" ht="39.75" customHeight="1">
      <c r="A177" s="1">
        <v>176.0</v>
      </c>
      <c r="B177" s="2" t="s">
        <v>29</v>
      </c>
      <c r="C177" s="2" t="s">
        <v>3600</v>
      </c>
      <c r="D177" s="13"/>
      <c r="E177" s="13"/>
      <c r="F177" s="45"/>
      <c r="G177" s="42"/>
      <c r="H177" s="42"/>
      <c r="I177" s="42"/>
      <c r="J177" s="22"/>
      <c r="K177" s="42"/>
    </row>
    <row r="178" ht="39.75" customHeight="1">
      <c r="A178" s="1">
        <v>177.0</v>
      </c>
      <c r="B178" s="103" t="s">
        <v>32</v>
      </c>
      <c r="C178" s="103"/>
      <c r="D178" s="104"/>
      <c r="E178" s="104"/>
      <c r="F178" s="105"/>
      <c r="G178" s="106"/>
      <c r="H178" s="106"/>
      <c r="I178" s="106"/>
      <c r="J178" s="22"/>
      <c r="K178" s="42"/>
    </row>
    <row r="179" ht="39.75" customHeight="1">
      <c r="A179" s="1">
        <v>178.0</v>
      </c>
      <c r="B179" s="2" t="s">
        <v>67</v>
      </c>
      <c r="C179" s="2"/>
      <c r="D179" s="13"/>
      <c r="E179" s="13"/>
      <c r="F179" s="44" t="s">
        <v>3973</v>
      </c>
      <c r="G179" s="43">
        <v>1.0</v>
      </c>
      <c r="H179" s="42"/>
      <c r="I179" s="43">
        <v>1.0</v>
      </c>
      <c r="J179" s="22"/>
      <c r="K179" s="42"/>
    </row>
    <row r="180" ht="39.75" customHeight="1">
      <c r="A180" s="1">
        <v>179.0</v>
      </c>
      <c r="B180" s="103" t="s">
        <v>35</v>
      </c>
      <c r="C180" s="103"/>
      <c r="D180" s="104"/>
      <c r="E180" s="104"/>
      <c r="F180" s="105"/>
      <c r="G180" s="106"/>
      <c r="H180" s="106"/>
      <c r="I180" s="106"/>
      <c r="J180" s="22"/>
      <c r="K180" s="42"/>
    </row>
    <row r="181" ht="39.75" customHeight="1">
      <c r="A181" s="1">
        <v>180.0</v>
      </c>
      <c r="B181" s="2" t="s">
        <v>36</v>
      </c>
      <c r="C181" s="2" t="s">
        <v>3600</v>
      </c>
      <c r="D181" s="13"/>
      <c r="E181" s="13"/>
      <c r="F181" s="45"/>
      <c r="G181" s="42"/>
      <c r="H181" s="42"/>
      <c r="I181" s="42"/>
      <c r="J181" s="22"/>
      <c r="K181" s="42"/>
    </row>
    <row r="182" ht="39.75" customHeight="1">
      <c r="A182" s="1">
        <v>181.0</v>
      </c>
      <c r="B182" s="2" t="s">
        <v>38</v>
      </c>
      <c r="C182" s="2"/>
      <c r="D182" s="13"/>
      <c r="E182" s="13"/>
      <c r="F182" s="44" t="s">
        <v>3974</v>
      </c>
      <c r="G182" s="43">
        <v>1.0</v>
      </c>
      <c r="H182" s="42"/>
      <c r="I182" s="42"/>
      <c r="J182" s="22"/>
      <c r="K182" s="42"/>
    </row>
    <row r="183" ht="39.75" customHeight="1">
      <c r="A183" s="1">
        <v>182.0</v>
      </c>
      <c r="B183" s="2" t="s">
        <v>41</v>
      </c>
      <c r="C183" s="2" t="s">
        <v>13</v>
      </c>
      <c r="D183" s="13"/>
      <c r="E183" s="13"/>
      <c r="F183" s="45"/>
      <c r="G183" s="42"/>
      <c r="H183" s="42"/>
      <c r="I183" s="42"/>
      <c r="J183" s="22"/>
      <c r="K183" s="42"/>
    </row>
    <row r="184" ht="39.75" customHeight="1">
      <c r="A184" s="1">
        <v>183.0</v>
      </c>
      <c r="B184" s="2" t="s">
        <v>42</v>
      </c>
      <c r="C184" s="2" t="s">
        <v>3600</v>
      </c>
      <c r="D184" s="13"/>
      <c r="E184" s="13"/>
      <c r="F184" s="45"/>
      <c r="G184" s="42"/>
      <c r="H184" s="42"/>
      <c r="I184" s="42"/>
      <c r="J184" s="22"/>
      <c r="K184" s="42"/>
    </row>
    <row r="185" ht="39.75" customHeight="1">
      <c r="A185" s="1">
        <v>184.0</v>
      </c>
      <c r="B185" s="2" t="s">
        <v>43</v>
      </c>
      <c r="C185" s="2" t="s">
        <v>69</v>
      </c>
      <c r="D185" s="13"/>
      <c r="E185" s="13"/>
      <c r="F185" s="45"/>
      <c r="G185" s="42"/>
      <c r="H185" s="42"/>
      <c r="I185" s="42"/>
      <c r="J185" s="22"/>
      <c r="K185" s="42"/>
    </row>
    <row r="186" ht="39.75" customHeight="1">
      <c r="A186" s="1">
        <v>185.0</v>
      </c>
      <c r="B186" s="103" t="s">
        <v>267</v>
      </c>
      <c r="C186" s="103"/>
      <c r="D186" s="104"/>
      <c r="E186" s="104"/>
      <c r="F186" s="105"/>
      <c r="G186" s="106"/>
      <c r="H186" s="106"/>
      <c r="I186" s="106"/>
      <c r="J186" s="22"/>
      <c r="K186" s="42"/>
    </row>
    <row r="187" ht="39.75" customHeight="1">
      <c r="A187" s="1">
        <v>186.0</v>
      </c>
      <c r="B187" s="124" t="s">
        <v>46</v>
      </c>
      <c r="C187" s="124" t="s">
        <v>44</v>
      </c>
      <c r="D187" s="125"/>
      <c r="E187" s="125"/>
      <c r="F187" s="126"/>
      <c r="G187" s="127"/>
      <c r="H187" s="127"/>
      <c r="I187" s="127"/>
      <c r="J187" s="22"/>
      <c r="K187" s="42"/>
    </row>
    <row r="188" ht="39.75" customHeight="1">
      <c r="A188" s="1">
        <v>187.0</v>
      </c>
      <c r="B188" s="2" t="s">
        <v>47</v>
      </c>
      <c r="C188" s="2" t="s">
        <v>3600</v>
      </c>
      <c r="D188" s="13"/>
      <c r="E188" s="13"/>
      <c r="F188" s="45"/>
      <c r="G188" s="42"/>
      <c r="H188" s="42"/>
      <c r="I188" s="42"/>
      <c r="J188" s="22"/>
      <c r="K188" s="42"/>
    </row>
    <row r="189" ht="39.75" customHeight="1">
      <c r="A189" s="1">
        <v>188.0</v>
      </c>
      <c r="B189" s="103" t="s">
        <v>48</v>
      </c>
      <c r="C189" s="103" t="s">
        <v>13</v>
      </c>
      <c r="D189" s="104"/>
      <c r="E189" s="104"/>
      <c r="F189" s="105"/>
      <c r="G189" s="106"/>
      <c r="H189" s="106"/>
      <c r="I189" s="106"/>
      <c r="J189" s="22"/>
      <c r="K189" s="42"/>
    </row>
    <row r="190" ht="39.75" customHeight="1">
      <c r="A190" s="1">
        <v>189.0</v>
      </c>
      <c r="B190" s="21"/>
      <c r="C190" s="21"/>
      <c r="D190" s="21"/>
      <c r="E190" s="21"/>
      <c r="F190" s="46"/>
      <c r="G190" s="47"/>
      <c r="H190" s="47"/>
      <c r="I190" s="47"/>
      <c r="J190" s="48"/>
      <c r="K190" s="47"/>
      <c r="L190" s="49"/>
      <c r="M190" s="49"/>
      <c r="N190" s="49"/>
    </row>
    <row r="191" ht="39.75" customHeight="1">
      <c r="A191" s="1">
        <v>190.0</v>
      </c>
      <c r="B191" s="2" t="s">
        <v>12</v>
      </c>
      <c r="C191" s="2" t="s">
        <v>62</v>
      </c>
      <c r="D191" s="13"/>
      <c r="E191" s="13"/>
      <c r="F191" s="45"/>
      <c r="G191" s="42"/>
      <c r="H191" s="42"/>
      <c r="I191" s="42"/>
      <c r="J191" s="22"/>
      <c r="K191" s="42"/>
      <c r="L191" s="15" t="s">
        <v>163</v>
      </c>
    </row>
    <row r="192" ht="39.75" customHeight="1">
      <c r="A192" s="1">
        <v>191.0</v>
      </c>
      <c r="B192" s="2" t="s">
        <v>16</v>
      </c>
      <c r="C192" s="2" t="s">
        <v>13</v>
      </c>
      <c r="D192" s="13"/>
      <c r="E192" s="13"/>
      <c r="F192" s="45"/>
      <c r="G192" s="42"/>
      <c r="H192" s="42"/>
      <c r="I192" s="42"/>
      <c r="J192" s="27" t="s">
        <v>163</v>
      </c>
      <c r="K192" s="43"/>
    </row>
    <row r="193" ht="39.75" customHeight="1">
      <c r="A193" s="1">
        <v>192.0</v>
      </c>
      <c r="B193" s="2" t="s">
        <v>116</v>
      </c>
      <c r="C193" s="2" t="s">
        <v>3560</v>
      </c>
      <c r="D193" s="13"/>
      <c r="E193" s="13"/>
      <c r="F193" s="44" t="s">
        <v>3975</v>
      </c>
      <c r="G193" s="42"/>
      <c r="H193" s="42"/>
      <c r="I193" s="42"/>
      <c r="J193" s="27" t="s">
        <v>19</v>
      </c>
      <c r="K193" s="42"/>
    </row>
    <row r="194" ht="39.75" customHeight="1">
      <c r="A194" s="1">
        <v>193.0</v>
      </c>
      <c r="B194" s="2" t="s">
        <v>263</v>
      </c>
      <c r="C194" s="2" t="s">
        <v>13</v>
      </c>
      <c r="D194" s="13"/>
      <c r="E194" s="13"/>
      <c r="F194" s="44"/>
      <c r="G194" s="42"/>
      <c r="H194" s="42"/>
      <c r="I194" s="42"/>
      <c r="J194" s="27" t="s">
        <v>151</v>
      </c>
      <c r="K194" s="42"/>
    </row>
    <row r="195" ht="39.75" customHeight="1">
      <c r="A195" s="1">
        <v>194.0</v>
      </c>
      <c r="B195" s="2" t="s">
        <v>17</v>
      </c>
      <c r="C195" s="2" t="s">
        <v>3560</v>
      </c>
      <c r="D195" s="13"/>
      <c r="E195" s="13"/>
      <c r="F195" s="44" t="s">
        <v>3976</v>
      </c>
      <c r="G195" s="43">
        <v>1.0</v>
      </c>
      <c r="H195" s="42"/>
      <c r="I195" s="43">
        <v>1.0</v>
      </c>
      <c r="J195" s="27" t="s">
        <v>152</v>
      </c>
      <c r="K195" s="42"/>
    </row>
    <row r="196" ht="39.75" customHeight="1">
      <c r="A196" s="1">
        <v>195.0</v>
      </c>
      <c r="B196" s="2" t="s">
        <v>331</v>
      </c>
      <c r="C196" s="2"/>
      <c r="D196" s="13"/>
      <c r="E196" s="13"/>
      <c r="F196" s="44" t="s">
        <v>3905</v>
      </c>
      <c r="G196" s="42"/>
      <c r="H196" s="42"/>
      <c r="I196" s="42"/>
      <c r="J196" s="27" t="s">
        <v>154</v>
      </c>
      <c r="K196" s="42"/>
    </row>
    <row r="197" ht="39.75" customHeight="1">
      <c r="A197" s="1">
        <v>196.0</v>
      </c>
      <c r="B197" s="2" t="s">
        <v>21</v>
      </c>
      <c r="C197" s="2" t="s">
        <v>3707</v>
      </c>
      <c r="D197" s="13"/>
      <c r="E197" s="13"/>
      <c r="F197" s="44" t="s">
        <v>3977</v>
      </c>
      <c r="G197" s="43">
        <v>1.0</v>
      </c>
      <c r="H197" s="42"/>
      <c r="I197" s="42"/>
      <c r="J197" s="22"/>
      <c r="K197" s="42"/>
    </row>
    <row r="198" ht="39.75" customHeight="1">
      <c r="A198" s="1">
        <v>197.0</v>
      </c>
      <c r="B198" s="2" t="s">
        <v>22</v>
      </c>
      <c r="C198" s="2" t="s">
        <v>13</v>
      </c>
      <c r="D198" s="13"/>
      <c r="E198" s="13"/>
      <c r="F198" s="45"/>
      <c r="G198" s="42"/>
      <c r="H198" s="42"/>
      <c r="I198" s="42"/>
      <c r="J198" s="22"/>
      <c r="K198" s="42"/>
    </row>
    <row r="199" ht="39.75" customHeight="1">
      <c r="A199" s="1">
        <v>198.0</v>
      </c>
      <c r="B199" s="2" t="s">
        <v>261</v>
      </c>
      <c r="C199" s="2" t="s">
        <v>13</v>
      </c>
      <c r="D199" s="13"/>
      <c r="E199" s="13"/>
      <c r="F199" s="45"/>
      <c r="G199" s="42"/>
      <c r="H199" s="42"/>
      <c r="I199" s="42"/>
      <c r="J199" s="22"/>
      <c r="K199" s="42"/>
    </row>
    <row r="200" ht="39.75" customHeight="1">
      <c r="A200" s="1">
        <v>199.0</v>
      </c>
      <c r="B200" s="2" t="s">
        <v>23</v>
      </c>
      <c r="C200" s="2" t="s">
        <v>27</v>
      </c>
      <c r="D200" s="13"/>
      <c r="E200" s="13"/>
      <c r="F200" s="44" t="s">
        <v>3978</v>
      </c>
      <c r="G200" s="42"/>
      <c r="H200" s="42"/>
      <c r="I200" s="42"/>
      <c r="J200" s="22"/>
      <c r="K200" s="42"/>
    </row>
    <row r="201" ht="39.75" customHeight="1">
      <c r="A201" s="1">
        <v>200.0</v>
      </c>
      <c r="B201" s="2" t="s">
        <v>24</v>
      </c>
      <c r="C201" s="2" t="s">
        <v>13</v>
      </c>
      <c r="D201" s="13"/>
      <c r="E201" s="13"/>
      <c r="F201" s="45"/>
      <c r="G201" s="42"/>
      <c r="H201" s="42"/>
      <c r="I201" s="42"/>
      <c r="J201" s="22"/>
      <c r="K201" s="42"/>
    </row>
    <row r="202" ht="39.75" customHeight="1">
      <c r="A202" s="1">
        <v>201.0</v>
      </c>
      <c r="B202" s="2" t="s">
        <v>25</v>
      </c>
      <c r="C202" s="2" t="s">
        <v>13</v>
      </c>
      <c r="D202" s="13"/>
      <c r="E202" s="13"/>
      <c r="F202" s="45"/>
      <c r="G202" s="42"/>
      <c r="H202" s="42"/>
      <c r="I202" s="42"/>
      <c r="J202" s="22"/>
      <c r="K202" s="42"/>
    </row>
    <row r="203" ht="39.75" customHeight="1">
      <c r="A203" s="1">
        <v>202.0</v>
      </c>
      <c r="B203" s="2" t="s">
        <v>26</v>
      </c>
      <c r="C203" s="2" t="s">
        <v>39</v>
      </c>
      <c r="D203" s="13"/>
      <c r="E203" s="13"/>
      <c r="F203" s="44" t="s">
        <v>3979</v>
      </c>
      <c r="G203" s="43">
        <v>1.0</v>
      </c>
      <c r="H203" s="42"/>
      <c r="I203" s="42"/>
      <c r="J203" s="22"/>
      <c r="K203" s="42"/>
    </row>
    <row r="204" ht="39.75" customHeight="1">
      <c r="A204" s="1">
        <v>203.0</v>
      </c>
      <c r="B204" s="2" t="s">
        <v>29</v>
      </c>
      <c r="C204" s="2" t="s">
        <v>3600</v>
      </c>
      <c r="D204" s="13"/>
      <c r="E204" s="13"/>
      <c r="F204" s="45"/>
      <c r="G204" s="42"/>
      <c r="H204" s="42"/>
      <c r="I204" s="42"/>
      <c r="J204" s="22"/>
      <c r="K204" s="42"/>
    </row>
    <row r="205" ht="39.75" customHeight="1">
      <c r="A205" s="1">
        <v>204.0</v>
      </c>
      <c r="B205" s="2" t="s">
        <v>32</v>
      </c>
      <c r="C205" s="2" t="s">
        <v>13</v>
      </c>
      <c r="D205" s="13"/>
      <c r="E205" s="13"/>
      <c r="F205" s="45"/>
      <c r="G205" s="42"/>
      <c r="H205" s="42"/>
      <c r="I205" s="42"/>
      <c r="J205" s="22"/>
      <c r="K205" s="42"/>
    </row>
    <row r="206" ht="39.75" customHeight="1">
      <c r="A206" s="1">
        <v>205.0</v>
      </c>
      <c r="B206" s="2" t="s">
        <v>67</v>
      </c>
      <c r="C206" s="2" t="s">
        <v>13</v>
      </c>
      <c r="D206" s="13"/>
      <c r="E206" s="13"/>
      <c r="F206" s="45"/>
      <c r="G206" s="42"/>
      <c r="H206" s="42"/>
      <c r="I206" s="42"/>
      <c r="J206" s="22"/>
      <c r="K206" s="42"/>
    </row>
    <row r="207" ht="39.75" customHeight="1">
      <c r="A207" s="1">
        <v>206.0</v>
      </c>
      <c r="B207" s="2" t="s">
        <v>35</v>
      </c>
      <c r="C207" s="2" t="s">
        <v>3563</v>
      </c>
      <c r="D207" s="13"/>
      <c r="E207" s="13"/>
      <c r="F207" s="45"/>
      <c r="G207" s="42"/>
      <c r="H207" s="42"/>
      <c r="I207" s="42"/>
      <c r="J207" s="22"/>
      <c r="K207" s="42"/>
    </row>
    <row r="208" ht="39.75" customHeight="1">
      <c r="A208" s="1">
        <v>207.0</v>
      </c>
      <c r="B208" s="2" t="s">
        <v>36</v>
      </c>
      <c r="C208" s="2" t="s">
        <v>3600</v>
      </c>
      <c r="D208" s="13"/>
      <c r="E208" s="13"/>
      <c r="F208" s="45"/>
      <c r="G208" s="42"/>
      <c r="H208" s="42"/>
      <c r="I208" s="42"/>
      <c r="J208" s="22"/>
      <c r="K208" s="42"/>
    </row>
    <row r="209" ht="39.75" customHeight="1">
      <c r="A209" s="1">
        <v>208.0</v>
      </c>
      <c r="B209" s="2" t="s">
        <v>38</v>
      </c>
      <c r="C209" s="2" t="s">
        <v>13</v>
      </c>
      <c r="D209" s="13"/>
      <c r="E209" s="13"/>
      <c r="F209" s="45"/>
      <c r="G209" s="42"/>
      <c r="H209" s="42"/>
      <c r="I209" s="42"/>
      <c r="J209" s="22"/>
      <c r="K209" s="42"/>
    </row>
    <row r="210" ht="39.75" customHeight="1">
      <c r="A210" s="1">
        <v>209.0</v>
      </c>
      <c r="B210" s="2" t="s">
        <v>41</v>
      </c>
      <c r="C210" s="2" t="s">
        <v>13</v>
      </c>
      <c r="D210" s="13"/>
      <c r="E210" s="13"/>
      <c r="F210" s="45"/>
      <c r="G210" s="42"/>
      <c r="H210" s="42"/>
      <c r="I210" s="42"/>
      <c r="J210" s="22"/>
      <c r="K210" s="42"/>
    </row>
    <row r="211" ht="39.75" customHeight="1">
      <c r="A211" s="1">
        <v>210.0</v>
      </c>
      <c r="B211" s="2" t="s">
        <v>42</v>
      </c>
      <c r="C211" s="2" t="s">
        <v>3600</v>
      </c>
      <c r="D211" s="13"/>
      <c r="E211" s="13"/>
      <c r="F211" s="45"/>
      <c r="G211" s="42"/>
      <c r="H211" s="42"/>
      <c r="I211" s="42"/>
      <c r="J211" s="22"/>
      <c r="K211" s="42"/>
    </row>
    <row r="212" ht="39.75" customHeight="1">
      <c r="A212" s="1">
        <v>211.0</v>
      </c>
      <c r="B212" s="2" t="s">
        <v>43</v>
      </c>
      <c r="C212" s="2"/>
      <c r="D212" s="13"/>
      <c r="E212" s="13"/>
      <c r="F212" s="44" t="s">
        <v>3980</v>
      </c>
      <c r="G212" s="42"/>
      <c r="H212" s="42"/>
      <c r="I212" s="42"/>
      <c r="J212" s="22"/>
      <c r="K212" s="42"/>
    </row>
    <row r="213" ht="39.75" customHeight="1">
      <c r="A213" s="1">
        <v>212.0</v>
      </c>
      <c r="B213" s="2" t="s">
        <v>267</v>
      </c>
      <c r="C213" s="2" t="s">
        <v>13</v>
      </c>
      <c r="D213" s="13"/>
      <c r="E213" s="13"/>
      <c r="F213" s="45"/>
      <c r="G213" s="42"/>
      <c r="H213" s="42"/>
      <c r="I213" s="42"/>
      <c r="J213" s="22"/>
      <c r="K213" s="42"/>
    </row>
    <row r="214" ht="39.75" customHeight="1">
      <c r="A214" s="1">
        <v>213.0</v>
      </c>
      <c r="B214" s="2" t="s">
        <v>46</v>
      </c>
      <c r="C214" s="2" t="s">
        <v>13</v>
      </c>
      <c r="D214" s="13"/>
      <c r="E214" s="13"/>
      <c r="F214" s="45"/>
      <c r="G214" s="42"/>
      <c r="H214" s="42"/>
      <c r="I214" s="42"/>
      <c r="J214" s="22"/>
      <c r="K214" s="42"/>
    </row>
    <row r="215" ht="39.75" customHeight="1">
      <c r="A215" s="1">
        <v>214.0</v>
      </c>
      <c r="B215" s="2" t="s">
        <v>47</v>
      </c>
      <c r="C215" s="2" t="s">
        <v>3600</v>
      </c>
      <c r="D215" s="13"/>
      <c r="E215" s="13"/>
      <c r="F215" s="45"/>
      <c r="G215" s="42"/>
      <c r="H215" s="42"/>
      <c r="I215" s="42"/>
      <c r="J215" s="22"/>
      <c r="K215" s="42"/>
    </row>
    <row r="216" ht="39.75" customHeight="1">
      <c r="A216" s="1">
        <v>215.0</v>
      </c>
      <c r="B216" s="2" t="s">
        <v>48</v>
      </c>
      <c r="C216" s="2" t="s">
        <v>13</v>
      </c>
      <c r="D216" s="13"/>
      <c r="E216" s="13"/>
      <c r="F216" s="45"/>
      <c r="G216" s="42"/>
      <c r="H216" s="42"/>
      <c r="I216" s="42"/>
      <c r="J216" s="22"/>
      <c r="K216" s="42"/>
    </row>
    <row r="217" ht="39.75" customHeight="1">
      <c r="A217" s="1">
        <v>216.0</v>
      </c>
      <c r="B217" s="21"/>
      <c r="C217" s="21"/>
      <c r="D217" s="21"/>
      <c r="E217" s="21"/>
      <c r="F217" s="46"/>
      <c r="G217" s="47"/>
      <c r="H217" s="47"/>
      <c r="I217" s="47"/>
      <c r="J217" s="48"/>
      <c r="K217" s="47"/>
      <c r="L217" s="49"/>
      <c r="M217" s="49"/>
      <c r="N217" s="49"/>
    </row>
    <row r="218" ht="39.75" customHeight="1">
      <c r="A218" s="1">
        <v>217.0</v>
      </c>
      <c r="B218" s="2" t="s">
        <v>12</v>
      </c>
      <c r="C218" s="2" t="s">
        <v>66</v>
      </c>
      <c r="D218" s="13"/>
      <c r="E218" s="13"/>
      <c r="F218" s="45"/>
      <c r="G218" s="42"/>
      <c r="H218" s="42"/>
      <c r="I218" s="42"/>
      <c r="J218" s="22"/>
      <c r="K218" s="42"/>
      <c r="L218" s="15" t="s">
        <v>175</v>
      </c>
    </row>
    <row r="219" ht="39.75" customHeight="1">
      <c r="A219" s="1">
        <v>218.0</v>
      </c>
      <c r="B219" s="2" t="s">
        <v>16</v>
      </c>
      <c r="C219" s="2" t="s">
        <v>69</v>
      </c>
      <c r="D219" s="13"/>
      <c r="E219" s="13"/>
      <c r="F219" s="45"/>
      <c r="G219" s="42"/>
      <c r="H219" s="42"/>
      <c r="I219" s="42"/>
      <c r="J219" s="27" t="s">
        <v>175</v>
      </c>
      <c r="K219" s="43"/>
    </row>
    <row r="220" ht="39.75" customHeight="1">
      <c r="A220" s="1">
        <v>219.0</v>
      </c>
      <c r="B220" s="2" t="s">
        <v>116</v>
      </c>
      <c r="C220" s="2" t="s">
        <v>3560</v>
      </c>
      <c r="D220" s="13"/>
      <c r="E220" s="13"/>
      <c r="F220" s="44" t="s">
        <v>3949</v>
      </c>
      <c r="G220" s="42"/>
      <c r="H220" s="42"/>
      <c r="I220" s="42"/>
      <c r="J220" s="27" t="s">
        <v>165</v>
      </c>
      <c r="K220" s="42"/>
    </row>
    <row r="221" ht="39.75" customHeight="1">
      <c r="A221" s="1">
        <v>220.0</v>
      </c>
      <c r="B221" s="2" t="s">
        <v>263</v>
      </c>
      <c r="C221" s="2"/>
      <c r="D221" s="13"/>
      <c r="E221" s="13"/>
      <c r="F221" s="44" t="s">
        <v>3562</v>
      </c>
      <c r="G221" s="42"/>
      <c r="H221" s="42"/>
      <c r="I221" s="42"/>
      <c r="J221" s="27" t="s">
        <v>2637</v>
      </c>
      <c r="K221" s="42"/>
    </row>
    <row r="222" ht="39.75" customHeight="1">
      <c r="A222" s="1">
        <v>221.0</v>
      </c>
      <c r="B222" s="2" t="s">
        <v>17</v>
      </c>
      <c r="C222" s="2" t="s">
        <v>64</v>
      </c>
      <c r="D222" s="13"/>
      <c r="E222" s="13"/>
      <c r="F222" s="45"/>
      <c r="G222" s="42"/>
      <c r="H222" s="42"/>
      <c r="I222" s="42"/>
      <c r="J222" s="27" t="s">
        <v>2638</v>
      </c>
      <c r="K222" s="42"/>
    </row>
    <row r="223" ht="39.75" customHeight="1">
      <c r="A223" s="1">
        <v>222.0</v>
      </c>
      <c r="B223" s="2" t="s">
        <v>331</v>
      </c>
      <c r="C223" s="2"/>
      <c r="D223" s="13"/>
      <c r="E223" s="13"/>
      <c r="F223" s="44" t="s">
        <v>3562</v>
      </c>
      <c r="G223" s="42"/>
      <c r="H223" s="42"/>
      <c r="I223" s="42"/>
      <c r="J223" s="22"/>
      <c r="K223" s="42"/>
    </row>
    <row r="224" ht="39.75" customHeight="1">
      <c r="A224" s="1">
        <v>223.0</v>
      </c>
      <c r="B224" s="2" t="s">
        <v>21</v>
      </c>
      <c r="C224" s="2" t="s">
        <v>54</v>
      </c>
      <c r="D224" s="13"/>
      <c r="E224" s="13"/>
      <c r="F224" s="44" t="s">
        <v>3981</v>
      </c>
      <c r="G224" s="43">
        <v>1.0</v>
      </c>
      <c r="H224" s="42"/>
      <c r="I224" s="42"/>
      <c r="J224" s="22"/>
      <c r="K224" s="42"/>
    </row>
    <row r="225" ht="39.75" customHeight="1">
      <c r="A225" s="1">
        <v>224.0</v>
      </c>
      <c r="B225" s="2" t="s">
        <v>22</v>
      </c>
      <c r="C225" s="2" t="s">
        <v>54</v>
      </c>
      <c r="D225" s="13"/>
      <c r="E225" s="13"/>
      <c r="F225" s="44" t="s">
        <v>3982</v>
      </c>
      <c r="G225" s="43">
        <v>1.0</v>
      </c>
      <c r="H225" s="42"/>
      <c r="I225" s="43">
        <v>1.0</v>
      </c>
      <c r="J225" s="22"/>
      <c r="K225" s="42"/>
    </row>
    <row r="226" ht="39.75" customHeight="1">
      <c r="A226" s="1">
        <v>225.0</v>
      </c>
      <c r="B226" s="2" t="s">
        <v>261</v>
      </c>
      <c r="C226" s="2" t="s">
        <v>13</v>
      </c>
      <c r="D226" s="13"/>
      <c r="E226" s="13"/>
      <c r="F226" s="45"/>
      <c r="G226" s="42"/>
      <c r="H226" s="42"/>
      <c r="I226" s="42"/>
      <c r="J226" s="22"/>
      <c r="K226" s="42"/>
    </row>
    <row r="227" ht="39.75" customHeight="1">
      <c r="A227" s="1">
        <v>226.0</v>
      </c>
      <c r="B227" s="2" t="s">
        <v>23</v>
      </c>
      <c r="C227" s="2" t="s">
        <v>44</v>
      </c>
      <c r="D227" s="13"/>
      <c r="E227" s="13"/>
      <c r="F227" s="45"/>
      <c r="G227" s="42"/>
      <c r="H227" s="42"/>
      <c r="I227" s="42"/>
      <c r="J227" s="22"/>
      <c r="K227" s="42"/>
    </row>
    <row r="228" ht="39.75" customHeight="1">
      <c r="A228" s="1">
        <v>227.0</v>
      </c>
      <c r="B228" s="2" t="s">
        <v>24</v>
      </c>
      <c r="C228" s="2" t="s">
        <v>3563</v>
      </c>
      <c r="D228" s="13"/>
      <c r="E228" s="13"/>
      <c r="F228" s="45"/>
      <c r="G228" s="42"/>
      <c r="H228" s="42"/>
      <c r="I228" s="42"/>
      <c r="J228" s="22"/>
      <c r="K228" s="42"/>
    </row>
    <row r="229" ht="39.75" customHeight="1">
      <c r="A229" s="1">
        <v>228.0</v>
      </c>
      <c r="B229" s="2" t="s">
        <v>25</v>
      </c>
      <c r="C229" s="2" t="s">
        <v>58</v>
      </c>
      <c r="D229" s="13"/>
      <c r="E229" s="13"/>
      <c r="F229" s="44" t="s">
        <v>3983</v>
      </c>
      <c r="G229" s="42"/>
      <c r="H229" s="42"/>
      <c r="I229" s="42"/>
      <c r="J229" s="22"/>
      <c r="K229" s="42"/>
    </row>
    <row r="230" ht="39.75" customHeight="1">
      <c r="A230" s="1">
        <v>229.0</v>
      </c>
      <c r="B230" s="2" t="s">
        <v>26</v>
      </c>
      <c r="C230" s="2" t="s">
        <v>39</v>
      </c>
      <c r="D230" s="40">
        <v>0.2777777777777778</v>
      </c>
      <c r="E230" s="13"/>
      <c r="F230" s="44" t="s">
        <v>3984</v>
      </c>
      <c r="G230" s="43">
        <v>2.0</v>
      </c>
      <c r="H230" s="42"/>
      <c r="I230" s="43">
        <v>1.0</v>
      </c>
      <c r="J230" s="22"/>
      <c r="K230" s="42"/>
    </row>
    <row r="231" ht="39.75" customHeight="1">
      <c r="A231" s="1">
        <v>230.0</v>
      </c>
      <c r="B231" s="2" t="s">
        <v>29</v>
      </c>
      <c r="C231" s="2" t="s">
        <v>3600</v>
      </c>
      <c r="D231" s="13"/>
      <c r="E231" s="13"/>
      <c r="F231" s="45"/>
      <c r="G231" s="42"/>
      <c r="H231" s="42"/>
      <c r="I231" s="42"/>
      <c r="J231" s="22"/>
      <c r="K231" s="42"/>
    </row>
    <row r="232" ht="39.75" customHeight="1">
      <c r="A232" s="1">
        <v>231.0</v>
      </c>
      <c r="B232" s="2" t="s">
        <v>32</v>
      </c>
      <c r="C232" s="2" t="s">
        <v>54</v>
      </c>
      <c r="D232" s="13"/>
      <c r="E232" s="13"/>
      <c r="F232" s="44" t="s">
        <v>3985</v>
      </c>
      <c r="G232" s="43">
        <v>1.0</v>
      </c>
      <c r="H232" s="42"/>
      <c r="I232" s="42"/>
      <c r="J232" s="22"/>
      <c r="K232" s="42"/>
    </row>
    <row r="233" ht="39.75" customHeight="1">
      <c r="A233" s="1">
        <v>232.0</v>
      </c>
      <c r="B233" s="2" t="s">
        <v>67</v>
      </c>
      <c r="C233" s="2" t="s">
        <v>58</v>
      </c>
      <c r="D233" s="13"/>
      <c r="E233" s="13"/>
      <c r="F233" s="44" t="s">
        <v>3983</v>
      </c>
      <c r="G233" s="42"/>
      <c r="H233" s="42"/>
      <c r="I233" s="42"/>
      <c r="J233" s="22"/>
      <c r="K233" s="42"/>
    </row>
    <row r="234" ht="39.75" customHeight="1">
      <c r="A234" s="1">
        <v>233.0</v>
      </c>
      <c r="B234" s="2" t="s">
        <v>35</v>
      </c>
      <c r="C234" s="2" t="s">
        <v>3560</v>
      </c>
      <c r="D234" s="13"/>
      <c r="E234" s="13"/>
      <c r="F234" s="44" t="s">
        <v>3986</v>
      </c>
      <c r="G234" s="43">
        <v>1.0</v>
      </c>
      <c r="H234" s="42"/>
      <c r="I234" s="42"/>
      <c r="J234" s="22"/>
      <c r="K234" s="42"/>
    </row>
    <row r="235" ht="39.75" customHeight="1">
      <c r="A235" s="1">
        <v>234.0</v>
      </c>
      <c r="B235" s="2" t="s">
        <v>36</v>
      </c>
      <c r="C235" s="2" t="s">
        <v>3600</v>
      </c>
      <c r="D235" s="13"/>
      <c r="E235" s="13"/>
      <c r="F235" s="45"/>
      <c r="G235" s="42"/>
      <c r="H235" s="42"/>
      <c r="I235" s="42"/>
      <c r="J235" s="22"/>
      <c r="K235" s="42"/>
    </row>
    <row r="236" ht="39.75" customHeight="1">
      <c r="A236" s="1">
        <v>235.0</v>
      </c>
      <c r="B236" s="2" t="s">
        <v>38</v>
      </c>
      <c r="C236" s="2" t="s">
        <v>69</v>
      </c>
      <c r="D236" s="13"/>
      <c r="E236" s="13"/>
      <c r="F236" s="45"/>
      <c r="G236" s="42"/>
      <c r="H236" s="42"/>
      <c r="I236" s="42"/>
      <c r="J236" s="22"/>
      <c r="K236" s="42"/>
    </row>
    <row r="237" ht="39.75" customHeight="1">
      <c r="A237" s="1">
        <v>236.0</v>
      </c>
      <c r="B237" s="2" t="s">
        <v>41</v>
      </c>
      <c r="C237" s="2" t="s">
        <v>3560</v>
      </c>
      <c r="D237" s="13"/>
      <c r="E237" s="13"/>
      <c r="F237" s="44" t="s">
        <v>3987</v>
      </c>
      <c r="G237" s="43">
        <v>1.0</v>
      </c>
      <c r="H237" s="42"/>
      <c r="I237" s="42"/>
      <c r="J237" s="22"/>
      <c r="K237" s="42"/>
    </row>
    <row r="238" ht="39.75" customHeight="1">
      <c r="A238" s="1">
        <v>237.0</v>
      </c>
      <c r="B238" s="2" t="s">
        <v>42</v>
      </c>
      <c r="C238" s="2" t="s">
        <v>3600</v>
      </c>
      <c r="D238" s="13"/>
      <c r="E238" s="13"/>
      <c r="F238" s="45"/>
      <c r="G238" s="42"/>
      <c r="H238" s="42"/>
      <c r="I238" s="42"/>
      <c r="J238" s="22"/>
      <c r="K238" s="42"/>
    </row>
    <row r="239" ht="39.75" customHeight="1">
      <c r="A239" s="1">
        <v>238.0</v>
      </c>
      <c r="B239" s="2" t="s">
        <v>43</v>
      </c>
      <c r="C239" s="2" t="s">
        <v>54</v>
      </c>
      <c r="D239" s="13"/>
      <c r="E239" s="13"/>
      <c r="F239" s="44" t="s">
        <v>3949</v>
      </c>
      <c r="G239" s="42"/>
      <c r="H239" s="42"/>
      <c r="I239" s="42"/>
      <c r="J239" s="22"/>
      <c r="K239" s="42"/>
    </row>
    <row r="240" ht="39.75" customHeight="1">
      <c r="A240" s="1">
        <v>239.0</v>
      </c>
      <c r="B240" s="2" t="s">
        <v>267</v>
      </c>
      <c r="C240" s="2" t="s">
        <v>69</v>
      </c>
      <c r="D240" s="13"/>
      <c r="E240" s="13"/>
      <c r="F240" s="44" t="s">
        <v>3988</v>
      </c>
      <c r="G240" s="43">
        <v>1.0</v>
      </c>
      <c r="H240" s="42"/>
      <c r="I240" s="43">
        <v>1.0</v>
      </c>
      <c r="J240" s="22"/>
      <c r="K240" s="42"/>
    </row>
    <row r="241" ht="39.75" customHeight="1">
      <c r="A241" s="1">
        <v>240.0</v>
      </c>
      <c r="B241" s="2" t="s">
        <v>46</v>
      </c>
      <c r="C241" s="2" t="s">
        <v>58</v>
      </c>
      <c r="D241" s="13"/>
      <c r="E241" s="13"/>
      <c r="F241" s="44" t="s">
        <v>3989</v>
      </c>
      <c r="G241" s="42"/>
      <c r="H241" s="42"/>
      <c r="I241" s="42"/>
      <c r="J241" s="22"/>
      <c r="K241" s="42"/>
    </row>
    <row r="242" ht="39.75" customHeight="1">
      <c r="A242" s="1">
        <v>241.0</v>
      </c>
      <c r="B242" s="2" t="s">
        <v>47</v>
      </c>
      <c r="C242" s="2" t="s">
        <v>3600</v>
      </c>
      <c r="D242" s="13"/>
      <c r="E242" s="13"/>
      <c r="F242" s="45"/>
      <c r="G242" s="42"/>
      <c r="H242" s="42"/>
      <c r="I242" s="42"/>
      <c r="J242" s="22"/>
      <c r="K242" s="42"/>
    </row>
    <row r="243" ht="39.75" customHeight="1">
      <c r="A243" s="1">
        <v>242.0</v>
      </c>
      <c r="B243" s="2" t="s">
        <v>48</v>
      </c>
      <c r="C243" s="2" t="s">
        <v>39</v>
      </c>
      <c r="D243" s="13"/>
      <c r="E243" s="13"/>
      <c r="F243" s="44" t="s">
        <v>3990</v>
      </c>
      <c r="G243" s="43">
        <v>1.0</v>
      </c>
      <c r="H243" s="42"/>
      <c r="I243" s="42"/>
      <c r="J243" s="22"/>
      <c r="K243" s="42"/>
    </row>
    <row r="244" ht="39.75" customHeight="1">
      <c r="A244" s="1">
        <v>243.0</v>
      </c>
      <c r="B244" s="21"/>
      <c r="C244" s="21"/>
      <c r="D244" s="21"/>
      <c r="E244" s="21"/>
      <c r="F244" s="46"/>
      <c r="G244" s="47"/>
      <c r="H244" s="47"/>
      <c r="I244" s="47"/>
      <c r="J244" s="48"/>
      <c r="K244" s="47"/>
      <c r="L244" s="49"/>
      <c r="M244" s="49"/>
      <c r="N244" s="49"/>
    </row>
    <row r="245" ht="39.75" customHeight="1">
      <c r="A245" s="1">
        <v>244.0</v>
      </c>
      <c r="B245" s="2" t="s">
        <v>12</v>
      </c>
      <c r="C245" s="2" t="s">
        <v>62</v>
      </c>
      <c r="D245" s="13"/>
      <c r="E245" s="13"/>
      <c r="F245" s="45"/>
      <c r="G245" s="42"/>
      <c r="H245" s="42"/>
      <c r="I245" s="42"/>
      <c r="J245" s="22"/>
      <c r="K245" s="42"/>
      <c r="L245" s="15" t="s">
        <v>192</v>
      </c>
    </row>
    <row r="246" ht="39.75" customHeight="1">
      <c r="A246" s="1">
        <v>245.0</v>
      </c>
      <c r="B246" s="2" t="s">
        <v>16</v>
      </c>
      <c r="C246" s="2" t="s">
        <v>66</v>
      </c>
      <c r="D246" s="13"/>
      <c r="E246" s="13"/>
      <c r="F246" s="45"/>
      <c r="G246" s="42"/>
      <c r="H246" s="42"/>
      <c r="I246" s="42"/>
      <c r="J246" s="27" t="s">
        <v>192</v>
      </c>
      <c r="K246" s="43"/>
    </row>
    <row r="247" ht="39.75" customHeight="1">
      <c r="A247" s="1">
        <v>246.0</v>
      </c>
      <c r="B247" s="2" t="s">
        <v>116</v>
      </c>
      <c r="C247" s="2" t="s">
        <v>44</v>
      </c>
      <c r="D247" s="13"/>
      <c r="E247" s="13"/>
      <c r="F247" s="45"/>
      <c r="G247" s="42"/>
      <c r="H247" s="42"/>
      <c r="I247" s="42"/>
      <c r="J247" s="22"/>
      <c r="K247" s="42"/>
    </row>
    <row r="248" ht="39.75" customHeight="1">
      <c r="A248" s="1">
        <v>247.0</v>
      </c>
      <c r="B248" s="2" t="s">
        <v>263</v>
      </c>
      <c r="C248" s="2"/>
      <c r="D248" s="40">
        <v>0.625</v>
      </c>
      <c r="E248" s="13"/>
      <c r="F248" s="44" t="s">
        <v>3991</v>
      </c>
      <c r="G248" s="42"/>
      <c r="H248" s="42"/>
      <c r="I248" s="42"/>
      <c r="J248" s="22"/>
      <c r="K248" s="42"/>
    </row>
    <row r="249" ht="39.75" customHeight="1">
      <c r="A249" s="1">
        <v>248.0</v>
      </c>
      <c r="B249" s="2" t="s">
        <v>17</v>
      </c>
      <c r="C249" s="2" t="s">
        <v>58</v>
      </c>
      <c r="D249" s="13"/>
      <c r="E249" s="13"/>
      <c r="F249" s="44" t="s">
        <v>2567</v>
      </c>
      <c r="G249" s="42"/>
      <c r="H249" s="42"/>
      <c r="I249" s="42"/>
      <c r="J249" s="22"/>
      <c r="K249" s="42"/>
    </row>
    <row r="250" ht="39.75" customHeight="1">
      <c r="A250" s="1">
        <v>249.0</v>
      </c>
      <c r="B250" s="2" t="s">
        <v>331</v>
      </c>
      <c r="C250" s="2"/>
      <c r="D250" s="13"/>
      <c r="E250" s="13"/>
      <c r="F250" s="44" t="s">
        <v>3562</v>
      </c>
      <c r="G250" s="42"/>
      <c r="H250" s="42"/>
      <c r="I250" s="42"/>
      <c r="J250" s="22"/>
      <c r="K250" s="42"/>
    </row>
    <row r="251" ht="39.75" customHeight="1">
      <c r="A251" s="1">
        <v>250.0</v>
      </c>
      <c r="B251" s="2" t="s">
        <v>21</v>
      </c>
      <c r="C251" s="2" t="s">
        <v>27</v>
      </c>
      <c r="D251" s="13"/>
      <c r="E251" s="13"/>
      <c r="F251" s="45"/>
      <c r="G251" s="42"/>
      <c r="H251" s="42"/>
      <c r="I251" s="42"/>
      <c r="J251" s="22"/>
      <c r="K251" s="42"/>
    </row>
    <row r="252" ht="39.75" customHeight="1">
      <c r="A252" s="1">
        <v>251.0</v>
      </c>
      <c r="B252" s="2" t="s">
        <v>22</v>
      </c>
      <c r="C252" s="2" t="s">
        <v>54</v>
      </c>
      <c r="D252" s="13"/>
      <c r="E252" s="13"/>
      <c r="F252" s="44" t="s">
        <v>385</v>
      </c>
      <c r="G252" s="42"/>
      <c r="H252" s="42"/>
      <c r="I252" s="42"/>
      <c r="J252" s="22"/>
      <c r="K252" s="42"/>
    </row>
    <row r="253" ht="39.75" customHeight="1">
      <c r="A253" s="1">
        <v>252.0</v>
      </c>
      <c r="B253" s="2" t="s">
        <v>261</v>
      </c>
      <c r="C253" s="2" t="s">
        <v>13</v>
      </c>
      <c r="D253" s="13"/>
      <c r="E253" s="13"/>
      <c r="F253" s="45"/>
      <c r="G253" s="42"/>
      <c r="H253" s="42"/>
      <c r="I253" s="42"/>
      <c r="J253" s="22"/>
      <c r="K253" s="42"/>
    </row>
    <row r="254" ht="39.75" customHeight="1">
      <c r="A254" s="1">
        <v>253.0</v>
      </c>
      <c r="B254" s="2" t="s">
        <v>23</v>
      </c>
      <c r="C254" s="2" t="s">
        <v>69</v>
      </c>
      <c r="D254" s="13"/>
      <c r="E254" s="13"/>
      <c r="F254" s="45"/>
      <c r="G254" s="42"/>
      <c r="H254" s="42"/>
      <c r="I254" s="42"/>
      <c r="J254" s="22"/>
      <c r="K254" s="42"/>
    </row>
    <row r="255" ht="39.75" customHeight="1">
      <c r="A255" s="1">
        <v>254.0</v>
      </c>
      <c r="B255" s="2" t="s">
        <v>24</v>
      </c>
      <c r="C255" s="2" t="s">
        <v>3563</v>
      </c>
      <c r="D255" s="13"/>
      <c r="E255" s="13"/>
      <c r="F255" s="45"/>
      <c r="G255" s="42"/>
      <c r="H255" s="42"/>
      <c r="I255" s="42"/>
      <c r="J255" s="22"/>
      <c r="K255" s="42"/>
    </row>
    <row r="256" ht="39.75" customHeight="1">
      <c r="A256" s="1">
        <v>255.0</v>
      </c>
      <c r="B256" s="2" t="s">
        <v>25</v>
      </c>
      <c r="C256" s="2" t="s">
        <v>39</v>
      </c>
      <c r="D256" s="13"/>
      <c r="E256" s="13"/>
      <c r="F256" s="44" t="s">
        <v>3992</v>
      </c>
      <c r="G256" s="43">
        <v>1.0</v>
      </c>
      <c r="H256" s="42"/>
      <c r="I256" s="42"/>
      <c r="J256" s="22"/>
      <c r="K256" s="42"/>
    </row>
    <row r="257" ht="39.75" customHeight="1">
      <c r="A257" s="1">
        <v>256.0</v>
      </c>
      <c r="B257" s="2" t="s">
        <v>26</v>
      </c>
      <c r="C257" s="2" t="s">
        <v>69</v>
      </c>
      <c r="D257" s="13"/>
      <c r="E257" s="13"/>
      <c r="F257" s="44" t="s">
        <v>3993</v>
      </c>
      <c r="G257" s="43">
        <v>1.0</v>
      </c>
      <c r="H257" s="42"/>
      <c r="I257" s="42"/>
      <c r="J257" s="22"/>
      <c r="K257" s="42"/>
    </row>
    <row r="258" ht="39.75" customHeight="1">
      <c r="A258" s="1">
        <v>257.0</v>
      </c>
      <c r="B258" s="2" t="s">
        <v>29</v>
      </c>
      <c r="C258" s="2" t="s">
        <v>3600</v>
      </c>
      <c r="D258" s="13"/>
      <c r="E258" s="13"/>
      <c r="F258" s="45"/>
      <c r="G258" s="42"/>
      <c r="H258" s="42"/>
      <c r="I258" s="42"/>
      <c r="J258" s="22"/>
      <c r="K258" s="42"/>
    </row>
    <row r="259" ht="39.75" customHeight="1">
      <c r="A259" s="1">
        <v>258.0</v>
      </c>
      <c r="B259" s="2" t="s">
        <v>32</v>
      </c>
      <c r="C259" s="2" t="s">
        <v>54</v>
      </c>
      <c r="D259" s="13"/>
      <c r="E259" s="13"/>
      <c r="F259" s="44" t="s">
        <v>3994</v>
      </c>
      <c r="G259" s="43">
        <v>1.0</v>
      </c>
      <c r="H259" s="42"/>
      <c r="I259" s="43">
        <v>1.0</v>
      </c>
      <c r="J259" s="22"/>
      <c r="K259" s="42"/>
    </row>
    <row r="260" ht="39.75" customHeight="1">
      <c r="A260" s="1">
        <v>259.0</v>
      </c>
      <c r="B260" s="2" t="s">
        <v>67</v>
      </c>
      <c r="C260" s="2"/>
      <c r="D260" s="13"/>
      <c r="E260" s="13"/>
      <c r="F260" s="44" t="s">
        <v>3995</v>
      </c>
      <c r="G260" s="43">
        <v>1.0</v>
      </c>
      <c r="H260" s="42"/>
      <c r="I260" s="42"/>
      <c r="J260" s="22"/>
      <c r="K260" s="42"/>
    </row>
    <row r="261" ht="39.75" customHeight="1">
      <c r="A261" s="1">
        <v>260.0</v>
      </c>
      <c r="B261" s="2" t="s">
        <v>35</v>
      </c>
      <c r="C261" s="2"/>
      <c r="D261" s="13"/>
      <c r="E261" s="13"/>
      <c r="F261" s="44" t="s">
        <v>3996</v>
      </c>
      <c r="G261" s="43">
        <v>1.0</v>
      </c>
      <c r="H261" s="42"/>
      <c r="I261" s="42"/>
      <c r="J261" s="22"/>
      <c r="K261" s="42"/>
    </row>
    <row r="262" ht="39.75" customHeight="1">
      <c r="A262" s="1">
        <v>261.0</v>
      </c>
      <c r="B262" s="2" t="s">
        <v>36</v>
      </c>
      <c r="C262" s="2" t="s">
        <v>3600</v>
      </c>
      <c r="D262" s="13"/>
      <c r="E262" s="13"/>
      <c r="F262" s="45"/>
      <c r="G262" s="42"/>
      <c r="H262" s="42"/>
      <c r="I262" s="42"/>
      <c r="J262" s="22"/>
      <c r="K262" s="42"/>
    </row>
    <row r="263" ht="39.75" customHeight="1">
      <c r="A263" s="1">
        <v>262.0</v>
      </c>
      <c r="B263" s="2" t="s">
        <v>38</v>
      </c>
      <c r="C263" s="2"/>
      <c r="D263" s="13"/>
      <c r="E263" s="13"/>
      <c r="F263" s="44" t="s">
        <v>3997</v>
      </c>
      <c r="G263" s="43">
        <v>1.0</v>
      </c>
      <c r="H263" s="42"/>
      <c r="I263" s="42"/>
      <c r="J263" s="22"/>
      <c r="K263" s="42"/>
    </row>
    <row r="264" ht="39.75" customHeight="1">
      <c r="A264" s="1">
        <v>263.0</v>
      </c>
      <c r="B264" s="2" t="s">
        <v>41</v>
      </c>
      <c r="C264" s="13"/>
      <c r="D264" s="13"/>
      <c r="E264" s="13"/>
      <c r="F264" s="44" t="s">
        <v>3998</v>
      </c>
      <c r="G264" s="43">
        <v>1.0</v>
      </c>
      <c r="H264" s="42"/>
      <c r="I264" s="42"/>
      <c r="J264" s="22"/>
      <c r="K264" s="42"/>
    </row>
    <row r="265" ht="39.75" customHeight="1">
      <c r="A265" s="1">
        <v>264.0</v>
      </c>
      <c r="B265" s="2" t="s">
        <v>42</v>
      </c>
      <c r="C265" s="2" t="s">
        <v>3600</v>
      </c>
      <c r="D265" s="13"/>
      <c r="E265" s="13"/>
      <c r="F265" s="45"/>
      <c r="G265" s="42"/>
      <c r="H265" s="42"/>
      <c r="I265" s="42"/>
      <c r="J265" s="22"/>
      <c r="K265" s="42"/>
    </row>
    <row r="266" ht="39.75" customHeight="1">
      <c r="A266" s="1">
        <v>265.0</v>
      </c>
      <c r="B266" s="2" t="s">
        <v>43</v>
      </c>
      <c r="C266" s="2" t="s">
        <v>54</v>
      </c>
      <c r="D266" s="13"/>
      <c r="E266" s="13"/>
      <c r="F266" s="44" t="s">
        <v>3999</v>
      </c>
      <c r="G266" s="43">
        <v>1.0</v>
      </c>
      <c r="H266" s="42"/>
      <c r="I266" s="43">
        <v>1.0</v>
      </c>
      <c r="J266" s="22"/>
      <c r="K266" s="42"/>
    </row>
    <row r="267" ht="39.75" customHeight="1">
      <c r="A267" s="1">
        <v>266.0</v>
      </c>
      <c r="B267" s="2" t="s">
        <v>267</v>
      </c>
      <c r="C267" s="2" t="s">
        <v>39</v>
      </c>
      <c r="D267" s="13"/>
      <c r="E267" s="13"/>
      <c r="F267" s="44" t="s">
        <v>4000</v>
      </c>
      <c r="G267" s="43">
        <v>1.0</v>
      </c>
      <c r="H267" s="42"/>
      <c r="I267" s="42"/>
      <c r="J267" s="22"/>
      <c r="K267" s="42"/>
    </row>
    <row r="268" ht="39.75" customHeight="1">
      <c r="A268" s="1">
        <v>267.0</v>
      </c>
      <c r="B268" s="2" t="s">
        <v>46</v>
      </c>
      <c r="C268" s="2" t="s">
        <v>54</v>
      </c>
      <c r="D268" s="13"/>
      <c r="E268" s="13"/>
      <c r="F268" s="61" t="s">
        <v>4001</v>
      </c>
      <c r="G268" s="43">
        <v>1.0</v>
      </c>
      <c r="H268" s="42"/>
      <c r="I268" s="43">
        <v>1.0</v>
      </c>
      <c r="J268" s="22"/>
      <c r="K268" s="42"/>
    </row>
    <row r="269" ht="39.75" customHeight="1">
      <c r="A269" s="1">
        <v>268.0</v>
      </c>
      <c r="B269" s="2" t="s">
        <v>47</v>
      </c>
      <c r="C269" s="2" t="s">
        <v>3600</v>
      </c>
      <c r="D269" s="13"/>
      <c r="E269" s="13"/>
      <c r="F269" s="45"/>
      <c r="G269" s="42"/>
      <c r="H269" s="42"/>
      <c r="I269" s="42"/>
      <c r="J269" s="22"/>
      <c r="K269" s="42"/>
    </row>
    <row r="270" ht="39.75" customHeight="1">
      <c r="A270" s="1">
        <v>269.0</v>
      </c>
      <c r="B270" s="2" t="s">
        <v>48</v>
      </c>
      <c r="C270" s="2" t="s">
        <v>69</v>
      </c>
      <c r="D270" s="13"/>
      <c r="E270" s="13"/>
      <c r="F270" s="44" t="s">
        <v>4002</v>
      </c>
      <c r="G270" s="43">
        <v>1.0</v>
      </c>
      <c r="H270" s="42"/>
      <c r="I270" s="42"/>
      <c r="J270" s="22"/>
      <c r="K270" s="42"/>
    </row>
    <row r="271" ht="39.75" customHeight="1">
      <c r="A271" s="1">
        <v>270.0</v>
      </c>
      <c r="B271" s="21"/>
      <c r="C271" s="21"/>
      <c r="D271" s="21"/>
      <c r="E271" s="21"/>
      <c r="F271" s="46"/>
      <c r="G271" s="47"/>
      <c r="H271" s="47"/>
      <c r="I271" s="47"/>
      <c r="J271" s="48"/>
      <c r="K271" s="47"/>
      <c r="L271" s="49"/>
      <c r="M271" s="49"/>
      <c r="N271" s="49"/>
    </row>
    <row r="272" ht="39.75" customHeight="1">
      <c r="A272" s="1">
        <v>271.0</v>
      </c>
      <c r="B272" s="2" t="s">
        <v>12</v>
      </c>
      <c r="C272" s="2" t="s">
        <v>62</v>
      </c>
      <c r="D272" s="128" t="s">
        <v>4003</v>
      </c>
      <c r="E272" s="13"/>
      <c r="F272" s="45"/>
      <c r="G272" s="42"/>
      <c r="H272" s="42"/>
      <c r="I272" s="42"/>
      <c r="J272" s="22"/>
      <c r="K272" s="42"/>
      <c r="L272" s="15" t="s">
        <v>209</v>
      </c>
    </row>
    <row r="273" ht="39.75" customHeight="1">
      <c r="A273" s="1">
        <v>272.0</v>
      </c>
      <c r="B273" s="2" t="s">
        <v>16</v>
      </c>
      <c r="C273" s="2" t="s">
        <v>69</v>
      </c>
      <c r="D273" s="13"/>
      <c r="E273" s="13"/>
      <c r="F273" s="44" t="s">
        <v>1889</v>
      </c>
      <c r="G273" s="42"/>
      <c r="H273" s="42"/>
      <c r="I273" s="42"/>
      <c r="J273" s="27" t="s">
        <v>209</v>
      </c>
      <c r="K273" s="43"/>
    </row>
    <row r="274" ht="39.75" customHeight="1">
      <c r="A274" s="1">
        <v>273.0</v>
      </c>
      <c r="B274" s="2" t="s">
        <v>116</v>
      </c>
      <c r="C274" s="2" t="s">
        <v>39</v>
      </c>
      <c r="D274" s="13"/>
      <c r="E274" s="13"/>
      <c r="F274" s="44" t="s">
        <v>4004</v>
      </c>
      <c r="G274" s="43">
        <v>1.0</v>
      </c>
      <c r="H274" s="42"/>
      <c r="I274" s="42"/>
      <c r="J274" s="22"/>
      <c r="K274" s="42"/>
    </row>
    <row r="275" ht="39.75" customHeight="1">
      <c r="A275" s="1">
        <v>274.0</v>
      </c>
      <c r="B275" s="2" t="s">
        <v>263</v>
      </c>
      <c r="C275" s="2" t="s">
        <v>3562</v>
      </c>
      <c r="D275" s="13"/>
      <c r="E275" s="13"/>
      <c r="F275" s="44"/>
      <c r="G275" s="42"/>
      <c r="H275" s="42"/>
      <c r="I275" s="42"/>
      <c r="J275" s="22"/>
      <c r="K275" s="42"/>
    </row>
    <row r="276" ht="39.75" customHeight="1">
      <c r="A276" s="1">
        <v>275.0</v>
      </c>
      <c r="B276" s="2" t="s">
        <v>17</v>
      </c>
      <c r="C276" s="2" t="s">
        <v>13</v>
      </c>
      <c r="D276" s="13"/>
      <c r="E276" s="13"/>
      <c r="F276" s="45"/>
      <c r="G276" s="42"/>
      <c r="H276" s="42"/>
      <c r="I276" s="42"/>
      <c r="J276" s="22"/>
      <c r="K276" s="42"/>
    </row>
    <row r="277" ht="39.75" customHeight="1">
      <c r="A277" s="1">
        <v>276.0</v>
      </c>
      <c r="B277" s="2" t="s">
        <v>331</v>
      </c>
      <c r="C277" s="2" t="s">
        <v>3562</v>
      </c>
      <c r="D277" s="13"/>
      <c r="E277" s="13"/>
      <c r="F277" s="44" t="s">
        <v>69</v>
      </c>
      <c r="G277" s="42"/>
      <c r="H277" s="42"/>
      <c r="I277" s="42"/>
      <c r="J277" s="22"/>
      <c r="K277" s="42"/>
    </row>
    <row r="278" ht="39.75" customHeight="1">
      <c r="A278" s="1">
        <v>277.0</v>
      </c>
      <c r="B278" s="30" t="s">
        <v>21</v>
      </c>
      <c r="C278" s="2" t="s">
        <v>44</v>
      </c>
      <c r="D278" s="13"/>
      <c r="E278" s="13"/>
      <c r="F278" s="45"/>
      <c r="G278" s="42"/>
      <c r="H278" s="42"/>
      <c r="I278" s="42"/>
      <c r="J278" s="22"/>
      <c r="K278" s="42"/>
    </row>
    <row r="279" ht="39.75" customHeight="1">
      <c r="A279" s="1">
        <v>278.0</v>
      </c>
      <c r="B279" s="2" t="s">
        <v>22</v>
      </c>
      <c r="C279" s="2" t="s">
        <v>64</v>
      </c>
      <c r="D279" s="13"/>
      <c r="E279" s="13"/>
      <c r="F279" s="45"/>
      <c r="G279" s="42"/>
      <c r="H279" s="42"/>
      <c r="I279" s="42"/>
      <c r="J279" s="22"/>
      <c r="K279" s="42"/>
    </row>
    <row r="280" ht="39.75" customHeight="1">
      <c r="A280" s="1">
        <v>279.0</v>
      </c>
      <c r="B280" s="2" t="s">
        <v>261</v>
      </c>
      <c r="C280" s="2" t="s">
        <v>13</v>
      </c>
      <c r="D280" s="13"/>
      <c r="E280" s="13"/>
      <c r="F280" s="45"/>
      <c r="G280" s="42"/>
      <c r="H280" s="42"/>
      <c r="I280" s="42"/>
      <c r="J280" s="22"/>
      <c r="K280" s="42"/>
    </row>
    <row r="281" ht="39.75" customHeight="1">
      <c r="A281" s="1">
        <v>280.0</v>
      </c>
      <c r="B281" s="2" t="s">
        <v>23</v>
      </c>
      <c r="C281" s="2" t="s">
        <v>13</v>
      </c>
      <c r="D281" s="13"/>
      <c r="E281" s="13"/>
      <c r="F281" s="45"/>
      <c r="G281" s="42"/>
      <c r="H281" s="42"/>
      <c r="I281" s="42"/>
      <c r="J281" s="22"/>
      <c r="K281" s="42"/>
    </row>
    <row r="282" ht="39.75" customHeight="1">
      <c r="A282" s="1">
        <v>281.0</v>
      </c>
      <c r="B282" s="2" t="s">
        <v>24</v>
      </c>
      <c r="C282" s="2" t="s">
        <v>3563</v>
      </c>
      <c r="D282" s="13"/>
      <c r="E282" s="13"/>
      <c r="F282" s="45"/>
      <c r="G282" s="42"/>
      <c r="H282" s="42"/>
      <c r="I282" s="42"/>
      <c r="J282" s="22"/>
      <c r="K282" s="42"/>
    </row>
    <row r="283" ht="39.75" customHeight="1">
      <c r="A283" s="1">
        <v>282.0</v>
      </c>
      <c r="B283" s="2" t="s">
        <v>25</v>
      </c>
      <c r="C283" s="2"/>
      <c r="D283" s="13"/>
      <c r="E283" s="13"/>
      <c r="F283" s="44" t="s">
        <v>4005</v>
      </c>
      <c r="G283" s="43">
        <v>1.0</v>
      </c>
      <c r="H283" s="42"/>
      <c r="I283" s="42"/>
      <c r="J283" s="22"/>
      <c r="K283" s="42"/>
    </row>
    <row r="284" ht="39.75" customHeight="1">
      <c r="A284" s="1">
        <v>283.0</v>
      </c>
      <c r="B284" s="2" t="s">
        <v>26</v>
      </c>
      <c r="C284" s="2" t="s">
        <v>27</v>
      </c>
      <c r="D284" s="13"/>
      <c r="E284" s="13"/>
      <c r="F284" s="44" t="s">
        <v>4006</v>
      </c>
      <c r="G284" s="43">
        <v>1.0</v>
      </c>
      <c r="H284" s="42"/>
      <c r="I284" s="43">
        <v>1.0</v>
      </c>
      <c r="J284" s="22"/>
      <c r="K284" s="42"/>
    </row>
    <row r="285" ht="39.75" customHeight="1">
      <c r="A285" s="1">
        <v>284.0</v>
      </c>
      <c r="B285" s="2" t="s">
        <v>29</v>
      </c>
      <c r="C285" s="2" t="s">
        <v>3600</v>
      </c>
      <c r="D285" s="13"/>
      <c r="E285" s="13"/>
      <c r="F285" s="45"/>
      <c r="G285" s="42"/>
      <c r="H285" s="42"/>
      <c r="I285" s="42"/>
      <c r="J285" s="22"/>
      <c r="K285" s="42"/>
    </row>
    <row r="286" ht="39.75" customHeight="1">
      <c r="A286" s="1">
        <v>285.0</v>
      </c>
      <c r="B286" s="2" t="s">
        <v>32</v>
      </c>
      <c r="C286" s="2" t="s">
        <v>54</v>
      </c>
      <c r="D286" s="13"/>
      <c r="E286" s="13"/>
      <c r="F286" s="44" t="s">
        <v>4007</v>
      </c>
      <c r="G286" s="43">
        <v>1.0</v>
      </c>
      <c r="H286" s="42"/>
      <c r="I286" s="42"/>
      <c r="J286" s="22"/>
      <c r="K286" s="42"/>
    </row>
    <row r="287" ht="39.75" customHeight="1">
      <c r="A287" s="1">
        <v>286.0</v>
      </c>
      <c r="B287" s="2" t="s">
        <v>67</v>
      </c>
      <c r="C287" s="2"/>
      <c r="D287" s="128" t="s">
        <v>4003</v>
      </c>
      <c r="E287" s="13"/>
      <c r="F287" s="45"/>
      <c r="G287" s="42"/>
      <c r="H287" s="42"/>
      <c r="I287" s="42"/>
      <c r="J287" s="22"/>
      <c r="K287" s="42"/>
    </row>
    <row r="288" ht="39.75" customHeight="1">
      <c r="A288" s="1">
        <v>287.0</v>
      </c>
      <c r="B288" s="2" t="s">
        <v>35</v>
      </c>
      <c r="C288" s="2"/>
      <c r="D288" s="13"/>
      <c r="E288" s="13"/>
      <c r="F288" s="44" t="s">
        <v>4008</v>
      </c>
      <c r="G288" s="43">
        <v>1.0</v>
      </c>
      <c r="H288" s="42"/>
      <c r="I288" s="42"/>
      <c r="J288" s="22"/>
      <c r="K288" s="42"/>
    </row>
    <row r="289" ht="39.75" customHeight="1">
      <c r="A289" s="1">
        <v>288.0</v>
      </c>
      <c r="B289" s="2" t="s">
        <v>36</v>
      </c>
      <c r="C289" s="2" t="s">
        <v>3600</v>
      </c>
      <c r="D289" s="13"/>
      <c r="E289" s="13"/>
      <c r="F289" s="45"/>
      <c r="G289" s="42"/>
      <c r="H289" s="42"/>
      <c r="I289" s="42"/>
      <c r="J289" s="22"/>
      <c r="K289" s="42"/>
    </row>
    <row r="290" ht="39.75" customHeight="1">
      <c r="A290" s="1">
        <v>289.0</v>
      </c>
      <c r="B290" s="2" t="s">
        <v>38</v>
      </c>
      <c r="C290" s="2" t="s">
        <v>39</v>
      </c>
      <c r="D290" s="13"/>
      <c r="E290" s="13"/>
      <c r="F290" s="57" t="s">
        <v>4009</v>
      </c>
      <c r="G290" s="43">
        <v>1.0</v>
      </c>
      <c r="H290" s="42"/>
      <c r="I290" s="43">
        <v>1.0</v>
      </c>
      <c r="J290" s="22"/>
      <c r="K290" s="42"/>
    </row>
    <row r="291" ht="39.75" customHeight="1">
      <c r="A291" s="1">
        <v>290.0</v>
      </c>
      <c r="B291" s="2" t="s">
        <v>41</v>
      </c>
      <c r="C291" s="2" t="s">
        <v>69</v>
      </c>
      <c r="D291" s="13"/>
      <c r="E291" s="13"/>
      <c r="F291" s="57" t="s">
        <v>4010</v>
      </c>
      <c r="G291" s="43">
        <v>1.0</v>
      </c>
      <c r="H291" s="42"/>
      <c r="I291" s="42"/>
      <c r="J291" s="22"/>
      <c r="K291" s="42"/>
    </row>
    <row r="292" ht="39.75" customHeight="1">
      <c r="A292" s="1">
        <v>291.0</v>
      </c>
      <c r="B292" s="2" t="s">
        <v>42</v>
      </c>
      <c r="C292" s="2" t="s">
        <v>3600</v>
      </c>
      <c r="D292" s="13"/>
      <c r="E292" s="13"/>
      <c r="F292" s="45"/>
      <c r="G292" s="42"/>
      <c r="H292" s="42"/>
      <c r="I292" s="42"/>
      <c r="J292" s="22"/>
      <c r="K292" s="42"/>
    </row>
    <row r="293" ht="39.75" customHeight="1">
      <c r="A293" s="1">
        <v>292.0</v>
      </c>
      <c r="B293" s="2" t="s">
        <v>43</v>
      </c>
      <c r="C293" s="2" t="s">
        <v>54</v>
      </c>
      <c r="D293" s="13"/>
      <c r="E293" s="13"/>
      <c r="F293" s="44" t="s">
        <v>4011</v>
      </c>
      <c r="G293" s="43">
        <v>1.0</v>
      </c>
      <c r="H293" s="42"/>
      <c r="I293" s="42"/>
      <c r="J293" s="22"/>
      <c r="K293" s="42"/>
    </row>
    <row r="294" ht="39.75" customHeight="1">
      <c r="A294" s="1">
        <v>293.0</v>
      </c>
      <c r="B294" s="2" t="s">
        <v>267</v>
      </c>
      <c r="C294" s="2" t="s">
        <v>69</v>
      </c>
      <c r="D294" s="13"/>
      <c r="E294" s="13"/>
      <c r="F294" s="44" t="s">
        <v>1889</v>
      </c>
      <c r="G294" s="42"/>
      <c r="H294" s="42"/>
      <c r="I294" s="42"/>
      <c r="J294" s="22"/>
      <c r="K294" s="42"/>
    </row>
    <row r="295" ht="39.75" customHeight="1">
      <c r="A295" s="1">
        <v>294.0</v>
      </c>
      <c r="B295" s="2" t="s">
        <v>46</v>
      </c>
      <c r="C295" s="2" t="s">
        <v>54</v>
      </c>
      <c r="D295" s="13"/>
      <c r="E295" s="13"/>
      <c r="F295" s="44" t="s">
        <v>1889</v>
      </c>
      <c r="G295" s="42"/>
      <c r="H295" s="42"/>
      <c r="I295" s="42"/>
      <c r="J295" s="22"/>
      <c r="K295" s="42"/>
    </row>
    <row r="296" ht="39.75" customHeight="1">
      <c r="A296" s="1">
        <v>295.0</v>
      </c>
      <c r="B296" s="2" t="s">
        <v>47</v>
      </c>
      <c r="C296" s="2" t="s">
        <v>3600</v>
      </c>
      <c r="D296" s="13"/>
      <c r="E296" s="13"/>
      <c r="F296" s="45"/>
      <c r="G296" s="42"/>
      <c r="H296" s="42"/>
      <c r="I296" s="42"/>
      <c r="J296" s="22"/>
      <c r="K296" s="42"/>
    </row>
    <row r="297" ht="39.75" customHeight="1">
      <c r="A297" s="1">
        <v>296.0</v>
      </c>
      <c r="B297" s="2" t="s">
        <v>48</v>
      </c>
      <c r="C297" s="2"/>
      <c r="D297" s="13"/>
      <c r="E297" s="13"/>
      <c r="F297" s="44" t="s">
        <v>4012</v>
      </c>
      <c r="G297" s="43">
        <v>1.0</v>
      </c>
      <c r="H297" s="42"/>
      <c r="I297" s="42"/>
      <c r="J297" s="22"/>
      <c r="K297" s="42"/>
    </row>
    <row r="298" ht="39.75" customHeight="1">
      <c r="A298" s="1">
        <v>297.0</v>
      </c>
      <c r="B298" s="21"/>
      <c r="C298" s="21"/>
      <c r="D298" s="21"/>
      <c r="E298" s="21"/>
      <c r="F298" s="46"/>
      <c r="G298" s="47"/>
      <c r="H298" s="47"/>
      <c r="I298" s="47"/>
      <c r="J298" s="48"/>
      <c r="K298" s="47"/>
      <c r="L298" s="49"/>
      <c r="M298" s="49"/>
      <c r="N298" s="49"/>
    </row>
    <row r="299" ht="39.75" customHeight="1">
      <c r="A299" s="1">
        <v>298.0</v>
      </c>
      <c r="B299" s="2" t="s">
        <v>12</v>
      </c>
      <c r="C299" s="2" t="s">
        <v>62</v>
      </c>
      <c r="D299" s="13"/>
      <c r="E299" s="13"/>
      <c r="F299" s="61" t="s">
        <v>4013</v>
      </c>
      <c r="G299" s="43">
        <v>2.0</v>
      </c>
      <c r="H299" s="42"/>
      <c r="I299" s="43">
        <v>2.0</v>
      </c>
      <c r="J299" s="22"/>
      <c r="K299" s="42"/>
      <c r="L299" s="15" t="s">
        <v>228</v>
      </c>
    </row>
    <row r="300" ht="39.75" customHeight="1">
      <c r="A300" s="1">
        <v>299.0</v>
      </c>
      <c r="B300" s="2" t="s">
        <v>16</v>
      </c>
      <c r="C300" s="2" t="s">
        <v>39</v>
      </c>
      <c r="D300" s="13"/>
      <c r="E300" s="13"/>
      <c r="F300" s="44" t="s">
        <v>4014</v>
      </c>
      <c r="G300" s="43">
        <v>1.0</v>
      </c>
      <c r="H300" s="42"/>
      <c r="I300" s="43">
        <v>0.0</v>
      </c>
      <c r="J300" s="27" t="s">
        <v>228</v>
      </c>
      <c r="K300" s="43"/>
    </row>
    <row r="301" ht="39.75" customHeight="1">
      <c r="A301" s="1">
        <v>300.0</v>
      </c>
      <c r="B301" s="2" t="s">
        <v>116</v>
      </c>
      <c r="C301" s="2"/>
      <c r="D301" s="13"/>
      <c r="E301" s="13"/>
      <c r="F301" s="44" t="s">
        <v>4015</v>
      </c>
      <c r="G301" s="43">
        <v>1.0</v>
      </c>
      <c r="H301" s="42"/>
      <c r="I301" s="42"/>
      <c r="J301" s="22"/>
      <c r="K301" s="42"/>
    </row>
    <row r="302" ht="39.75" customHeight="1">
      <c r="A302" s="1">
        <v>301.0</v>
      </c>
      <c r="B302" s="2" t="s">
        <v>263</v>
      </c>
      <c r="C302" s="2" t="s">
        <v>3562</v>
      </c>
      <c r="D302" s="13"/>
      <c r="E302" s="13"/>
      <c r="F302" s="44" t="s">
        <v>3562</v>
      </c>
      <c r="G302" s="42"/>
      <c r="H302" s="42"/>
      <c r="I302" s="42"/>
      <c r="J302" s="22"/>
      <c r="K302" s="42"/>
    </row>
    <row r="303" ht="39.75" customHeight="1">
      <c r="A303" s="1">
        <v>302.0</v>
      </c>
      <c r="B303" s="2" t="s">
        <v>17</v>
      </c>
      <c r="C303" s="2" t="s">
        <v>58</v>
      </c>
      <c r="D303" s="13"/>
      <c r="E303" s="13"/>
      <c r="F303" s="44" t="s">
        <v>2567</v>
      </c>
      <c r="G303" s="42"/>
      <c r="H303" s="42"/>
      <c r="I303" s="42"/>
      <c r="J303" s="22"/>
      <c r="K303" s="42"/>
    </row>
    <row r="304" ht="39.75" customHeight="1">
      <c r="A304" s="1">
        <v>303.0</v>
      </c>
      <c r="B304" s="2" t="s">
        <v>331</v>
      </c>
      <c r="C304" s="2" t="s">
        <v>3562</v>
      </c>
      <c r="D304" s="13"/>
      <c r="E304" s="13"/>
      <c r="F304" s="44" t="s">
        <v>3562</v>
      </c>
      <c r="G304" s="42"/>
      <c r="H304" s="42"/>
      <c r="I304" s="42"/>
      <c r="J304" s="22"/>
      <c r="K304" s="42"/>
    </row>
    <row r="305" ht="39.75" customHeight="1">
      <c r="A305" s="1">
        <v>304.0</v>
      </c>
      <c r="B305" s="2" t="s">
        <v>21</v>
      </c>
      <c r="C305" s="2" t="s">
        <v>69</v>
      </c>
      <c r="D305" s="40">
        <v>0.625</v>
      </c>
      <c r="E305" s="13"/>
      <c r="F305" s="44" t="s">
        <v>4016</v>
      </c>
      <c r="G305" s="43">
        <v>1.0</v>
      </c>
      <c r="H305" s="42"/>
      <c r="I305" s="42"/>
      <c r="J305" s="22"/>
      <c r="K305" s="42"/>
    </row>
    <row r="306" ht="39.75" customHeight="1">
      <c r="A306" s="1">
        <v>305.0</v>
      </c>
      <c r="B306" s="2" t="s">
        <v>22</v>
      </c>
      <c r="C306" s="2" t="s">
        <v>54</v>
      </c>
      <c r="D306" s="13"/>
      <c r="E306" s="13"/>
      <c r="F306" s="44" t="s">
        <v>4017</v>
      </c>
      <c r="G306" s="43">
        <v>1.0</v>
      </c>
      <c r="H306" s="42"/>
      <c r="I306" s="43">
        <v>1.0</v>
      </c>
      <c r="J306" s="22"/>
      <c r="K306" s="42"/>
    </row>
    <row r="307" ht="39.75" customHeight="1">
      <c r="A307" s="1">
        <v>306.0</v>
      </c>
      <c r="B307" s="2" t="s">
        <v>261</v>
      </c>
      <c r="C307" s="2" t="s">
        <v>13</v>
      </c>
      <c r="D307" s="13"/>
      <c r="E307" s="13"/>
      <c r="F307" s="45"/>
      <c r="G307" s="42"/>
      <c r="H307" s="42"/>
      <c r="I307" s="42"/>
      <c r="J307" s="22"/>
      <c r="K307" s="42"/>
    </row>
    <row r="308" ht="39.75" customHeight="1">
      <c r="A308" s="1">
        <v>307.0</v>
      </c>
      <c r="B308" s="2" t="s">
        <v>23</v>
      </c>
      <c r="C308" s="2" t="s">
        <v>39</v>
      </c>
      <c r="D308" s="13"/>
      <c r="E308" s="13"/>
      <c r="F308" s="44" t="s">
        <v>4018</v>
      </c>
      <c r="G308" s="43">
        <v>1.0</v>
      </c>
      <c r="H308" s="42"/>
      <c r="I308" s="42"/>
      <c r="J308" s="22"/>
      <c r="K308" s="42"/>
    </row>
    <row r="309" ht="39.75" customHeight="1">
      <c r="A309" s="1">
        <v>308.0</v>
      </c>
      <c r="B309" s="2" t="s">
        <v>24</v>
      </c>
      <c r="C309" s="2" t="s">
        <v>3563</v>
      </c>
      <c r="D309" s="13"/>
      <c r="E309" s="13"/>
      <c r="F309" s="45"/>
      <c r="G309" s="42"/>
      <c r="H309" s="42"/>
      <c r="I309" s="42"/>
      <c r="J309" s="22"/>
      <c r="K309" s="42"/>
    </row>
    <row r="310" ht="39.75" customHeight="1">
      <c r="A310" s="1">
        <v>309.0</v>
      </c>
      <c r="B310" s="2" t="s">
        <v>25</v>
      </c>
      <c r="C310" s="2" t="s">
        <v>66</v>
      </c>
      <c r="D310" s="13"/>
      <c r="E310" s="13"/>
      <c r="F310" s="45"/>
      <c r="G310" s="42"/>
      <c r="H310" s="42"/>
      <c r="I310" s="42"/>
      <c r="J310" s="22"/>
      <c r="K310" s="42"/>
    </row>
    <row r="311" ht="39.75" customHeight="1">
      <c r="A311" s="1">
        <v>310.0</v>
      </c>
      <c r="B311" s="2" t="s">
        <v>26</v>
      </c>
      <c r="C311" s="2" t="s">
        <v>44</v>
      </c>
      <c r="D311" s="13"/>
      <c r="E311" s="13"/>
      <c r="F311" s="45"/>
      <c r="G311" s="42"/>
      <c r="H311" s="42"/>
      <c r="I311" s="42"/>
      <c r="J311" s="22"/>
      <c r="K311" s="42"/>
    </row>
    <row r="312" ht="39.75" customHeight="1">
      <c r="A312" s="1">
        <v>311.0</v>
      </c>
      <c r="B312" s="2" t="s">
        <v>29</v>
      </c>
      <c r="C312" s="2" t="s">
        <v>3600</v>
      </c>
      <c r="D312" s="13"/>
      <c r="E312" s="13"/>
      <c r="F312" s="45"/>
      <c r="G312" s="42"/>
      <c r="H312" s="42"/>
      <c r="I312" s="42"/>
      <c r="J312" s="22"/>
      <c r="K312" s="42"/>
    </row>
    <row r="313" ht="39.75" customHeight="1">
      <c r="A313" s="1">
        <v>312.0</v>
      </c>
      <c r="B313" s="2" t="s">
        <v>32</v>
      </c>
      <c r="C313" s="2" t="s">
        <v>54</v>
      </c>
      <c r="D313" s="13"/>
      <c r="E313" s="13"/>
      <c r="F313" s="44" t="s">
        <v>385</v>
      </c>
      <c r="G313" s="42"/>
      <c r="H313" s="42"/>
      <c r="I313" s="42"/>
      <c r="J313" s="22"/>
      <c r="K313" s="42"/>
    </row>
    <row r="314" ht="39.75" customHeight="1">
      <c r="A314" s="1">
        <v>313.0</v>
      </c>
      <c r="B314" s="2" t="s">
        <v>67</v>
      </c>
      <c r="C314" s="2" t="s">
        <v>58</v>
      </c>
      <c r="D314" s="13"/>
      <c r="E314" s="13"/>
      <c r="F314" s="44" t="s">
        <v>4019</v>
      </c>
      <c r="G314" s="42"/>
      <c r="H314" s="42"/>
      <c r="I314" s="42"/>
      <c r="J314" s="22"/>
      <c r="K314" s="42"/>
    </row>
    <row r="315" ht="39.75" customHeight="1">
      <c r="A315" s="1">
        <v>314.0</v>
      </c>
      <c r="B315" s="2" t="s">
        <v>35</v>
      </c>
      <c r="C315" s="2"/>
      <c r="D315" s="13"/>
      <c r="E315" s="13"/>
      <c r="F315" s="44" t="s">
        <v>4020</v>
      </c>
      <c r="G315" s="43">
        <v>1.0</v>
      </c>
      <c r="H315" s="42"/>
      <c r="I315" s="42"/>
      <c r="J315" s="22"/>
      <c r="K315" s="42"/>
    </row>
    <row r="316" ht="39.75" customHeight="1">
      <c r="A316" s="1">
        <v>315.0</v>
      </c>
      <c r="B316" s="2" t="s">
        <v>36</v>
      </c>
      <c r="C316" s="2" t="s">
        <v>3600</v>
      </c>
      <c r="D316" s="13"/>
      <c r="E316" s="13"/>
      <c r="F316" s="45"/>
      <c r="G316" s="42"/>
      <c r="H316" s="42"/>
      <c r="I316" s="42"/>
      <c r="J316" s="22"/>
      <c r="K316" s="42"/>
    </row>
    <row r="317" ht="39.75" customHeight="1">
      <c r="A317" s="1">
        <v>316.0</v>
      </c>
      <c r="B317" s="2" t="s">
        <v>38</v>
      </c>
      <c r="C317" s="2" t="s">
        <v>69</v>
      </c>
      <c r="D317" s="13"/>
      <c r="E317" s="13"/>
      <c r="F317" s="44" t="s">
        <v>4021</v>
      </c>
      <c r="G317" s="43">
        <v>1.0</v>
      </c>
      <c r="H317" s="42"/>
      <c r="I317" s="42"/>
      <c r="J317" s="22"/>
      <c r="K317" s="42"/>
    </row>
    <row r="318" ht="39.75" customHeight="1">
      <c r="A318" s="1">
        <v>317.0</v>
      </c>
      <c r="B318" s="2" t="s">
        <v>41</v>
      </c>
      <c r="C318" s="2" t="s">
        <v>69</v>
      </c>
      <c r="D318" s="13"/>
      <c r="E318" s="13"/>
      <c r="F318" s="44" t="s">
        <v>4022</v>
      </c>
      <c r="G318" s="43">
        <v>1.0</v>
      </c>
      <c r="H318" s="42"/>
      <c r="I318" s="42"/>
      <c r="J318" s="22"/>
      <c r="K318" s="42"/>
    </row>
    <row r="319" ht="39.75" customHeight="1">
      <c r="A319" s="1">
        <v>318.0</v>
      </c>
      <c r="B319" s="2" t="s">
        <v>42</v>
      </c>
      <c r="C319" s="2" t="s">
        <v>3600</v>
      </c>
      <c r="D319" s="13"/>
      <c r="E319" s="13"/>
      <c r="F319" s="45"/>
      <c r="G319" s="42"/>
      <c r="H319" s="42"/>
      <c r="I319" s="42"/>
      <c r="J319" s="22"/>
      <c r="K319" s="42"/>
    </row>
    <row r="320" ht="39.75" customHeight="1">
      <c r="A320" s="1">
        <v>319.0</v>
      </c>
      <c r="B320" s="2" t="s">
        <v>43</v>
      </c>
      <c r="C320" s="2" t="s">
        <v>54</v>
      </c>
      <c r="D320" s="13"/>
      <c r="E320" s="13"/>
      <c r="F320" s="44" t="s">
        <v>4023</v>
      </c>
      <c r="G320" s="43">
        <v>1.0</v>
      </c>
      <c r="H320" s="42"/>
      <c r="I320" s="43">
        <v>1.0</v>
      </c>
      <c r="J320" s="22"/>
      <c r="K320" s="42"/>
    </row>
    <row r="321" ht="39.75" customHeight="1">
      <c r="A321" s="1">
        <v>320.0</v>
      </c>
      <c r="B321" s="2" t="s">
        <v>267</v>
      </c>
      <c r="C321" s="2" t="s">
        <v>27</v>
      </c>
      <c r="D321" s="13"/>
      <c r="E321" s="13"/>
      <c r="F321" s="44" t="s">
        <v>4024</v>
      </c>
      <c r="G321" s="43">
        <v>1.0</v>
      </c>
      <c r="H321" s="42"/>
      <c r="I321" s="42"/>
      <c r="J321" s="22"/>
      <c r="K321" s="42"/>
    </row>
    <row r="322" ht="39.75" customHeight="1">
      <c r="A322" s="1">
        <v>321.0</v>
      </c>
      <c r="B322" s="2" t="s">
        <v>46</v>
      </c>
      <c r="C322" s="2" t="s">
        <v>54</v>
      </c>
      <c r="D322" s="13"/>
      <c r="E322" s="13"/>
      <c r="F322" s="61" t="s">
        <v>4025</v>
      </c>
      <c r="G322" s="43">
        <v>2.0</v>
      </c>
      <c r="H322" s="42"/>
      <c r="I322" s="43">
        <v>1.0</v>
      </c>
      <c r="J322" s="22"/>
      <c r="K322" s="42"/>
    </row>
    <row r="323" ht="39.75" customHeight="1">
      <c r="A323" s="1">
        <v>322.0</v>
      </c>
      <c r="B323" s="2" t="s">
        <v>47</v>
      </c>
      <c r="C323" s="2" t="s">
        <v>3600</v>
      </c>
      <c r="D323" s="13"/>
      <c r="E323" s="13"/>
      <c r="F323" s="45"/>
      <c r="G323" s="42"/>
      <c r="H323" s="42"/>
      <c r="I323" s="42"/>
      <c r="J323" s="22"/>
      <c r="K323" s="42"/>
    </row>
    <row r="324" ht="39.75" customHeight="1">
      <c r="A324" s="1">
        <v>323.0</v>
      </c>
      <c r="B324" s="2" t="s">
        <v>48</v>
      </c>
      <c r="C324" s="2"/>
      <c r="D324" s="13"/>
      <c r="E324" s="13"/>
      <c r="F324" s="44" t="s">
        <v>4026</v>
      </c>
      <c r="G324" s="43">
        <v>1.0</v>
      </c>
      <c r="H324" s="42"/>
      <c r="I324" s="42"/>
      <c r="J324" s="22"/>
      <c r="K324" s="42"/>
    </row>
    <row r="325" ht="39.75" customHeight="1">
      <c r="A325" s="1">
        <v>324.0</v>
      </c>
      <c r="B325" s="21"/>
      <c r="C325" s="21"/>
      <c r="D325" s="21"/>
      <c r="E325" s="21"/>
      <c r="F325" s="46"/>
      <c r="G325" s="47"/>
      <c r="H325" s="47"/>
      <c r="I325" s="47"/>
      <c r="J325" s="48"/>
      <c r="K325" s="47"/>
      <c r="L325" s="49"/>
      <c r="M325" s="49"/>
      <c r="N325" s="49"/>
    </row>
    <row r="326" ht="39.75" customHeight="1">
      <c r="A326" s="1">
        <v>325.0</v>
      </c>
      <c r="B326" s="2" t="s">
        <v>12</v>
      </c>
      <c r="C326" s="2" t="s">
        <v>62</v>
      </c>
      <c r="D326" s="13"/>
      <c r="E326" s="13"/>
      <c r="F326" s="45"/>
      <c r="G326" s="42"/>
      <c r="H326" s="42"/>
      <c r="I326" s="42"/>
      <c r="J326" s="22"/>
      <c r="K326" s="42"/>
      <c r="L326" s="15" t="s">
        <v>244</v>
      </c>
    </row>
    <row r="327" ht="39.75" customHeight="1">
      <c r="A327" s="1">
        <v>326.0</v>
      </c>
      <c r="B327" s="2" t="s">
        <v>16</v>
      </c>
      <c r="C327" s="2" t="s">
        <v>69</v>
      </c>
      <c r="D327" s="13"/>
      <c r="E327" s="13"/>
      <c r="F327" s="45"/>
      <c r="G327" s="42"/>
      <c r="H327" s="42"/>
      <c r="I327" s="42"/>
      <c r="J327" s="27" t="s">
        <v>244</v>
      </c>
      <c r="K327" s="43"/>
    </row>
    <row r="328" ht="39.75" customHeight="1">
      <c r="A328" s="1">
        <v>327.0</v>
      </c>
      <c r="B328" s="2" t="s">
        <v>116</v>
      </c>
      <c r="C328" s="2" t="s">
        <v>39</v>
      </c>
      <c r="D328" s="13"/>
      <c r="E328" s="13"/>
      <c r="F328" s="44" t="s">
        <v>4027</v>
      </c>
      <c r="G328" s="43">
        <v>1.0</v>
      </c>
      <c r="H328" s="42"/>
      <c r="I328" s="43">
        <v>1.0</v>
      </c>
      <c r="J328" s="22"/>
      <c r="K328" s="42"/>
    </row>
    <row r="329" ht="39.75" customHeight="1">
      <c r="A329" s="1">
        <v>328.0</v>
      </c>
      <c r="B329" s="2" t="s">
        <v>263</v>
      </c>
      <c r="C329" s="2" t="s">
        <v>3562</v>
      </c>
      <c r="D329" s="13"/>
      <c r="E329" s="13"/>
      <c r="F329" s="44"/>
      <c r="G329" s="42"/>
      <c r="H329" s="42"/>
      <c r="I329" s="42"/>
      <c r="J329" s="22"/>
      <c r="K329" s="42"/>
    </row>
    <row r="330" ht="39.75" customHeight="1">
      <c r="A330" s="1">
        <v>329.0</v>
      </c>
      <c r="B330" s="2" t="s">
        <v>17</v>
      </c>
      <c r="C330" s="2" t="s">
        <v>13</v>
      </c>
      <c r="D330" s="13"/>
      <c r="E330" s="13"/>
      <c r="F330" s="45"/>
      <c r="G330" s="42"/>
      <c r="H330" s="42"/>
      <c r="I330" s="42"/>
      <c r="J330" s="22"/>
      <c r="K330" s="42"/>
    </row>
    <row r="331" ht="39.75" customHeight="1">
      <c r="A331" s="1">
        <v>330.0</v>
      </c>
      <c r="B331" s="2" t="s">
        <v>331</v>
      </c>
      <c r="C331" s="2" t="s">
        <v>3562</v>
      </c>
      <c r="D331" s="13"/>
      <c r="E331" s="13"/>
      <c r="F331" s="45"/>
      <c r="G331" s="42"/>
      <c r="H331" s="42"/>
      <c r="I331" s="42"/>
      <c r="J331" s="22"/>
      <c r="K331" s="42"/>
    </row>
    <row r="332" ht="39.75" customHeight="1">
      <c r="A332" s="1">
        <v>331.0</v>
      </c>
      <c r="B332" s="2" t="s">
        <v>21</v>
      </c>
      <c r="C332" s="2" t="s">
        <v>39</v>
      </c>
      <c r="D332" s="13"/>
      <c r="E332" s="13"/>
      <c r="F332" s="45"/>
      <c r="G332" s="42"/>
      <c r="H332" s="42"/>
      <c r="I332" s="42"/>
      <c r="J332" s="22"/>
      <c r="K332" s="42"/>
    </row>
    <row r="333" ht="39.75" customHeight="1">
      <c r="A333" s="1">
        <v>332.0</v>
      </c>
      <c r="B333" s="2" t="s">
        <v>22</v>
      </c>
      <c r="C333" s="2" t="s">
        <v>54</v>
      </c>
      <c r="D333" s="13"/>
      <c r="E333" s="13"/>
      <c r="F333" s="45"/>
      <c r="G333" s="42"/>
      <c r="H333" s="42"/>
      <c r="I333" s="42"/>
      <c r="J333" s="22"/>
      <c r="K333" s="42"/>
    </row>
    <row r="334" ht="39.75" customHeight="1">
      <c r="A334" s="1">
        <v>333.0</v>
      </c>
      <c r="B334" s="2" t="s">
        <v>261</v>
      </c>
      <c r="C334" s="2" t="s">
        <v>13</v>
      </c>
      <c r="D334" s="13"/>
      <c r="E334" s="13"/>
      <c r="F334" s="45"/>
      <c r="G334" s="42"/>
      <c r="H334" s="42"/>
      <c r="I334" s="42"/>
      <c r="J334" s="22"/>
      <c r="K334" s="42"/>
    </row>
    <row r="335" ht="39.75" customHeight="1">
      <c r="A335" s="1">
        <v>334.0</v>
      </c>
      <c r="B335" s="2" t="s">
        <v>23</v>
      </c>
      <c r="C335" s="2" t="s">
        <v>69</v>
      </c>
      <c r="D335" s="13"/>
      <c r="E335" s="13"/>
      <c r="F335" s="44" t="s">
        <v>4028</v>
      </c>
      <c r="G335" s="43">
        <v>1.0</v>
      </c>
      <c r="H335" s="42"/>
      <c r="I335" s="42"/>
      <c r="J335" s="22"/>
      <c r="K335" s="42"/>
    </row>
    <row r="336" ht="39.75" customHeight="1">
      <c r="A336" s="1">
        <v>335.0</v>
      </c>
      <c r="B336" s="2" t="s">
        <v>24</v>
      </c>
      <c r="C336" s="2" t="s">
        <v>3563</v>
      </c>
      <c r="D336" s="13"/>
      <c r="E336" s="13"/>
      <c r="F336" s="45"/>
      <c r="G336" s="42"/>
      <c r="H336" s="42"/>
      <c r="I336" s="42"/>
      <c r="J336" s="22"/>
      <c r="K336" s="42"/>
    </row>
    <row r="337" ht="39.75" customHeight="1">
      <c r="A337" s="1">
        <v>336.0</v>
      </c>
      <c r="B337" s="2" t="s">
        <v>25</v>
      </c>
      <c r="C337" s="2" t="s">
        <v>27</v>
      </c>
      <c r="D337" s="13"/>
      <c r="E337" s="13"/>
      <c r="F337" s="44" t="s">
        <v>4029</v>
      </c>
      <c r="G337" s="43">
        <v>1.0</v>
      </c>
      <c r="H337" s="42"/>
      <c r="I337" s="42"/>
      <c r="J337" s="22"/>
      <c r="K337" s="42"/>
    </row>
    <row r="338" ht="39.75" customHeight="1">
      <c r="A338" s="1">
        <v>337.0</v>
      </c>
      <c r="B338" s="2" t="s">
        <v>26</v>
      </c>
      <c r="C338" s="2" t="s">
        <v>69</v>
      </c>
      <c r="D338" s="13"/>
      <c r="E338" s="13"/>
      <c r="F338" s="44" t="s">
        <v>4030</v>
      </c>
      <c r="G338" s="43">
        <v>1.0</v>
      </c>
      <c r="H338" s="42"/>
      <c r="I338" s="42"/>
      <c r="J338" s="22"/>
      <c r="K338" s="42"/>
    </row>
    <row r="339" ht="39.75" customHeight="1">
      <c r="A339" s="1">
        <v>338.0</v>
      </c>
      <c r="B339" s="2" t="s">
        <v>29</v>
      </c>
      <c r="C339" s="2" t="s">
        <v>3600</v>
      </c>
      <c r="D339" s="13"/>
      <c r="E339" s="13"/>
      <c r="F339" s="45"/>
      <c r="G339" s="42"/>
      <c r="H339" s="42"/>
      <c r="I339" s="42"/>
      <c r="J339" s="22"/>
      <c r="K339" s="42"/>
    </row>
    <row r="340" ht="39.75" customHeight="1">
      <c r="A340" s="1">
        <v>339.0</v>
      </c>
      <c r="B340" s="2" t="s">
        <v>32</v>
      </c>
      <c r="C340" s="2" t="s">
        <v>385</v>
      </c>
      <c r="D340" s="13"/>
      <c r="E340" s="13"/>
      <c r="F340" s="45"/>
      <c r="G340" s="42"/>
      <c r="H340" s="42"/>
      <c r="I340" s="42"/>
      <c r="J340" s="22"/>
      <c r="K340" s="42"/>
    </row>
    <row r="341" ht="39.75" customHeight="1">
      <c r="A341" s="1">
        <v>340.0</v>
      </c>
      <c r="B341" s="2" t="s">
        <v>67</v>
      </c>
      <c r="C341" s="2"/>
      <c r="D341" s="13"/>
      <c r="E341" s="13"/>
      <c r="F341" s="44" t="s">
        <v>4031</v>
      </c>
      <c r="G341" s="42"/>
      <c r="H341" s="42"/>
      <c r="I341" s="42"/>
      <c r="J341" s="22"/>
      <c r="K341" s="42"/>
    </row>
    <row r="342" ht="39.75" customHeight="1">
      <c r="A342" s="1">
        <v>341.0</v>
      </c>
      <c r="B342" s="2" t="s">
        <v>35</v>
      </c>
      <c r="C342" s="2"/>
      <c r="D342" s="13"/>
      <c r="E342" s="13"/>
      <c r="F342" s="44" t="s">
        <v>4032</v>
      </c>
      <c r="G342" s="43">
        <v>1.0</v>
      </c>
      <c r="H342" s="42"/>
      <c r="I342" s="42"/>
      <c r="J342" s="22"/>
      <c r="K342" s="42"/>
    </row>
    <row r="343" ht="39.75" customHeight="1">
      <c r="A343" s="1">
        <v>342.0</v>
      </c>
      <c r="B343" s="2" t="s">
        <v>36</v>
      </c>
      <c r="C343" s="2" t="s">
        <v>3600</v>
      </c>
      <c r="D343" s="13"/>
      <c r="E343" s="13"/>
      <c r="F343" s="45"/>
      <c r="G343" s="42"/>
      <c r="H343" s="42"/>
      <c r="I343" s="42"/>
      <c r="J343" s="22"/>
      <c r="K343" s="42"/>
    </row>
    <row r="344" ht="39.75" customHeight="1">
      <c r="A344" s="1">
        <v>343.0</v>
      </c>
      <c r="B344" s="2" t="s">
        <v>38</v>
      </c>
      <c r="C344" s="2" t="s">
        <v>66</v>
      </c>
      <c r="D344" s="13"/>
      <c r="E344" s="13"/>
      <c r="F344" s="45"/>
      <c r="G344" s="42"/>
      <c r="H344" s="42"/>
      <c r="I344" s="42"/>
      <c r="J344" s="22"/>
      <c r="K344" s="42"/>
    </row>
    <row r="345" ht="39.75" customHeight="1">
      <c r="A345" s="1">
        <v>344.0</v>
      </c>
      <c r="B345" s="2" t="s">
        <v>41</v>
      </c>
      <c r="C345" s="13"/>
      <c r="D345" s="13"/>
      <c r="E345" s="13"/>
      <c r="F345" s="44" t="s">
        <v>4033</v>
      </c>
      <c r="G345" s="43">
        <v>1.0</v>
      </c>
      <c r="H345" s="42"/>
      <c r="I345" s="43">
        <v>1.0</v>
      </c>
      <c r="J345" s="22"/>
      <c r="K345" s="42"/>
    </row>
    <row r="346" ht="39.75" customHeight="1">
      <c r="A346" s="1">
        <v>345.0</v>
      </c>
      <c r="B346" s="2" t="s">
        <v>42</v>
      </c>
      <c r="C346" s="2" t="s">
        <v>3600</v>
      </c>
      <c r="D346" s="13"/>
      <c r="E346" s="13"/>
      <c r="F346" s="45"/>
      <c r="G346" s="42"/>
      <c r="H346" s="42"/>
      <c r="I346" s="42"/>
      <c r="J346" s="22"/>
      <c r="K346" s="42"/>
    </row>
    <row r="347" ht="39.75" customHeight="1">
      <c r="A347" s="1">
        <v>346.0</v>
      </c>
      <c r="B347" s="2" t="s">
        <v>43</v>
      </c>
      <c r="C347" s="2" t="s">
        <v>54</v>
      </c>
      <c r="D347" s="13"/>
      <c r="E347" s="13"/>
      <c r="F347" s="44" t="s">
        <v>4034</v>
      </c>
      <c r="G347" s="43">
        <v>1.0</v>
      </c>
      <c r="H347" s="42"/>
      <c r="I347" s="42"/>
      <c r="J347" s="22"/>
      <c r="K347" s="42"/>
    </row>
    <row r="348" ht="39.75" customHeight="1">
      <c r="A348" s="1">
        <v>347.0</v>
      </c>
      <c r="B348" s="2" t="s">
        <v>267</v>
      </c>
      <c r="C348" s="2" t="s">
        <v>44</v>
      </c>
      <c r="D348" s="13"/>
      <c r="E348" s="13"/>
      <c r="F348" s="45"/>
      <c r="G348" s="42"/>
      <c r="H348" s="42"/>
      <c r="I348" s="42"/>
      <c r="J348" s="22"/>
      <c r="K348" s="42"/>
    </row>
    <row r="349" ht="39.75" customHeight="1">
      <c r="A349" s="1">
        <v>348.0</v>
      </c>
      <c r="B349" s="2" t="s">
        <v>46</v>
      </c>
      <c r="C349" s="2" t="s">
        <v>54</v>
      </c>
      <c r="D349" s="13"/>
      <c r="E349" s="13"/>
      <c r="F349" s="61" t="s">
        <v>4035</v>
      </c>
      <c r="G349" s="43">
        <v>1.0</v>
      </c>
      <c r="H349" s="42"/>
      <c r="I349" s="43">
        <v>1.0</v>
      </c>
      <c r="J349" s="22"/>
      <c r="K349" s="42"/>
    </row>
    <row r="350" ht="39.75" customHeight="1">
      <c r="A350" s="1">
        <v>349.0</v>
      </c>
      <c r="B350" s="2" t="s">
        <v>47</v>
      </c>
      <c r="C350" s="2" t="s">
        <v>3600</v>
      </c>
      <c r="D350" s="13"/>
      <c r="E350" s="13"/>
      <c r="F350" s="45"/>
      <c r="G350" s="42"/>
      <c r="H350" s="42"/>
      <c r="I350" s="42"/>
      <c r="J350" s="22"/>
      <c r="K350" s="42"/>
    </row>
    <row r="351" ht="39.75" customHeight="1">
      <c r="A351" s="1">
        <v>350.0</v>
      </c>
      <c r="B351" s="2" t="s">
        <v>48</v>
      </c>
      <c r="C351" s="2"/>
      <c r="D351" s="13"/>
      <c r="E351" s="13"/>
      <c r="F351" s="44" t="s">
        <v>4036</v>
      </c>
      <c r="G351" s="43">
        <v>1.0</v>
      </c>
      <c r="H351" s="42"/>
      <c r="I351" s="43">
        <v>1.0</v>
      </c>
      <c r="J351" s="22"/>
      <c r="K351" s="42"/>
    </row>
    <row r="352" ht="39.75" customHeight="1">
      <c r="A352" s="1">
        <v>351.0</v>
      </c>
      <c r="B352" s="21"/>
      <c r="C352" s="21"/>
      <c r="D352" s="21"/>
      <c r="E352" s="21"/>
      <c r="F352" s="46"/>
      <c r="G352" s="47"/>
      <c r="H352" s="47"/>
      <c r="I352" s="47"/>
      <c r="J352" s="48"/>
      <c r="K352" s="47"/>
      <c r="L352" s="49"/>
      <c r="M352" s="49"/>
      <c r="N352" s="49"/>
    </row>
    <row r="353" ht="39.75" customHeight="1">
      <c r="A353" s="1">
        <v>352.0</v>
      </c>
      <c r="B353" s="2" t="s">
        <v>12</v>
      </c>
      <c r="C353" s="2" t="s">
        <v>13</v>
      </c>
      <c r="D353" s="13"/>
      <c r="E353" s="13"/>
      <c r="F353" s="45"/>
      <c r="G353" s="42"/>
      <c r="H353" s="42"/>
      <c r="I353" s="42"/>
      <c r="J353" s="22"/>
      <c r="K353" s="42"/>
      <c r="L353" s="15" t="s">
        <v>260</v>
      </c>
    </row>
    <row r="354" ht="39.75" customHeight="1">
      <c r="A354" s="1">
        <v>353.0</v>
      </c>
      <c r="B354" s="2" t="s">
        <v>16</v>
      </c>
      <c r="C354" s="2" t="s">
        <v>27</v>
      </c>
      <c r="D354" s="13"/>
      <c r="E354" s="13"/>
      <c r="F354" s="45"/>
      <c r="G354" s="42"/>
      <c r="H354" s="42"/>
      <c r="I354" s="42"/>
      <c r="J354" s="27" t="s">
        <v>260</v>
      </c>
      <c r="K354" s="43"/>
    </row>
    <row r="355" ht="39.75" customHeight="1">
      <c r="A355" s="1">
        <v>354.0</v>
      </c>
      <c r="B355" s="2" t="s">
        <v>116</v>
      </c>
      <c r="C355" s="2" t="s">
        <v>13</v>
      </c>
      <c r="D355" s="13"/>
      <c r="E355" s="13"/>
      <c r="F355" s="45"/>
      <c r="G355" s="42"/>
      <c r="H355" s="42"/>
      <c r="I355" s="42"/>
      <c r="J355" s="27" t="s">
        <v>149</v>
      </c>
      <c r="K355" s="42"/>
    </row>
    <row r="356" ht="39.75" customHeight="1">
      <c r="A356" s="1">
        <v>355.0</v>
      </c>
      <c r="B356" s="2" t="s">
        <v>263</v>
      </c>
      <c r="C356" s="2" t="s">
        <v>13</v>
      </c>
      <c r="D356" s="13"/>
      <c r="E356" s="13"/>
      <c r="F356" s="44"/>
      <c r="G356" s="42"/>
      <c r="H356" s="42"/>
      <c r="I356" s="42"/>
      <c r="J356" s="27" t="s">
        <v>151</v>
      </c>
      <c r="K356" s="42"/>
    </row>
    <row r="357" ht="39.75" customHeight="1">
      <c r="A357" s="1">
        <v>356.0</v>
      </c>
      <c r="B357" s="2" t="s">
        <v>17</v>
      </c>
      <c r="C357" s="2" t="s">
        <v>13</v>
      </c>
      <c r="D357" s="13"/>
      <c r="E357" s="13"/>
      <c r="F357" s="45"/>
      <c r="G357" s="42"/>
      <c r="H357" s="42"/>
      <c r="I357" s="42"/>
      <c r="J357" s="27" t="s">
        <v>152</v>
      </c>
      <c r="K357" s="42"/>
    </row>
    <row r="358" ht="39.75" customHeight="1">
      <c r="A358" s="1">
        <v>357.0</v>
      </c>
      <c r="B358" s="2" t="s">
        <v>331</v>
      </c>
      <c r="C358" s="2"/>
      <c r="D358" s="13"/>
      <c r="E358" s="13"/>
      <c r="F358" s="44" t="s">
        <v>3562</v>
      </c>
      <c r="G358" s="42"/>
      <c r="H358" s="42"/>
      <c r="I358" s="42"/>
      <c r="J358" s="27" t="s">
        <v>154</v>
      </c>
      <c r="K358" s="42"/>
    </row>
    <row r="359" ht="39.75" customHeight="1">
      <c r="A359" s="1">
        <v>358.0</v>
      </c>
      <c r="B359" s="2" t="s">
        <v>21</v>
      </c>
      <c r="C359" s="2" t="s">
        <v>13</v>
      </c>
      <c r="D359" s="13"/>
      <c r="E359" s="13"/>
      <c r="F359" s="45"/>
      <c r="G359" s="42"/>
      <c r="H359" s="42"/>
      <c r="I359" s="42"/>
      <c r="J359" s="22"/>
      <c r="K359" s="42"/>
    </row>
    <row r="360" ht="39.75" customHeight="1">
      <c r="A360" s="1">
        <v>359.0</v>
      </c>
      <c r="B360" s="2" t="s">
        <v>22</v>
      </c>
      <c r="C360" s="2" t="s">
        <v>13</v>
      </c>
      <c r="D360" s="13"/>
      <c r="E360" s="13"/>
      <c r="F360" s="45"/>
      <c r="G360" s="42"/>
      <c r="H360" s="42"/>
      <c r="I360" s="42"/>
      <c r="J360" s="22"/>
      <c r="K360" s="42"/>
    </row>
    <row r="361" ht="39.75" customHeight="1">
      <c r="A361" s="1">
        <v>360.0</v>
      </c>
      <c r="B361" s="2" t="s">
        <v>261</v>
      </c>
      <c r="C361" s="2" t="s">
        <v>13</v>
      </c>
      <c r="D361" s="13"/>
      <c r="E361" s="13"/>
      <c r="F361" s="45"/>
      <c r="G361" s="42"/>
      <c r="H361" s="42"/>
      <c r="I361" s="42"/>
      <c r="J361" s="22"/>
      <c r="K361" s="42"/>
    </row>
    <row r="362" ht="39.75" customHeight="1">
      <c r="A362" s="1">
        <v>361.0</v>
      </c>
      <c r="B362" s="2" t="s">
        <v>23</v>
      </c>
      <c r="C362" s="2" t="s">
        <v>13</v>
      </c>
      <c r="D362" s="13"/>
      <c r="E362" s="13"/>
      <c r="F362" s="45"/>
      <c r="G362" s="42"/>
      <c r="H362" s="42"/>
      <c r="I362" s="42"/>
      <c r="J362" s="22"/>
      <c r="K362" s="42"/>
    </row>
    <row r="363" ht="39.75" customHeight="1">
      <c r="A363" s="1">
        <v>362.0</v>
      </c>
      <c r="B363" s="2" t="s">
        <v>24</v>
      </c>
      <c r="C363" s="2" t="s">
        <v>13</v>
      </c>
      <c r="D363" s="13"/>
      <c r="E363" s="13"/>
      <c r="F363" s="45"/>
      <c r="G363" s="42"/>
      <c r="H363" s="42"/>
      <c r="I363" s="42"/>
      <c r="J363" s="22"/>
      <c r="K363" s="42"/>
    </row>
    <row r="364" ht="39.75" customHeight="1">
      <c r="A364" s="1">
        <v>363.0</v>
      </c>
      <c r="B364" s="2" t="s">
        <v>25</v>
      </c>
      <c r="C364" s="2" t="s">
        <v>44</v>
      </c>
      <c r="D364" s="13"/>
      <c r="E364" s="13"/>
      <c r="F364" s="45"/>
      <c r="G364" s="42"/>
      <c r="H364" s="42"/>
      <c r="I364" s="42"/>
      <c r="J364" s="22"/>
      <c r="K364" s="42"/>
    </row>
    <row r="365" ht="39.75" customHeight="1">
      <c r="A365" s="1">
        <v>364.0</v>
      </c>
      <c r="B365" s="2" t="s">
        <v>26</v>
      </c>
      <c r="C365" s="2" t="s">
        <v>13</v>
      </c>
      <c r="D365" s="13"/>
      <c r="E365" s="13"/>
      <c r="F365" s="45"/>
      <c r="G365" s="42"/>
      <c r="H365" s="42"/>
      <c r="I365" s="42"/>
      <c r="J365" s="22"/>
      <c r="K365" s="42"/>
    </row>
    <row r="366" ht="39.75" customHeight="1">
      <c r="A366" s="1">
        <v>365.0</v>
      </c>
      <c r="B366" s="2" t="s">
        <v>29</v>
      </c>
      <c r="C366" s="2" t="s">
        <v>3600</v>
      </c>
      <c r="D366" s="13"/>
      <c r="E366" s="13"/>
      <c r="F366" s="45"/>
      <c r="G366" s="42"/>
      <c r="H366" s="42"/>
      <c r="I366" s="42"/>
      <c r="J366" s="22"/>
      <c r="K366" s="42"/>
    </row>
    <row r="367" ht="39.75" customHeight="1">
      <c r="A367" s="1">
        <v>366.0</v>
      </c>
      <c r="B367" s="2" t="s">
        <v>32</v>
      </c>
      <c r="C367" s="2" t="s">
        <v>13</v>
      </c>
      <c r="D367" s="13"/>
      <c r="E367" s="13"/>
      <c r="F367" s="45"/>
      <c r="G367" s="42"/>
      <c r="H367" s="42"/>
      <c r="I367" s="42"/>
      <c r="J367" s="22"/>
      <c r="K367" s="42"/>
    </row>
    <row r="368" ht="39.75" customHeight="1">
      <c r="A368" s="1">
        <v>367.0</v>
      </c>
      <c r="B368" s="2" t="s">
        <v>67</v>
      </c>
      <c r="C368" s="2" t="s">
        <v>13</v>
      </c>
      <c r="D368" s="13"/>
      <c r="E368" s="13"/>
      <c r="F368" s="45"/>
      <c r="G368" s="42"/>
      <c r="H368" s="42"/>
      <c r="I368" s="42"/>
      <c r="J368" s="22"/>
      <c r="K368" s="42"/>
    </row>
    <row r="369" ht="39.75" customHeight="1">
      <c r="A369" s="1">
        <v>368.0</v>
      </c>
      <c r="B369" s="2" t="s">
        <v>35</v>
      </c>
      <c r="C369" s="2" t="s">
        <v>13</v>
      </c>
      <c r="D369" s="13"/>
      <c r="E369" s="13"/>
      <c r="F369" s="45"/>
      <c r="G369" s="42"/>
      <c r="H369" s="42"/>
      <c r="I369" s="42"/>
      <c r="J369" s="22"/>
      <c r="K369" s="42"/>
    </row>
    <row r="370" ht="39.75" customHeight="1">
      <c r="A370" s="1">
        <v>369.0</v>
      </c>
      <c r="B370" s="2" t="s">
        <v>36</v>
      </c>
      <c r="C370" s="2" t="s">
        <v>3600</v>
      </c>
      <c r="D370" s="13"/>
      <c r="E370" s="13"/>
      <c r="F370" s="45"/>
      <c r="G370" s="42"/>
      <c r="H370" s="42"/>
      <c r="I370" s="42"/>
      <c r="J370" s="22"/>
      <c r="K370" s="42"/>
    </row>
    <row r="371" ht="39.75" customHeight="1">
      <c r="A371" s="1">
        <v>370.0</v>
      </c>
      <c r="B371" s="2" t="s">
        <v>38</v>
      </c>
      <c r="C371" s="2" t="s">
        <v>13</v>
      </c>
      <c r="D371" s="13"/>
      <c r="E371" s="13"/>
      <c r="F371" s="45"/>
      <c r="G371" s="42"/>
      <c r="H371" s="42"/>
      <c r="I371" s="42"/>
      <c r="J371" s="22"/>
      <c r="K371" s="42"/>
    </row>
    <row r="372" ht="39.75" customHeight="1">
      <c r="A372" s="1">
        <v>371.0</v>
      </c>
      <c r="B372" s="2" t="s">
        <v>41</v>
      </c>
      <c r="C372" s="2" t="s">
        <v>39</v>
      </c>
      <c r="D372" s="13"/>
      <c r="E372" s="13"/>
      <c r="F372" s="44" t="s">
        <v>4037</v>
      </c>
      <c r="G372" s="43">
        <v>1.0</v>
      </c>
      <c r="H372" s="42"/>
      <c r="I372" s="43">
        <v>1.0</v>
      </c>
      <c r="J372" s="22"/>
      <c r="K372" s="42"/>
    </row>
    <row r="373" ht="39.75" customHeight="1">
      <c r="A373" s="1">
        <v>372.0</v>
      </c>
      <c r="B373" s="2" t="s">
        <v>42</v>
      </c>
      <c r="C373" s="2" t="s">
        <v>3600</v>
      </c>
      <c r="D373" s="13"/>
      <c r="E373" s="13"/>
      <c r="F373" s="45"/>
      <c r="G373" s="42"/>
      <c r="H373" s="42"/>
      <c r="I373" s="42"/>
      <c r="J373" s="22"/>
      <c r="K373" s="42"/>
    </row>
    <row r="374" ht="39.75" customHeight="1">
      <c r="A374" s="1">
        <v>373.0</v>
      </c>
      <c r="B374" s="2" t="s">
        <v>43</v>
      </c>
      <c r="C374" s="2" t="s">
        <v>13</v>
      </c>
      <c r="D374" s="13"/>
      <c r="E374" s="13"/>
      <c r="F374" s="45"/>
      <c r="G374" s="42"/>
      <c r="H374" s="42"/>
      <c r="I374" s="42"/>
      <c r="J374" s="22"/>
      <c r="K374" s="42"/>
    </row>
    <row r="375" ht="39.75" customHeight="1">
      <c r="A375" s="1">
        <v>374.0</v>
      </c>
      <c r="B375" s="2" t="s">
        <v>267</v>
      </c>
      <c r="C375" s="2" t="s">
        <v>3560</v>
      </c>
      <c r="D375" s="13"/>
      <c r="E375" s="13"/>
      <c r="F375" s="44" t="s">
        <v>4038</v>
      </c>
      <c r="G375" s="43">
        <v>2.0</v>
      </c>
      <c r="H375" s="42"/>
      <c r="I375" s="43">
        <v>1.0</v>
      </c>
      <c r="J375" s="22"/>
      <c r="K375" s="42"/>
    </row>
    <row r="376" ht="39.75" customHeight="1">
      <c r="A376" s="1">
        <v>375.0</v>
      </c>
      <c r="B376" s="2" t="s">
        <v>46</v>
      </c>
      <c r="C376" s="2" t="s">
        <v>3560</v>
      </c>
      <c r="D376" s="13"/>
      <c r="E376" s="13"/>
      <c r="F376" s="44" t="s">
        <v>4039</v>
      </c>
      <c r="G376" s="42"/>
      <c r="H376" s="42"/>
      <c r="I376" s="42"/>
      <c r="J376" s="22"/>
      <c r="K376" s="42"/>
    </row>
    <row r="377" ht="39.75" customHeight="1">
      <c r="A377" s="1">
        <v>376.0</v>
      </c>
      <c r="B377" s="2" t="s">
        <v>47</v>
      </c>
      <c r="C377" s="2" t="s">
        <v>3600</v>
      </c>
      <c r="D377" s="13"/>
      <c r="E377" s="13"/>
      <c r="F377" s="45"/>
      <c r="G377" s="42"/>
      <c r="H377" s="42"/>
      <c r="I377" s="42"/>
      <c r="J377" s="22"/>
      <c r="K377" s="42"/>
    </row>
    <row r="378" ht="39.75" customHeight="1">
      <c r="A378" s="1">
        <v>377.0</v>
      </c>
      <c r="B378" s="2" t="s">
        <v>48</v>
      </c>
      <c r="C378" s="2" t="s">
        <v>3707</v>
      </c>
      <c r="D378" s="13"/>
      <c r="E378" s="13"/>
      <c r="F378" s="44" t="s">
        <v>4040</v>
      </c>
      <c r="G378" s="43">
        <v>1.0</v>
      </c>
      <c r="H378" s="42"/>
      <c r="I378" s="42"/>
      <c r="J378" s="22"/>
      <c r="K378" s="42"/>
    </row>
    <row r="379" ht="39.75" customHeight="1">
      <c r="A379" s="1">
        <v>378.0</v>
      </c>
      <c r="B379" s="21"/>
      <c r="C379" s="21"/>
      <c r="D379" s="21"/>
      <c r="E379" s="21"/>
      <c r="F379" s="46"/>
      <c r="G379" s="47"/>
      <c r="H379" s="47"/>
      <c r="I379" s="47"/>
      <c r="J379" s="48"/>
      <c r="K379" s="47"/>
      <c r="L379" s="49"/>
      <c r="M379" s="49"/>
      <c r="N379" s="49"/>
    </row>
    <row r="380" ht="39.75" customHeight="1">
      <c r="A380" s="1">
        <v>379.0</v>
      </c>
      <c r="B380" s="2" t="s">
        <v>12</v>
      </c>
      <c r="C380" s="2" t="s">
        <v>13</v>
      </c>
      <c r="D380" s="13"/>
      <c r="E380" s="2"/>
      <c r="F380" s="45"/>
      <c r="G380" s="42"/>
      <c r="H380" s="42"/>
      <c r="I380" s="42"/>
      <c r="J380" s="22"/>
      <c r="K380" s="42"/>
      <c r="L380" s="15" t="s">
        <v>269</v>
      </c>
    </row>
    <row r="381" ht="39.75" customHeight="1">
      <c r="A381" s="1">
        <v>380.0</v>
      </c>
      <c r="B381" s="2" t="s">
        <v>16</v>
      </c>
      <c r="C381" s="2" t="s">
        <v>44</v>
      </c>
      <c r="D381" s="13"/>
      <c r="E381" s="13"/>
      <c r="F381" s="45"/>
      <c r="G381" s="42"/>
      <c r="H381" s="42"/>
      <c r="I381" s="42"/>
      <c r="J381" s="27" t="s">
        <v>269</v>
      </c>
      <c r="K381" s="43"/>
    </row>
    <row r="382" ht="39.75" customHeight="1">
      <c r="A382" s="1">
        <v>381.0</v>
      </c>
      <c r="B382" s="2" t="s">
        <v>116</v>
      </c>
      <c r="C382" s="2" t="s">
        <v>13</v>
      </c>
      <c r="D382" s="13"/>
      <c r="E382" s="13"/>
      <c r="F382" s="45"/>
      <c r="G382" s="42"/>
      <c r="H382" s="42"/>
      <c r="I382" s="42"/>
      <c r="J382" s="27" t="s">
        <v>19</v>
      </c>
      <c r="K382" s="42"/>
    </row>
    <row r="383" ht="39.75" customHeight="1">
      <c r="A383" s="1">
        <v>382.0</v>
      </c>
      <c r="B383" s="2" t="s">
        <v>263</v>
      </c>
      <c r="C383" s="2" t="s">
        <v>13</v>
      </c>
      <c r="D383" s="13"/>
      <c r="E383" s="13"/>
      <c r="F383" s="44"/>
      <c r="G383" s="42"/>
      <c r="H383" s="42"/>
      <c r="I383" s="42"/>
      <c r="J383" s="27" t="s">
        <v>165</v>
      </c>
      <c r="K383" s="42"/>
    </row>
    <row r="384" ht="39.75" customHeight="1">
      <c r="A384" s="1">
        <v>383.0</v>
      </c>
      <c r="B384" s="2" t="s">
        <v>17</v>
      </c>
      <c r="C384" s="2" t="s">
        <v>13</v>
      </c>
      <c r="D384" s="13"/>
      <c r="E384" s="13"/>
      <c r="F384" s="45"/>
      <c r="G384" s="42"/>
      <c r="H384" s="42"/>
      <c r="I384" s="42"/>
      <c r="J384" s="27" t="s">
        <v>2637</v>
      </c>
      <c r="K384" s="42"/>
    </row>
    <row r="385" ht="39.75" customHeight="1">
      <c r="A385" s="1">
        <v>384.0</v>
      </c>
      <c r="B385" s="2" t="s">
        <v>331</v>
      </c>
      <c r="C385" s="2" t="s">
        <v>13</v>
      </c>
      <c r="D385" s="13"/>
      <c r="E385" s="13"/>
      <c r="F385" s="45"/>
      <c r="G385" s="42"/>
      <c r="H385" s="42"/>
      <c r="I385" s="42"/>
      <c r="J385" s="27" t="s">
        <v>2638</v>
      </c>
      <c r="K385" s="42"/>
    </row>
    <row r="386" ht="39.75" customHeight="1">
      <c r="A386" s="1">
        <v>385.0</v>
      </c>
      <c r="B386" s="2" t="s">
        <v>21</v>
      </c>
      <c r="C386" s="2" t="s">
        <v>13</v>
      </c>
      <c r="D386" s="13"/>
      <c r="E386" s="13"/>
      <c r="F386" s="45"/>
      <c r="G386" s="42"/>
      <c r="H386" s="42"/>
      <c r="I386" s="42"/>
      <c r="J386" s="22"/>
      <c r="K386" s="42"/>
    </row>
    <row r="387" ht="39.75" customHeight="1">
      <c r="A387" s="1">
        <v>386.0</v>
      </c>
      <c r="B387" s="2" t="s">
        <v>22</v>
      </c>
      <c r="C387" s="2"/>
      <c r="D387" s="40">
        <v>0.375</v>
      </c>
      <c r="E387" s="40">
        <v>0.75</v>
      </c>
      <c r="F387" s="44" t="s">
        <v>4041</v>
      </c>
      <c r="G387" s="43">
        <v>1.0</v>
      </c>
      <c r="H387" s="42"/>
      <c r="I387" s="43">
        <v>1.0</v>
      </c>
      <c r="J387" s="22"/>
      <c r="K387" s="42"/>
    </row>
    <row r="388" ht="39.75" customHeight="1">
      <c r="A388" s="1">
        <v>387.0</v>
      </c>
      <c r="B388" s="2" t="s">
        <v>261</v>
      </c>
      <c r="C388" s="2" t="s">
        <v>13</v>
      </c>
      <c r="D388" s="13"/>
      <c r="E388" s="13"/>
      <c r="F388" s="45"/>
      <c r="G388" s="42"/>
      <c r="H388" s="42"/>
      <c r="I388" s="42"/>
      <c r="J388" s="22"/>
      <c r="K388" s="42"/>
    </row>
    <row r="389" ht="39.75" customHeight="1">
      <c r="A389" s="1">
        <v>388.0</v>
      </c>
      <c r="B389" s="2" t="s">
        <v>23</v>
      </c>
      <c r="C389" s="2" t="s">
        <v>39</v>
      </c>
      <c r="D389" s="40"/>
      <c r="E389" s="40"/>
      <c r="F389" s="44"/>
      <c r="G389" s="43"/>
      <c r="H389" s="42"/>
      <c r="I389" s="42"/>
      <c r="J389" s="22"/>
      <c r="K389" s="42"/>
    </row>
    <row r="390" ht="39.75" customHeight="1">
      <c r="A390" s="1">
        <v>389.0</v>
      </c>
      <c r="B390" s="2" t="s">
        <v>24</v>
      </c>
      <c r="C390" s="2" t="s">
        <v>3563</v>
      </c>
      <c r="D390" s="13"/>
      <c r="E390" s="13"/>
      <c r="F390" s="45"/>
      <c r="G390" s="42"/>
      <c r="H390" s="42"/>
      <c r="I390" s="42"/>
      <c r="J390" s="22"/>
      <c r="K390" s="42"/>
    </row>
    <row r="391" ht="39.75" customHeight="1">
      <c r="A391" s="1">
        <v>390.0</v>
      </c>
      <c r="B391" s="2" t="s">
        <v>25</v>
      </c>
      <c r="C391" s="2" t="s">
        <v>13</v>
      </c>
      <c r="D391" s="13"/>
      <c r="E391" s="13"/>
      <c r="F391" s="45"/>
      <c r="G391" s="42"/>
      <c r="H391" s="42"/>
      <c r="I391" s="42"/>
      <c r="J391" s="22"/>
      <c r="K391" s="42"/>
    </row>
    <row r="392" ht="39.75" customHeight="1">
      <c r="A392" s="1">
        <v>391.0</v>
      </c>
      <c r="B392" s="2" t="s">
        <v>26</v>
      </c>
      <c r="C392" s="2" t="s">
        <v>13</v>
      </c>
      <c r="D392" s="40"/>
      <c r="E392" s="40"/>
      <c r="F392" s="44"/>
      <c r="G392" s="43"/>
      <c r="H392" s="42"/>
      <c r="I392" s="42"/>
      <c r="J392" s="22"/>
      <c r="K392" s="42"/>
    </row>
    <row r="393" ht="39.75" customHeight="1">
      <c r="A393" s="1">
        <v>392.0</v>
      </c>
      <c r="B393" s="2" t="s">
        <v>29</v>
      </c>
      <c r="C393" s="2" t="s">
        <v>3600</v>
      </c>
      <c r="D393" s="13"/>
      <c r="E393" s="13"/>
      <c r="F393" s="45"/>
      <c r="G393" s="42"/>
      <c r="H393" s="42"/>
      <c r="I393" s="42"/>
      <c r="J393" s="22"/>
      <c r="K393" s="42"/>
    </row>
    <row r="394" ht="39.75" customHeight="1">
      <c r="A394" s="1">
        <v>393.0</v>
      </c>
      <c r="B394" s="2" t="s">
        <v>32</v>
      </c>
      <c r="C394" s="107" t="s">
        <v>27</v>
      </c>
      <c r="D394" s="40">
        <v>0.6875</v>
      </c>
      <c r="E394" s="13"/>
      <c r="F394" s="45"/>
      <c r="G394" s="42"/>
      <c r="H394" s="42"/>
      <c r="I394" s="42"/>
      <c r="J394" s="22"/>
      <c r="K394" s="42"/>
    </row>
    <row r="395" ht="39.75" customHeight="1">
      <c r="A395" s="1">
        <v>394.0</v>
      </c>
      <c r="B395" s="2" t="s">
        <v>67</v>
      </c>
      <c r="C395" s="2" t="s">
        <v>13</v>
      </c>
      <c r="D395" s="13"/>
      <c r="E395" s="13"/>
      <c r="F395" s="45"/>
      <c r="G395" s="42"/>
      <c r="H395" s="42"/>
      <c r="I395" s="42"/>
      <c r="J395" s="22"/>
      <c r="K395" s="42"/>
    </row>
    <row r="396" ht="39.75" customHeight="1">
      <c r="A396" s="1">
        <v>395.0</v>
      </c>
      <c r="B396" s="2" t="s">
        <v>35</v>
      </c>
      <c r="C396" s="2" t="s">
        <v>3563</v>
      </c>
      <c r="D396" s="13"/>
      <c r="E396" s="13"/>
      <c r="F396" s="45"/>
      <c r="G396" s="42"/>
      <c r="H396" s="42"/>
      <c r="I396" s="42"/>
      <c r="J396" s="22"/>
      <c r="K396" s="42"/>
    </row>
    <row r="397" ht="39.75" customHeight="1">
      <c r="A397" s="1">
        <v>396.0</v>
      </c>
      <c r="B397" s="2" t="s">
        <v>36</v>
      </c>
      <c r="C397" s="2" t="s">
        <v>3600</v>
      </c>
      <c r="D397" s="13"/>
      <c r="E397" s="13"/>
      <c r="F397" s="45"/>
      <c r="G397" s="42"/>
      <c r="H397" s="42"/>
      <c r="I397" s="42"/>
      <c r="J397" s="22"/>
      <c r="K397" s="42"/>
    </row>
    <row r="398" ht="39.75" customHeight="1">
      <c r="A398" s="1">
        <v>397.0</v>
      </c>
      <c r="B398" s="2" t="s">
        <v>38</v>
      </c>
      <c r="C398" s="2" t="s">
        <v>13</v>
      </c>
      <c r="D398" s="40"/>
      <c r="E398" s="13"/>
      <c r="F398" s="45"/>
      <c r="G398" s="42"/>
      <c r="H398" s="42"/>
      <c r="I398" s="42"/>
      <c r="J398" s="22"/>
      <c r="K398" s="42"/>
    </row>
    <row r="399" ht="39.75" customHeight="1">
      <c r="A399" s="1">
        <v>398.0</v>
      </c>
      <c r="B399" s="2" t="s">
        <v>41</v>
      </c>
      <c r="C399" s="2" t="s">
        <v>13</v>
      </c>
      <c r="D399" s="13"/>
      <c r="E399" s="13"/>
      <c r="F399" s="45"/>
      <c r="G399" s="42"/>
      <c r="H399" s="42"/>
      <c r="I399" s="42"/>
      <c r="J399" s="22"/>
      <c r="K399" s="42"/>
    </row>
    <row r="400" ht="39.75" customHeight="1">
      <c r="A400" s="1">
        <v>399.0</v>
      </c>
      <c r="B400" s="2" t="s">
        <v>42</v>
      </c>
      <c r="C400" s="2" t="s">
        <v>3600</v>
      </c>
      <c r="D400" s="13"/>
      <c r="E400" s="13"/>
      <c r="F400" s="45"/>
      <c r="G400" s="42"/>
      <c r="H400" s="42"/>
      <c r="I400" s="42"/>
      <c r="J400" s="22"/>
      <c r="K400" s="42"/>
    </row>
    <row r="401" ht="39.75" customHeight="1">
      <c r="A401" s="1">
        <v>400.0</v>
      </c>
      <c r="B401" s="2" t="s">
        <v>43</v>
      </c>
      <c r="C401" s="2" t="s">
        <v>13</v>
      </c>
      <c r="D401" s="13"/>
      <c r="E401" s="13"/>
      <c r="F401" s="45"/>
      <c r="G401" s="42"/>
      <c r="H401" s="42"/>
      <c r="I401" s="42"/>
      <c r="J401" s="22"/>
      <c r="K401" s="42"/>
    </row>
    <row r="402" ht="39.75" customHeight="1">
      <c r="A402" s="1">
        <v>401.0</v>
      </c>
      <c r="B402" s="2" t="s">
        <v>267</v>
      </c>
      <c r="C402" s="2" t="s">
        <v>13</v>
      </c>
      <c r="D402" s="13"/>
      <c r="E402" s="13"/>
      <c r="F402" s="45"/>
      <c r="G402" s="42"/>
      <c r="H402" s="42"/>
      <c r="I402" s="42"/>
      <c r="J402" s="22"/>
      <c r="K402" s="42"/>
    </row>
    <row r="403" ht="39.75" customHeight="1">
      <c r="A403" s="1">
        <v>402.0</v>
      </c>
      <c r="B403" s="2" t="s">
        <v>46</v>
      </c>
      <c r="C403" s="2" t="s">
        <v>3560</v>
      </c>
      <c r="D403" s="40">
        <v>0.375</v>
      </c>
      <c r="E403" s="40"/>
      <c r="F403" s="44" t="s">
        <v>4042</v>
      </c>
      <c r="G403" s="43">
        <v>1.0</v>
      </c>
      <c r="H403" s="42"/>
      <c r="I403" s="43">
        <v>1.0</v>
      </c>
      <c r="J403" s="22"/>
      <c r="K403" s="42"/>
    </row>
    <row r="404" ht="39.75" customHeight="1">
      <c r="A404" s="1">
        <v>403.0</v>
      </c>
      <c r="B404" s="2" t="s">
        <v>47</v>
      </c>
      <c r="C404" s="2" t="s">
        <v>3600</v>
      </c>
      <c r="D404" s="13"/>
      <c r="E404" s="13"/>
      <c r="F404" s="45"/>
      <c r="G404" s="42"/>
      <c r="H404" s="42"/>
      <c r="I404" s="42"/>
      <c r="J404" s="22"/>
      <c r="K404" s="42"/>
    </row>
    <row r="405" ht="39.75" customHeight="1">
      <c r="A405" s="1">
        <v>404.0</v>
      </c>
      <c r="B405" s="2" t="s">
        <v>48</v>
      </c>
      <c r="C405" s="2" t="s">
        <v>49</v>
      </c>
      <c r="D405" s="13"/>
      <c r="E405" s="13"/>
      <c r="F405" s="45"/>
      <c r="G405" s="42"/>
      <c r="H405" s="42"/>
      <c r="I405" s="42"/>
      <c r="J405" s="22"/>
      <c r="K405" s="42"/>
    </row>
    <row r="406" ht="39.75" customHeight="1">
      <c r="A406" s="1">
        <v>405.0</v>
      </c>
      <c r="B406" s="21"/>
      <c r="C406" s="21"/>
      <c r="D406" s="21"/>
      <c r="E406" s="21"/>
      <c r="F406" s="46"/>
      <c r="G406" s="47"/>
      <c r="H406" s="47"/>
      <c r="I406" s="47"/>
      <c r="J406" s="48"/>
      <c r="K406" s="47"/>
      <c r="L406" s="49"/>
      <c r="M406" s="49"/>
      <c r="N406" s="49"/>
    </row>
    <row r="407" ht="39.75" customHeight="1">
      <c r="A407" s="1">
        <v>406.0</v>
      </c>
      <c r="B407" s="2" t="s">
        <v>12</v>
      </c>
      <c r="C407" s="2" t="s">
        <v>3560</v>
      </c>
      <c r="D407" s="13"/>
      <c r="E407" s="2">
        <v>1600.0</v>
      </c>
      <c r="F407" s="45"/>
      <c r="G407" s="42"/>
      <c r="H407" s="42"/>
      <c r="I407" s="42"/>
      <c r="J407" s="22"/>
      <c r="K407" s="42"/>
      <c r="L407" s="15" t="s">
        <v>274</v>
      </c>
    </row>
    <row r="408" ht="39.75" customHeight="1">
      <c r="A408" s="1">
        <v>407.0</v>
      </c>
      <c r="B408" s="2" t="s">
        <v>16</v>
      </c>
      <c r="C408" s="2" t="s">
        <v>44</v>
      </c>
      <c r="D408" s="13"/>
      <c r="E408" s="13"/>
      <c r="F408" s="45"/>
      <c r="G408" s="42"/>
      <c r="H408" s="42"/>
      <c r="I408" s="42"/>
      <c r="J408" s="27" t="s">
        <v>274</v>
      </c>
      <c r="K408" s="43"/>
    </row>
    <row r="409" ht="39.75" customHeight="1">
      <c r="A409" s="1">
        <v>408.0</v>
      </c>
      <c r="B409" s="2" t="s">
        <v>116</v>
      </c>
      <c r="C409" s="2" t="s">
        <v>13</v>
      </c>
      <c r="D409" s="13"/>
      <c r="E409" s="13"/>
      <c r="F409" s="45"/>
      <c r="G409" s="42"/>
      <c r="H409" s="42"/>
      <c r="I409" s="42"/>
      <c r="J409" s="27" t="s">
        <v>56</v>
      </c>
      <c r="K409" s="42"/>
    </row>
    <row r="410" ht="39.75" customHeight="1">
      <c r="A410" s="1">
        <v>409.0</v>
      </c>
      <c r="B410" s="2" t="s">
        <v>263</v>
      </c>
      <c r="C410" s="2" t="s">
        <v>3562</v>
      </c>
      <c r="D410" s="13"/>
      <c r="E410" s="13"/>
      <c r="F410" s="44"/>
      <c r="G410" s="42"/>
      <c r="H410" s="42"/>
      <c r="I410" s="42"/>
      <c r="J410" s="27" t="s">
        <v>3705</v>
      </c>
      <c r="K410" s="42"/>
    </row>
    <row r="411" ht="39.75" customHeight="1">
      <c r="A411" s="1">
        <v>410.0</v>
      </c>
      <c r="B411" s="2" t="s">
        <v>17</v>
      </c>
      <c r="C411" s="2" t="s">
        <v>13</v>
      </c>
      <c r="D411" s="13"/>
      <c r="E411" s="13"/>
      <c r="F411" s="45"/>
      <c r="G411" s="42"/>
      <c r="H411" s="42"/>
      <c r="I411" s="42"/>
      <c r="J411" s="27" t="s">
        <v>3706</v>
      </c>
      <c r="K411" s="42"/>
    </row>
    <row r="412" ht="39.75" customHeight="1">
      <c r="A412" s="1">
        <v>411.0</v>
      </c>
      <c r="B412" s="2" t="s">
        <v>331</v>
      </c>
      <c r="C412" s="2" t="s">
        <v>13</v>
      </c>
      <c r="D412" s="13"/>
      <c r="E412" s="13"/>
      <c r="F412" s="45"/>
      <c r="G412" s="42"/>
      <c r="H412" s="42"/>
      <c r="I412" s="42"/>
      <c r="J412" s="27" t="s">
        <v>167</v>
      </c>
      <c r="K412" s="42"/>
    </row>
    <row r="413" ht="39.75" customHeight="1">
      <c r="A413" s="1">
        <v>412.0</v>
      </c>
      <c r="B413" s="2" t="s">
        <v>21</v>
      </c>
      <c r="C413" s="2" t="s">
        <v>13</v>
      </c>
      <c r="D413" s="13"/>
      <c r="E413" s="13"/>
      <c r="F413" s="45"/>
      <c r="G413" s="42"/>
      <c r="H413" s="42"/>
      <c r="I413" s="42"/>
      <c r="J413" s="22"/>
      <c r="K413" s="42"/>
    </row>
    <row r="414" ht="39.75" customHeight="1">
      <c r="A414" s="1">
        <v>413.0</v>
      </c>
      <c r="B414" s="2" t="s">
        <v>22</v>
      </c>
      <c r="C414" s="2" t="s">
        <v>13</v>
      </c>
      <c r="D414" s="13"/>
      <c r="E414" s="13"/>
      <c r="F414" s="45"/>
      <c r="G414" s="42"/>
      <c r="H414" s="42"/>
      <c r="I414" s="42"/>
      <c r="J414" s="22"/>
      <c r="K414" s="42"/>
    </row>
    <row r="415" ht="39.75" customHeight="1">
      <c r="A415" s="1">
        <v>414.0</v>
      </c>
      <c r="B415" s="2" t="s">
        <v>261</v>
      </c>
      <c r="C415" s="2" t="s">
        <v>13</v>
      </c>
      <c r="D415" s="13"/>
      <c r="E415" s="13"/>
      <c r="F415" s="45"/>
      <c r="G415" s="42"/>
      <c r="H415" s="42"/>
      <c r="I415" s="42"/>
      <c r="J415" s="22"/>
      <c r="K415" s="42"/>
    </row>
    <row r="416" ht="39.75" customHeight="1">
      <c r="A416" s="1">
        <v>415.0</v>
      </c>
      <c r="B416" s="2" t="s">
        <v>23</v>
      </c>
      <c r="C416" s="2" t="s">
        <v>3560</v>
      </c>
      <c r="D416" s="40">
        <v>0.5208333333333334</v>
      </c>
      <c r="E416" s="40">
        <v>0.7291666666666666</v>
      </c>
      <c r="F416" s="44" t="s">
        <v>4043</v>
      </c>
      <c r="G416" s="43">
        <v>1.0</v>
      </c>
      <c r="H416" s="42"/>
      <c r="I416" s="42"/>
      <c r="J416" s="22"/>
      <c r="K416" s="42"/>
    </row>
    <row r="417" ht="39.75" customHeight="1">
      <c r="A417" s="1">
        <v>416.0</v>
      </c>
      <c r="B417" s="2" t="s">
        <v>24</v>
      </c>
      <c r="C417" s="2" t="s">
        <v>13</v>
      </c>
      <c r="D417" s="13"/>
      <c r="E417" s="13"/>
      <c r="F417" s="45"/>
      <c r="G417" s="42"/>
      <c r="H417" s="42"/>
      <c r="I417" s="42"/>
      <c r="J417" s="22"/>
      <c r="K417" s="42"/>
    </row>
    <row r="418" ht="39.75" customHeight="1">
      <c r="A418" s="1">
        <v>417.0</v>
      </c>
      <c r="B418" s="2" t="s">
        <v>25</v>
      </c>
      <c r="C418" s="2" t="s">
        <v>13</v>
      </c>
      <c r="D418" s="13"/>
      <c r="E418" s="13"/>
      <c r="F418" s="45"/>
      <c r="G418" s="42"/>
      <c r="H418" s="42"/>
      <c r="I418" s="42"/>
      <c r="J418" s="22"/>
      <c r="K418" s="42"/>
    </row>
    <row r="419" ht="39.75" customHeight="1">
      <c r="A419" s="1">
        <v>418.0</v>
      </c>
      <c r="B419" s="2" t="s">
        <v>26</v>
      </c>
      <c r="C419" s="2" t="s">
        <v>39</v>
      </c>
      <c r="D419" s="40"/>
      <c r="E419" s="40">
        <v>0.625</v>
      </c>
      <c r="F419" s="44" t="s">
        <v>4044</v>
      </c>
      <c r="G419" s="43">
        <v>1.0</v>
      </c>
      <c r="H419" s="42"/>
      <c r="I419" s="42"/>
      <c r="J419" s="22"/>
      <c r="K419" s="42"/>
    </row>
    <row r="420" ht="39.75" customHeight="1">
      <c r="A420" s="1">
        <v>419.0</v>
      </c>
      <c r="B420" s="2" t="s">
        <v>29</v>
      </c>
      <c r="C420" s="2" t="s">
        <v>3600</v>
      </c>
      <c r="D420" s="13"/>
      <c r="E420" s="13"/>
      <c r="F420" s="45"/>
      <c r="G420" s="42"/>
      <c r="H420" s="42"/>
      <c r="I420" s="42"/>
      <c r="J420" s="22"/>
      <c r="K420" s="42"/>
    </row>
    <row r="421" ht="39.75" customHeight="1">
      <c r="A421" s="1">
        <v>420.0</v>
      </c>
      <c r="B421" s="2" t="s">
        <v>32</v>
      </c>
      <c r="C421" s="2" t="s">
        <v>44</v>
      </c>
      <c r="D421" s="13"/>
      <c r="E421" s="13"/>
      <c r="F421" s="45"/>
      <c r="G421" s="42"/>
      <c r="H421" s="42"/>
      <c r="I421" s="42"/>
      <c r="J421" s="22"/>
      <c r="K421" s="42"/>
    </row>
    <row r="422" ht="39.75" customHeight="1">
      <c r="A422" s="1">
        <v>421.0</v>
      </c>
      <c r="B422" s="2" t="s">
        <v>67</v>
      </c>
      <c r="C422" s="2" t="s">
        <v>13</v>
      </c>
      <c r="D422" s="13"/>
      <c r="E422" s="13"/>
      <c r="F422" s="45"/>
      <c r="G422" s="42"/>
      <c r="H422" s="42"/>
      <c r="I422" s="42"/>
      <c r="J422" s="22"/>
      <c r="K422" s="42"/>
    </row>
    <row r="423" ht="39.75" customHeight="1">
      <c r="A423" s="1">
        <v>422.0</v>
      </c>
      <c r="B423" s="2" t="s">
        <v>35</v>
      </c>
      <c r="C423" s="2" t="s">
        <v>3563</v>
      </c>
      <c r="D423" s="13"/>
      <c r="E423" s="13"/>
      <c r="F423" s="45"/>
      <c r="G423" s="42"/>
      <c r="H423" s="42"/>
      <c r="I423" s="42"/>
      <c r="J423" s="22"/>
      <c r="K423" s="42"/>
    </row>
    <row r="424" ht="39.75" customHeight="1">
      <c r="A424" s="1">
        <v>423.0</v>
      </c>
      <c r="B424" s="2" t="s">
        <v>36</v>
      </c>
      <c r="C424" s="2" t="s">
        <v>3600</v>
      </c>
      <c r="D424" s="13"/>
      <c r="E424" s="13"/>
      <c r="F424" s="45"/>
      <c r="G424" s="42"/>
      <c r="H424" s="42"/>
      <c r="I424" s="42"/>
      <c r="J424" s="22"/>
      <c r="K424" s="42"/>
    </row>
    <row r="425" ht="39.75" customHeight="1">
      <c r="A425" s="1">
        <v>424.0</v>
      </c>
      <c r="B425" s="2" t="s">
        <v>38</v>
      </c>
      <c r="C425" s="2" t="s">
        <v>3707</v>
      </c>
      <c r="D425" s="40">
        <v>0.625</v>
      </c>
      <c r="E425" s="13"/>
      <c r="F425" s="45"/>
      <c r="G425" s="42"/>
      <c r="H425" s="42"/>
      <c r="I425" s="42"/>
      <c r="J425" s="22"/>
      <c r="K425" s="42"/>
    </row>
    <row r="426" ht="39.75" customHeight="1">
      <c r="A426" s="1">
        <v>425.0</v>
      </c>
      <c r="B426" s="2" t="s">
        <v>41</v>
      </c>
      <c r="C426" s="2" t="s">
        <v>27</v>
      </c>
      <c r="D426" s="13"/>
      <c r="E426" s="13"/>
      <c r="F426" s="45"/>
      <c r="G426" s="42"/>
      <c r="H426" s="42"/>
      <c r="I426" s="42"/>
      <c r="J426" s="22"/>
      <c r="K426" s="42"/>
    </row>
    <row r="427" ht="39.75" customHeight="1">
      <c r="A427" s="1">
        <v>426.0</v>
      </c>
      <c r="B427" s="2" t="s">
        <v>42</v>
      </c>
      <c r="C427" s="2" t="s">
        <v>3600</v>
      </c>
      <c r="D427" s="13"/>
      <c r="E427" s="13"/>
      <c r="F427" s="45"/>
      <c r="G427" s="42"/>
      <c r="H427" s="42"/>
      <c r="I427" s="42"/>
      <c r="J427" s="22"/>
      <c r="K427" s="42"/>
    </row>
    <row r="428" ht="39.75" customHeight="1">
      <c r="A428" s="1">
        <v>427.0</v>
      </c>
      <c r="B428" s="2" t="s">
        <v>43</v>
      </c>
      <c r="C428" s="2" t="s">
        <v>13</v>
      </c>
      <c r="D428" s="13"/>
      <c r="E428" s="13"/>
      <c r="F428" s="45"/>
      <c r="G428" s="42"/>
      <c r="H428" s="42"/>
      <c r="I428" s="42"/>
      <c r="J428" s="22"/>
      <c r="K428" s="42"/>
    </row>
    <row r="429" ht="39.75" customHeight="1">
      <c r="A429" s="1">
        <v>428.0</v>
      </c>
      <c r="B429" s="2" t="s">
        <v>267</v>
      </c>
      <c r="C429" s="2" t="s">
        <v>13</v>
      </c>
      <c r="D429" s="13"/>
      <c r="E429" s="13"/>
      <c r="F429" s="45"/>
      <c r="G429" s="42"/>
      <c r="H429" s="42"/>
      <c r="I429" s="42"/>
      <c r="J429" s="22"/>
      <c r="K429" s="42"/>
    </row>
    <row r="430" ht="39.75" customHeight="1">
      <c r="A430" s="1">
        <v>429.0</v>
      </c>
      <c r="B430" s="2" t="s">
        <v>46</v>
      </c>
      <c r="C430" s="2" t="s">
        <v>13</v>
      </c>
      <c r="D430" s="13"/>
      <c r="E430" s="13"/>
      <c r="F430" s="45"/>
      <c r="G430" s="42"/>
      <c r="H430" s="42"/>
      <c r="I430" s="42"/>
      <c r="J430" s="22"/>
      <c r="K430" s="42"/>
    </row>
    <row r="431" ht="39.75" customHeight="1">
      <c r="A431" s="1">
        <v>430.0</v>
      </c>
      <c r="B431" s="2" t="s">
        <v>47</v>
      </c>
      <c r="C431" s="2" t="s">
        <v>3600</v>
      </c>
      <c r="D431" s="13"/>
      <c r="E431" s="13"/>
      <c r="F431" s="45"/>
      <c r="G431" s="42"/>
      <c r="H431" s="42"/>
      <c r="I431" s="42"/>
      <c r="J431" s="22"/>
      <c r="K431" s="42"/>
    </row>
    <row r="432" ht="39.75" customHeight="1">
      <c r="A432" s="1">
        <v>431.0</v>
      </c>
      <c r="B432" s="2" t="s">
        <v>48</v>
      </c>
      <c r="C432" s="2" t="s">
        <v>13</v>
      </c>
      <c r="D432" s="13"/>
      <c r="E432" s="13"/>
      <c r="F432" s="45"/>
      <c r="G432" s="42"/>
      <c r="H432" s="42"/>
      <c r="I432" s="42"/>
      <c r="J432" s="22"/>
      <c r="K432" s="42"/>
    </row>
    <row r="433" ht="39.75" customHeight="1">
      <c r="A433" s="1">
        <v>432.0</v>
      </c>
      <c r="B433" s="21"/>
      <c r="C433" s="21"/>
      <c r="D433" s="21"/>
      <c r="E433" s="21"/>
      <c r="F433" s="46"/>
      <c r="G433" s="47"/>
      <c r="H433" s="47"/>
      <c r="I433" s="47"/>
      <c r="J433" s="48"/>
      <c r="K433" s="47"/>
      <c r="L433" s="49"/>
      <c r="M433" s="49"/>
      <c r="N433" s="49"/>
    </row>
    <row r="434" ht="39.75" customHeight="1">
      <c r="A434" s="1">
        <v>433.0</v>
      </c>
      <c r="B434" s="2" t="s">
        <v>12</v>
      </c>
      <c r="C434" s="2" t="s">
        <v>13</v>
      </c>
      <c r="D434" s="13"/>
      <c r="E434" s="13"/>
      <c r="F434" s="45"/>
      <c r="G434" s="42"/>
      <c r="H434" s="42"/>
      <c r="I434" s="42"/>
      <c r="J434" s="22"/>
      <c r="K434" s="42"/>
      <c r="L434" s="15" t="s">
        <v>294</v>
      </c>
    </row>
    <row r="435" ht="39.75" customHeight="1">
      <c r="A435" s="1">
        <v>434.0</v>
      </c>
      <c r="B435" s="2" t="s">
        <v>16</v>
      </c>
      <c r="C435" s="2" t="s">
        <v>39</v>
      </c>
      <c r="D435" s="40">
        <v>0.3333333333333333</v>
      </c>
      <c r="E435" s="13"/>
      <c r="F435" s="45"/>
      <c r="G435" s="42"/>
      <c r="H435" s="42"/>
      <c r="I435" s="42"/>
      <c r="J435" s="27" t="s">
        <v>294</v>
      </c>
      <c r="K435" s="43"/>
    </row>
    <row r="436" ht="39.75" customHeight="1">
      <c r="A436" s="1">
        <v>435.0</v>
      </c>
      <c r="B436" s="2" t="s">
        <v>116</v>
      </c>
      <c r="C436" s="2" t="s">
        <v>13</v>
      </c>
      <c r="D436" s="13"/>
      <c r="E436" s="13"/>
      <c r="F436" s="45"/>
      <c r="G436" s="42"/>
      <c r="H436" s="42"/>
      <c r="I436" s="42"/>
      <c r="J436" s="27" t="s">
        <v>77</v>
      </c>
      <c r="K436" s="42"/>
    </row>
    <row r="437" ht="39.75" customHeight="1">
      <c r="A437" s="1">
        <v>436.0</v>
      </c>
      <c r="B437" s="2" t="s">
        <v>263</v>
      </c>
      <c r="C437" s="2" t="s">
        <v>13</v>
      </c>
      <c r="D437" s="13"/>
      <c r="E437" s="13"/>
      <c r="F437" s="45"/>
      <c r="G437" s="42"/>
      <c r="H437" s="42"/>
      <c r="I437" s="42"/>
      <c r="J437" s="27" t="s">
        <v>151</v>
      </c>
      <c r="K437" s="42"/>
    </row>
    <row r="438" ht="39.75" customHeight="1">
      <c r="A438" s="1">
        <v>437.0</v>
      </c>
      <c r="B438" s="2" t="s">
        <v>17</v>
      </c>
      <c r="C438" s="2" t="s">
        <v>13</v>
      </c>
      <c r="D438" s="13"/>
      <c r="E438" s="13"/>
      <c r="F438" s="45"/>
      <c r="G438" s="42"/>
      <c r="H438" s="42"/>
      <c r="I438" s="42"/>
      <c r="J438" s="27" t="s">
        <v>152</v>
      </c>
      <c r="K438" s="42"/>
    </row>
    <row r="439" ht="39.75" customHeight="1">
      <c r="A439" s="1">
        <v>438.0</v>
      </c>
      <c r="B439" s="2" t="s">
        <v>331</v>
      </c>
      <c r="C439" s="2"/>
      <c r="D439" s="13"/>
      <c r="E439" s="13"/>
      <c r="F439" s="44" t="s">
        <v>3562</v>
      </c>
      <c r="G439" s="42"/>
      <c r="H439" s="42"/>
      <c r="I439" s="42"/>
      <c r="J439" s="27" t="s">
        <v>154</v>
      </c>
      <c r="K439" s="42"/>
    </row>
    <row r="440" ht="39.75" customHeight="1">
      <c r="A440" s="1">
        <v>439.0</v>
      </c>
      <c r="B440" s="2" t="s">
        <v>21</v>
      </c>
      <c r="C440" s="2" t="s">
        <v>13</v>
      </c>
      <c r="D440" s="13"/>
      <c r="E440" s="13"/>
      <c r="F440" s="45"/>
      <c r="G440" s="42"/>
      <c r="H440" s="42"/>
      <c r="I440" s="42"/>
      <c r="J440" s="22"/>
      <c r="K440" s="42"/>
    </row>
    <row r="441" ht="39.75" customHeight="1">
      <c r="A441" s="1">
        <v>440.0</v>
      </c>
      <c r="B441" s="2" t="s">
        <v>22</v>
      </c>
      <c r="C441" s="2" t="s">
        <v>3560</v>
      </c>
      <c r="D441" s="13"/>
      <c r="E441" s="13"/>
      <c r="F441" s="44" t="s">
        <v>4045</v>
      </c>
      <c r="G441" s="43">
        <v>1.0</v>
      </c>
      <c r="H441" s="42"/>
      <c r="I441" s="42"/>
      <c r="J441" s="22"/>
      <c r="K441" s="42"/>
    </row>
    <row r="442" ht="39.75" customHeight="1">
      <c r="A442" s="1">
        <v>441.0</v>
      </c>
      <c r="B442" s="2" t="s">
        <v>261</v>
      </c>
      <c r="C442" s="2" t="s">
        <v>13</v>
      </c>
      <c r="D442" s="13"/>
      <c r="E442" s="13"/>
      <c r="F442" s="45"/>
      <c r="G442" s="42"/>
      <c r="H442" s="42"/>
      <c r="I442" s="42"/>
      <c r="J442" s="22"/>
      <c r="K442" s="42"/>
    </row>
    <row r="443" ht="39.75" customHeight="1">
      <c r="A443" s="1">
        <v>442.0</v>
      </c>
      <c r="B443" s="2" t="s">
        <v>23</v>
      </c>
      <c r="C443" s="2" t="s">
        <v>13</v>
      </c>
      <c r="D443" s="13"/>
      <c r="E443" s="13"/>
      <c r="F443" s="45"/>
      <c r="G443" s="42"/>
      <c r="H443" s="42"/>
      <c r="I443" s="42"/>
      <c r="J443" s="22"/>
      <c r="K443" s="42"/>
    </row>
    <row r="444" ht="39.75" customHeight="1">
      <c r="A444" s="1">
        <v>443.0</v>
      </c>
      <c r="B444" s="2" t="s">
        <v>24</v>
      </c>
      <c r="C444" s="2" t="s">
        <v>13</v>
      </c>
      <c r="D444" s="13"/>
      <c r="E444" s="13"/>
      <c r="F444" s="45"/>
      <c r="G444" s="42"/>
      <c r="H444" s="42"/>
      <c r="I444" s="42"/>
      <c r="J444" s="22"/>
      <c r="K444" s="42"/>
    </row>
    <row r="445" ht="39.75" customHeight="1">
      <c r="A445" s="1">
        <v>444.0</v>
      </c>
      <c r="B445" s="2" t="s">
        <v>25</v>
      </c>
      <c r="C445" s="2" t="s">
        <v>13</v>
      </c>
      <c r="D445" s="13"/>
      <c r="E445" s="13"/>
      <c r="F445" s="45"/>
      <c r="G445" s="42"/>
      <c r="H445" s="42"/>
      <c r="I445" s="42"/>
      <c r="J445" s="22"/>
      <c r="K445" s="42"/>
    </row>
    <row r="446" ht="39.75" customHeight="1">
      <c r="A446" s="1">
        <v>445.0</v>
      </c>
      <c r="B446" s="2" t="s">
        <v>26</v>
      </c>
      <c r="C446" s="2" t="s">
        <v>13</v>
      </c>
      <c r="D446" s="13"/>
      <c r="E446" s="13"/>
      <c r="F446" s="45"/>
      <c r="G446" s="42"/>
      <c r="H446" s="42"/>
      <c r="I446" s="42"/>
      <c r="J446" s="22"/>
      <c r="K446" s="42"/>
    </row>
    <row r="447" ht="39.75" customHeight="1">
      <c r="A447" s="1">
        <v>446.0</v>
      </c>
      <c r="B447" s="2" t="s">
        <v>29</v>
      </c>
      <c r="C447" s="2" t="s">
        <v>3600</v>
      </c>
      <c r="D447" s="13"/>
      <c r="E447" s="13"/>
      <c r="F447" s="45"/>
      <c r="G447" s="42"/>
      <c r="H447" s="42"/>
      <c r="I447" s="42"/>
      <c r="J447" s="22"/>
      <c r="K447" s="42"/>
    </row>
    <row r="448" ht="39.75" customHeight="1">
      <c r="A448" s="1">
        <v>447.0</v>
      </c>
      <c r="B448" s="2" t="s">
        <v>32</v>
      </c>
      <c r="C448" s="2" t="s">
        <v>69</v>
      </c>
      <c r="D448" s="40">
        <v>0.5416666666666666</v>
      </c>
      <c r="E448" s="13"/>
      <c r="F448" s="44" t="s">
        <v>4046</v>
      </c>
      <c r="G448" s="43">
        <v>1.0</v>
      </c>
      <c r="H448" s="42"/>
      <c r="I448" s="42"/>
      <c r="J448" s="22"/>
      <c r="K448" s="42"/>
    </row>
    <row r="449" ht="39.75" customHeight="1">
      <c r="A449" s="1">
        <v>448.0</v>
      </c>
      <c r="B449" s="2" t="s">
        <v>67</v>
      </c>
      <c r="C449" s="2" t="s">
        <v>3560</v>
      </c>
      <c r="D449" s="40"/>
      <c r="E449" s="13"/>
      <c r="F449" s="44" t="s">
        <v>4047</v>
      </c>
      <c r="G449" s="43">
        <v>1.0</v>
      </c>
      <c r="H449" s="42"/>
      <c r="I449" s="43">
        <v>1.0</v>
      </c>
      <c r="J449" s="22"/>
      <c r="K449" s="42"/>
    </row>
    <row r="450" ht="39.75" customHeight="1">
      <c r="A450" s="1">
        <v>449.0</v>
      </c>
      <c r="B450" s="2" t="s">
        <v>35</v>
      </c>
      <c r="C450" s="2" t="s">
        <v>13</v>
      </c>
      <c r="D450" s="13"/>
      <c r="E450" s="13"/>
      <c r="F450" s="45"/>
      <c r="G450" s="42"/>
      <c r="H450" s="42"/>
      <c r="I450" s="42"/>
      <c r="J450" s="22"/>
      <c r="K450" s="42"/>
    </row>
    <row r="451" ht="39.75" customHeight="1">
      <c r="A451" s="1">
        <v>450.0</v>
      </c>
      <c r="B451" s="2" t="s">
        <v>36</v>
      </c>
      <c r="C451" s="2" t="s">
        <v>13</v>
      </c>
      <c r="D451" s="13"/>
      <c r="E451" s="13"/>
      <c r="F451" s="45"/>
      <c r="G451" s="42"/>
      <c r="H451" s="42"/>
      <c r="I451" s="42"/>
      <c r="J451" s="22"/>
      <c r="K451" s="42"/>
    </row>
    <row r="452" ht="39.75" customHeight="1">
      <c r="A452" s="1">
        <v>451.0</v>
      </c>
      <c r="B452" s="2" t="s">
        <v>38</v>
      </c>
      <c r="C452" s="2" t="s">
        <v>13</v>
      </c>
      <c r="D452" s="13"/>
      <c r="E452" s="13"/>
      <c r="F452" s="45"/>
      <c r="G452" s="42"/>
      <c r="H452" s="42"/>
      <c r="I452" s="42"/>
      <c r="J452" s="22"/>
      <c r="K452" s="42"/>
    </row>
    <row r="453" ht="39.75" customHeight="1">
      <c r="A453" s="1">
        <v>452.0</v>
      </c>
      <c r="B453" s="2" t="s">
        <v>41</v>
      </c>
      <c r="C453" s="2" t="s">
        <v>13</v>
      </c>
      <c r="D453" s="13"/>
      <c r="E453" s="13"/>
      <c r="F453" s="45"/>
      <c r="G453" s="42"/>
      <c r="H453" s="42"/>
      <c r="I453" s="42"/>
      <c r="J453" s="22"/>
      <c r="K453" s="42"/>
    </row>
    <row r="454" ht="39.75" customHeight="1">
      <c r="A454" s="1">
        <v>453.0</v>
      </c>
      <c r="B454" s="2" t="s">
        <v>42</v>
      </c>
      <c r="C454" s="2" t="s">
        <v>3600</v>
      </c>
      <c r="D454" s="13"/>
      <c r="E454" s="13"/>
      <c r="F454" s="45"/>
      <c r="G454" s="42"/>
      <c r="H454" s="42"/>
      <c r="I454" s="42"/>
      <c r="J454" s="22"/>
      <c r="K454" s="42"/>
    </row>
    <row r="455" ht="39.75" customHeight="1">
      <c r="A455" s="1">
        <v>454.0</v>
      </c>
      <c r="B455" s="2" t="s">
        <v>43</v>
      </c>
      <c r="C455" s="2" t="s">
        <v>27</v>
      </c>
      <c r="D455" s="40">
        <v>0.7083333333333334</v>
      </c>
      <c r="E455" s="13"/>
      <c r="F455" s="44" t="s">
        <v>4048</v>
      </c>
      <c r="G455" s="42"/>
      <c r="H455" s="42"/>
      <c r="I455" s="42"/>
      <c r="J455" s="22"/>
      <c r="K455" s="42"/>
    </row>
    <row r="456" ht="39.75" customHeight="1">
      <c r="A456" s="1">
        <v>455.0</v>
      </c>
      <c r="B456" s="2" t="s">
        <v>267</v>
      </c>
      <c r="C456" s="2" t="s">
        <v>13</v>
      </c>
      <c r="D456" s="13"/>
      <c r="E456" s="13"/>
      <c r="F456" s="45"/>
      <c r="G456" s="42"/>
      <c r="H456" s="42"/>
      <c r="I456" s="42"/>
      <c r="J456" s="22"/>
      <c r="K456" s="42"/>
    </row>
    <row r="457" ht="39.75" customHeight="1">
      <c r="A457" s="1">
        <v>456.0</v>
      </c>
      <c r="B457" s="2" t="s">
        <v>46</v>
      </c>
      <c r="C457" s="2" t="s">
        <v>13</v>
      </c>
      <c r="D457" s="13"/>
      <c r="E457" s="13"/>
      <c r="F457" s="45"/>
      <c r="G457" s="42"/>
      <c r="H457" s="42"/>
      <c r="I457" s="42"/>
      <c r="J457" s="22"/>
      <c r="K457" s="42"/>
    </row>
    <row r="458" ht="39.75" customHeight="1">
      <c r="A458" s="1">
        <v>457.0</v>
      </c>
      <c r="B458" s="2" t="s">
        <v>47</v>
      </c>
      <c r="C458" s="2" t="s">
        <v>3600</v>
      </c>
      <c r="D458" s="13"/>
      <c r="E458" s="13"/>
      <c r="F458" s="45"/>
      <c r="G458" s="42"/>
      <c r="H458" s="42"/>
      <c r="I458" s="42"/>
      <c r="J458" s="22"/>
      <c r="K458" s="42"/>
    </row>
    <row r="459" ht="39.75" customHeight="1">
      <c r="A459" s="1">
        <v>458.0</v>
      </c>
      <c r="B459" s="2" t="s">
        <v>48</v>
      </c>
      <c r="C459" s="2" t="s">
        <v>13</v>
      </c>
      <c r="D459" s="13"/>
      <c r="E459" s="13"/>
      <c r="F459" s="45"/>
      <c r="G459" s="42"/>
      <c r="H459" s="42"/>
      <c r="I459" s="42"/>
      <c r="J459" s="22"/>
      <c r="K459" s="42"/>
    </row>
    <row r="460" ht="39.75" customHeight="1">
      <c r="A460" s="1">
        <v>459.0</v>
      </c>
      <c r="B460" s="21"/>
      <c r="C460" s="21"/>
      <c r="D460" s="21"/>
      <c r="E460" s="21"/>
      <c r="F460" s="46"/>
      <c r="G460" s="47"/>
      <c r="H460" s="47"/>
      <c r="I460" s="47"/>
      <c r="J460" s="48"/>
      <c r="K460" s="47"/>
      <c r="L460" s="49"/>
      <c r="M460" s="49"/>
      <c r="N460" s="49"/>
    </row>
    <row r="461" ht="39.75" customHeight="1">
      <c r="A461" s="1">
        <v>460.0</v>
      </c>
      <c r="B461" s="129" t="s">
        <v>261</v>
      </c>
      <c r="C461" s="130" t="s">
        <v>13</v>
      </c>
      <c r="D461" s="131"/>
      <c r="E461" s="131"/>
      <c r="F461" s="131"/>
      <c r="G461" s="131"/>
      <c r="H461" s="131"/>
      <c r="I461" s="132"/>
      <c r="J461" s="111"/>
      <c r="K461" s="42"/>
      <c r="L461" s="15" t="s">
        <v>309</v>
      </c>
    </row>
    <row r="462" ht="39.75" customHeight="1">
      <c r="A462" s="1">
        <v>461.0</v>
      </c>
      <c r="B462" s="129" t="s">
        <v>261</v>
      </c>
      <c r="C462" s="130" t="s">
        <v>13</v>
      </c>
      <c r="D462" s="131"/>
      <c r="E462" s="131"/>
      <c r="F462" s="131"/>
      <c r="G462" s="131"/>
      <c r="H462" s="131"/>
      <c r="I462" s="132"/>
      <c r="J462" s="133"/>
      <c r="K462" s="43"/>
    </row>
    <row r="463" ht="39.75" customHeight="1">
      <c r="A463" s="1">
        <v>462.0</v>
      </c>
      <c r="B463" s="2" t="s">
        <v>116</v>
      </c>
      <c r="C463" s="2" t="s">
        <v>27</v>
      </c>
      <c r="D463" s="40">
        <v>0.75</v>
      </c>
      <c r="E463" s="13"/>
      <c r="F463" s="45"/>
      <c r="G463" s="42"/>
      <c r="H463" s="42"/>
      <c r="I463" s="42"/>
      <c r="J463" s="22"/>
      <c r="K463" s="42"/>
    </row>
    <row r="464" ht="39.75" customHeight="1">
      <c r="A464" s="1">
        <v>463.0</v>
      </c>
      <c r="B464" s="129" t="s">
        <v>261</v>
      </c>
      <c r="C464" s="130" t="s">
        <v>13</v>
      </c>
      <c r="D464" s="131"/>
      <c r="E464" s="131"/>
      <c r="F464" s="131"/>
      <c r="G464" s="131"/>
      <c r="H464" s="131"/>
      <c r="I464" s="132"/>
      <c r="J464" s="111"/>
      <c r="K464" s="42"/>
    </row>
    <row r="465" ht="39.75" customHeight="1">
      <c r="A465" s="1">
        <v>464.0</v>
      </c>
      <c r="B465" s="2" t="s">
        <v>17</v>
      </c>
      <c r="C465" s="2" t="s">
        <v>39</v>
      </c>
      <c r="D465" s="40">
        <v>0.3333333333333333</v>
      </c>
      <c r="E465" s="13"/>
      <c r="F465" s="44" t="s">
        <v>4049</v>
      </c>
      <c r="G465" s="43">
        <v>1.0</v>
      </c>
      <c r="H465" s="42"/>
      <c r="I465" s="42"/>
      <c r="J465" s="22"/>
      <c r="K465" s="42"/>
    </row>
    <row r="466" ht="39.75" customHeight="1">
      <c r="A466" s="1">
        <v>465.0</v>
      </c>
      <c r="B466" s="129" t="s">
        <v>261</v>
      </c>
      <c r="C466" s="130" t="s">
        <v>13</v>
      </c>
      <c r="D466" s="131"/>
      <c r="E466" s="131"/>
      <c r="F466" s="131"/>
      <c r="G466" s="131"/>
      <c r="H466" s="131"/>
      <c r="I466" s="132"/>
      <c r="J466" s="111"/>
      <c r="K466" s="42"/>
    </row>
    <row r="467" ht="39.75" customHeight="1">
      <c r="A467" s="1">
        <v>466.0</v>
      </c>
      <c r="B467" s="2" t="s">
        <v>21</v>
      </c>
      <c r="C467" s="2" t="s">
        <v>69</v>
      </c>
      <c r="D467" s="40">
        <v>0.5833333333333334</v>
      </c>
      <c r="E467" s="13"/>
      <c r="F467" s="45"/>
      <c r="G467" s="42"/>
      <c r="H467" s="42"/>
      <c r="I467" s="42"/>
      <c r="J467" s="22"/>
      <c r="K467" s="42"/>
    </row>
    <row r="468" ht="39.75" customHeight="1">
      <c r="A468" s="1">
        <v>467.0</v>
      </c>
      <c r="B468" s="2" t="s">
        <v>261</v>
      </c>
      <c r="C468" s="2" t="s">
        <v>13</v>
      </c>
      <c r="D468" s="13"/>
      <c r="E468" s="13"/>
      <c r="F468" s="45"/>
      <c r="G468" s="42"/>
      <c r="H468" s="42"/>
      <c r="I468" s="42"/>
      <c r="J468" s="22"/>
      <c r="K468" s="42"/>
    </row>
    <row r="469" ht="39.75" customHeight="1">
      <c r="A469" s="1">
        <v>468.0</v>
      </c>
      <c r="B469" s="2" t="s">
        <v>261</v>
      </c>
      <c r="C469" s="2" t="s">
        <v>13</v>
      </c>
      <c r="D469" s="13"/>
      <c r="E469" s="13"/>
      <c r="F469" s="45"/>
      <c r="G469" s="42"/>
      <c r="H469" s="42"/>
      <c r="I469" s="42"/>
      <c r="J469" s="22"/>
      <c r="K469" s="42"/>
    </row>
    <row r="470" ht="39.75" customHeight="1">
      <c r="A470" s="1">
        <v>469.0</v>
      </c>
      <c r="B470" s="129" t="s">
        <v>261</v>
      </c>
      <c r="C470" s="130" t="s">
        <v>13</v>
      </c>
      <c r="D470" s="131"/>
      <c r="E470" s="131"/>
      <c r="F470" s="131"/>
      <c r="G470" s="131"/>
      <c r="H470" s="131"/>
      <c r="I470" s="132"/>
      <c r="J470" s="111"/>
      <c r="K470" s="42"/>
    </row>
    <row r="471" ht="39.75" customHeight="1">
      <c r="A471" s="1">
        <v>470.0</v>
      </c>
      <c r="B471" s="2" t="s">
        <v>24</v>
      </c>
      <c r="C471" s="2" t="s">
        <v>3563</v>
      </c>
      <c r="D471" s="13"/>
      <c r="E471" s="13"/>
      <c r="F471" s="45"/>
      <c r="G471" s="42"/>
      <c r="H471" s="42"/>
      <c r="I471" s="42"/>
      <c r="J471" s="22"/>
      <c r="K471" s="42"/>
    </row>
    <row r="472" ht="39.75" customHeight="1">
      <c r="A472" s="1">
        <v>471.0</v>
      </c>
      <c r="B472" s="2" t="s">
        <v>25</v>
      </c>
      <c r="C472" s="2"/>
      <c r="D472" s="40">
        <v>0.375</v>
      </c>
      <c r="E472" s="13"/>
      <c r="F472" s="45"/>
      <c r="G472" s="42"/>
      <c r="H472" s="42"/>
      <c r="I472" s="42"/>
      <c r="J472" s="22"/>
      <c r="K472" s="42"/>
    </row>
    <row r="473" ht="39.75" customHeight="1">
      <c r="A473" s="1">
        <v>472.0</v>
      </c>
      <c r="B473" s="129" t="s">
        <v>261</v>
      </c>
      <c r="C473" s="130" t="s">
        <v>13</v>
      </c>
      <c r="D473" s="131"/>
      <c r="E473" s="131"/>
      <c r="F473" s="131"/>
      <c r="G473" s="131"/>
      <c r="H473" s="131"/>
      <c r="I473" s="132"/>
      <c r="J473" s="111"/>
      <c r="K473" s="42"/>
    </row>
    <row r="474" ht="39.75" customHeight="1">
      <c r="A474" s="1">
        <v>473.0</v>
      </c>
      <c r="B474" s="2" t="s">
        <v>29</v>
      </c>
      <c r="C474" s="2" t="s">
        <v>3600</v>
      </c>
      <c r="D474" s="13"/>
      <c r="E474" s="13"/>
      <c r="F474" s="45"/>
      <c r="G474" s="42"/>
      <c r="H474" s="42"/>
      <c r="I474" s="42"/>
      <c r="J474" s="22"/>
      <c r="K474" s="42"/>
    </row>
    <row r="475" ht="39.75" customHeight="1">
      <c r="A475" s="1">
        <v>474.0</v>
      </c>
      <c r="B475" s="129" t="s">
        <v>261</v>
      </c>
      <c r="C475" s="130" t="s">
        <v>13</v>
      </c>
      <c r="D475" s="131"/>
      <c r="E475" s="131"/>
      <c r="F475" s="131"/>
      <c r="G475" s="131"/>
      <c r="H475" s="131"/>
      <c r="I475" s="132"/>
      <c r="J475" s="111"/>
      <c r="K475" s="42"/>
    </row>
    <row r="476" ht="39.75" customHeight="1">
      <c r="A476" s="1">
        <v>475.0</v>
      </c>
      <c r="B476" s="129" t="s">
        <v>261</v>
      </c>
      <c r="C476" s="130" t="s">
        <v>13</v>
      </c>
      <c r="D476" s="131"/>
      <c r="E476" s="131"/>
      <c r="F476" s="131"/>
      <c r="G476" s="131"/>
      <c r="H476" s="131"/>
      <c r="I476" s="132"/>
      <c r="J476" s="111"/>
      <c r="K476" s="42"/>
    </row>
    <row r="477" ht="39.75" customHeight="1">
      <c r="A477" s="1">
        <v>476.0</v>
      </c>
      <c r="B477" s="129" t="s">
        <v>261</v>
      </c>
      <c r="C477" s="130" t="s">
        <v>13</v>
      </c>
      <c r="D477" s="131"/>
      <c r="E477" s="131"/>
      <c r="F477" s="131"/>
      <c r="G477" s="131"/>
      <c r="H477" s="131"/>
      <c r="I477" s="132"/>
      <c r="J477" s="111"/>
      <c r="K477" s="42"/>
    </row>
    <row r="478" ht="39.75" customHeight="1">
      <c r="A478" s="1">
        <v>477.0</v>
      </c>
      <c r="B478" s="2" t="s">
        <v>36</v>
      </c>
      <c r="C478" s="2" t="s">
        <v>3600</v>
      </c>
      <c r="D478" s="13"/>
      <c r="E478" s="13"/>
      <c r="F478" s="45"/>
      <c r="G478" s="42"/>
      <c r="H478" s="42"/>
      <c r="I478" s="42"/>
      <c r="J478" s="22"/>
      <c r="K478" s="42"/>
    </row>
    <row r="479" ht="39.75" customHeight="1">
      <c r="A479" s="1">
        <v>478.0</v>
      </c>
      <c r="B479" s="129" t="s">
        <v>261</v>
      </c>
      <c r="C479" s="130" t="s">
        <v>13</v>
      </c>
      <c r="D479" s="131"/>
      <c r="E479" s="131"/>
      <c r="F479" s="131"/>
      <c r="G479" s="131"/>
      <c r="H479" s="131"/>
      <c r="I479" s="132"/>
      <c r="J479" s="111"/>
      <c r="K479" s="42"/>
    </row>
    <row r="480" ht="39.75" customHeight="1">
      <c r="A480" s="1">
        <v>479.0</v>
      </c>
      <c r="B480" s="2" t="s">
        <v>41</v>
      </c>
      <c r="C480" s="13"/>
      <c r="D480" s="40">
        <v>0.375</v>
      </c>
      <c r="E480" s="13"/>
      <c r="F480" s="45"/>
      <c r="G480" s="42"/>
      <c r="H480" s="42"/>
      <c r="I480" s="42"/>
      <c r="J480" s="22"/>
      <c r="K480" s="42"/>
    </row>
    <row r="481" ht="39.75" customHeight="1">
      <c r="A481" s="1">
        <v>480.0</v>
      </c>
      <c r="B481" s="2" t="s">
        <v>42</v>
      </c>
      <c r="C481" s="2" t="s">
        <v>3600</v>
      </c>
      <c r="D481" s="13"/>
      <c r="E481" s="13"/>
      <c r="F481" s="45"/>
      <c r="G481" s="42"/>
      <c r="H481" s="42"/>
      <c r="I481" s="42"/>
      <c r="J481" s="22"/>
      <c r="K481" s="42"/>
    </row>
    <row r="482" ht="39.75" customHeight="1">
      <c r="A482" s="1">
        <v>481.0</v>
      </c>
      <c r="B482" s="30" t="s">
        <v>43</v>
      </c>
      <c r="C482" s="2" t="s">
        <v>44</v>
      </c>
      <c r="D482" s="13"/>
      <c r="E482" s="13"/>
      <c r="F482" s="45"/>
      <c r="G482" s="42"/>
      <c r="H482" s="42"/>
      <c r="I482" s="42"/>
      <c r="J482" s="22"/>
      <c r="K482" s="42"/>
    </row>
    <row r="483" ht="39.75" customHeight="1">
      <c r="A483" s="1">
        <v>482.0</v>
      </c>
      <c r="B483" s="129" t="s">
        <v>261</v>
      </c>
      <c r="C483" s="130" t="s">
        <v>13</v>
      </c>
      <c r="D483" s="131"/>
      <c r="E483" s="131"/>
      <c r="F483" s="131"/>
      <c r="G483" s="131"/>
      <c r="H483" s="131"/>
      <c r="I483" s="132"/>
      <c r="J483" s="111"/>
      <c r="K483" s="42"/>
    </row>
    <row r="484" ht="39.75" customHeight="1">
      <c r="A484" s="1">
        <v>483.0</v>
      </c>
      <c r="B484" s="129" t="s">
        <v>261</v>
      </c>
      <c r="C484" s="130" t="s">
        <v>13</v>
      </c>
      <c r="D484" s="131"/>
      <c r="E484" s="131"/>
      <c r="F484" s="131"/>
      <c r="G484" s="131"/>
      <c r="H484" s="131"/>
      <c r="I484" s="132"/>
      <c r="J484" s="111"/>
      <c r="K484" s="42"/>
    </row>
    <row r="485" ht="39.75" customHeight="1">
      <c r="A485" s="1">
        <v>484.0</v>
      </c>
      <c r="B485" s="2" t="s">
        <v>47</v>
      </c>
      <c r="C485" s="2" t="s">
        <v>3600</v>
      </c>
      <c r="D485" s="13"/>
      <c r="E485" s="13"/>
      <c r="F485" s="45"/>
      <c r="G485" s="42"/>
      <c r="H485" s="42"/>
      <c r="I485" s="42"/>
      <c r="J485" s="22"/>
      <c r="K485" s="42"/>
    </row>
    <row r="486" ht="39.75" customHeight="1">
      <c r="A486" s="1">
        <v>485.0</v>
      </c>
      <c r="B486" s="2" t="s">
        <v>48</v>
      </c>
      <c r="C486" s="2"/>
      <c r="D486" s="40">
        <v>0.375</v>
      </c>
      <c r="E486" s="13"/>
      <c r="F486" s="44" t="s">
        <v>4050</v>
      </c>
      <c r="G486" s="43">
        <v>1.0</v>
      </c>
      <c r="H486" s="42"/>
      <c r="I486" s="43">
        <v>1.0</v>
      </c>
      <c r="J486" s="22"/>
      <c r="K486" s="42"/>
    </row>
    <row r="487" ht="39.75" customHeight="1">
      <c r="A487" s="1">
        <v>486.0</v>
      </c>
      <c r="B487" s="21"/>
      <c r="C487" s="21"/>
      <c r="D487" s="21"/>
      <c r="E487" s="21"/>
      <c r="F487" s="46"/>
      <c r="G487" s="47"/>
      <c r="H487" s="47"/>
      <c r="I487" s="47"/>
      <c r="J487" s="48"/>
      <c r="K487" s="47"/>
      <c r="L487" s="49"/>
      <c r="M487" s="49"/>
      <c r="N487" s="49"/>
    </row>
    <row r="488" ht="39.75" customHeight="1">
      <c r="A488" s="1">
        <v>487.0</v>
      </c>
      <c r="B488" s="2" t="s">
        <v>12</v>
      </c>
      <c r="C488" s="2" t="s">
        <v>62</v>
      </c>
      <c r="D488" s="13"/>
      <c r="E488" s="13"/>
      <c r="F488" s="45"/>
      <c r="G488" s="42"/>
      <c r="H488" s="42"/>
      <c r="I488" s="42"/>
      <c r="J488" s="22"/>
      <c r="K488" s="42"/>
      <c r="L488" s="15" t="s">
        <v>328</v>
      </c>
    </row>
    <row r="489" ht="39.75" customHeight="1">
      <c r="A489" s="1">
        <v>488.0</v>
      </c>
      <c r="B489" s="2" t="s">
        <v>16</v>
      </c>
      <c r="C489" s="2" t="s">
        <v>54</v>
      </c>
      <c r="D489" s="13"/>
      <c r="E489" s="13"/>
      <c r="F489" s="45"/>
      <c r="G489" s="42"/>
      <c r="H489" s="42"/>
      <c r="I489" s="42"/>
      <c r="J489" s="27" t="s">
        <v>328</v>
      </c>
      <c r="K489" s="43"/>
    </row>
    <row r="490" ht="39.75" customHeight="1">
      <c r="A490" s="1">
        <v>489.0</v>
      </c>
      <c r="B490" s="2" t="s">
        <v>116</v>
      </c>
      <c r="C490" s="2" t="s">
        <v>44</v>
      </c>
      <c r="D490" s="13"/>
      <c r="E490" s="13"/>
      <c r="F490" s="44"/>
      <c r="G490" s="42"/>
      <c r="H490" s="42"/>
      <c r="I490" s="42"/>
      <c r="J490" s="27" t="s">
        <v>111</v>
      </c>
      <c r="K490" s="42"/>
    </row>
    <row r="491" ht="39.75" customHeight="1">
      <c r="A491" s="1">
        <v>490.0</v>
      </c>
      <c r="B491" s="2" t="s">
        <v>263</v>
      </c>
      <c r="C491" s="2"/>
      <c r="D491" s="13"/>
      <c r="E491" s="13"/>
      <c r="F491" s="44" t="s">
        <v>4051</v>
      </c>
      <c r="G491" s="42"/>
      <c r="H491" s="42"/>
      <c r="I491" s="42"/>
      <c r="J491" s="27" t="s">
        <v>3705</v>
      </c>
      <c r="K491" s="42"/>
    </row>
    <row r="492" ht="39.75" customHeight="1">
      <c r="A492" s="1">
        <v>491.0</v>
      </c>
      <c r="B492" s="2" t="s">
        <v>17</v>
      </c>
      <c r="C492" s="2" t="s">
        <v>58</v>
      </c>
      <c r="D492" s="13"/>
      <c r="E492" s="13"/>
      <c r="F492" s="44" t="s">
        <v>4052</v>
      </c>
      <c r="G492" s="42"/>
      <c r="H492" s="42"/>
      <c r="I492" s="42"/>
      <c r="J492" s="27" t="s">
        <v>3706</v>
      </c>
      <c r="K492" s="42"/>
    </row>
    <row r="493" ht="39.75" customHeight="1">
      <c r="A493" s="1">
        <v>492.0</v>
      </c>
      <c r="B493" s="2" t="s">
        <v>331</v>
      </c>
      <c r="C493" s="2"/>
      <c r="D493" s="13"/>
      <c r="E493" s="13"/>
      <c r="F493" s="44" t="s">
        <v>3562</v>
      </c>
      <c r="G493" s="42"/>
      <c r="H493" s="42"/>
      <c r="I493" s="42"/>
      <c r="J493" s="27" t="s">
        <v>167</v>
      </c>
      <c r="K493" s="42"/>
    </row>
    <row r="494" ht="39.75" customHeight="1">
      <c r="A494" s="1">
        <v>493.0</v>
      </c>
      <c r="B494" s="2" t="s">
        <v>21</v>
      </c>
      <c r="C494" s="2" t="s">
        <v>58</v>
      </c>
      <c r="D494" s="13"/>
      <c r="E494" s="13"/>
      <c r="F494" s="45"/>
      <c r="G494" s="42"/>
      <c r="H494" s="42"/>
      <c r="I494" s="42"/>
      <c r="J494" s="22"/>
      <c r="K494" s="42"/>
    </row>
    <row r="495" ht="39.75" customHeight="1">
      <c r="A495" s="1">
        <v>494.0</v>
      </c>
      <c r="B495" s="2" t="s">
        <v>22</v>
      </c>
      <c r="C495" s="2" t="s">
        <v>27</v>
      </c>
      <c r="D495" s="13"/>
      <c r="E495" s="13"/>
      <c r="F495" s="45"/>
      <c r="G495" s="42"/>
      <c r="H495" s="42"/>
      <c r="I495" s="42"/>
      <c r="J495" s="22"/>
      <c r="K495" s="42"/>
    </row>
    <row r="496" ht="39.75" customHeight="1">
      <c r="A496" s="1">
        <v>495.0</v>
      </c>
      <c r="B496" s="2" t="s">
        <v>261</v>
      </c>
      <c r="C496" s="2" t="s">
        <v>13</v>
      </c>
      <c r="D496" s="13"/>
      <c r="E496" s="13"/>
      <c r="F496" s="45"/>
      <c r="G496" s="42"/>
      <c r="H496" s="42"/>
      <c r="I496" s="42"/>
      <c r="J496" s="22"/>
      <c r="K496" s="42"/>
    </row>
    <row r="497" ht="39.75" customHeight="1">
      <c r="A497" s="1">
        <v>496.0</v>
      </c>
      <c r="B497" s="2" t="s">
        <v>23</v>
      </c>
      <c r="C497" s="2" t="s">
        <v>54</v>
      </c>
      <c r="D497" s="13"/>
      <c r="E497" s="13"/>
      <c r="F497" s="44" t="s">
        <v>4053</v>
      </c>
      <c r="G497" s="43">
        <v>1.0</v>
      </c>
      <c r="H497" s="42"/>
      <c r="I497" s="42"/>
      <c r="J497" s="22"/>
      <c r="K497" s="42"/>
    </row>
    <row r="498" ht="39.75" customHeight="1">
      <c r="A498" s="1">
        <v>497.0</v>
      </c>
      <c r="B498" s="2" t="s">
        <v>24</v>
      </c>
      <c r="C498" s="2" t="s">
        <v>66</v>
      </c>
      <c r="D498" s="13"/>
      <c r="E498" s="13"/>
      <c r="F498" s="45"/>
      <c r="G498" s="42"/>
      <c r="H498" s="42"/>
      <c r="I498" s="42"/>
      <c r="J498" s="22"/>
      <c r="K498" s="42"/>
    </row>
    <row r="499" ht="39.75" customHeight="1">
      <c r="A499" s="1">
        <v>498.0</v>
      </c>
      <c r="B499" s="2" t="s">
        <v>25</v>
      </c>
      <c r="C499" s="2" t="s">
        <v>39</v>
      </c>
      <c r="D499" s="13"/>
      <c r="E499" s="13"/>
      <c r="F499" s="44" t="s">
        <v>4054</v>
      </c>
      <c r="G499" s="43">
        <v>1.0</v>
      </c>
      <c r="H499" s="42"/>
      <c r="I499" s="42"/>
      <c r="J499" s="22"/>
      <c r="K499" s="42"/>
    </row>
    <row r="500" ht="39.75" customHeight="1">
      <c r="A500" s="1">
        <v>499.0</v>
      </c>
      <c r="B500" s="2" t="s">
        <v>26</v>
      </c>
      <c r="C500" s="2" t="s">
        <v>69</v>
      </c>
      <c r="D500" s="40"/>
      <c r="E500" s="40">
        <v>0.8333333333333334</v>
      </c>
      <c r="F500" s="44" t="s">
        <v>4055</v>
      </c>
      <c r="G500" s="43">
        <v>1.0</v>
      </c>
      <c r="H500" s="42"/>
      <c r="I500" s="43"/>
      <c r="J500" s="22"/>
      <c r="K500" s="42"/>
    </row>
    <row r="501" ht="39.75" customHeight="1">
      <c r="A501" s="1">
        <v>500.0</v>
      </c>
      <c r="B501" s="2" t="s">
        <v>29</v>
      </c>
      <c r="C501" s="2" t="s">
        <v>3600</v>
      </c>
      <c r="D501" s="13"/>
      <c r="E501" s="13"/>
      <c r="F501" s="45"/>
      <c r="G501" s="42"/>
      <c r="H501" s="42"/>
      <c r="I501" s="42"/>
      <c r="J501" s="22"/>
      <c r="K501" s="42"/>
    </row>
    <row r="502" ht="39.75" customHeight="1">
      <c r="A502" s="1">
        <v>501.0</v>
      </c>
      <c r="B502" s="2" t="s">
        <v>32</v>
      </c>
      <c r="C502" s="2" t="s">
        <v>69</v>
      </c>
      <c r="D502" s="13"/>
      <c r="E502" s="13"/>
      <c r="F502" s="44" t="s">
        <v>4056</v>
      </c>
      <c r="G502" s="43">
        <v>1.0</v>
      </c>
      <c r="H502" s="42"/>
      <c r="I502" s="43">
        <v>1.0</v>
      </c>
      <c r="J502" s="22"/>
      <c r="K502" s="42"/>
    </row>
    <row r="503" ht="39.75" customHeight="1">
      <c r="A503" s="1">
        <v>502.0</v>
      </c>
      <c r="B503" s="2" t="s">
        <v>67</v>
      </c>
      <c r="C503" s="2"/>
      <c r="D503" s="13"/>
      <c r="E503" s="13"/>
      <c r="F503" s="44" t="s">
        <v>4057</v>
      </c>
      <c r="G503" s="43">
        <v>1.0</v>
      </c>
      <c r="H503" s="42"/>
      <c r="I503" s="43">
        <v>1.0</v>
      </c>
      <c r="J503" s="22"/>
      <c r="K503" s="42"/>
    </row>
    <row r="504" ht="39.75" customHeight="1">
      <c r="A504" s="1">
        <v>503.0</v>
      </c>
      <c r="B504" s="2" t="s">
        <v>35</v>
      </c>
      <c r="C504" s="2" t="s">
        <v>3563</v>
      </c>
      <c r="D504" s="13"/>
      <c r="E504" s="13"/>
      <c r="F504" s="44"/>
      <c r="G504" s="42"/>
      <c r="H504" s="42"/>
      <c r="I504" s="42"/>
      <c r="J504" s="22"/>
      <c r="K504" s="42"/>
    </row>
    <row r="505" ht="39.75" customHeight="1">
      <c r="A505" s="1">
        <v>504.0</v>
      </c>
      <c r="B505" s="2" t="s">
        <v>36</v>
      </c>
      <c r="C505" s="2" t="s">
        <v>3600</v>
      </c>
      <c r="D505" s="13"/>
      <c r="E505" s="13"/>
      <c r="F505" s="45"/>
      <c r="G505" s="42"/>
      <c r="H505" s="42"/>
      <c r="I505" s="42"/>
      <c r="J505" s="22"/>
      <c r="K505" s="42"/>
    </row>
    <row r="506" ht="39.75" customHeight="1">
      <c r="A506" s="1">
        <v>505.0</v>
      </c>
      <c r="B506" s="2" t="s">
        <v>38</v>
      </c>
      <c r="C506" s="2"/>
      <c r="D506" s="13"/>
      <c r="E506" s="13"/>
      <c r="F506" s="44" t="s">
        <v>3560</v>
      </c>
      <c r="G506" s="42"/>
      <c r="H506" s="42"/>
      <c r="I506" s="42"/>
      <c r="J506" s="22"/>
      <c r="K506" s="42"/>
    </row>
    <row r="507" ht="39.75" customHeight="1">
      <c r="A507" s="1">
        <v>506.0</v>
      </c>
      <c r="B507" s="2" t="s">
        <v>41</v>
      </c>
      <c r="C507" s="2" t="s">
        <v>54</v>
      </c>
      <c r="D507" s="13"/>
      <c r="E507" s="13"/>
      <c r="F507" s="44" t="s">
        <v>385</v>
      </c>
      <c r="G507" s="42"/>
      <c r="H507" s="42"/>
      <c r="I507" s="42"/>
      <c r="J507" s="22"/>
      <c r="K507" s="42"/>
    </row>
    <row r="508" ht="39.75" customHeight="1">
      <c r="A508" s="1">
        <v>507.0</v>
      </c>
      <c r="B508" s="2" t="s">
        <v>42</v>
      </c>
      <c r="C508" s="2" t="s">
        <v>3600</v>
      </c>
      <c r="D508" s="13"/>
      <c r="E508" s="13"/>
      <c r="F508" s="45"/>
      <c r="G508" s="42"/>
      <c r="H508" s="42"/>
      <c r="I508" s="42"/>
      <c r="J508" s="22"/>
      <c r="K508" s="42"/>
    </row>
    <row r="509" ht="39.75" customHeight="1">
      <c r="A509" s="1">
        <v>508.0</v>
      </c>
      <c r="B509" s="2" t="s">
        <v>43</v>
      </c>
      <c r="C509" s="2" t="s">
        <v>58</v>
      </c>
      <c r="D509" s="13"/>
      <c r="E509" s="13"/>
      <c r="F509" s="45"/>
      <c r="G509" s="42"/>
      <c r="H509" s="42"/>
      <c r="I509" s="42"/>
      <c r="J509" s="22"/>
      <c r="K509" s="42"/>
    </row>
    <row r="510" ht="39.75" customHeight="1">
      <c r="A510" s="1">
        <v>509.0</v>
      </c>
      <c r="B510" s="2" t="s">
        <v>267</v>
      </c>
      <c r="C510" s="2" t="s">
        <v>39</v>
      </c>
      <c r="D510" s="13"/>
      <c r="E510" s="13"/>
      <c r="F510" s="44" t="s">
        <v>4058</v>
      </c>
      <c r="G510" s="43">
        <v>1.0</v>
      </c>
      <c r="H510" s="42"/>
      <c r="I510" s="42"/>
      <c r="J510" s="22"/>
      <c r="K510" s="42"/>
    </row>
    <row r="511" ht="39.75" customHeight="1">
      <c r="A511" s="1">
        <v>510.0</v>
      </c>
      <c r="B511" s="2" t="s">
        <v>46</v>
      </c>
      <c r="C511" s="2" t="s">
        <v>69</v>
      </c>
      <c r="D511" s="13"/>
      <c r="E511" s="13"/>
      <c r="F511" s="44" t="s">
        <v>4059</v>
      </c>
      <c r="G511" s="43">
        <v>1.0</v>
      </c>
      <c r="H511" s="42"/>
      <c r="I511" s="43">
        <v>1.0</v>
      </c>
      <c r="J511" s="22"/>
      <c r="K511" s="42"/>
    </row>
    <row r="512" ht="39.75" customHeight="1">
      <c r="A512" s="1">
        <v>511.0</v>
      </c>
      <c r="B512" s="2" t="s">
        <v>47</v>
      </c>
      <c r="C512" s="2" t="s">
        <v>3600</v>
      </c>
      <c r="D512" s="13"/>
      <c r="E512" s="13"/>
      <c r="F512" s="45"/>
      <c r="G512" s="42"/>
      <c r="H512" s="42"/>
      <c r="I512" s="42"/>
      <c r="J512" s="22"/>
      <c r="K512" s="42"/>
    </row>
    <row r="513" ht="39.75" customHeight="1">
      <c r="A513" s="1">
        <v>512.0</v>
      </c>
      <c r="B513" s="2" t="s">
        <v>48</v>
      </c>
      <c r="C513" s="2" t="s">
        <v>54</v>
      </c>
      <c r="D513" s="13"/>
      <c r="E513" s="13"/>
      <c r="F513" s="44" t="s">
        <v>4060</v>
      </c>
      <c r="G513" s="43">
        <v>1.0</v>
      </c>
      <c r="H513" s="42"/>
      <c r="I513" s="43">
        <v>1.0</v>
      </c>
      <c r="J513" s="22"/>
      <c r="K513" s="42"/>
    </row>
    <row r="514" ht="39.75" customHeight="1">
      <c r="A514" s="1">
        <v>513.0</v>
      </c>
      <c r="B514" s="21"/>
      <c r="C514" s="21"/>
      <c r="D514" s="21"/>
      <c r="E514" s="21"/>
      <c r="F514" s="46"/>
      <c r="G514" s="47"/>
      <c r="H514" s="47"/>
      <c r="I514" s="47"/>
      <c r="J514" s="48"/>
      <c r="K514" s="47"/>
      <c r="L514" s="49"/>
      <c r="M514" s="49"/>
      <c r="N514" s="49"/>
    </row>
    <row r="515" ht="39.75" customHeight="1">
      <c r="A515" s="1">
        <v>514.0</v>
      </c>
      <c r="B515" s="2" t="s">
        <v>12</v>
      </c>
      <c r="C515" s="2" t="s">
        <v>62</v>
      </c>
      <c r="D515" s="13"/>
      <c r="E515" s="13"/>
      <c r="F515" s="45"/>
      <c r="G515" s="42"/>
      <c r="H515" s="42"/>
      <c r="I515" s="42"/>
      <c r="J515" s="22"/>
      <c r="K515" s="42"/>
      <c r="L515" s="15" t="s">
        <v>347</v>
      </c>
    </row>
    <row r="516" ht="39.75" customHeight="1">
      <c r="A516" s="1">
        <v>515.0</v>
      </c>
      <c r="B516" s="2" t="s">
        <v>16</v>
      </c>
      <c r="C516" s="2" t="s">
        <v>54</v>
      </c>
      <c r="D516" s="13"/>
      <c r="E516" s="13"/>
      <c r="F516" s="44" t="s">
        <v>4061</v>
      </c>
      <c r="G516" s="43">
        <v>1.0</v>
      </c>
      <c r="H516" s="42"/>
      <c r="I516" s="43">
        <v>1.0</v>
      </c>
      <c r="J516" s="27" t="s">
        <v>347</v>
      </c>
      <c r="K516" s="43"/>
    </row>
    <row r="517" ht="39.75" customHeight="1">
      <c r="A517" s="1">
        <v>516.0</v>
      </c>
      <c r="B517" s="2" t="s">
        <v>116</v>
      </c>
      <c r="C517" s="2" t="s">
        <v>39</v>
      </c>
      <c r="D517" s="13"/>
      <c r="E517" s="13"/>
      <c r="F517" s="70" t="s">
        <v>4062</v>
      </c>
      <c r="G517" s="43">
        <v>1.0</v>
      </c>
      <c r="H517" s="42"/>
      <c r="I517" s="42"/>
      <c r="J517" s="27" t="s">
        <v>151</v>
      </c>
      <c r="K517" s="42"/>
    </row>
    <row r="518" ht="39.75" customHeight="1">
      <c r="A518" s="1">
        <v>517.0</v>
      </c>
      <c r="B518" s="2" t="s">
        <v>263</v>
      </c>
      <c r="C518" s="2" t="s">
        <v>3562</v>
      </c>
      <c r="D518" s="13"/>
      <c r="E518" s="13"/>
      <c r="F518" s="44"/>
      <c r="G518" s="42"/>
      <c r="H518" s="42"/>
      <c r="I518" s="42"/>
      <c r="J518" s="27" t="s">
        <v>152</v>
      </c>
      <c r="K518" s="42"/>
    </row>
    <row r="519" ht="39.75" customHeight="1">
      <c r="A519" s="1">
        <v>518.0</v>
      </c>
      <c r="B519" s="2" t="s">
        <v>17</v>
      </c>
      <c r="C519" s="2" t="s">
        <v>13</v>
      </c>
      <c r="D519" s="13"/>
      <c r="E519" s="13"/>
      <c r="F519" s="45"/>
      <c r="G519" s="42"/>
      <c r="H519" s="42"/>
      <c r="I519" s="42"/>
      <c r="J519" s="27" t="s">
        <v>154</v>
      </c>
      <c r="K519" s="42"/>
    </row>
    <row r="520" ht="39.75" customHeight="1">
      <c r="A520" s="1">
        <v>519.0</v>
      </c>
      <c r="B520" s="2" t="s">
        <v>331</v>
      </c>
      <c r="C520" s="2" t="s">
        <v>3562</v>
      </c>
      <c r="D520" s="13"/>
      <c r="E520" s="13"/>
      <c r="F520" s="44" t="s">
        <v>69</v>
      </c>
      <c r="G520" s="42"/>
      <c r="H520" s="42"/>
      <c r="I520" s="42"/>
      <c r="J520" s="22"/>
      <c r="K520" s="42"/>
    </row>
    <row r="521" ht="39.75" customHeight="1">
      <c r="A521" s="1">
        <v>520.0</v>
      </c>
      <c r="B521" s="2" t="s">
        <v>21</v>
      </c>
      <c r="C521" s="2" t="s">
        <v>13</v>
      </c>
      <c r="D521" s="13"/>
      <c r="E521" s="13"/>
      <c r="F521" s="45"/>
      <c r="G521" s="42"/>
      <c r="H521" s="42"/>
      <c r="I521" s="42"/>
      <c r="J521" s="22"/>
      <c r="K521" s="42"/>
    </row>
    <row r="522" ht="39.75" customHeight="1">
      <c r="A522" s="1">
        <v>521.0</v>
      </c>
      <c r="B522" s="2" t="s">
        <v>22</v>
      </c>
      <c r="C522" s="2" t="s">
        <v>44</v>
      </c>
      <c r="D522" s="13"/>
      <c r="E522" s="13"/>
      <c r="F522" s="45"/>
      <c r="G522" s="42"/>
      <c r="H522" s="42"/>
      <c r="I522" s="42"/>
      <c r="J522" s="22"/>
      <c r="K522" s="42"/>
    </row>
    <row r="523" ht="39.75" customHeight="1">
      <c r="A523" s="1">
        <v>522.0</v>
      </c>
      <c r="B523" s="2" t="s">
        <v>261</v>
      </c>
      <c r="C523" s="2" t="s">
        <v>13</v>
      </c>
      <c r="D523" s="13"/>
      <c r="E523" s="13"/>
      <c r="F523" s="45"/>
      <c r="G523" s="42"/>
      <c r="H523" s="42"/>
      <c r="I523" s="42"/>
      <c r="J523" s="22"/>
      <c r="K523" s="42"/>
    </row>
    <row r="524" ht="39.75" customHeight="1">
      <c r="A524" s="1">
        <v>523.0</v>
      </c>
      <c r="B524" s="2" t="s">
        <v>23</v>
      </c>
      <c r="C524" s="2" t="s">
        <v>54</v>
      </c>
      <c r="D524" s="13"/>
      <c r="E524" s="13"/>
      <c r="F524" s="45"/>
      <c r="G524" s="42"/>
      <c r="H524" s="42"/>
      <c r="I524" s="42"/>
      <c r="J524" s="22"/>
      <c r="K524" s="42"/>
    </row>
    <row r="525" ht="39.75" customHeight="1">
      <c r="A525" s="1">
        <v>524.0</v>
      </c>
      <c r="B525" s="2" t="s">
        <v>24</v>
      </c>
      <c r="C525" s="2" t="s">
        <v>3560</v>
      </c>
      <c r="D525" s="13"/>
      <c r="E525" s="13"/>
      <c r="F525" s="44" t="s">
        <v>4063</v>
      </c>
      <c r="G525" s="43">
        <v>1.0</v>
      </c>
      <c r="H525" s="42"/>
      <c r="I525" s="42"/>
      <c r="J525" s="22"/>
      <c r="K525" s="42"/>
    </row>
    <row r="526" ht="39.75" customHeight="1">
      <c r="A526" s="1">
        <v>525.0</v>
      </c>
      <c r="B526" s="2" t="s">
        <v>25</v>
      </c>
      <c r="C526" s="2" t="s">
        <v>39</v>
      </c>
      <c r="D526" s="13"/>
      <c r="E526" s="13"/>
      <c r="F526" s="44" t="s">
        <v>4064</v>
      </c>
      <c r="G526" s="43">
        <v>1.0</v>
      </c>
      <c r="H526" s="42"/>
      <c r="I526" s="43">
        <v>1.0</v>
      </c>
      <c r="J526" s="22"/>
      <c r="K526" s="42"/>
    </row>
    <row r="527" ht="39.75" customHeight="1">
      <c r="A527" s="1">
        <v>526.0</v>
      </c>
      <c r="B527" s="2" t="s">
        <v>26</v>
      </c>
      <c r="C527" s="2" t="s">
        <v>3560</v>
      </c>
      <c r="D527" s="13"/>
      <c r="E527" s="13"/>
      <c r="F527" s="44" t="s">
        <v>1889</v>
      </c>
      <c r="G527" s="43"/>
      <c r="H527" s="42"/>
      <c r="I527" s="42"/>
      <c r="J527" s="22"/>
      <c r="K527" s="42"/>
    </row>
    <row r="528" ht="39.75" customHeight="1">
      <c r="A528" s="1">
        <v>527.0</v>
      </c>
      <c r="B528" s="2" t="s">
        <v>29</v>
      </c>
      <c r="C528" s="2" t="s">
        <v>3600</v>
      </c>
      <c r="D528" s="13"/>
      <c r="E528" s="13"/>
      <c r="F528" s="45"/>
      <c r="G528" s="42"/>
      <c r="H528" s="42"/>
      <c r="I528" s="42"/>
      <c r="J528" s="22"/>
      <c r="K528" s="42"/>
    </row>
    <row r="529" ht="39.75" customHeight="1">
      <c r="A529" s="1">
        <v>528.0</v>
      </c>
      <c r="B529" s="2" t="s">
        <v>32</v>
      </c>
      <c r="C529" s="2" t="s">
        <v>3560</v>
      </c>
      <c r="D529" s="13"/>
      <c r="E529" s="13"/>
      <c r="F529" s="44" t="s">
        <v>4065</v>
      </c>
      <c r="G529" s="43">
        <v>1.0</v>
      </c>
      <c r="H529" s="42"/>
      <c r="I529" s="42"/>
      <c r="J529" s="22"/>
      <c r="K529" s="42"/>
    </row>
    <row r="530" ht="39.75" customHeight="1">
      <c r="A530" s="1">
        <v>529.0</v>
      </c>
      <c r="B530" s="2" t="s">
        <v>67</v>
      </c>
      <c r="C530" s="2"/>
      <c r="D530" s="13"/>
      <c r="E530" s="13"/>
      <c r="F530" s="44" t="s">
        <v>4066</v>
      </c>
      <c r="G530" s="42"/>
      <c r="H530" s="42"/>
      <c r="I530" s="42"/>
      <c r="J530" s="22"/>
      <c r="K530" s="42"/>
    </row>
    <row r="531" ht="39.75" customHeight="1">
      <c r="A531" s="1">
        <v>530.0</v>
      </c>
      <c r="B531" s="2" t="s">
        <v>35</v>
      </c>
      <c r="C531" s="2" t="s">
        <v>3563</v>
      </c>
      <c r="D531" s="13"/>
      <c r="E531" s="13"/>
      <c r="F531" s="45"/>
      <c r="G531" s="42"/>
      <c r="H531" s="42"/>
      <c r="I531" s="42"/>
      <c r="J531" s="22"/>
      <c r="K531" s="42"/>
    </row>
    <row r="532" ht="39.75" customHeight="1">
      <c r="A532" s="1">
        <v>531.0</v>
      </c>
      <c r="B532" s="2" t="s">
        <v>36</v>
      </c>
      <c r="C532" s="2" t="s">
        <v>3600</v>
      </c>
      <c r="D532" s="13"/>
      <c r="E532" s="13"/>
      <c r="F532" s="45"/>
      <c r="G532" s="42"/>
      <c r="H532" s="42"/>
      <c r="I532" s="42"/>
      <c r="J532" s="22"/>
      <c r="K532" s="42"/>
    </row>
    <row r="533" ht="39.75" customHeight="1">
      <c r="A533" s="1">
        <v>532.0</v>
      </c>
      <c r="B533" s="2" t="s">
        <v>38</v>
      </c>
      <c r="C533" s="2" t="s">
        <v>27</v>
      </c>
      <c r="D533" s="13"/>
      <c r="E533" s="13"/>
      <c r="F533" s="44" t="s">
        <v>4067</v>
      </c>
      <c r="G533" s="43">
        <v>1.0</v>
      </c>
      <c r="H533" s="42"/>
      <c r="I533" s="43">
        <v>1.0</v>
      </c>
      <c r="J533" s="22"/>
      <c r="K533" s="42"/>
    </row>
    <row r="534" ht="39.75" customHeight="1">
      <c r="A534" s="1">
        <v>533.0</v>
      </c>
      <c r="B534" s="2" t="s">
        <v>41</v>
      </c>
      <c r="C534" s="2" t="s">
        <v>64</v>
      </c>
      <c r="D534" s="13"/>
      <c r="E534" s="13"/>
      <c r="F534" s="44" t="s">
        <v>385</v>
      </c>
      <c r="G534" s="42"/>
      <c r="H534" s="42"/>
      <c r="I534" s="42"/>
      <c r="J534" s="22"/>
      <c r="K534" s="42"/>
    </row>
    <row r="535" ht="39.75" customHeight="1">
      <c r="A535" s="1">
        <v>534.0</v>
      </c>
      <c r="B535" s="2" t="s">
        <v>42</v>
      </c>
      <c r="C535" s="2" t="s">
        <v>3600</v>
      </c>
      <c r="D535" s="13"/>
      <c r="E535" s="13"/>
      <c r="F535" s="45"/>
      <c r="G535" s="42"/>
      <c r="H535" s="42"/>
      <c r="I535" s="42"/>
      <c r="J535" s="22"/>
      <c r="K535" s="42"/>
    </row>
    <row r="536" ht="39.75" customHeight="1">
      <c r="A536" s="1">
        <v>535.0</v>
      </c>
      <c r="B536" s="2" t="s">
        <v>43</v>
      </c>
      <c r="C536" s="2" t="s">
        <v>69</v>
      </c>
      <c r="D536" s="13"/>
      <c r="E536" s="13"/>
      <c r="F536" s="44" t="s">
        <v>4068</v>
      </c>
      <c r="G536" s="43">
        <v>2.0</v>
      </c>
      <c r="H536" s="42"/>
      <c r="I536" s="42"/>
      <c r="J536" s="22"/>
      <c r="K536" s="42"/>
    </row>
    <row r="537" ht="39.75" customHeight="1">
      <c r="A537" s="1">
        <v>536.0</v>
      </c>
      <c r="B537" s="2" t="s">
        <v>267</v>
      </c>
      <c r="C537" s="2" t="s">
        <v>69</v>
      </c>
      <c r="D537" s="40">
        <v>0.625</v>
      </c>
      <c r="E537" s="13"/>
      <c r="F537" s="44" t="s">
        <v>4069</v>
      </c>
      <c r="G537" s="43">
        <v>1.0</v>
      </c>
      <c r="H537" s="42"/>
      <c r="I537" s="42"/>
      <c r="J537" s="22"/>
      <c r="K537" s="42"/>
    </row>
    <row r="538" ht="39.75" customHeight="1">
      <c r="A538" s="1">
        <v>537.0</v>
      </c>
      <c r="B538" s="2" t="s">
        <v>46</v>
      </c>
      <c r="C538" s="2" t="s">
        <v>69</v>
      </c>
      <c r="D538" s="13"/>
      <c r="E538" s="13"/>
      <c r="F538" s="45"/>
      <c r="G538" s="42"/>
      <c r="H538" s="42"/>
      <c r="I538" s="42"/>
      <c r="J538" s="22"/>
      <c r="K538" s="42"/>
    </row>
    <row r="539" ht="39.75" customHeight="1">
      <c r="A539" s="1">
        <v>538.0</v>
      </c>
      <c r="B539" s="2" t="s">
        <v>47</v>
      </c>
      <c r="C539" s="2" t="s">
        <v>3600</v>
      </c>
      <c r="D539" s="13"/>
      <c r="E539" s="13"/>
      <c r="F539" s="45"/>
      <c r="G539" s="42"/>
      <c r="H539" s="42"/>
      <c r="I539" s="42"/>
      <c r="J539" s="22"/>
      <c r="K539" s="42"/>
    </row>
    <row r="540" ht="39.75" customHeight="1">
      <c r="A540" s="1">
        <v>539.0</v>
      </c>
      <c r="B540" s="2" t="s">
        <v>48</v>
      </c>
      <c r="C540" s="2" t="s">
        <v>54</v>
      </c>
      <c r="D540" s="13"/>
      <c r="E540" s="13"/>
      <c r="F540" s="44" t="s">
        <v>4070</v>
      </c>
      <c r="G540" s="43">
        <v>1.0</v>
      </c>
      <c r="H540" s="42"/>
      <c r="I540" s="42"/>
      <c r="J540" s="22"/>
      <c r="K540" s="42"/>
    </row>
    <row r="541" ht="39.75" customHeight="1">
      <c r="A541" s="1">
        <v>540.0</v>
      </c>
      <c r="B541" s="21"/>
      <c r="C541" s="21"/>
      <c r="D541" s="21"/>
      <c r="E541" s="21"/>
      <c r="F541" s="46"/>
      <c r="G541" s="47"/>
      <c r="H541" s="47"/>
      <c r="I541" s="47"/>
      <c r="J541" s="48"/>
      <c r="K541" s="47"/>
      <c r="L541" s="49"/>
      <c r="M541" s="49"/>
      <c r="N541" s="49"/>
    </row>
    <row r="542" ht="39.75" customHeight="1">
      <c r="A542" s="1">
        <v>541.0</v>
      </c>
      <c r="B542" s="2" t="s">
        <v>12</v>
      </c>
      <c r="C542" s="2" t="s">
        <v>13</v>
      </c>
      <c r="D542" s="13"/>
      <c r="E542" s="13"/>
      <c r="F542" s="45"/>
      <c r="G542" s="42"/>
      <c r="H542" s="42"/>
      <c r="I542" s="42"/>
      <c r="J542" s="22"/>
      <c r="K542" s="42"/>
      <c r="L542" s="15" t="s">
        <v>362</v>
      </c>
    </row>
    <row r="543" ht="39.75" customHeight="1">
      <c r="A543" s="1">
        <v>542.0</v>
      </c>
      <c r="B543" s="2" t="s">
        <v>16</v>
      </c>
      <c r="C543" s="2" t="s">
        <v>13</v>
      </c>
      <c r="D543" s="13"/>
      <c r="E543" s="13"/>
      <c r="F543" s="44"/>
      <c r="G543" s="43"/>
      <c r="H543" s="42"/>
      <c r="I543" s="43"/>
      <c r="J543" s="27" t="s">
        <v>362</v>
      </c>
      <c r="K543" s="43"/>
    </row>
    <row r="544" ht="39.75" customHeight="1">
      <c r="A544" s="1">
        <v>543.0</v>
      </c>
      <c r="B544" s="2" t="s">
        <v>116</v>
      </c>
      <c r="C544" s="2" t="s">
        <v>3560</v>
      </c>
      <c r="D544" s="13"/>
      <c r="E544" s="13"/>
      <c r="F544" s="44" t="s">
        <v>4071</v>
      </c>
      <c r="G544" s="43">
        <v>1.0</v>
      </c>
      <c r="H544" s="42"/>
      <c r="I544" s="42"/>
      <c r="J544" s="27" t="s">
        <v>3705</v>
      </c>
      <c r="K544" s="42"/>
    </row>
    <row r="545" ht="39.75" customHeight="1">
      <c r="A545" s="1">
        <v>544.0</v>
      </c>
      <c r="B545" s="2" t="s">
        <v>263</v>
      </c>
      <c r="C545" s="2" t="s">
        <v>3562</v>
      </c>
      <c r="D545" s="13"/>
      <c r="E545" s="13"/>
      <c r="F545" s="44"/>
      <c r="G545" s="42"/>
      <c r="H545" s="42"/>
      <c r="I545" s="42"/>
      <c r="J545" s="27" t="s">
        <v>3706</v>
      </c>
      <c r="K545" s="42"/>
    </row>
    <row r="546" ht="39.75" customHeight="1">
      <c r="A546" s="1">
        <v>545.0</v>
      </c>
      <c r="B546" s="2" t="s">
        <v>17</v>
      </c>
      <c r="C546" s="2" t="s">
        <v>13</v>
      </c>
      <c r="D546" s="13"/>
      <c r="E546" s="13"/>
      <c r="F546" s="45"/>
      <c r="G546" s="42"/>
      <c r="H546" s="42"/>
      <c r="I546" s="42"/>
      <c r="J546" s="27" t="s">
        <v>167</v>
      </c>
      <c r="K546" s="42"/>
    </row>
    <row r="547" ht="39.75" customHeight="1">
      <c r="A547" s="1">
        <v>546.0</v>
      </c>
      <c r="B547" s="2" t="s">
        <v>331</v>
      </c>
      <c r="C547" s="2" t="s">
        <v>13</v>
      </c>
      <c r="D547" s="13"/>
      <c r="E547" s="13"/>
      <c r="F547" s="45"/>
      <c r="G547" s="42"/>
      <c r="H547" s="42"/>
      <c r="I547" s="42"/>
      <c r="J547" s="22"/>
      <c r="K547" s="42"/>
    </row>
    <row r="548" ht="39.75" customHeight="1">
      <c r="A548" s="1">
        <v>547.0</v>
      </c>
      <c r="B548" s="2" t="s">
        <v>21</v>
      </c>
      <c r="C548" s="2" t="s">
        <v>13</v>
      </c>
      <c r="D548" s="13"/>
      <c r="E548" s="13"/>
      <c r="F548" s="45"/>
      <c r="G548" s="42"/>
      <c r="H548" s="42"/>
      <c r="I548" s="42"/>
      <c r="J548" s="22"/>
      <c r="K548" s="42"/>
    </row>
    <row r="549" ht="39.75" customHeight="1">
      <c r="A549" s="1">
        <v>548.0</v>
      </c>
      <c r="B549" s="2" t="s">
        <v>22</v>
      </c>
      <c r="C549" s="2" t="s">
        <v>13</v>
      </c>
      <c r="D549" s="13"/>
      <c r="E549" s="13"/>
      <c r="F549" s="45"/>
      <c r="G549" s="42"/>
      <c r="H549" s="42"/>
      <c r="I549" s="42"/>
      <c r="J549" s="22"/>
      <c r="K549" s="42"/>
    </row>
    <row r="550" ht="39.75" customHeight="1">
      <c r="A550" s="1">
        <v>549.0</v>
      </c>
      <c r="B550" s="2" t="s">
        <v>261</v>
      </c>
      <c r="C550" s="2" t="s">
        <v>13</v>
      </c>
      <c r="D550" s="13"/>
      <c r="E550" s="13"/>
      <c r="F550" s="45"/>
      <c r="G550" s="42"/>
      <c r="H550" s="42"/>
      <c r="I550" s="42"/>
      <c r="J550" s="22"/>
      <c r="K550" s="42"/>
    </row>
    <row r="551" ht="39.75" customHeight="1">
      <c r="A551" s="1">
        <v>550.0</v>
      </c>
      <c r="B551" s="2" t="s">
        <v>23</v>
      </c>
      <c r="C551" s="2" t="s">
        <v>13</v>
      </c>
      <c r="D551" s="13"/>
      <c r="E551" s="13"/>
      <c r="F551" s="45"/>
      <c r="G551" s="42"/>
      <c r="H551" s="42"/>
      <c r="I551" s="42"/>
      <c r="J551" s="22"/>
      <c r="K551" s="42"/>
    </row>
    <row r="552" ht="39.75" customHeight="1">
      <c r="A552" s="1">
        <v>551.0</v>
      </c>
      <c r="B552" s="2" t="s">
        <v>24</v>
      </c>
      <c r="C552" s="2" t="s">
        <v>13</v>
      </c>
      <c r="D552" s="13"/>
      <c r="E552" s="13"/>
      <c r="F552" s="45"/>
      <c r="G552" s="42"/>
      <c r="H552" s="42"/>
      <c r="I552" s="42"/>
      <c r="J552" s="22"/>
      <c r="K552" s="42"/>
    </row>
    <row r="553" ht="39.75" customHeight="1">
      <c r="A553" s="1">
        <v>552.0</v>
      </c>
      <c r="B553" s="2" t="s">
        <v>25</v>
      </c>
      <c r="C553" s="2" t="s">
        <v>39</v>
      </c>
      <c r="D553" s="13"/>
      <c r="E553" s="13"/>
      <c r="F553" s="44" t="s">
        <v>4072</v>
      </c>
      <c r="G553" s="43">
        <v>1.0</v>
      </c>
      <c r="H553" s="42"/>
      <c r="I553" s="43">
        <v>1.0</v>
      </c>
      <c r="J553" s="22"/>
      <c r="K553" s="42"/>
    </row>
    <row r="554" ht="39.75" customHeight="1">
      <c r="A554" s="1">
        <v>553.0</v>
      </c>
      <c r="B554" s="2" t="s">
        <v>26</v>
      </c>
      <c r="C554" s="2" t="s">
        <v>13</v>
      </c>
      <c r="D554" s="13"/>
      <c r="E554" s="13"/>
      <c r="F554" s="45"/>
      <c r="G554" s="42"/>
      <c r="H554" s="42"/>
      <c r="I554" s="42"/>
      <c r="J554" s="22"/>
      <c r="K554" s="42"/>
    </row>
    <row r="555" ht="39.75" customHeight="1">
      <c r="A555" s="1">
        <v>554.0</v>
      </c>
      <c r="B555" s="2" t="s">
        <v>29</v>
      </c>
      <c r="C555" s="2" t="s">
        <v>3600</v>
      </c>
      <c r="D555" s="13"/>
      <c r="E555" s="13"/>
      <c r="F555" s="45"/>
      <c r="G555" s="42"/>
      <c r="H555" s="42"/>
      <c r="I555" s="42"/>
      <c r="J555" s="22"/>
      <c r="K555" s="42"/>
    </row>
    <row r="556" ht="39.75" customHeight="1">
      <c r="A556" s="1">
        <v>555.0</v>
      </c>
      <c r="B556" s="2" t="s">
        <v>32</v>
      </c>
      <c r="C556" s="2" t="s">
        <v>13</v>
      </c>
      <c r="D556" s="13"/>
      <c r="E556" s="13"/>
      <c r="F556" s="45"/>
      <c r="G556" s="42"/>
      <c r="H556" s="42"/>
      <c r="I556" s="42"/>
      <c r="J556" s="22"/>
      <c r="K556" s="42"/>
    </row>
    <row r="557" ht="39.75" customHeight="1">
      <c r="A557" s="1">
        <v>556.0</v>
      </c>
      <c r="B557" s="2" t="s">
        <v>67</v>
      </c>
      <c r="C557" s="2" t="s">
        <v>13</v>
      </c>
      <c r="D557" s="13"/>
      <c r="E557" s="13"/>
      <c r="F557" s="45"/>
      <c r="G557" s="42"/>
      <c r="H557" s="42"/>
      <c r="I557" s="42"/>
      <c r="J557" s="22"/>
      <c r="K557" s="42"/>
    </row>
    <row r="558" ht="39.75" customHeight="1">
      <c r="A558" s="1">
        <v>557.0</v>
      </c>
      <c r="B558" s="2" t="s">
        <v>35</v>
      </c>
      <c r="C558" s="2" t="s">
        <v>3563</v>
      </c>
      <c r="D558" s="13"/>
      <c r="E558" s="13"/>
      <c r="F558" s="45"/>
      <c r="G558" s="42"/>
      <c r="H558" s="42"/>
      <c r="I558" s="42"/>
      <c r="J558" s="22"/>
      <c r="K558" s="42"/>
    </row>
    <row r="559" ht="39.75" customHeight="1">
      <c r="A559" s="1">
        <v>558.0</v>
      </c>
      <c r="B559" s="2" t="s">
        <v>36</v>
      </c>
      <c r="C559" s="2" t="s">
        <v>3600</v>
      </c>
      <c r="D559" s="13"/>
      <c r="E559" s="13"/>
      <c r="F559" s="45"/>
      <c r="G559" s="42"/>
      <c r="H559" s="42"/>
      <c r="I559" s="42"/>
      <c r="J559" s="22"/>
      <c r="K559" s="42"/>
    </row>
    <row r="560" ht="39.75" customHeight="1">
      <c r="A560" s="1">
        <v>559.0</v>
      </c>
      <c r="B560" s="2" t="s">
        <v>38</v>
      </c>
      <c r="C560" s="2" t="s">
        <v>44</v>
      </c>
      <c r="D560" s="13"/>
      <c r="E560" s="13"/>
      <c r="F560" s="45"/>
      <c r="G560" s="42"/>
      <c r="H560" s="42"/>
      <c r="I560" s="42"/>
      <c r="J560" s="22"/>
      <c r="K560" s="42"/>
    </row>
    <row r="561" ht="39.75" customHeight="1">
      <c r="A561" s="1">
        <v>560.0</v>
      </c>
      <c r="B561" s="2" t="s">
        <v>41</v>
      </c>
      <c r="C561" s="2" t="s">
        <v>13</v>
      </c>
      <c r="D561" s="13"/>
      <c r="E561" s="13"/>
      <c r="F561" s="45"/>
      <c r="G561" s="42"/>
      <c r="H561" s="42"/>
      <c r="I561" s="42"/>
      <c r="J561" s="22"/>
      <c r="K561" s="42"/>
    </row>
    <row r="562" ht="39.75" customHeight="1">
      <c r="A562" s="1">
        <v>561.0</v>
      </c>
      <c r="B562" s="2" t="s">
        <v>42</v>
      </c>
      <c r="C562" s="2" t="s">
        <v>3600</v>
      </c>
      <c r="D562" s="13"/>
      <c r="E562" s="13"/>
      <c r="F562" s="45"/>
      <c r="G562" s="42"/>
      <c r="H562" s="42"/>
      <c r="I562" s="42"/>
      <c r="J562" s="22"/>
      <c r="K562" s="42"/>
    </row>
    <row r="563" ht="39.75" customHeight="1">
      <c r="A563" s="1">
        <v>562.0</v>
      </c>
      <c r="B563" s="2" t="s">
        <v>43</v>
      </c>
      <c r="C563" s="2" t="s">
        <v>69</v>
      </c>
      <c r="D563" s="40">
        <v>0.5833333333333334</v>
      </c>
      <c r="E563" s="13"/>
      <c r="F563" s="45"/>
      <c r="G563" s="42"/>
      <c r="H563" s="42"/>
      <c r="I563" s="42"/>
      <c r="J563" s="22"/>
      <c r="K563" s="42"/>
    </row>
    <row r="564" ht="39.75" customHeight="1">
      <c r="A564" s="1">
        <v>563.0</v>
      </c>
      <c r="B564" s="2" t="s">
        <v>267</v>
      </c>
      <c r="C564" s="2" t="s">
        <v>3560</v>
      </c>
      <c r="D564" s="40">
        <v>0.4583333333333333</v>
      </c>
      <c r="E564" s="13"/>
      <c r="F564" s="44" t="s">
        <v>4073</v>
      </c>
      <c r="G564" s="43">
        <v>1.0</v>
      </c>
      <c r="H564" s="42"/>
      <c r="I564" s="42"/>
      <c r="J564" s="22"/>
      <c r="K564" s="42"/>
    </row>
    <row r="565" ht="39.75" customHeight="1">
      <c r="A565" s="1">
        <v>564.0</v>
      </c>
      <c r="B565" s="2" t="s">
        <v>46</v>
      </c>
      <c r="C565" s="2" t="s">
        <v>27</v>
      </c>
      <c r="D565" s="13"/>
      <c r="E565" s="13"/>
      <c r="F565" s="45"/>
      <c r="G565" s="42"/>
      <c r="H565" s="42"/>
      <c r="I565" s="42"/>
      <c r="J565" s="22"/>
      <c r="K565" s="42"/>
    </row>
    <row r="566" ht="39.75" customHeight="1">
      <c r="A566" s="1">
        <v>565.0</v>
      </c>
      <c r="B566" s="2" t="s">
        <v>47</v>
      </c>
      <c r="C566" s="2" t="s">
        <v>3600</v>
      </c>
      <c r="D566" s="13"/>
      <c r="E566" s="13"/>
      <c r="F566" s="45"/>
      <c r="G566" s="42"/>
      <c r="H566" s="42"/>
      <c r="I566" s="42"/>
      <c r="J566" s="22"/>
      <c r="K566" s="42"/>
    </row>
    <row r="567" ht="39.75" customHeight="1">
      <c r="A567" s="1">
        <v>566.0</v>
      </c>
      <c r="B567" s="2" t="s">
        <v>48</v>
      </c>
      <c r="C567" s="2" t="s">
        <v>13</v>
      </c>
      <c r="D567" s="13"/>
      <c r="E567" s="13"/>
      <c r="F567" s="45"/>
      <c r="G567" s="42"/>
      <c r="H567" s="42"/>
      <c r="I567" s="42"/>
      <c r="J567" s="22"/>
      <c r="K567" s="42"/>
    </row>
    <row r="568" ht="39.75" customHeight="1">
      <c r="A568" s="1">
        <v>567.0</v>
      </c>
      <c r="B568" s="21"/>
      <c r="C568" s="21"/>
      <c r="D568" s="21"/>
      <c r="E568" s="21"/>
      <c r="F568" s="46"/>
      <c r="G568" s="47"/>
      <c r="H568" s="47"/>
      <c r="I568" s="47"/>
      <c r="J568" s="48"/>
      <c r="K568" s="47"/>
      <c r="L568" s="49"/>
      <c r="M568" s="49"/>
      <c r="N568" s="49"/>
    </row>
    <row r="569" ht="39.75" customHeight="1">
      <c r="A569" s="1">
        <v>568.0</v>
      </c>
      <c r="B569" s="2" t="s">
        <v>12</v>
      </c>
      <c r="C569" s="2" t="s">
        <v>49</v>
      </c>
      <c r="D569" s="2">
        <v>1300.0</v>
      </c>
      <c r="E569" s="2">
        <v>1900.0</v>
      </c>
      <c r="F569" s="45"/>
      <c r="G569" s="42"/>
      <c r="H569" s="42"/>
      <c r="I569" s="42"/>
      <c r="J569" s="22"/>
      <c r="K569" s="42"/>
      <c r="L569" s="15" t="s">
        <v>369</v>
      </c>
    </row>
    <row r="570" ht="39.75" customHeight="1">
      <c r="A570" s="1">
        <v>569.0</v>
      </c>
      <c r="B570" s="2" t="s">
        <v>16</v>
      </c>
      <c r="C570" s="2" t="s">
        <v>13</v>
      </c>
      <c r="D570" s="13"/>
      <c r="E570" s="13"/>
      <c r="F570" s="45"/>
      <c r="G570" s="42"/>
      <c r="H570" s="42"/>
      <c r="I570" s="42"/>
      <c r="J570" s="27" t="s">
        <v>369</v>
      </c>
      <c r="K570" s="43"/>
    </row>
    <row r="571" ht="39.75" customHeight="1">
      <c r="A571" s="1">
        <v>570.0</v>
      </c>
      <c r="B571" s="2" t="s">
        <v>116</v>
      </c>
      <c r="C571" s="2" t="s">
        <v>13</v>
      </c>
      <c r="D571" s="13"/>
      <c r="E571" s="13"/>
      <c r="F571" s="45"/>
      <c r="G571" s="42"/>
      <c r="H571" s="42"/>
      <c r="I571" s="42"/>
      <c r="J571" s="22"/>
      <c r="K571" s="42"/>
    </row>
    <row r="572" ht="39.75" customHeight="1">
      <c r="A572" s="1">
        <v>571.0</v>
      </c>
      <c r="B572" s="2" t="s">
        <v>263</v>
      </c>
      <c r="C572" s="2" t="s">
        <v>13</v>
      </c>
      <c r="D572" s="13"/>
      <c r="E572" s="13"/>
      <c r="F572" s="44"/>
      <c r="G572" s="42"/>
      <c r="H572" s="42"/>
      <c r="I572" s="42"/>
      <c r="J572" s="22"/>
      <c r="K572" s="42"/>
    </row>
    <row r="573" ht="39.75" customHeight="1">
      <c r="A573" s="1">
        <v>572.0</v>
      </c>
      <c r="B573" s="2" t="s">
        <v>17</v>
      </c>
      <c r="C573" s="2" t="s">
        <v>13</v>
      </c>
      <c r="D573" s="13"/>
      <c r="E573" s="13"/>
      <c r="F573" s="45"/>
      <c r="G573" s="42"/>
      <c r="H573" s="42"/>
      <c r="I573" s="42"/>
      <c r="J573" s="22"/>
      <c r="K573" s="42"/>
    </row>
    <row r="574" ht="39.75" customHeight="1">
      <c r="A574" s="1">
        <v>573.0</v>
      </c>
      <c r="B574" s="2" t="s">
        <v>331</v>
      </c>
      <c r="C574" s="2" t="s">
        <v>13</v>
      </c>
      <c r="D574" s="13"/>
      <c r="E574" s="13"/>
      <c r="F574" s="45"/>
      <c r="G574" s="42"/>
      <c r="H574" s="42"/>
      <c r="I574" s="42"/>
      <c r="J574" s="22"/>
      <c r="K574" s="42"/>
    </row>
    <row r="575" ht="39.75" customHeight="1">
      <c r="A575" s="1">
        <v>574.0</v>
      </c>
      <c r="B575" s="2" t="s">
        <v>21</v>
      </c>
      <c r="C575" s="2" t="s">
        <v>13</v>
      </c>
      <c r="D575" s="13"/>
      <c r="E575" s="13"/>
      <c r="F575" s="45"/>
      <c r="G575" s="42"/>
      <c r="H575" s="42"/>
      <c r="I575" s="42"/>
      <c r="J575" s="22"/>
      <c r="K575" s="42"/>
    </row>
    <row r="576" ht="39.75" customHeight="1">
      <c r="A576" s="1">
        <v>575.0</v>
      </c>
      <c r="B576" s="2" t="s">
        <v>22</v>
      </c>
      <c r="C576" s="2" t="s">
        <v>39</v>
      </c>
      <c r="D576" s="2">
        <v>900.0</v>
      </c>
      <c r="E576" s="2">
        <v>1800.0</v>
      </c>
      <c r="F576" s="57" t="s">
        <v>4074</v>
      </c>
      <c r="G576" s="42"/>
      <c r="H576" s="42"/>
      <c r="I576" s="42"/>
      <c r="J576" s="22"/>
      <c r="K576" s="42"/>
    </row>
    <row r="577" ht="39.75" customHeight="1">
      <c r="A577" s="1">
        <v>576.0</v>
      </c>
      <c r="B577" s="2" t="s">
        <v>261</v>
      </c>
      <c r="C577" s="2" t="s">
        <v>13</v>
      </c>
      <c r="D577" s="13"/>
      <c r="E577" s="13"/>
      <c r="F577" s="45"/>
      <c r="G577" s="42"/>
      <c r="H577" s="42"/>
      <c r="I577" s="42"/>
      <c r="J577" s="22"/>
      <c r="K577" s="42"/>
    </row>
    <row r="578" ht="39.75" customHeight="1">
      <c r="A578" s="1">
        <v>577.0</v>
      </c>
      <c r="B578" s="2" t="s">
        <v>23</v>
      </c>
      <c r="C578" s="2" t="s">
        <v>13</v>
      </c>
      <c r="D578" s="13"/>
      <c r="E578" s="13"/>
      <c r="F578" s="45"/>
      <c r="G578" s="42"/>
      <c r="H578" s="42"/>
      <c r="I578" s="42"/>
      <c r="J578" s="22"/>
      <c r="K578" s="42"/>
    </row>
    <row r="579" ht="39.75" customHeight="1">
      <c r="A579" s="1">
        <v>578.0</v>
      </c>
      <c r="B579" s="2" t="s">
        <v>24</v>
      </c>
      <c r="C579" s="2" t="s">
        <v>13</v>
      </c>
      <c r="D579" s="13"/>
      <c r="E579" s="13"/>
      <c r="F579" s="45"/>
      <c r="G579" s="42"/>
      <c r="H579" s="42"/>
      <c r="I579" s="42"/>
      <c r="J579" s="22"/>
      <c r="K579" s="42"/>
    </row>
    <row r="580" ht="39.75" customHeight="1">
      <c r="A580" s="1">
        <v>579.0</v>
      </c>
      <c r="B580" s="2" t="s">
        <v>25</v>
      </c>
      <c r="C580" s="2" t="s">
        <v>13</v>
      </c>
      <c r="D580" s="13"/>
      <c r="E580" s="13"/>
      <c r="F580" s="45"/>
      <c r="G580" s="42"/>
      <c r="H580" s="42"/>
      <c r="I580" s="42"/>
      <c r="J580" s="22"/>
      <c r="K580" s="42"/>
    </row>
    <row r="581" ht="39.75" customHeight="1">
      <c r="A581" s="1">
        <v>580.0</v>
      </c>
      <c r="B581" s="2" t="s">
        <v>26</v>
      </c>
      <c r="C581" s="2" t="s">
        <v>13</v>
      </c>
      <c r="D581" s="13"/>
      <c r="E581" s="13"/>
      <c r="F581" s="45"/>
      <c r="G581" s="42"/>
      <c r="H581" s="42"/>
      <c r="I581" s="42"/>
      <c r="J581" s="22"/>
      <c r="K581" s="42"/>
    </row>
    <row r="582" ht="39.75" customHeight="1">
      <c r="A582" s="1">
        <v>581.0</v>
      </c>
      <c r="B582" s="2" t="s">
        <v>29</v>
      </c>
      <c r="C582" s="2" t="s">
        <v>3600</v>
      </c>
      <c r="D582" s="13"/>
      <c r="E582" s="13"/>
      <c r="F582" s="45"/>
      <c r="G582" s="42"/>
      <c r="H582" s="42"/>
      <c r="I582" s="42"/>
      <c r="J582" s="22"/>
      <c r="K582" s="42"/>
    </row>
    <row r="583" ht="39.75" customHeight="1">
      <c r="A583" s="1">
        <v>582.0</v>
      </c>
      <c r="B583" s="2" t="s">
        <v>32</v>
      </c>
      <c r="C583" s="2" t="s">
        <v>3560</v>
      </c>
      <c r="D583" s="2">
        <v>1300.0</v>
      </c>
      <c r="E583" s="2">
        <v>1900.0</v>
      </c>
      <c r="F583" s="57" t="s">
        <v>4075</v>
      </c>
      <c r="G583" s="43">
        <v>1.0</v>
      </c>
      <c r="H583" s="42"/>
      <c r="I583" s="43">
        <v>1.0</v>
      </c>
      <c r="J583" s="22"/>
      <c r="K583" s="42"/>
    </row>
    <row r="584" ht="39.75" customHeight="1">
      <c r="A584" s="1">
        <v>583.0</v>
      </c>
      <c r="B584" s="2" t="s">
        <v>67</v>
      </c>
      <c r="C584" s="2" t="s">
        <v>3560</v>
      </c>
      <c r="D584" s="2">
        <v>900.0</v>
      </c>
      <c r="E584" s="13"/>
      <c r="F584" s="45"/>
      <c r="G584" s="42"/>
      <c r="H584" s="42"/>
      <c r="I584" s="42"/>
      <c r="J584" s="22"/>
      <c r="K584" s="42"/>
    </row>
    <row r="585" ht="39.75" customHeight="1">
      <c r="A585" s="1">
        <v>584.0</v>
      </c>
      <c r="B585" s="2" t="s">
        <v>35</v>
      </c>
      <c r="C585" s="2" t="s">
        <v>3563</v>
      </c>
      <c r="D585" s="2">
        <v>1800.0</v>
      </c>
      <c r="E585" s="13"/>
      <c r="F585" s="45"/>
      <c r="G585" s="42"/>
      <c r="H585" s="42"/>
      <c r="I585" s="42"/>
      <c r="J585" s="22"/>
      <c r="K585" s="42"/>
    </row>
    <row r="586" ht="39.75" customHeight="1">
      <c r="A586" s="1">
        <v>585.0</v>
      </c>
      <c r="B586" s="2" t="s">
        <v>36</v>
      </c>
      <c r="C586" s="2" t="s">
        <v>3600</v>
      </c>
      <c r="D586" s="13"/>
      <c r="E586" s="13"/>
      <c r="F586" s="45"/>
      <c r="G586" s="42"/>
      <c r="H586" s="42"/>
      <c r="I586" s="42"/>
      <c r="J586" s="22"/>
      <c r="K586" s="42"/>
    </row>
    <row r="587" ht="39.75" customHeight="1">
      <c r="A587" s="1">
        <v>586.0</v>
      </c>
      <c r="B587" s="2" t="s">
        <v>38</v>
      </c>
      <c r="C587" s="2" t="s">
        <v>13</v>
      </c>
      <c r="D587" s="13"/>
      <c r="E587" s="13"/>
      <c r="F587" s="45"/>
      <c r="G587" s="42"/>
      <c r="H587" s="42"/>
      <c r="I587" s="42"/>
      <c r="J587" s="22"/>
      <c r="K587" s="42"/>
    </row>
    <row r="588" ht="39.75" customHeight="1">
      <c r="A588" s="1">
        <v>587.0</v>
      </c>
      <c r="B588" s="2" t="s">
        <v>41</v>
      </c>
      <c r="C588" s="2" t="s">
        <v>3571</v>
      </c>
      <c r="D588" s="13"/>
      <c r="E588" s="13"/>
      <c r="F588" s="45"/>
      <c r="G588" s="42"/>
      <c r="H588" s="42"/>
      <c r="I588" s="42"/>
      <c r="J588" s="22"/>
      <c r="K588" s="42"/>
    </row>
    <row r="589" ht="39.75" customHeight="1">
      <c r="A589" s="1">
        <v>588.0</v>
      </c>
      <c r="B589" s="2" t="s">
        <v>42</v>
      </c>
      <c r="C589" s="2" t="s">
        <v>3600</v>
      </c>
      <c r="D589" s="13"/>
      <c r="E589" s="13"/>
      <c r="F589" s="45"/>
      <c r="G589" s="42"/>
      <c r="H589" s="42"/>
      <c r="I589" s="42"/>
      <c r="J589" s="22"/>
      <c r="K589" s="42"/>
    </row>
    <row r="590" ht="39.75" customHeight="1">
      <c r="A590" s="1">
        <v>589.0</v>
      </c>
      <c r="B590" s="2" t="s">
        <v>43</v>
      </c>
      <c r="C590" s="2" t="s">
        <v>13</v>
      </c>
      <c r="D590" s="13"/>
      <c r="E590" s="13"/>
      <c r="F590" s="45"/>
      <c r="G590" s="42"/>
      <c r="H590" s="42"/>
      <c r="I590" s="42"/>
      <c r="J590" s="22"/>
      <c r="K590" s="42"/>
    </row>
    <row r="591" ht="39.75" customHeight="1">
      <c r="A591" s="1">
        <v>590.0</v>
      </c>
      <c r="B591" s="2" t="s">
        <v>267</v>
      </c>
      <c r="C591" s="2" t="s">
        <v>13</v>
      </c>
      <c r="D591" s="13"/>
      <c r="E591" s="13"/>
      <c r="F591" s="45"/>
      <c r="G591" s="42"/>
      <c r="H591" s="42"/>
      <c r="I591" s="42"/>
      <c r="J591" s="22"/>
      <c r="K591" s="42"/>
    </row>
    <row r="592" ht="39.75" customHeight="1">
      <c r="A592" s="1">
        <v>591.0</v>
      </c>
      <c r="B592" s="2" t="s">
        <v>46</v>
      </c>
      <c r="C592" s="2" t="s">
        <v>44</v>
      </c>
      <c r="D592" s="13"/>
      <c r="E592" s="13"/>
      <c r="F592" s="45"/>
      <c r="G592" s="42"/>
      <c r="H592" s="42"/>
      <c r="I592" s="42"/>
      <c r="J592" s="22"/>
      <c r="K592" s="42"/>
    </row>
    <row r="593" ht="39.75" customHeight="1">
      <c r="A593" s="1">
        <v>592.0</v>
      </c>
      <c r="B593" s="2" t="s">
        <v>47</v>
      </c>
      <c r="C593" s="2" t="s">
        <v>3600</v>
      </c>
      <c r="D593" s="13"/>
      <c r="E593" s="13"/>
      <c r="F593" s="45"/>
      <c r="G593" s="42"/>
      <c r="H593" s="42"/>
      <c r="I593" s="42"/>
      <c r="J593" s="22"/>
      <c r="K593" s="42"/>
    </row>
    <row r="594" ht="39.75" customHeight="1">
      <c r="A594" s="1">
        <v>593.0</v>
      </c>
      <c r="B594" s="2" t="s">
        <v>48</v>
      </c>
      <c r="C594" s="2" t="s">
        <v>13</v>
      </c>
      <c r="D594" s="13"/>
      <c r="E594" s="13"/>
      <c r="F594" s="45"/>
      <c r="G594" s="42"/>
      <c r="H594" s="42"/>
      <c r="I594" s="42"/>
      <c r="J594" s="22"/>
      <c r="K594" s="42"/>
    </row>
    <row r="595" ht="39.75" customHeight="1">
      <c r="A595" s="1">
        <v>594.0</v>
      </c>
      <c r="B595" s="21"/>
      <c r="C595" s="21"/>
      <c r="D595" s="21"/>
      <c r="E595" s="21"/>
      <c r="F595" s="46"/>
      <c r="G595" s="47"/>
      <c r="H595" s="47"/>
      <c r="I595" s="47"/>
      <c r="J595" s="48"/>
      <c r="K595" s="47"/>
      <c r="L595" s="49"/>
      <c r="M595" s="49"/>
      <c r="N595" s="49"/>
    </row>
    <row r="596" ht="39.75" customHeight="1">
      <c r="A596" s="1">
        <v>595.0</v>
      </c>
      <c r="B596" s="2" t="s">
        <v>12</v>
      </c>
      <c r="C596" s="2" t="s">
        <v>62</v>
      </c>
      <c r="D596" s="13"/>
      <c r="E596" s="13"/>
      <c r="F596" s="45"/>
      <c r="G596" s="42"/>
      <c r="H596" s="42"/>
      <c r="I596" s="42"/>
      <c r="J596" s="22"/>
      <c r="K596" s="42"/>
      <c r="L596" s="15" t="s">
        <v>376</v>
      </c>
    </row>
    <row r="597" ht="39.75" customHeight="1">
      <c r="A597" s="1">
        <v>596.0</v>
      </c>
      <c r="B597" s="2" t="s">
        <v>16</v>
      </c>
      <c r="C597" s="2" t="s">
        <v>54</v>
      </c>
      <c r="D597" s="13"/>
      <c r="E597" s="13"/>
      <c r="F597" s="44" t="s">
        <v>4076</v>
      </c>
      <c r="G597" s="43">
        <v>1.0</v>
      </c>
      <c r="H597" s="42"/>
      <c r="I597" s="43">
        <v>1.0</v>
      </c>
      <c r="J597" s="27" t="s">
        <v>376</v>
      </c>
      <c r="K597" s="43"/>
    </row>
    <row r="598" ht="39.75" customHeight="1">
      <c r="A598" s="1">
        <v>597.0</v>
      </c>
      <c r="B598" s="2" t="s">
        <v>116</v>
      </c>
      <c r="C598" s="2" t="s">
        <v>66</v>
      </c>
      <c r="D598" s="13"/>
      <c r="E598" s="13"/>
      <c r="F598" s="45"/>
      <c r="G598" s="42"/>
      <c r="H598" s="42"/>
      <c r="I598" s="42"/>
      <c r="J598" s="27" t="s">
        <v>151</v>
      </c>
      <c r="K598" s="42"/>
    </row>
    <row r="599" ht="39.75" customHeight="1">
      <c r="A599" s="1">
        <v>598.0</v>
      </c>
      <c r="B599" s="2" t="s">
        <v>263</v>
      </c>
      <c r="C599" s="2" t="s">
        <v>3562</v>
      </c>
      <c r="D599" s="13"/>
      <c r="E599" s="13"/>
      <c r="F599" s="44"/>
      <c r="G599" s="42"/>
      <c r="H599" s="42"/>
      <c r="I599" s="42"/>
      <c r="J599" s="27" t="s">
        <v>152</v>
      </c>
      <c r="K599" s="42"/>
    </row>
    <row r="600" ht="39.75" customHeight="1">
      <c r="A600" s="1">
        <v>599.0</v>
      </c>
      <c r="B600" s="2" t="s">
        <v>17</v>
      </c>
      <c r="C600" s="2" t="s">
        <v>13</v>
      </c>
      <c r="D600" s="13"/>
      <c r="E600" s="13"/>
      <c r="F600" s="45"/>
      <c r="G600" s="42"/>
      <c r="H600" s="42"/>
      <c r="I600" s="42"/>
      <c r="J600" s="27" t="s">
        <v>4077</v>
      </c>
      <c r="K600" s="42"/>
    </row>
    <row r="601" ht="39.75" customHeight="1">
      <c r="A601" s="1">
        <v>600.0</v>
      </c>
      <c r="B601" s="2" t="s">
        <v>331</v>
      </c>
      <c r="C601" s="2" t="s">
        <v>3562</v>
      </c>
      <c r="D601" s="13"/>
      <c r="E601" s="13"/>
      <c r="F601" s="44" t="s">
        <v>4051</v>
      </c>
      <c r="G601" s="42"/>
      <c r="H601" s="42"/>
      <c r="I601" s="42"/>
      <c r="J601" s="27" t="s">
        <v>3715</v>
      </c>
      <c r="K601" s="42"/>
    </row>
    <row r="602" ht="39.75" customHeight="1">
      <c r="A602" s="1">
        <v>601.0</v>
      </c>
      <c r="B602" s="2" t="s">
        <v>21</v>
      </c>
      <c r="C602" s="2" t="s">
        <v>3560</v>
      </c>
      <c r="D602" s="13"/>
      <c r="E602" s="13"/>
      <c r="F602" s="44" t="s">
        <v>4078</v>
      </c>
      <c r="G602" s="43">
        <v>1.0</v>
      </c>
      <c r="H602" s="42"/>
      <c r="I602" s="42"/>
      <c r="J602" s="27" t="s">
        <v>4079</v>
      </c>
      <c r="K602" s="42"/>
    </row>
    <row r="603" ht="39.75" customHeight="1">
      <c r="A603" s="1">
        <v>602.0</v>
      </c>
      <c r="B603" s="2" t="s">
        <v>22</v>
      </c>
      <c r="C603" s="2" t="s">
        <v>69</v>
      </c>
      <c r="D603" s="13"/>
      <c r="E603" s="13"/>
      <c r="F603" s="57" t="s">
        <v>4080</v>
      </c>
      <c r="G603" s="43">
        <v>1.0</v>
      </c>
      <c r="H603" s="42"/>
      <c r="I603" s="42"/>
      <c r="J603" s="22"/>
      <c r="K603" s="42"/>
    </row>
    <row r="604" ht="39.75" customHeight="1">
      <c r="A604" s="1">
        <v>603.0</v>
      </c>
      <c r="B604" s="2" t="s">
        <v>261</v>
      </c>
      <c r="C604" s="2" t="s">
        <v>13</v>
      </c>
      <c r="D604" s="13"/>
      <c r="E604" s="13"/>
      <c r="F604" s="45"/>
      <c r="G604" s="42"/>
      <c r="H604" s="42"/>
      <c r="I604" s="42"/>
      <c r="J604" s="22"/>
      <c r="K604" s="42"/>
    </row>
    <row r="605" ht="39.75" customHeight="1">
      <c r="A605" s="1">
        <v>604.0</v>
      </c>
      <c r="B605" s="2" t="s">
        <v>23</v>
      </c>
      <c r="C605" s="2" t="s">
        <v>7</v>
      </c>
      <c r="D605" s="13"/>
      <c r="E605" s="13"/>
      <c r="F605" s="44" t="s">
        <v>4081</v>
      </c>
      <c r="G605" s="42"/>
      <c r="H605" s="42"/>
      <c r="I605" s="42"/>
      <c r="J605" s="22"/>
      <c r="K605" s="42"/>
    </row>
    <row r="606" ht="39.75" customHeight="1">
      <c r="A606" s="1">
        <v>605.0</v>
      </c>
      <c r="B606" s="2" t="s">
        <v>24</v>
      </c>
      <c r="C606" s="2" t="s">
        <v>3563</v>
      </c>
      <c r="D606" s="13"/>
      <c r="E606" s="13"/>
      <c r="F606" s="45"/>
      <c r="G606" s="42"/>
      <c r="H606" s="42"/>
      <c r="I606" s="42"/>
      <c r="J606" s="22"/>
      <c r="K606" s="42"/>
    </row>
    <row r="607" ht="39.75" customHeight="1">
      <c r="A607" s="1">
        <v>606.0</v>
      </c>
      <c r="B607" s="2" t="s">
        <v>25</v>
      </c>
      <c r="C607" s="2" t="s">
        <v>69</v>
      </c>
      <c r="D607" s="13"/>
      <c r="E607" s="13"/>
      <c r="F607" s="64" t="s">
        <v>4082</v>
      </c>
      <c r="G607" s="43">
        <v>2.0</v>
      </c>
      <c r="H607" s="42"/>
      <c r="I607" s="43">
        <v>1.0</v>
      </c>
      <c r="J607" s="22"/>
      <c r="K607" s="42"/>
    </row>
    <row r="608" ht="39.75" customHeight="1">
      <c r="A608" s="1">
        <v>607.0</v>
      </c>
      <c r="B608" s="2" t="s">
        <v>26</v>
      </c>
      <c r="C608" s="2" t="s">
        <v>69</v>
      </c>
      <c r="D608" s="13"/>
      <c r="E608" s="13"/>
      <c r="F608" s="44" t="s">
        <v>4083</v>
      </c>
      <c r="G608" s="43">
        <v>1.0</v>
      </c>
      <c r="H608" s="42"/>
      <c r="I608" s="42"/>
      <c r="J608" s="22"/>
      <c r="K608" s="42"/>
    </row>
    <row r="609" ht="39.75" customHeight="1">
      <c r="A609" s="1">
        <v>608.0</v>
      </c>
      <c r="B609" s="2" t="s">
        <v>29</v>
      </c>
      <c r="C609" s="2" t="s">
        <v>3600</v>
      </c>
      <c r="D609" s="13"/>
      <c r="E609" s="13"/>
      <c r="F609" s="45"/>
      <c r="G609" s="42"/>
      <c r="H609" s="42"/>
      <c r="I609" s="42"/>
      <c r="J609" s="22"/>
      <c r="K609" s="42"/>
    </row>
    <row r="610" ht="39.75" customHeight="1">
      <c r="A610" s="1">
        <v>609.0</v>
      </c>
      <c r="B610" s="2" t="s">
        <v>32</v>
      </c>
      <c r="C610" s="2" t="s">
        <v>54</v>
      </c>
      <c r="D610" s="40">
        <v>0.3333333333333333</v>
      </c>
      <c r="E610" s="40">
        <v>0.75</v>
      </c>
      <c r="F610" s="57" t="s">
        <v>4084</v>
      </c>
      <c r="G610" s="43">
        <v>1.0</v>
      </c>
      <c r="H610" s="43">
        <v>1.0</v>
      </c>
      <c r="I610" s="42"/>
      <c r="J610" s="22"/>
      <c r="K610" s="42"/>
    </row>
    <row r="611" ht="39.75" customHeight="1">
      <c r="A611" s="1">
        <v>610.0</v>
      </c>
      <c r="B611" s="2" t="s">
        <v>67</v>
      </c>
      <c r="C611" s="2" t="s">
        <v>3560</v>
      </c>
      <c r="D611" s="13"/>
      <c r="E611" s="13"/>
      <c r="F611" s="44" t="s">
        <v>439</v>
      </c>
      <c r="G611" s="42"/>
      <c r="H611" s="42"/>
      <c r="I611" s="42"/>
      <c r="J611" s="22"/>
      <c r="K611" s="42"/>
    </row>
    <row r="612" ht="39.75" customHeight="1">
      <c r="A612" s="1">
        <v>611.0</v>
      </c>
      <c r="B612" s="2" t="s">
        <v>35</v>
      </c>
      <c r="C612" s="2" t="s">
        <v>3560</v>
      </c>
      <c r="D612" s="13"/>
      <c r="E612" s="13"/>
      <c r="F612" s="44" t="s">
        <v>4085</v>
      </c>
      <c r="G612" s="43">
        <v>1.0</v>
      </c>
      <c r="H612" s="42"/>
      <c r="I612" s="42"/>
      <c r="J612" s="22"/>
      <c r="K612" s="42"/>
    </row>
    <row r="613" ht="39.75" customHeight="1">
      <c r="A613" s="1">
        <v>612.0</v>
      </c>
      <c r="B613" s="2" t="s">
        <v>36</v>
      </c>
      <c r="C613" s="2" t="s">
        <v>3600</v>
      </c>
      <c r="D613" s="13"/>
      <c r="E613" s="13"/>
      <c r="F613" s="45"/>
      <c r="G613" s="42"/>
      <c r="H613" s="42"/>
      <c r="I613" s="42"/>
      <c r="J613" s="22"/>
      <c r="K613" s="42"/>
    </row>
    <row r="614" ht="39.75" customHeight="1">
      <c r="A614" s="1">
        <v>613.0</v>
      </c>
      <c r="B614" s="2" t="s">
        <v>38</v>
      </c>
      <c r="C614" s="2" t="s">
        <v>27</v>
      </c>
      <c r="D614" s="13"/>
      <c r="E614" s="13"/>
      <c r="F614" s="45"/>
      <c r="G614" s="42"/>
      <c r="H614" s="42"/>
      <c r="I614" s="42"/>
      <c r="J614" s="22"/>
      <c r="K614" s="42"/>
    </row>
    <row r="615" ht="39.75" customHeight="1">
      <c r="A615" s="1">
        <v>614.0</v>
      </c>
      <c r="B615" s="2" t="s">
        <v>41</v>
      </c>
      <c r="C615" s="2" t="s">
        <v>44</v>
      </c>
      <c r="D615" s="13"/>
      <c r="E615" s="13"/>
      <c r="F615" s="45"/>
      <c r="G615" s="42"/>
      <c r="H615" s="42"/>
      <c r="I615" s="42"/>
      <c r="J615" s="22"/>
      <c r="K615" s="42"/>
    </row>
    <row r="616" ht="39.75" customHeight="1">
      <c r="A616" s="1">
        <v>615.0</v>
      </c>
      <c r="B616" s="2" t="s">
        <v>42</v>
      </c>
      <c r="C616" s="2" t="s">
        <v>3600</v>
      </c>
      <c r="D616" s="13"/>
      <c r="E616" s="13"/>
      <c r="F616" s="45"/>
      <c r="G616" s="42"/>
      <c r="H616" s="42"/>
      <c r="I616" s="42"/>
      <c r="J616" s="22"/>
      <c r="K616" s="42"/>
    </row>
    <row r="617" ht="39.75" customHeight="1">
      <c r="A617" s="1">
        <v>616.0</v>
      </c>
      <c r="B617" s="2" t="s">
        <v>43</v>
      </c>
      <c r="C617" s="2" t="s">
        <v>39</v>
      </c>
      <c r="D617" s="40">
        <v>0.2916666666666667</v>
      </c>
      <c r="E617" s="13"/>
      <c r="F617" s="44" t="s">
        <v>4086</v>
      </c>
      <c r="G617" s="43">
        <v>1.0</v>
      </c>
      <c r="H617" s="42"/>
      <c r="I617" s="42"/>
      <c r="J617" s="22"/>
      <c r="K617" s="42"/>
    </row>
    <row r="618" ht="39.75" customHeight="1">
      <c r="A618" s="1">
        <v>617.0</v>
      </c>
      <c r="B618" s="2" t="s">
        <v>267</v>
      </c>
      <c r="C618" s="2" t="s">
        <v>64</v>
      </c>
      <c r="D618" s="40">
        <v>0.3125</v>
      </c>
      <c r="E618" s="13"/>
      <c r="F618" s="44" t="s">
        <v>385</v>
      </c>
      <c r="G618" s="42"/>
      <c r="H618" s="42"/>
      <c r="I618" s="42"/>
      <c r="J618" s="22"/>
      <c r="K618" s="42"/>
    </row>
    <row r="619" ht="39.75" customHeight="1">
      <c r="A619" s="1">
        <v>618.0</v>
      </c>
      <c r="B619" s="2" t="s">
        <v>46</v>
      </c>
      <c r="C619" s="2" t="s">
        <v>39</v>
      </c>
      <c r="D619" s="40">
        <v>0.2916666666666667</v>
      </c>
      <c r="E619" s="40">
        <v>0.75</v>
      </c>
      <c r="F619" s="44" t="s">
        <v>4087</v>
      </c>
      <c r="G619" s="43">
        <v>2.0</v>
      </c>
      <c r="H619" s="42"/>
      <c r="I619" s="43">
        <v>2.0</v>
      </c>
      <c r="J619" s="22"/>
      <c r="K619" s="42"/>
    </row>
    <row r="620" ht="39.75" customHeight="1">
      <c r="A620" s="1">
        <v>619.0</v>
      </c>
      <c r="B620" s="2" t="s">
        <v>47</v>
      </c>
      <c r="C620" s="2" t="s">
        <v>3600</v>
      </c>
      <c r="D620" s="13"/>
      <c r="E620" s="13"/>
      <c r="F620" s="45"/>
      <c r="G620" s="42"/>
      <c r="H620" s="42"/>
      <c r="I620" s="42"/>
      <c r="J620" s="22"/>
      <c r="K620" s="42"/>
    </row>
    <row r="621" ht="39.75" customHeight="1">
      <c r="A621" s="1">
        <v>620.0</v>
      </c>
      <c r="B621" s="2" t="s">
        <v>48</v>
      </c>
      <c r="C621" s="2" t="s">
        <v>54</v>
      </c>
      <c r="D621" s="40">
        <v>0.2916666666666667</v>
      </c>
      <c r="E621" s="40">
        <v>0.8333333333333334</v>
      </c>
      <c r="F621" s="64" t="s">
        <v>4088</v>
      </c>
      <c r="G621" s="43">
        <v>1.0</v>
      </c>
      <c r="H621" s="43">
        <v>1.0</v>
      </c>
      <c r="I621" s="43"/>
      <c r="J621" s="22"/>
      <c r="K621" s="42"/>
    </row>
    <row r="622" ht="39.75" customHeight="1">
      <c r="A622" s="1">
        <v>621.0</v>
      </c>
      <c r="B622" s="21"/>
      <c r="C622" s="21"/>
      <c r="D622" s="21"/>
      <c r="E622" s="21"/>
      <c r="F622" s="46"/>
      <c r="G622" s="47"/>
      <c r="H622" s="47"/>
      <c r="I622" s="47"/>
      <c r="J622" s="48"/>
      <c r="K622" s="47"/>
      <c r="L622" s="49"/>
      <c r="M622" s="49"/>
      <c r="N622" s="49"/>
    </row>
    <row r="623" ht="39.75" customHeight="1">
      <c r="A623" s="1">
        <v>622.0</v>
      </c>
      <c r="B623" s="2" t="s">
        <v>12</v>
      </c>
      <c r="C623" s="2" t="s">
        <v>62</v>
      </c>
      <c r="D623" s="13"/>
      <c r="E623" s="13"/>
      <c r="F623" s="45"/>
      <c r="G623" s="42"/>
      <c r="H623" s="42"/>
      <c r="I623" s="42"/>
      <c r="J623" s="22"/>
      <c r="K623" s="42"/>
      <c r="L623" s="15" t="s">
        <v>3810</v>
      </c>
    </row>
    <row r="624" ht="39.75" customHeight="1">
      <c r="A624" s="1">
        <v>623.0</v>
      </c>
      <c r="B624" s="2" t="s">
        <v>16</v>
      </c>
      <c r="C624" s="2" t="s">
        <v>54</v>
      </c>
      <c r="D624" s="13"/>
      <c r="E624" s="13"/>
      <c r="F624" s="44" t="s">
        <v>4089</v>
      </c>
      <c r="G624" s="43">
        <v>2.0</v>
      </c>
      <c r="H624" s="42"/>
      <c r="I624" s="43">
        <v>1.0</v>
      </c>
      <c r="J624" s="27" t="s">
        <v>389</v>
      </c>
      <c r="K624" s="43"/>
    </row>
    <row r="625" ht="39.75" customHeight="1">
      <c r="A625" s="1">
        <v>624.0</v>
      </c>
      <c r="B625" s="2" t="s">
        <v>116</v>
      </c>
      <c r="C625" s="2" t="s">
        <v>54</v>
      </c>
      <c r="D625" s="13"/>
      <c r="E625" s="13"/>
      <c r="F625" s="44" t="s">
        <v>4090</v>
      </c>
      <c r="G625" s="43">
        <v>2.0</v>
      </c>
      <c r="H625" s="42"/>
      <c r="I625" s="43">
        <v>1.0</v>
      </c>
      <c r="J625" s="27" t="s">
        <v>77</v>
      </c>
      <c r="K625" s="42"/>
    </row>
    <row r="626" ht="39.75" customHeight="1">
      <c r="A626" s="1">
        <v>625.0</v>
      </c>
      <c r="B626" s="2" t="s">
        <v>263</v>
      </c>
      <c r="C626" s="2" t="s">
        <v>3562</v>
      </c>
      <c r="D626" s="13"/>
      <c r="E626" s="13"/>
      <c r="F626" s="44"/>
      <c r="G626" s="42"/>
      <c r="H626" s="42"/>
      <c r="I626" s="42"/>
      <c r="J626" s="27" t="s">
        <v>3705</v>
      </c>
      <c r="K626" s="42"/>
    </row>
    <row r="627" ht="39.75" customHeight="1">
      <c r="A627" s="1">
        <v>626.0</v>
      </c>
      <c r="B627" s="2" t="s">
        <v>17</v>
      </c>
      <c r="C627" s="2" t="s">
        <v>58</v>
      </c>
      <c r="D627" s="13"/>
      <c r="E627" s="13"/>
      <c r="F627" s="45"/>
      <c r="G627" s="42"/>
      <c r="H627" s="42"/>
      <c r="I627" s="42"/>
      <c r="J627" s="27" t="s">
        <v>3706</v>
      </c>
      <c r="K627" s="42"/>
    </row>
    <row r="628" ht="39.75" customHeight="1">
      <c r="A628" s="1">
        <v>627.0</v>
      </c>
      <c r="B628" s="2" t="s">
        <v>331</v>
      </c>
      <c r="C628" s="2" t="s">
        <v>3562</v>
      </c>
      <c r="D628" s="13"/>
      <c r="E628" s="13"/>
      <c r="F628" s="45"/>
      <c r="G628" s="42"/>
      <c r="H628" s="42"/>
      <c r="I628" s="42"/>
      <c r="J628" s="27" t="s">
        <v>167</v>
      </c>
      <c r="K628" s="42"/>
    </row>
    <row r="629" ht="39.75" customHeight="1">
      <c r="A629" s="1">
        <v>628.0</v>
      </c>
      <c r="B629" s="2" t="s">
        <v>21</v>
      </c>
      <c r="C629" s="2" t="s">
        <v>3557</v>
      </c>
      <c r="D629" s="40"/>
      <c r="E629" s="13"/>
      <c r="F629" s="44" t="s">
        <v>4091</v>
      </c>
      <c r="G629" s="42"/>
      <c r="H629" s="42"/>
      <c r="I629" s="42"/>
      <c r="J629" s="22"/>
      <c r="K629" s="42"/>
    </row>
    <row r="630" ht="39.75" customHeight="1">
      <c r="A630" s="1">
        <v>629.0</v>
      </c>
      <c r="B630" s="2" t="s">
        <v>22</v>
      </c>
      <c r="C630" s="2" t="s">
        <v>69</v>
      </c>
      <c r="D630" s="13"/>
      <c r="E630" s="13"/>
      <c r="F630" s="44" t="s">
        <v>4092</v>
      </c>
      <c r="G630" s="43">
        <v>1.0</v>
      </c>
      <c r="H630" s="42"/>
      <c r="I630" s="43">
        <v>1.0</v>
      </c>
      <c r="J630" s="22"/>
      <c r="K630" s="42"/>
    </row>
    <row r="631" ht="39.75" customHeight="1">
      <c r="A631" s="1">
        <v>630.0</v>
      </c>
      <c r="B631" s="2" t="s">
        <v>261</v>
      </c>
      <c r="C631" s="2" t="s">
        <v>13</v>
      </c>
      <c r="D631" s="13"/>
      <c r="E631" s="13"/>
      <c r="F631" s="45"/>
      <c r="G631" s="42"/>
      <c r="H631" s="42"/>
      <c r="I631" s="42"/>
      <c r="J631" s="22"/>
      <c r="K631" s="42"/>
    </row>
    <row r="632" ht="39.75" customHeight="1">
      <c r="A632" s="1">
        <v>631.0</v>
      </c>
      <c r="B632" s="2" t="s">
        <v>23</v>
      </c>
      <c r="C632" s="2" t="s">
        <v>3557</v>
      </c>
      <c r="D632" s="13"/>
      <c r="E632" s="13"/>
      <c r="F632" s="44" t="s">
        <v>4093</v>
      </c>
      <c r="G632" s="42"/>
      <c r="H632" s="42"/>
      <c r="I632" s="42"/>
      <c r="J632" s="22"/>
      <c r="K632" s="42"/>
    </row>
    <row r="633" ht="39.75" customHeight="1">
      <c r="A633" s="1">
        <v>632.0</v>
      </c>
      <c r="B633" s="2" t="s">
        <v>24</v>
      </c>
      <c r="C633" s="2" t="s">
        <v>3563</v>
      </c>
      <c r="D633" s="13"/>
      <c r="E633" s="13"/>
      <c r="F633" s="45"/>
      <c r="G633" s="42"/>
      <c r="H633" s="42"/>
      <c r="I633" s="42"/>
      <c r="J633" s="22"/>
      <c r="K633" s="42"/>
    </row>
    <row r="634" ht="39.75" customHeight="1">
      <c r="A634" s="1">
        <v>633.0</v>
      </c>
      <c r="B634" s="2" t="s">
        <v>25</v>
      </c>
      <c r="C634" s="2" t="s">
        <v>3560</v>
      </c>
      <c r="D634" s="13"/>
      <c r="E634" s="13"/>
      <c r="F634" s="44" t="s">
        <v>4094</v>
      </c>
      <c r="G634" s="43">
        <v>1.0</v>
      </c>
      <c r="H634" s="42"/>
      <c r="I634" s="42"/>
      <c r="J634" s="22"/>
      <c r="K634" s="42"/>
    </row>
    <row r="635" ht="39.75" customHeight="1">
      <c r="A635" s="1">
        <v>634.0</v>
      </c>
      <c r="B635" s="2" t="s">
        <v>26</v>
      </c>
      <c r="C635" s="2" t="s">
        <v>39</v>
      </c>
      <c r="D635" s="13"/>
      <c r="E635" s="13"/>
      <c r="F635" s="44" t="s">
        <v>1889</v>
      </c>
      <c r="G635" s="42"/>
      <c r="H635" s="42"/>
      <c r="I635" s="42"/>
      <c r="J635" s="22"/>
      <c r="K635" s="42"/>
    </row>
    <row r="636" ht="39.75" customHeight="1">
      <c r="A636" s="1">
        <v>635.0</v>
      </c>
      <c r="B636" s="2" t="s">
        <v>29</v>
      </c>
      <c r="C636" s="2" t="s">
        <v>3600</v>
      </c>
      <c r="D636" s="13"/>
      <c r="E636" s="13"/>
      <c r="F636" s="45"/>
      <c r="G636" s="42"/>
      <c r="H636" s="42"/>
      <c r="I636" s="42"/>
      <c r="J636" s="22"/>
      <c r="K636" s="42"/>
    </row>
    <row r="637" ht="39.75" customHeight="1">
      <c r="A637" s="1">
        <v>636.0</v>
      </c>
      <c r="B637" s="2" t="s">
        <v>32</v>
      </c>
      <c r="C637" s="2" t="s">
        <v>27</v>
      </c>
      <c r="D637" s="13"/>
      <c r="E637" s="13"/>
      <c r="F637" s="44" t="s">
        <v>4095</v>
      </c>
      <c r="G637" s="43">
        <v>1.0</v>
      </c>
      <c r="H637" s="42"/>
      <c r="I637" s="43">
        <v>1.0</v>
      </c>
      <c r="J637" s="22"/>
      <c r="K637" s="42"/>
    </row>
    <row r="638" ht="39.75" customHeight="1">
      <c r="A638" s="1">
        <v>637.0</v>
      </c>
      <c r="B638" s="2" t="s">
        <v>67</v>
      </c>
      <c r="C638" s="2" t="s">
        <v>66</v>
      </c>
      <c r="D638" s="13"/>
      <c r="E638" s="13"/>
      <c r="F638" s="45"/>
      <c r="G638" s="42"/>
      <c r="H638" s="42"/>
      <c r="I638" s="42"/>
      <c r="J638" s="22"/>
      <c r="K638" s="42"/>
    </row>
    <row r="639" ht="39.75" customHeight="1">
      <c r="A639" s="1">
        <v>638.0</v>
      </c>
      <c r="B639" s="2" t="s">
        <v>35</v>
      </c>
      <c r="C639" s="2" t="s">
        <v>3560</v>
      </c>
      <c r="D639" s="13"/>
      <c r="E639" s="13"/>
      <c r="F639" s="44" t="s">
        <v>1889</v>
      </c>
      <c r="G639" s="42"/>
      <c r="H639" s="42"/>
      <c r="I639" s="42"/>
      <c r="J639" s="22"/>
      <c r="K639" s="42"/>
    </row>
    <row r="640" ht="39.75" customHeight="1">
      <c r="A640" s="1">
        <v>639.0</v>
      </c>
      <c r="B640" s="2" t="s">
        <v>36</v>
      </c>
      <c r="C640" s="2" t="s">
        <v>3600</v>
      </c>
      <c r="D640" s="13"/>
      <c r="E640" s="13"/>
      <c r="F640" s="45"/>
      <c r="G640" s="42"/>
      <c r="H640" s="42"/>
      <c r="I640" s="42"/>
      <c r="J640" s="22"/>
      <c r="K640" s="42"/>
    </row>
    <row r="641" ht="39.75" customHeight="1">
      <c r="A641" s="1">
        <v>640.0</v>
      </c>
      <c r="B641" s="2" t="s">
        <v>38</v>
      </c>
      <c r="C641" s="2" t="s">
        <v>44</v>
      </c>
      <c r="D641" s="13"/>
      <c r="E641" s="13"/>
      <c r="F641" s="45"/>
      <c r="G641" s="42"/>
      <c r="H641" s="42"/>
      <c r="I641" s="42"/>
      <c r="J641" s="22"/>
      <c r="K641" s="42"/>
    </row>
    <row r="642" ht="39.75" customHeight="1">
      <c r="A642" s="1">
        <v>641.0</v>
      </c>
      <c r="B642" s="2" t="s">
        <v>41</v>
      </c>
      <c r="C642" s="2" t="s">
        <v>39</v>
      </c>
      <c r="D642" s="40"/>
      <c r="E642" s="13"/>
      <c r="F642" s="44" t="s">
        <v>4096</v>
      </c>
      <c r="G642" s="43">
        <v>1.0</v>
      </c>
      <c r="H642" s="42"/>
      <c r="I642" s="42"/>
      <c r="J642" s="22"/>
      <c r="K642" s="42"/>
    </row>
    <row r="643" ht="39.75" customHeight="1">
      <c r="A643" s="1">
        <v>642.0</v>
      </c>
      <c r="B643" s="2" t="s">
        <v>42</v>
      </c>
      <c r="C643" s="2" t="s">
        <v>3600</v>
      </c>
      <c r="D643" s="13"/>
      <c r="E643" s="13"/>
      <c r="F643" s="45"/>
      <c r="G643" s="42"/>
      <c r="H643" s="42"/>
      <c r="I643" s="42"/>
      <c r="J643" s="22"/>
      <c r="K643" s="42"/>
    </row>
    <row r="644" ht="39.75" customHeight="1">
      <c r="A644" s="1">
        <v>643.0</v>
      </c>
      <c r="B644" s="2" t="s">
        <v>43</v>
      </c>
      <c r="C644" s="2" t="s">
        <v>69</v>
      </c>
      <c r="D644" s="13"/>
      <c r="E644" s="13"/>
      <c r="F644" s="44" t="s">
        <v>4097</v>
      </c>
      <c r="G644" s="43">
        <v>1.0</v>
      </c>
      <c r="H644" s="42"/>
      <c r="I644" s="42"/>
      <c r="J644" s="22"/>
      <c r="K644" s="42"/>
    </row>
    <row r="645" ht="39.75" customHeight="1">
      <c r="A645" s="1">
        <v>644.0</v>
      </c>
      <c r="B645" s="2" t="s">
        <v>267</v>
      </c>
      <c r="C645" s="2" t="s">
        <v>64</v>
      </c>
      <c r="D645" s="13"/>
      <c r="E645" s="13"/>
      <c r="F645" s="44" t="s">
        <v>385</v>
      </c>
      <c r="G645" s="42"/>
      <c r="H645" s="42"/>
      <c r="I645" s="42"/>
      <c r="J645" s="22"/>
      <c r="K645" s="42"/>
    </row>
    <row r="646" ht="39.75" customHeight="1">
      <c r="A646" s="1">
        <v>645.0</v>
      </c>
      <c r="B646" s="2" t="s">
        <v>46</v>
      </c>
      <c r="C646" s="2" t="s">
        <v>69</v>
      </c>
      <c r="D646" s="13"/>
      <c r="E646" s="13"/>
      <c r="F646" s="44" t="s">
        <v>4098</v>
      </c>
      <c r="G646" s="43">
        <v>1.0</v>
      </c>
      <c r="H646" s="42"/>
      <c r="I646" s="42"/>
      <c r="J646" s="22"/>
      <c r="K646" s="42"/>
    </row>
    <row r="647" ht="39.75" customHeight="1">
      <c r="A647" s="1">
        <v>646.0</v>
      </c>
      <c r="B647" s="2" t="s">
        <v>47</v>
      </c>
      <c r="C647" s="2" t="s">
        <v>3600</v>
      </c>
      <c r="D647" s="13"/>
      <c r="E647" s="13"/>
      <c r="F647" s="45"/>
      <c r="G647" s="42"/>
      <c r="H647" s="42"/>
      <c r="I647" s="42"/>
      <c r="J647" s="22"/>
      <c r="K647" s="42"/>
    </row>
    <row r="648" ht="39.75" customHeight="1">
      <c r="A648" s="1">
        <v>647.0</v>
      </c>
      <c r="B648" s="2" t="s">
        <v>48</v>
      </c>
      <c r="C648" s="2" t="s">
        <v>3560</v>
      </c>
      <c r="D648" s="13"/>
      <c r="E648" s="40">
        <v>0.8125</v>
      </c>
      <c r="F648" s="44" t="s">
        <v>4099</v>
      </c>
      <c r="G648" s="43">
        <v>1.0</v>
      </c>
      <c r="H648" s="42"/>
      <c r="I648" s="42"/>
      <c r="J648" s="22"/>
      <c r="K648" s="42"/>
    </row>
    <row r="649" ht="39.75" customHeight="1">
      <c r="A649" s="1">
        <v>648.0</v>
      </c>
      <c r="B649" s="21"/>
      <c r="C649" s="21"/>
      <c r="D649" s="21"/>
      <c r="E649" s="21"/>
      <c r="F649" s="46"/>
      <c r="G649" s="47"/>
      <c r="H649" s="47"/>
      <c r="I649" s="47"/>
      <c r="J649" s="48"/>
      <c r="K649" s="47"/>
      <c r="L649" s="49"/>
      <c r="M649" s="49"/>
      <c r="N649" s="49"/>
    </row>
    <row r="650" ht="39.75" customHeight="1">
      <c r="A650" s="1">
        <v>649.0</v>
      </c>
      <c r="B650" s="2" t="s">
        <v>12</v>
      </c>
      <c r="C650" s="2" t="s">
        <v>62</v>
      </c>
      <c r="D650" s="13"/>
      <c r="E650" s="13"/>
      <c r="F650" s="44" t="s">
        <v>4100</v>
      </c>
      <c r="G650" s="43">
        <v>1.0</v>
      </c>
      <c r="H650" s="42"/>
      <c r="I650" s="43">
        <v>1.0</v>
      </c>
      <c r="J650" s="22"/>
      <c r="K650" s="42"/>
      <c r="L650" s="15" t="s">
        <v>406</v>
      </c>
    </row>
    <row r="651" ht="39.75" customHeight="1">
      <c r="A651" s="1">
        <v>650.0</v>
      </c>
      <c r="B651" s="2" t="s">
        <v>16</v>
      </c>
      <c r="C651" s="2" t="s">
        <v>39</v>
      </c>
      <c r="D651" s="13"/>
      <c r="E651" s="13"/>
      <c r="F651" s="44" t="s">
        <v>4101</v>
      </c>
      <c r="G651" s="43">
        <v>2.0</v>
      </c>
      <c r="H651" s="42"/>
      <c r="I651" s="43">
        <v>1.0</v>
      </c>
      <c r="J651" s="27" t="s">
        <v>406</v>
      </c>
      <c r="K651" s="43"/>
    </row>
    <row r="652" ht="39.75" customHeight="1">
      <c r="A652" s="1">
        <v>651.0</v>
      </c>
      <c r="B652" s="2" t="s">
        <v>116</v>
      </c>
      <c r="C652" s="2" t="s">
        <v>54</v>
      </c>
      <c r="D652" s="13"/>
      <c r="E652" s="13"/>
      <c r="F652" s="44" t="s">
        <v>4102</v>
      </c>
      <c r="G652" s="43">
        <v>1.0</v>
      </c>
      <c r="H652" s="42"/>
      <c r="I652" s="42"/>
      <c r="J652" s="27" t="s">
        <v>95</v>
      </c>
      <c r="K652" s="42"/>
    </row>
    <row r="653" ht="39.75" customHeight="1">
      <c r="A653" s="1">
        <v>652.0</v>
      </c>
      <c r="B653" s="2" t="s">
        <v>263</v>
      </c>
      <c r="C653" s="2" t="s">
        <v>3562</v>
      </c>
      <c r="D653" s="13"/>
      <c r="E653" s="13"/>
      <c r="F653" s="44"/>
      <c r="G653" s="42"/>
      <c r="H653" s="42"/>
      <c r="I653" s="42"/>
      <c r="J653" s="22"/>
      <c r="K653" s="42"/>
    </row>
    <row r="654" ht="39.75" customHeight="1">
      <c r="A654" s="1">
        <v>653.0</v>
      </c>
      <c r="B654" s="2" t="s">
        <v>17</v>
      </c>
      <c r="C654" s="2" t="s">
        <v>58</v>
      </c>
      <c r="D654" s="13"/>
      <c r="E654" s="13"/>
      <c r="F654" s="44" t="s">
        <v>2567</v>
      </c>
      <c r="G654" s="42"/>
      <c r="H654" s="42"/>
      <c r="I654" s="42"/>
      <c r="J654" s="22"/>
      <c r="K654" s="42"/>
    </row>
    <row r="655" ht="39.75" customHeight="1">
      <c r="A655" s="1">
        <v>654.0</v>
      </c>
      <c r="B655" s="2" t="s">
        <v>331</v>
      </c>
      <c r="C655" s="2" t="s">
        <v>3562</v>
      </c>
      <c r="D655" s="13"/>
      <c r="E655" s="13"/>
      <c r="F655" s="44" t="s">
        <v>4103</v>
      </c>
      <c r="G655" s="43">
        <v>1.0</v>
      </c>
      <c r="H655" s="42"/>
      <c r="I655" s="42"/>
      <c r="J655" s="22"/>
      <c r="K655" s="42"/>
    </row>
    <row r="656" ht="39.75" customHeight="1">
      <c r="A656" s="1">
        <v>655.0</v>
      </c>
      <c r="B656" s="2" t="s">
        <v>21</v>
      </c>
      <c r="C656" s="2" t="s">
        <v>3557</v>
      </c>
      <c r="D656" s="13"/>
      <c r="E656" s="13"/>
      <c r="F656" s="44" t="s">
        <v>4091</v>
      </c>
      <c r="G656" s="42"/>
      <c r="H656" s="42"/>
      <c r="I656" s="42"/>
      <c r="J656" s="22"/>
      <c r="K656" s="42"/>
    </row>
    <row r="657" ht="39.75" customHeight="1">
      <c r="A657" s="1">
        <v>656.0</v>
      </c>
      <c r="B657" s="2" t="s">
        <v>22</v>
      </c>
      <c r="C657" s="2" t="s">
        <v>69</v>
      </c>
      <c r="D657" s="13"/>
      <c r="E657" s="13"/>
      <c r="F657" s="44" t="s">
        <v>4104</v>
      </c>
      <c r="G657" s="43">
        <v>1.0</v>
      </c>
      <c r="H657" s="42"/>
      <c r="I657" s="42"/>
      <c r="J657" s="22"/>
      <c r="K657" s="42"/>
    </row>
    <row r="658" ht="39.75" customHeight="1">
      <c r="A658" s="1">
        <v>657.0</v>
      </c>
      <c r="B658" s="2" t="s">
        <v>261</v>
      </c>
      <c r="C658" s="2" t="s">
        <v>13</v>
      </c>
      <c r="D658" s="13"/>
      <c r="E658" s="13"/>
      <c r="F658" s="45"/>
      <c r="G658" s="42"/>
      <c r="H658" s="42"/>
      <c r="I658" s="42"/>
      <c r="J658" s="22"/>
      <c r="K658" s="42"/>
    </row>
    <row r="659" ht="39.75" customHeight="1">
      <c r="A659" s="1">
        <v>658.0</v>
      </c>
      <c r="B659" s="2" t="s">
        <v>23</v>
      </c>
      <c r="C659" s="2" t="s">
        <v>3557</v>
      </c>
      <c r="D659" s="13"/>
      <c r="E659" s="13"/>
      <c r="F659" s="44" t="s">
        <v>4093</v>
      </c>
      <c r="G659" s="42"/>
      <c r="H659" s="42"/>
      <c r="I659" s="42"/>
      <c r="J659" s="22"/>
      <c r="K659" s="42"/>
    </row>
    <row r="660" ht="39.75" customHeight="1">
      <c r="A660" s="1">
        <v>659.0</v>
      </c>
      <c r="B660" s="2" t="s">
        <v>24</v>
      </c>
      <c r="C660" s="2" t="s">
        <v>3563</v>
      </c>
      <c r="D660" s="13"/>
      <c r="E660" s="13"/>
      <c r="F660" s="45"/>
      <c r="G660" s="42"/>
      <c r="H660" s="42"/>
      <c r="I660" s="42"/>
      <c r="J660" s="22"/>
      <c r="K660" s="42"/>
    </row>
    <row r="661" ht="39.75" customHeight="1">
      <c r="A661" s="1">
        <v>660.0</v>
      </c>
      <c r="B661" s="2" t="s">
        <v>25</v>
      </c>
      <c r="C661" s="2" t="s">
        <v>54</v>
      </c>
      <c r="D661" s="13"/>
      <c r="E661" s="13"/>
      <c r="F661" s="44" t="s">
        <v>4105</v>
      </c>
      <c r="G661" s="42"/>
      <c r="H661" s="42"/>
      <c r="I661" s="42"/>
      <c r="J661" s="22"/>
      <c r="K661" s="42"/>
    </row>
    <row r="662" ht="39.75" customHeight="1">
      <c r="A662" s="1">
        <v>661.0</v>
      </c>
      <c r="B662" s="2" t="s">
        <v>26</v>
      </c>
      <c r="C662" s="2" t="s">
        <v>66</v>
      </c>
      <c r="D662" s="13"/>
      <c r="E662" s="13"/>
      <c r="F662" s="45"/>
      <c r="G662" s="42"/>
      <c r="H662" s="42"/>
      <c r="I662" s="42"/>
      <c r="J662" s="22"/>
      <c r="K662" s="42"/>
    </row>
    <row r="663" ht="39.75" customHeight="1">
      <c r="A663" s="1">
        <v>662.0</v>
      </c>
      <c r="B663" s="2" t="s">
        <v>29</v>
      </c>
      <c r="C663" s="2" t="s">
        <v>58</v>
      </c>
      <c r="D663" s="13"/>
      <c r="E663" s="13"/>
      <c r="F663" s="44" t="s">
        <v>4106</v>
      </c>
      <c r="G663" s="42"/>
      <c r="H663" s="42"/>
      <c r="I663" s="42"/>
      <c r="J663" s="22"/>
      <c r="K663" s="42"/>
    </row>
    <row r="664" ht="39.75" customHeight="1">
      <c r="A664" s="1">
        <v>663.0</v>
      </c>
      <c r="B664" s="2" t="s">
        <v>32</v>
      </c>
      <c r="C664" s="2" t="s">
        <v>44</v>
      </c>
      <c r="D664" s="13"/>
      <c r="E664" s="13"/>
      <c r="F664" s="45"/>
      <c r="G664" s="42"/>
      <c r="H664" s="42"/>
      <c r="I664" s="42"/>
      <c r="J664" s="22"/>
      <c r="K664" s="42"/>
    </row>
    <row r="665" ht="39.75" customHeight="1">
      <c r="A665" s="1">
        <v>664.0</v>
      </c>
      <c r="B665" s="2" t="s">
        <v>67</v>
      </c>
      <c r="C665" s="2" t="s">
        <v>3560</v>
      </c>
      <c r="D665" s="13"/>
      <c r="E665" s="13"/>
      <c r="F665" s="44" t="s">
        <v>439</v>
      </c>
      <c r="G665" s="42"/>
      <c r="H665" s="42"/>
      <c r="I665" s="42"/>
      <c r="J665" s="22"/>
      <c r="K665" s="42"/>
    </row>
    <row r="666" ht="39.75" customHeight="1">
      <c r="A666" s="1">
        <v>665.0</v>
      </c>
      <c r="B666" s="2" t="s">
        <v>35</v>
      </c>
      <c r="C666" s="2" t="s">
        <v>3560</v>
      </c>
      <c r="D666" s="40">
        <v>0.3541666666666667</v>
      </c>
      <c r="E666" s="13"/>
      <c r="F666" s="44" t="s">
        <v>4107</v>
      </c>
      <c r="G666" s="43">
        <v>1.0</v>
      </c>
      <c r="H666" s="42"/>
      <c r="I666" s="43">
        <v>1.0</v>
      </c>
      <c r="J666" s="22"/>
      <c r="K666" s="42"/>
    </row>
    <row r="667" ht="39.75" customHeight="1">
      <c r="A667" s="1">
        <v>666.0</v>
      </c>
      <c r="B667" s="2" t="s">
        <v>36</v>
      </c>
      <c r="C667" s="2" t="s">
        <v>58</v>
      </c>
      <c r="D667" s="13"/>
      <c r="E667" s="13"/>
      <c r="F667" s="44" t="s">
        <v>4106</v>
      </c>
      <c r="G667" s="42"/>
      <c r="H667" s="42"/>
      <c r="I667" s="42"/>
      <c r="J667" s="22"/>
      <c r="K667" s="42"/>
    </row>
    <row r="668" ht="39.75" customHeight="1">
      <c r="A668" s="1">
        <v>667.0</v>
      </c>
      <c r="B668" s="2" t="s">
        <v>38</v>
      </c>
      <c r="C668" s="2" t="s">
        <v>54</v>
      </c>
      <c r="D668" s="13"/>
      <c r="E668" s="13"/>
      <c r="F668" s="44" t="s">
        <v>4108</v>
      </c>
      <c r="G668" s="43">
        <v>1.0</v>
      </c>
      <c r="H668" s="42"/>
      <c r="I668" s="42"/>
      <c r="J668" s="22"/>
      <c r="K668" s="42"/>
    </row>
    <row r="669" ht="39.75" customHeight="1">
      <c r="A669" s="1">
        <v>668.0</v>
      </c>
      <c r="B669" s="2" t="s">
        <v>41</v>
      </c>
      <c r="C669" s="2" t="s">
        <v>69</v>
      </c>
      <c r="D669" s="13"/>
      <c r="E669" s="13"/>
      <c r="F669" s="44" t="s">
        <v>4109</v>
      </c>
      <c r="G669" s="43">
        <v>2.0</v>
      </c>
      <c r="H669" s="42"/>
      <c r="I669" s="42"/>
      <c r="J669" s="22"/>
      <c r="K669" s="42"/>
    </row>
    <row r="670" ht="39.75" customHeight="1">
      <c r="A670" s="1">
        <v>669.0</v>
      </c>
      <c r="B670" s="2" t="s">
        <v>42</v>
      </c>
      <c r="C670" s="2" t="s">
        <v>3557</v>
      </c>
      <c r="D670" s="13"/>
      <c r="E670" s="13"/>
      <c r="F670" s="44" t="s">
        <v>3566</v>
      </c>
      <c r="G670" s="42"/>
      <c r="H670" s="42"/>
      <c r="I670" s="42"/>
      <c r="J670" s="22"/>
      <c r="K670" s="42"/>
    </row>
    <row r="671" ht="39.75" customHeight="1">
      <c r="A671" s="1">
        <v>670.0</v>
      </c>
      <c r="B671" s="2" t="s">
        <v>43</v>
      </c>
      <c r="C671" s="2" t="s">
        <v>27</v>
      </c>
      <c r="D671" s="13"/>
      <c r="E671" s="13"/>
      <c r="F671" s="116" t="s">
        <v>4110</v>
      </c>
      <c r="G671" s="43">
        <v>1.0</v>
      </c>
      <c r="H671" s="42"/>
      <c r="I671" s="43">
        <v>1.0</v>
      </c>
      <c r="J671" s="22"/>
      <c r="K671" s="42"/>
    </row>
    <row r="672" ht="39.75" customHeight="1">
      <c r="A672" s="1">
        <v>671.0</v>
      </c>
      <c r="B672" s="2" t="s">
        <v>267</v>
      </c>
      <c r="C672" s="2" t="s">
        <v>54</v>
      </c>
      <c r="D672" s="13"/>
      <c r="E672" s="13"/>
      <c r="F672" s="44" t="s">
        <v>385</v>
      </c>
      <c r="G672" s="42"/>
      <c r="H672" s="42"/>
      <c r="I672" s="42"/>
      <c r="J672" s="22"/>
      <c r="K672" s="42"/>
    </row>
    <row r="673" ht="39.75" customHeight="1">
      <c r="A673" s="1">
        <v>672.0</v>
      </c>
      <c r="B673" s="2" t="s">
        <v>46</v>
      </c>
      <c r="C673" s="2" t="s">
        <v>69</v>
      </c>
      <c r="D673" s="13"/>
      <c r="E673" s="13"/>
      <c r="F673" s="44" t="s">
        <v>4111</v>
      </c>
      <c r="G673" s="43">
        <v>1.0</v>
      </c>
      <c r="H673" s="42"/>
      <c r="I673" s="42"/>
      <c r="J673" s="22"/>
      <c r="K673" s="42"/>
    </row>
    <row r="674" ht="39.75" customHeight="1">
      <c r="A674" s="1">
        <v>673.0</v>
      </c>
      <c r="B674" s="2" t="s">
        <v>47</v>
      </c>
      <c r="C674" s="2" t="s">
        <v>3557</v>
      </c>
      <c r="D674" s="13"/>
      <c r="E674" s="13"/>
      <c r="F674" s="44" t="s">
        <v>3566</v>
      </c>
      <c r="G674" s="42"/>
      <c r="H674" s="42"/>
      <c r="I674" s="42"/>
      <c r="J674" s="22"/>
      <c r="K674" s="42"/>
    </row>
    <row r="675" ht="39.75" customHeight="1">
      <c r="A675" s="1">
        <v>674.0</v>
      </c>
      <c r="B675" s="2" t="s">
        <v>48</v>
      </c>
      <c r="C675" s="2" t="s">
        <v>39</v>
      </c>
      <c r="D675" s="40">
        <v>0.2708333333333333</v>
      </c>
      <c r="E675" s="13"/>
      <c r="F675" s="44" t="s">
        <v>4112</v>
      </c>
      <c r="G675" s="43">
        <v>1.0</v>
      </c>
      <c r="H675" s="42"/>
      <c r="I675" s="42"/>
      <c r="J675" s="22"/>
      <c r="K675" s="42"/>
    </row>
    <row r="676" ht="39.75" customHeight="1">
      <c r="A676" s="1">
        <v>675.0</v>
      </c>
      <c r="B676" s="21"/>
      <c r="C676" s="21"/>
      <c r="D676" s="21"/>
      <c r="E676" s="21"/>
      <c r="F676" s="46"/>
      <c r="G676" s="47"/>
      <c r="H676" s="47"/>
      <c r="I676" s="47"/>
      <c r="J676" s="48"/>
      <c r="K676" s="47"/>
      <c r="L676" s="49"/>
      <c r="M676" s="49"/>
      <c r="N676" s="49"/>
    </row>
    <row r="677" ht="39.75" customHeight="1">
      <c r="A677" s="1">
        <v>676.0</v>
      </c>
      <c r="B677" s="2" t="s">
        <v>12</v>
      </c>
      <c r="C677" s="2" t="s">
        <v>62</v>
      </c>
      <c r="D677" s="13"/>
      <c r="E677" s="13"/>
      <c r="F677" s="96" t="s">
        <v>4113</v>
      </c>
      <c r="G677" s="43">
        <v>2.0</v>
      </c>
      <c r="H677" s="43">
        <v>1.0</v>
      </c>
      <c r="I677" s="43">
        <v>1.0</v>
      </c>
      <c r="J677" s="22"/>
      <c r="K677" s="42"/>
      <c r="L677" s="15" t="s">
        <v>3838</v>
      </c>
    </row>
    <row r="678" ht="39.75" customHeight="1">
      <c r="A678" s="1">
        <v>677.0</v>
      </c>
      <c r="B678" s="2" t="s">
        <v>16</v>
      </c>
      <c r="C678" s="2" t="s">
        <v>69</v>
      </c>
      <c r="D678" s="13"/>
      <c r="E678" s="13"/>
      <c r="F678" s="44" t="s">
        <v>4114</v>
      </c>
      <c r="G678" s="43">
        <v>1.0</v>
      </c>
      <c r="H678" s="42"/>
      <c r="I678" s="43">
        <v>1.0</v>
      </c>
      <c r="J678" s="27" t="s">
        <v>423</v>
      </c>
      <c r="K678" s="43"/>
    </row>
    <row r="679" ht="39.75" customHeight="1">
      <c r="A679" s="1">
        <v>678.0</v>
      </c>
      <c r="B679" s="2" t="s">
        <v>116</v>
      </c>
      <c r="C679" s="2" t="s">
        <v>54</v>
      </c>
      <c r="D679" s="40">
        <v>0.375</v>
      </c>
      <c r="E679" s="13"/>
      <c r="F679" s="44" t="s">
        <v>4115</v>
      </c>
      <c r="G679" s="43">
        <v>2.0</v>
      </c>
      <c r="H679" s="42"/>
      <c r="I679" s="43"/>
      <c r="J679" s="27" t="s">
        <v>111</v>
      </c>
      <c r="K679" s="42"/>
    </row>
    <row r="680" ht="39.75" customHeight="1">
      <c r="A680" s="1">
        <v>679.0</v>
      </c>
      <c r="B680" s="2" t="s">
        <v>263</v>
      </c>
      <c r="C680" s="2" t="s">
        <v>3562</v>
      </c>
      <c r="D680" s="13"/>
      <c r="E680" s="13"/>
      <c r="F680" s="44"/>
      <c r="G680" s="42"/>
      <c r="H680" s="42"/>
      <c r="I680" s="42"/>
      <c r="J680" s="27" t="s">
        <v>151</v>
      </c>
      <c r="K680" s="42"/>
    </row>
    <row r="681" ht="39.75" customHeight="1">
      <c r="A681" s="1">
        <v>680.0</v>
      </c>
      <c r="B681" s="2" t="s">
        <v>17</v>
      </c>
      <c r="C681" s="2" t="s">
        <v>13</v>
      </c>
      <c r="D681" s="13"/>
      <c r="E681" s="13"/>
      <c r="F681" s="45"/>
      <c r="G681" s="42"/>
      <c r="H681" s="42"/>
      <c r="I681" s="42"/>
      <c r="J681" s="27" t="s">
        <v>152</v>
      </c>
      <c r="K681" s="42"/>
    </row>
    <row r="682" ht="39.75" customHeight="1">
      <c r="A682" s="1">
        <v>681.0</v>
      </c>
      <c r="B682" s="2" t="s">
        <v>331</v>
      </c>
      <c r="C682" s="2" t="s">
        <v>3562</v>
      </c>
      <c r="D682" s="13"/>
      <c r="E682" s="13"/>
      <c r="F682" s="44" t="s">
        <v>69</v>
      </c>
      <c r="G682" s="42"/>
      <c r="H682" s="42"/>
      <c r="I682" s="42"/>
      <c r="J682" s="27" t="s">
        <v>4077</v>
      </c>
      <c r="K682" s="42"/>
    </row>
    <row r="683" ht="39.75" customHeight="1">
      <c r="A683" s="1">
        <v>682.0</v>
      </c>
      <c r="B683" s="2" t="s">
        <v>21</v>
      </c>
      <c r="C683" s="2" t="s">
        <v>3557</v>
      </c>
      <c r="D683" s="13"/>
      <c r="E683" s="13"/>
      <c r="F683" s="44" t="s">
        <v>4091</v>
      </c>
      <c r="G683" s="43">
        <v>1.0</v>
      </c>
      <c r="H683" s="42"/>
      <c r="I683" s="42"/>
      <c r="J683" s="27" t="s">
        <v>3715</v>
      </c>
      <c r="K683" s="42"/>
    </row>
    <row r="684" ht="39.75" customHeight="1">
      <c r="A684" s="1">
        <v>683.0</v>
      </c>
      <c r="B684" s="2" t="s">
        <v>22</v>
      </c>
      <c r="C684" s="2" t="s">
        <v>13</v>
      </c>
      <c r="D684" s="13"/>
      <c r="E684" s="13"/>
      <c r="F684" s="45"/>
      <c r="G684" s="42"/>
      <c r="H684" s="42"/>
      <c r="I684" s="42"/>
      <c r="J684" s="27" t="s">
        <v>4079</v>
      </c>
      <c r="K684" s="42"/>
    </row>
    <row r="685" ht="39.75" customHeight="1">
      <c r="A685" s="1">
        <v>684.0</v>
      </c>
      <c r="B685" s="2" t="s">
        <v>261</v>
      </c>
      <c r="C685" s="2" t="s">
        <v>13</v>
      </c>
      <c r="D685" s="13"/>
      <c r="E685" s="13"/>
      <c r="F685" s="45"/>
      <c r="G685" s="42"/>
      <c r="H685" s="42"/>
      <c r="I685" s="42"/>
      <c r="J685" s="22"/>
      <c r="K685" s="42"/>
    </row>
    <row r="686" ht="39.75" customHeight="1">
      <c r="A686" s="1">
        <v>685.0</v>
      </c>
      <c r="B686" s="2" t="s">
        <v>23</v>
      </c>
      <c r="C686" s="2" t="s">
        <v>3557</v>
      </c>
      <c r="D686" s="13"/>
      <c r="E686" s="13"/>
      <c r="F686" s="44" t="s">
        <v>4093</v>
      </c>
      <c r="G686" s="43">
        <v>1.0</v>
      </c>
      <c r="H686" s="42"/>
      <c r="I686" s="42"/>
      <c r="J686" s="22"/>
      <c r="K686" s="42"/>
    </row>
    <row r="687" ht="39.75" customHeight="1">
      <c r="A687" s="1">
        <v>686.0</v>
      </c>
      <c r="B687" s="2" t="s">
        <v>24</v>
      </c>
      <c r="C687" s="2" t="s">
        <v>3563</v>
      </c>
      <c r="D687" s="13"/>
      <c r="E687" s="13"/>
      <c r="F687" s="45"/>
      <c r="G687" s="42"/>
      <c r="H687" s="42"/>
      <c r="I687" s="42"/>
      <c r="J687" s="22"/>
      <c r="K687" s="42"/>
    </row>
    <row r="688" ht="39.75" customHeight="1">
      <c r="A688" s="1">
        <v>687.0</v>
      </c>
      <c r="B688" s="2" t="s">
        <v>25</v>
      </c>
      <c r="C688" s="2" t="s">
        <v>54</v>
      </c>
      <c r="D688" s="13"/>
      <c r="E688" s="13"/>
      <c r="F688" s="44" t="s">
        <v>4116</v>
      </c>
      <c r="G688" s="43">
        <v>2.0</v>
      </c>
      <c r="H688" s="42"/>
      <c r="I688" s="43">
        <v>1.0</v>
      </c>
      <c r="J688" s="22"/>
      <c r="K688" s="42"/>
    </row>
    <row r="689" ht="39.75" customHeight="1">
      <c r="A689" s="1">
        <v>688.0</v>
      </c>
      <c r="B689" s="2" t="s">
        <v>26</v>
      </c>
      <c r="C689" s="2" t="s">
        <v>39</v>
      </c>
      <c r="D689" s="40">
        <v>0.2777777777777778</v>
      </c>
      <c r="E689" s="13"/>
      <c r="F689" s="44" t="s">
        <v>4117</v>
      </c>
      <c r="G689" s="43">
        <v>1.0</v>
      </c>
      <c r="H689" s="42"/>
      <c r="I689" s="42"/>
      <c r="J689" s="22"/>
      <c r="K689" s="42"/>
    </row>
    <row r="690" ht="39.75" customHeight="1">
      <c r="A690" s="1">
        <v>689.0</v>
      </c>
      <c r="B690" s="2" t="s">
        <v>29</v>
      </c>
      <c r="C690" s="2" t="s">
        <v>13</v>
      </c>
      <c r="D690" s="13"/>
      <c r="E690" s="13"/>
      <c r="F690" s="45"/>
      <c r="G690" s="42"/>
      <c r="H690" s="42"/>
      <c r="I690" s="42"/>
      <c r="J690" s="22"/>
      <c r="K690" s="42"/>
    </row>
    <row r="691" ht="39.75" customHeight="1">
      <c r="A691" s="1">
        <v>690.0</v>
      </c>
      <c r="B691" s="2" t="s">
        <v>32</v>
      </c>
      <c r="C691" s="2" t="s">
        <v>69</v>
      </c>
      <c r="D691" s="13"/>
      <c r="E691" s="40">
        <v>0.8958333333333334</v>
      </c>
      <c r="F691" s="44" t="s">
        <v>4118</v>
      </c>
      <c r="G691" s="43">
        <v>3.0</v>
      </c>
      <c r="H691" s="43"/>
      <c r="I691" s="43">
        <v>1.0</v>
      </c>
      <c r="J691" s="22"/>
      <c r="K691" s="42"/>
    </row>
    <row r="692" ht="39.75" customHeight="1">
      <c r="A692" s="1">
        <v>691.0</v>
      </c>
      <c r="B692" s="2" t="s">
        <v>67</v>
      </c>
      <c r="C692" s="2"/>
      <c r="D692" s="13"/>
      <c r="E692" s="13"/>
      <c r="F692" s="44" t="s">
        <v>4119</v>
      </c>
      <c r="G692" s="43">
        <v>1.0</v>
      </c>
      <c r="H692" s="42"/>
      <c r="I692" s="42"/>
      <c r="J692" s="22"/>
      <c r="K692" s="42"/>
    </row>
    <row r="693" ht="39.75" customHeight="1">
      <c r="A693" s="1">
        <v>692.0</v>
      </c>
      <c r="B693" s="2" t="s">
        <v>35</v>
      </c>
      <c r="C693" s="2"/>
      <c r="D693" s="13"/>
      <c r="E693" s="13"/>
      <c r="F693" s="44" t="s">
        <v>4120</v>
      </c>
      <c r="G693" s="43">
        <v>2.0</v>
      </c>
      <c r="H693" s="42"/>
      <c r="I693" s="43">
        <v>1.0</v>
      </c>
      <c r="J693" s="22"/>
      <c r="K693" s="42"/>
    </row>
    <row r="694" ht="39.75" customHeight="1">
      <c r="A694" s="1">
        <v>693.0</v>
      </c>
      <c r="B694" s="2" t="s">
        <v>36</v>
      </c>
      <c r="C694" s="2" t="s">
        <v>13</v>
      </c>
      <c r="D694" s="13"/>
      <c r="E694" s="13"/>
      <c r="F694" s="44"/>
      <c r="G694" s="42"/>
      <c r="H694" s="42"/>
      <c r="I694" s="42"/>
      <c r="J694" s="22"/>
      <c r="K694" s="42"/>
    </row>
    <row r="695" ht="39.75" customHeight="1">
      <c r="A695" s="1">
        <v>694.0</v>
      </c>
      <c r="B695" s="2" t="s">
        <v>38</v>
      </c>
      <c r="C695" s="2" t="s">
        <v>54</v>
      </c>
      <c r="D695" s="13"/>
      <c r="E695" s="13"/>
      <c r="F695" s="44" t="s">
        <v>4121</v>
      </c>
      <c r="G695" s="43">
        <v>1.0</v>
      </c>
      <c r="H695" s="43">
        <v>1.0</v>
      </c>
      <c r="I695" s="42"/>
      <c r="J695" s="22"/>
      <c r="K695" s="42"/>
    </row>
    <row r="696" ht="39.75" customHeight="1">
      <c r="A696" s="1">
        <v>695.0</v>
      </c>
      <c r="B696" s="2" t="s">
        <v>41</v>
      </c>
      <c r="C696" s="2" t="s">
        <v>39</v>
      </c>
      <c r="D696" s="13"/>
      <c r="E696" s="13"/>
      <c r="F696" s="44" t="s">
        <v>4122</v>
      </c>
      <c r="G696" s="43">
        <v>1.0</v>
      </c>
      <c r="H696" s="42"/>
      <c r="I696" s="42"/>
      <c r="J696" s="22"/>
      <c r="K696" s="42"/>
    </row>
    <row r="697" ht="39.75" customHeight="1">
      <c r="A697" s="1">
        <v>696.0</v>
      </c>
      <c r="B697" s="2" t="s">
        <v>42</v>
      </c>
      <c r="C697" s="2" t="s">
        <v>3557</v>
      </c>
      <c r="D697" s="13"/>
      <c r="E697" s="13"/>
      <c r="F697" s="44" t="s">
        <v>3566</v>
      </c>
      <c r="G697" s="42"/>
      <c r="H697" s="42"/>
      <c r="I697" s="42"/>
      <c r="J697" s="22"/>
      <c r="K697" s="42"/>
    </row>
    <row r="698" ht="39.75" customHeight="1">
      <c r="A698" s="1">
        <v>697.0</v>
      </c>
      <c r="B698" s="2" t="s">
        <v>43</v>
      </c>
      <c r="C698" s="2" t="s">
        <v>44</v>
      </c>
      <c r="D698" s="13"/>
      <c r="E698" s="13"/>
      <c r="F698" s="45"/>
      <c r="G698" s="42"/>
      <c r="H698" s="42"/>
      <c r="I698" s="42"/>
      <c r="J698" s="22"/>
      <c r="K698" s="42"/>
    </row>
    <row r="699" ht="39.75" customHeight="1">
      <c r="A699" s="1">
        <v>698.0</v>
      </c>
      <c r="B699" s="2" t="s">
        <v>267</v>
      </c>
      <c r="C699" s="2"/>
      <c r="D699" s="13"/>
      <c r="E699" s="13"/>
      <c r="F699" s="44" t="s">
        <v>4123</v>
      </c>
      <c r="G699" s="42"/>
      <c r="H699" s="42"/>
      <c r="I699" s="42"/>
      <c r="J699" s="22"/>
      <c r="K699" s="42"/>
    </row>
    <row r="700" ht="39.75" customHeight="1">
      <c r="A700" s="1">
        <v>699.0</v>
      </c>
      <c r="B700" s="2" t="s">
        <v>46</v>
      </c>
      <c r="C700" s="2" t="s">
        <v>27</v>
      </c>
      <c r="D700" s="13"/>
      <c r="E700" s="13"/>
      <c r="F700" s="44" t="s">
        <v>4124</v>
      </c>
      <c r="G700" s="43">
        <v>2.0</v>
      </c>
      <c r="H700" s="42"/>
      <c r="I700" s="43">
        <v>1.0</v>
      </c>
      <c r="J700" s="22"/>
      <c r="K700" s="42"/>
    </row>
    <row r="701" ht="39.75" customHeight="1">
      <c r="A701" s="1">
        <v>700.0</v>
      </c>
      <c r="B701" s="2" t="s">
        <v>47</v>
      </c>
      <c r="C701" s="2" t="s">
        <v>3557</v>
      </c>
      <c r="D701" s="13"/>
      <c r="E701" s="13"/>
      <c r="F701" s="44" t="s">
        <v>3566</v>
      </c>
      <c r="G701" s="42"/>
      <c r="H701" s="42"/>
      <c r="I701" s="42"/>
      <c r="J701" s="22"/>
      <c r="K701" s="42"/>
    </row>
    <row r="702" ht="39.75" customHeight="1">
      <c r="A702" s="1">
        <v>701.0</v>
      </c>
      <c r="B702" s="2" t="s">
        <v>48</v>
      </c>
      <c r="C702" s="2" t="s">
        <v>69</v>
      </c>
      <c r="D702" s="13"/>
      <c r="E702" s="13"/>
      <c r="F702" s="44" t="s">
        <v>4125</v>
      </c>
      <c r="G702" s="43">
        <v>1.0</v>
      </c>
      <c r="H702" s="42"/>
      <c r="I702" s="43">
        <v>1.0</v>
      </c>
      <c r="J702" s="22"/>
      <c r="K702" s="42"/>
    </row>
    <row r="703" ht="39.75" customHeight="1">
      <c r="A703" s="1">
        <v>702.0</v>
      </c>
      <c r="B703" s="21"/>
      <c r="C703" s="21"/>
      <c r="D703" s="21"/>
      <c r="E703" s="21"/>
      <c r="F703" s="46"/>
      <c r="G703" s="47"/>
      <c r="H703" s="47"/>
      <c r="I703" s="47"/>
      <c r="J703" s="48"/>
      <c r="K703" s="47"/>
      <c r="L703" s="49"/>
      <c r="M703" s="49"/>
      <c r="N703" s="49"/>
    </row>
    <row r="704" ht="39.75" customHeight="1">
      <c r="A704" s="1">
        <v>703.0</v>
      </c>
      <c r="B704" s="2" t="s">
        <v>12</v>
      </c>
      <c r="C704" s="2" t="s">
        <v>62</v>
      </c>
      <c r="D704" s="13"/>
      <c r="E704" s="13"/>
      <c r="F704" s="44" t="s">
        <v>4126</v>
      </c>
      <c r="G704" s="43">
        <v>1.0</v>
      </c>
      <c r="H704" s="42"/>
      <c r="I704" s="42"/>
      <c r="J704" s="22"/>
      <c r="K704" s="42"/>
      <c r="L704" s="15" t="s">
        <v>3852</v>
      </c>
    </row>
    <row r="705" ht="39.75" customHeight="1">
      <c r="A705" s="1">
        <v>704.0</v>
      </c>
      <c r="B705" s="2" t="s">
        <v>16</v>
      </c>
      <c r="C705" s="2" t="s">
        <v>39</v>
      </c>
      <c r="D705" s="13"/>
      <c r="E705" s="13"/>
      <c r="F705" s="44" t="s">
        <v>4127</v>
      </c>
      <c r="G705" s="43">
        <v>1.0</v>
      </c>
      <c r="H705" s="42"/>
      <c r="I705" s="43">
        <v>1.0</v>
      </c>
      <c r="J705" s="27" t="s">
        <v>438</v>
      </c>
      <c r="K705" s="43"/>
    </row>
    <row r="706" ht="39.75" customHeight="1">
      <c r="A706" s="1">
        <v>705.0</v>
      </c>
      <c r="B706" s="2" t="s">
        <v>116</v>
      </c>
      <c r="C706" s="2" t="s">
        <v>69</v>
      </c>
      <c r="D706" s="13"/>
      <c r="E706" s="13"/>
      <c r="F706" s="44" t="s">
        <v>4128</v>
      </c>
      <c r="G706" s="43">
        <v>1.0</v>
      </c>
      <c r="H706" s="42"/>
      <c r="I706" s="42"/>
      <c r="J706" s="27" t="s">
        <v>131</v>
      </c>
      <c r="K706" s="42"/>
    </row>
    <row r="707" ht="39.75" customHeight="1">
      <c r="A707" s="1">
        <v>706.0</v>
      </c>
      <c r="B707" s="2" t="s">
        <v>263</v>
      </c>
      <c r="C707" s="2" t="s">
        <v>3562</v>
      </c>
      <c r="D707" s="13"/>
      <c r="E707" s="13"/>
      <c r="F707" s="44"/>
      <c r="G707" s="42"/>
      <c r="H707" s="42"/>
      <c r="I707" s="42"/>
      <c r="J707" s="27" t="s">
        <v>4129</v>
      </c>
      <c r="K707" s="42"/>
    </row>
    <row r="708" ht="39.75" customHeight="1">
      <c r="A708" s="1">
        <v>707.0</v>
      </c>
      <c r="B708" s="2" t="s">
        <v>17</v>
      </c>
      <c r="C708" s="2" t="s">
        <v>58</v>
      </c>
      <c r="D708" s="13"/>
      <c r="E708" s="13"/>
      <c r="F708" s="44" t="s">
        <v>2567</v>
      </c>
      <c r="G708" s="42"/>
      <c r="H708" s="42"/>
      <c r="I708" s="42"/>
      <c r="J708" s="27" t="s">
        <v>4130</v>
      </c>
      <c r="K708" s="42"/>
    </row>
    <row r="709" ht="39.75" customHeight="1">
      <c r="A709" s="1">
        <v>708.0</v>
      </c>
      <c r="B709" s="2" t="s">
        <v>331</v>
      </c>
      <c r="C709" s="2" t="s">
        <v>3562</v>
      </c>
      <c r="D709" s="13"/>
      <c r="E709" s="13"/>
      <c r="F709" s="44" t="s">
        <v>3562</v>
      </c>
      <c r="G709" s="42"/>
      <c r="H709" s="42"/>
      <c r="I709" s="42"/>
      <c r="J709" s="27" t="s">
        <v>4130</v>
      </c>
      <c r="K709" s="42"/>
    </row>
    <row r="710" ht="39.75" customHeight="1">
      <c r="A710" s="1">
        <v>709.0</v>
      </c>
      <c r="B710" s="2" t="s">
        <v>21</v>
      </c>
      <c r="C710" s="2" t="s">
        <v>3557</v>
      </c>
      <c r="D710" s="13"/>
      <c r="E710" s="13"/>
      <c r="F710" s="44" t="s">
        <v>4131</v>
      </c>
      <c r="G710" s="43">
        <v>1.0</v>
      </c>
      <c r="H710" s="42"/>
      <c r="I710" s="42"/>
      <c r="J710" s="27" t="s">
        <v>4132</v>
      </c>
      <c r="K710" s="42"/>
    </row>
    <row r="711" ht="39.75" customHeight="1">
      <c r="A711" s="1">
        <v>710.0</v>
      </c>
      <c r="B711" s="2" t="s">
        <v>22</v>
      </c>
      <c r="C711" s="2" t="s">
        <v>3560</v>
      </c>
      <c r="D711" s="13"/>
      <c r="E711" s="13"/>
      <c r="F711" s="44" t="s">
        <v>3560</v>
      </c>
      <c r="G711" s="42"/>
      <c r="H711" s="42"/>
      <c r="I711" s="42"/>
      <c r="J711" s="22"/>
      <c r="K711" s="42"/>
    </row>
    <row r="712" ht="39.75" customHeight="1">
      <c r="A712" s="1">
        <v>711.0</v>
      </c>
      <c r="B712" s="2" t="s">
        <v>261</v>
      </c>
      <c r="C712" s="2" t="s">
        <v>13</v>
      </c>
      <c r="D712" s="13"/>
      <c r="E712" s="13"/>
      <c r="F712" s="45"/>
      <c r="G712" s="42"/>
      <c r="H712" s="42"/>
      <c r="I712" s="42"/>
      <c r="J712" s="22"/>
      <c r="K712" s="42"/>
    </row>
    <row r="713" ht="39.75" customHeight="1">
      <c r="A713" s="1">
        <v>712.0</v>
      </c>
      <c r="B713" s="2" t="s">
        <v>23</v>
      </c>
      <c r="C713" s="2" t="s">
        <v>3557</v>
      </c>
      <c r="D713" s="13"/>
      <c r="E713" s="13"/>
      <c r="F713" s="44" t="s">
        <v>4093</v>
      </c>
      <c r="G713" s="43">
        <v>1.0</v>
      </c>
      <c r="H713" s="42"/>
      <c r="I713" s="42"/>
      <c r="J713" s="22"/>
      <c r="K713" s="42"/>
    </row>
    <row r="714" ht="39.75" customHeight="1">
      <c r="A714" s="1">
        <v>713.0</v>
      </c>
      <c r="B714" s="2" t="s">
        <v>24</v>
      </c>
      <c r="C714" s="2" t="s">
        <v>3563</v>
      </c>
      <c r="D714" s="13"/>
      <c r="E714" s="13"/>
      <c r="F714" s="45"/>
      <c r="G714" s="42"/>
      <c r="H714" s="42"/>
      <c r="I714" s="42"/>
      <c r="J714" s="22"/>
      <c r="K714" s="42"/>
    </row>
    <row r="715" ht="39.75" customHeight="1">
      <c r="A715" s="1">
        <v>714.0</v>
      </c>
      <c r="B715" s="2" t="s">
        <v>25</v>
      </c>
      <c r="C715" s="2" t="s">
        <v>54</v>
      </c>
      <c r="D715" s="13"/>
      <c r="E715" s="13"/>
      <c r="F715" s="44" t="s">
        <v>4133</v>
      </c>
      <c r="G715" s="43">
        <v>1.0</v>
      </c>
      <c r="H715" s="43">
        <v>1.0</v>
      </c>
      <c r="I715" s="42"/>
      <c r="J715" s="22"/>
      <c r="K715" s="42"/>
    </row>
    <row r="716" ht="39.75" customHeight="1">
      <c r="A716" s="1">
        <v>715.0</v>
      </c>
      <c r="B716" s="2" t="s">
        <v>26</v>
      </c>
      <c r="C716" s="2" t="s">
        <v>39</v>
      </c>
      <c r="D716" s="13"/>
      <c r="E716" s="13"/>
      <c r="F716" s="44" t="s">
        <v>4134</v>
      </c>
      <c r="G716" s="43">
        <v>2.0</v>
      </c>
      <c r="H716" s="42"/>
      <c r="I716" s="43">
        <v>1.0</v>
      </c>
      <c r="J716" s="22"/>
      <c r="K716" s="42"/>
    </row>
    <row r="717" ht="39.75" customHeight="1">
      <c r="A717" s="1">
        <v>716.0</v>
      </c>
      <c r="B717" s="2" t="s">
        <v>29</v>
      </c>
      <c r="C717" s="2" t="s">
        <v>58</v>
      </c>
      <c r="D717" s="13"/>
      <c r="E717" s="13"/>
      <c r="F717" s="44" t="s">
        <v>4135</v>
      </c>
      <c r="G717" s="42"/>
      <c r="H717" s="42"/>
      <c r="I717" s="42"/>
      <c r="J717" s="22"/>
      <c r="K717" s="42"/>
    </row>
    <row r="718" ht="39.75" customHeight="1">
      <c r="A718" s="1">
        <v>717.0</v>
      </c>
      <c r="B718" s="2" t="s">
        <v>32</v>
      </c>
      <c r="C718" s="2" t="s">
        <v>3560</v>
      </c>
      <c r="D718" s="13"/>
      <c r="E718" s="13"/>
      <c r="F718" s="44" t="s">
        <v>4136</v>
      </c>
      <c r="G718" s="43">
        <v>1.0</v>
      </c>
      <c r="H718" s="42"/>
      <c r="I718" s="42"/>
      <c r="J718" s="22"/>
      <c r="K718" s="42"/>
    </row>
    <row r="719" ht="39.75" customHeight="1">
      <c r="A719" s="1">
        <v>718.0</v>
      </c>
      <c r="B719" s="2" t="s">
        <v>67</v>
      </c>
      <c r="C719" s="2" t="s">
        <v>3560</v>
      </c>
      <c r="D719" s="40"/>
      <c r="E719" s="13"/>
      <c r="F719" s="44" t="s">
        <v>439</v>
      </c>
      <c r="G719" s="42"/>
      <c r="H719" s="42"/>
      <c r="I719" s="42"/>
      <c r="J719" s="22"/>
      <c r="K719" s="42"/>
    </row>
    <row r="720" ht="39.75" customHeight="1">
      <c r="A720" s="1">
        <v>719.0</v>
      </c>
      <c r="B720" s="2" t="s">
        <v>35</v>
      </c>
      <c r="C720" s="2" t="s">
        <v>66</v>
      </c>
      <c r="D720" s="13"/>
      <c r="E720" s="13"/>
      <c r="F720" s="45"/>
      <c r="G720" s="42"/>
      <c r="H720" s="42"/>
      <c r="I720" s="42"/>
      <c r="J720" s="22"/>
      <c r="K720" s="42"/>
    </row>
    <row r="721" ht="39.75" customHeight="1">
      <c r="A721" s="1">
        <v>720.0</v>
      </c>
      <c r="B721" s="2" t="s">
        <v>36</v>
      </c>
      <c r="C721" s="2" t="s">
        <v>58</v>
      </c>
      <c r="D721" s="13"/>
      <c r="E721" s="13"/>
      <c r="F721" s="44" t="s">
        <v>4135</v>
      </c>
      <c r="G721" s="42"/>
      <c r="H721" s="42"/>
      <c r="I721" s="42"/>
      <c r="J721" s="22"/>
      <c r="K721" s="42"/>
    </row>
    <row r="722" ht="39.75" customHeight="1">
      <c r="A722" s="1">
        <v>721.0</v>
      </c>
      <c r="B722" s="2" t="s">
        <v>38</v>
      </c>
      <c r="C722" s="2" t="s">
        <v>54</v>
      </c>
      <c r="D722" s="13"/>
      <c r="E722" s="13"/>
      <c r="F722" s="44" t="s">
        <v>4137</v>
      </c>
      <c r="G722" s="43">
        <v>1.0</v>
      </c>
      <c r="H722" s="42"/>
      <c r="I722" s="43">
        <v>1.0</v>
      </c>
      <c r="J722" s="22"/>
      <c r="K722" s="42"/>
    </row>
    <row r="723" ht="39.75" customHeight="1">
      <c r="A723" s="1">
        <v>722.0</v>
      </c>
      <c r="B723" s="2" t="s">
        <v>41</v>
      </c>
      <c r="C723" s="2" t="s">
        <v>69</v>
      </c>
      <c r="D723" s="13"/>
      <c r="E723" s="13"/>
      <c r="F723" s="44" t="s">
        <v>4138</v>
      </c>
      <c r="G723" s="43">
        <v>1.0</v>
      </c>
      <c r="H723" s="42"/>
      <c r="I723" s="42"/>
      <c r="J723" s="22"/>
      <c r="K723" s="42"/>
    </row>
    <row r="724" ht="39.75" customHeight="1">
      <c r="A724" s="1">
        <v>723.0</v>
      </c>
      <c r="B724" s="2" t="s">
        <v>42</v>
      </c>
      <c r="C724" s="2" t="s">
        <v>3557</v>
      </c>
      <c r="D724" s="13"/>
      <c r="E724" s="13"/>
      <c r="F724" s="44" t="s">
        <v>4139</v>
      </c>
      <c r="G724" s="42"/>
      <c r="H724" s="42"/>
      <c r="I724" s="42"/>
      <c r="J724" s="22"/>
      <c r="K724" s="42"/>
    </row>
    <row r="725" ht="39.75" customHeight="1">
      <c r="A725" s="1">
        <v>724.0</v>
      </c>
      <c r="B725" s="2" t="s">
        <v>43</v>
      </c>
      <c r="C725" s="2" t="s">
        <v>3560</v>
      </c>
      <c r="D725" s="13"/>
      <c r="E725" s="13"/>
      <c r="F725" s="44" t="s">
        <v>4140</v>
      </c>
      <c r="G725" s="43">
        <v>2.0</v>
      </c>
      <c r="H725" s="42"/>
      <c r="I725" s="42"/>
      <c r="J725" s="22"/>
      <c r="K725" s="42"/>
    </row>
    <row r="726" ht="39.75" customHeight="1">
      <c r="A726" s="1">
        <v>725.0</v>
      </c>
      <c r="B726" s="2" t="s">
        <v>267</v>
      </c>
      <c r="C726" s="2" t="s">
        <v>54</v>
      </c>
      <c r="D726" s="13"/>
      <c r="E726" s="13"/>
      <c r="F726" s="44" t="s">
        <v>385</v>
      </c>
      <c r="G726" s="42"/>
      <c r="H726" s="42"/>
      <c r="I726" s="42"/>
      <c r="J726" s="22"/>
      <c r="K726" s="42"/>
    </row>
    <row r="727" ht="39.75" customHeight="1">
      <c r="A727" s="1">
        <v>726.0</v>
      </c>
      <c r="B727" s="2" t="s">
        <v>46</v>
      </c>
      <c r="C727" s="2" t="s">
        <v>44</v>
      </c>
      <c r="D727" s="13"/>
      <c r="E727" s="13"/>
      <c r="F727" s="45"/>
      <c r="G727" s="42"/>
      <c r="H727" s="42"/>
      <c r="I727" s="42"/>
      <c r="J727" s="22"/>
      <c r="K727" s="42"/>
    </row>
    <row r="728" ht="39.75" customHeight="1">
      <c r="A728" s="1">
        <v>727.0</v>
      </c>
      <c r="B728" s="2" t="s">
        <v>47</v>
      </c>
      <c r="C728" s="2" t="s">
        <v>3557</v>
      </c>
      <c r="D728" s="13"/>
      <c r="E728" s="13"/>
      <c r="F728" s="44" t="s">
        <v>4139</v>
      </c>
      <c r="G728" s="42"/>
      <c r="H728" s="42"/>
      <c r="I728" s="42"/>
      <c r="J728" s="22"/>
      <c r="K728" s="42"/>
    </row>
    <row r="729" ht="39.75" customHeight="1">
      <c r="A729" s="1">
        <v>728.0</v>
      </c>
      <c r="B729" s="2" t="s">
        <v>48</v>
      </c>
      <c r="C729" s="2" t="s">
        <v>27</v>
      </c>
      <c r="D729" s="13"/>
      <c r="E729" s="13"/>
      <c r="F729" s="45"/>
      <c r="G729" s="42"/>
      <c r="H729" s="42"/>
      <c r="I729" s="42"/>
      <c r="J729" s="22"/>
      <c r="K729" s="42"/>
    </row>
    <row r="730" ht="39.75" customHeight="1">
      <c r="A730" s="1">
        <v>729.0</v>
      </c>
      <c r="B730" s="21"/>
      <c r="C730" s="21"/>
      <c r="D730" s="21"/>
      <c r="E730" s="21"/>
      <c r="F730" s="46"/>
      <c r="G730" s="47"/>
      <c r="H730" s="47"/>
      <c r="I730" s="47"/>
      <c r="J730" s="48"/>
      <c r="K730" s="47"/>
      <c r="L730" s="49"/>
      <c r="M730" s="49"/>
      <c r="N730" s="49"/>
    </row>
    <row r="731" ht="39.75" customHeight="1">
      <c r="A731" s="1">
        <v>730.0</v>
      </c>
      <c r="B731" s="2" t="s">
        <v>12</v>
      </c>
      <c r="C731" s="2" t="s">
        <v>13</v>
      </c>
      <c r="D731" s="13"/>
      <c r="E731" s="13"/>
      <c r="F731" s="45"/>
      <c r="G731" s="42"/>
      <c r="H731" s="42"/>
      <c r="I731" s="42"/>
      <c r="J731" s="22"/>
      <c r="K731" s="42"/>
      <c r="L731" s="15" t="s">
        <v>3866</v>
      </c>
    </row>
    <row r="732" ht="39.75" customHeight="1">
      <c r="A732" s="1">
        <v>731.0</v>
      </c>
      <c r="B732" s="2" t="s">
        <v>16</v>
      </c>
      <c r="C732" s="2" t="s">
        <v>13</v>
      </c>
      <c r="D732" s="13"/>
      <c r="E732" s="13"/>
      <c r="F732" s="45"/>
      <c r="G732" s="42"/>
      <c r="H732" s="42"/>
      <c r="I732" s="42"/>
      <c r="J732" s="27" t="s">
        <v>452</v>
      </c>
      <c r="K732" s="43"/>
    </row>
    <row r="733" ht="39.75" customHeight="1">
      <c r="A733" s="1">
        <v>732.0</v>
      </c>
      <c r="B733" s="2" t="s">
        <v>116</v>
      </c>
      <c r="C733" s="2" t="s">
        <v>7</v>
      </c>
      <c r="D733" s="13"/>
      <c r="E733" s="13"/>
      <c r="F733" s="44" t="s">
        <v>4141</v>
      </c>
      <c r="G733" s="42"/>
      <c r="H733" s="42"/>
      <c r="I733" s="42"/>
      <c r="J733" s="27" t="s">
        <v>149</v>
      </c>
      <c r="K733" s="42"/>
    </row>
    <row r="734" ht="39.75" customHeight="1">
      <c r="A734" s="1">
        <v>733.0</v>
      </c>
      <c r="B734" s="2" t="s">
        <v>263</v>
      </c>
      <c r="C734" s="2" t="s">
        <v>27</v>
      </c>
      <c r="D734" s="13"/>
      <c r="E734" s="13"/>
      <c r="F734" s="44" t="s">
        <v>4142</v>
      </c>
      <c r="G734" s="43">
        <v>1.0</v>
      </c>
      <c r="H734" s="42"/>
      <c r="I734" s="42"/>
      <c r="J734" s="27" t="s">
        <v>165</v>
      </c>
      <c r="K734" s="42"/>
    </row>
    <row r="735" ht="39.75" customHeight="1">
      <c r="A735" s="1">
        <v>734.0</v>
      </c>
      <c r="B735" s="2" t="s">
        <v>17</v>
      </c>
      <c r="C735" s="2" t="s">
        <v>13</v>
      </c>
      <c r="D735" s="13"/>
      <c r="E735" s="13"/>
      <c r="F735" s="45"/>
      <c r="G735" s="42"/>
      <c r="H735" s="42"/>
      <c r="I735" s="42"/>
      <c r="J735" s="27" t="s">
        <v>2637</v>
      </c>
      <c r="K735" s="42"/>
    </row>
    <row r="736" ht="39.75" customHeight="1">
      <c r="A736" s="1">
        <v>735.0</v>
      </c>
      <c r="B736" s="2" t="s">
        <v>331</v>
      </c>
      <c r="C736" s="2" t="s">
        <v>13</v>
      </c>
      <c r="D736" s="13"/>
      <c r="E736" s="13"/>
      <c r="F736" s="45"/>
      <c r="G736" s="42"/>
      <c r="H736" s="42"/>
      <c r="I736" s="42"/>
      <c r="J736" s="27" t="s">
        <v>2638</v>
      </c>
      <c r="K736" s="42"/>
    </row>
    <row r="737" ht="39.75" customHeight="1">
      <c r="A737" s="1">
        <v>736.0</v>
      </c>
      <c r="B737" s="2" t="s">
        <v>21</v>
      </c>
      <c r="C737" s="2"/>
      <c r="D737" s="13"/>
      <c r="E737" s="13"/>
      <c r="F737" s="117" t="s">
        <v>4131</v>
      </c>
      <c r="G737" s="42"/>
      <c r="H737" s="42"/>
      <c r="I737" s="42"/>
      <c r="J737" s="22"/>
      <c r="K737" s="42"/>
    </row>
    <row r="738" ht="39.75" customHeight="1">
      <c r="A738" s="1">
        <v>737.0</v>
      </c>
      <c r="B738" s="2" t="s">
        <v>22</v>
      </c>
      <c r="C738" s="2" t="s">
        <v>13</v>
      </c>
      <c r="D738" s="13"/>
      <c r="E738" s="13"/>
      <c r="F738" s="134"/>
      <c r="G738" s="42"/>
      <c r="H738" s="42"/>
      <c r="I738" s="42"/>
      <c r="J738" s="22"/>
      <c r="K738" s="42"/>
    </row>
    <row r="739" ht="39.75" customHeight="1">
      <c r="A739" s="1">
        <v>738.0</v>
      </c>
      <c r="B739" s="2" t="s">
        <v>261</v>
      </c>
      <c r="C739" s="2" t="s">
        <v>13</v>
      </c>
      <c r="D739" s="13"/>
      <c r="E739" s="13"/>
      <c r="F739" s="45"/>
      <c r="G739" s="42"/>
      <c r="H739" s="42"/>
      <c r="I739" s="42"/>
      <c r="J739" s="22"/>
      <c r="K739" s="42"/>
    </row>
    <row r="740" ht="39.75" customHeight="1">
      <c r="A740" s="1">
        <v>739.0</v>
      </c>
      <c r="B740" s="2" t="s">
        <v>23</v>
      </c>
      <c r="C740" s="2" t="s">
        <v>7</v>
      </c>
      <c r="D740" s="13"/>
      <c r="E740" s="13"/>
      <c r="F740" s="44" t="s">
        <v>4143</v>
      </c>
      <c r="G740" s="42"/>
      <c r="H740" s="42"/>
      <c r="I740" s="42"/>
      <c r="J740" s="22"/>
      <c r="K740" s="42"/>
    </row>
    <row r="741" ht="39.75" customHeight="1">
      <c r="A741" s="1">
        <v>740.0</v>
      </c>
      <c r="B741" s="2" t="s">
        <v>24</v>
      </c>
      <c r="C741" s="2" t="s">
        <v>3563</v>
      </c>
      <c r="D741" s="13"/>
      <c r="E741" s="13"/>
      <c r="F741" s="45"/>
      <c r="G741" s="42"/>
      <c r="H741" s="42"/>
      <c r="I741" s="42"/>
      <c r="J741" s="22"/>
      <c r="K741" s="42"/>
    </row>
    <row r="742" ht="39.75" customHeight="1">
      <c r="A742" s="1">
        <v>741.0</v>
      </c>
      <c r="B742" s="2" t="s">
        <v>25</v>
      </c>
      <c r="C742" s="2" t="s">
        <v>13</v>
      </c>
      <c r="D742" s="13"/>
      <c r="E742" s="13"/>
      <c r="F742" s="45"/>
      <c r="G742" s="42"/>
      <c r="H742" s="42"/>
      <c r="I742" s="42"/>
      <c r="J742" s="22"/>
      <c r="K742" s="42"/>
    </row>
    <row r="743" ht="39.75" customHeight="1">
      <c r="A743" s="1">
        <v>742.0</v>
      </c>
      <c r="B743" s="2" t="s">
        <v>26</v>
      </c>
      <c r="C743" s="2" t="s">
        <v>69</v>
      </c>
      <c r="D743" s="13"/>
      <c r="E743" s="40">
        <v>0.875</v>
      </c>
      <c r="F743" s="44" t="s">
        <v>4144</v>
      </c>
      <c r="G743" s="43">
        <v>1.0</v>
      </c>
      <c r="H743" s="42"/>
      <c r="I743" s="42"/>
      <c r="J743" s="22"/>
      <c r="K743" s="42"/>
    </row>
    <row r="744" ht="39.75" customHeight="1">
      <c r="A744" s="1">
        <v>743.0</v>
      </c>
      <c r="B744" s="2" t="s">
        <v>29</v>
      </c>
      <c r="C744" s="2" t="s">
        <v>13</v>
      </c>
      <c r="D744" s="13"/>
      <c r="E744" s="13"/>
      <c r="F744" s="45"/>
      <c r="G744" s="42"/>
      <c r="H744" s="42"/>
      <c r="I744" s="42"/>
      <c r="J744" s="22"/>
      <c r="K744" s="42"/>
    </row>
    <row r="745" ht="39.75" customHeight="1">
      <c r="A745" s="1">
        <v>744.0</v>
      </c>
      <c r="B745" s="2" t="s">
        <v>32</v>
      </c>
      <c r="C745" s="2" t="s">
        <v>3560</v>
      </c>
      <c r="D745" s="13"/>
      <c r="E745" s="13"/>
      <c r="F745" s="44" t="s">
        <v>4145</v>
      </c>
      <c r="G745" s="43">
        <v>1.0</v>
      </c>
      <c r="H745" s="42"/>
      <c r="I745" s="43">
        <v>1.0</v>
      </c>
      <c r="J745" s="22"/>
      <c r="K745" s="42"/>
    </row>
    <row r="746" ht="39.75" customHeight="1">
      <c r="A746" s="1">
        <v>745.0</v>
      </c>
      <c r="B746" s="2" t="s">
        <v>67</v>
      </c>
      <c r="C746" s="2" t="s">
        <v>13</v>
      </c>
      <c r="D746" s="13"/>
      <c r="E746" s="13"/>
      <c r="F746" s="45"/>
      <c r="G746" s="42"/>
      <c r="H746" s="42"/>
      <c r="I746" s="42"/>
      <c r="J746" s="22"/>
      <c r="K746" s="42"/>
    </row>
    <row r="747" ht="39.75" customHeight="1">
      <c r="A747" s="1">
        <v>746.0</v>
      </c>
      <c r="B747" s="2" t="s">
        <v>35</v>
      </c>
      <c r="C747" s="2"/>
      <c r="D747" s="13"/>
      <c r="E747" s="13"/>
      <c r="F747" s="45"/>
      <c r="G747" s="42"/>
      <c r="H747" s="42"/>
      <c r="I747" s="42"/>
      <c r="J747" s="22"/>
      <c r="K747" s="42"/>
    </row>
    <row r="748" ht="39.75" customHeight="1">
      <c r="A748" s="1">
        <v>747.0</v>
      </c>
      <c r="B748" s="2" t="s">
        <v>36</v>
      </c>
      <c r="C748" s="2" t="s">
        <v>13</v>
      </c>
      <c r="D748" s="13"/>
      <c r="E748" s="13"/>
      <c r="F748" s="45"/>
      <c r="G748" s="42"/>
      <c r="H748" s="42"/>
      <c r="I748" s="42"/>
      <c r="J748" s="22"/>
      <c r="K748" s="42"/>
    </row>
    <row r="749" ht="39.75" customHeight="1">
      <c r="A749" s="1">
        <v>748.0</v>
      </c>
      <c r="B749" s="2" t="s">
        <v>38</v>
      </c>
      <c r="C749" s="2" t="s">
        <v>13</v>
      </c>
      <c r="D749" s="13"/>
      <c r="E749" s="13"/>
      <c r="F749" s="45"/>
      <c r="G749" s="42"/>
      <c r="H749" s="42"/>
      <c r="I749" s="42"/>
      <c r="J749" s="22"/>
      <c r="K749" s="42"/>
    </row>
    <row r="750" ht="39.75" customHeight="1">
      <c r="A750" s="1">
        <v>749.0</v>
      </c>
      <c r="B750" s="2" t="s">
        <v>41</v>
      </c>
      <c r="C750" s="2" t="s">
        <v>13</v>
      </c>
      <c r="D750" s="13"/>
      <c r="E750" s="13"/>
      <c r="F750" s="45"/>
      <c r="G750" s="42"/>
      <c r="H750" s="42"/>
      <c r="I750" s="42"/>
      <c r="J750" s="22"/>
      <c r="K750" s="42"/>
    </row>
    <row r="751" ht="39.75" customHeight="1">
      <c r="A751" s="1">
        <v>750.0</v>
      </c>
      <c r="B751" s="2" t="s">
        <v>42</v>
      </c>
      <c r="C751" s="2" t="s">
        <v>7</v>
      </c>
      <c r="D751" s="13"/>
      <c r="E751" s="13"/>
      <c r="F751" s="44" t="s">
        <v>4139</v>
      </c>
      <c r="G751" s="42"/>
      <c r="H751" s="42"/>
      <c r="I751" s="42"/>
      <c r="J751" s="22"/>
      <c r="K751" s="42"/>
    </row>
    <row r="752" ht="39.75" customHeight="1">
      <c r="A752" s="1">
        <v>751.0</v>
      </c>
      <c r="B752" s="2" t="s">
        <v>43</v>
      </c>
      <c r="C752" s="2" t="s">
        <v>3560</v>
      </c>
      <c r="D752" s="13"/>
      <c r="E752" s="13"/>
      <c r="F752" s="44" t="s">
        <v>2726</v>
      </c>
      <c r="G752" s="43">
        <v>1.0</v>
      </c>
      <c r="H752" s="42"/>
      <c r="I752" s="43">
        <v>1.0</v>
      </c>
      <c r="J752" s="22"/>
      <c r="K752" s="42"/>
    </row>
    <row r="753" ht="39.75" customHeight="1">
      <c r="A753" s="1">
        <v>752.0</v>
      </c>
      <c r="B753" s="2" t="s">
        <v>267</v>
      </c>
      <c r="C753" s="2" t="s">
        <v>13</v>
      </c>
      <c r="D753" s="13"/>
      <c r="E753" s="13"/>
      <c r="F753" s="45"/>
      <c r="G753" s="42"/>
      <c r="H753" s="42"/>
      <c r="I753" s="42"/>
      <c r="J753" s="22"/>
      <c r="K753" s="42"/>
    </row>
    <row r="754" ht="39.75" customHeight="1">
      <c r="A754" s="1">
        <v>753.0</v>
      </c>
      <c r="B754" s="2" t="s">
        <v>46</v>
      </c>
      <c r="C754" s="2" t="s">
        <v>13</v>
      </c>
      <c r="D754" s="13"/>
      <c r="E754" s="13"/>
      <c r="F754" s="45"/>
      <c r="G754" s="42"/>
      <c r="H754" s="42"/>
      <c r="I754" s="42"/>
      <c r="J754" s="22"/>
      <c r="K754" s="42"/>
    </row>
    <row r="755" ht="39.75" customHeight="1">
      <c r="A755" s="1">
        <v>754.0</v>
      </c>
      <c r="B755" s="2" t="s">
        <v>47</v>
      </c>
      <c r="C755" s="2" t="s">
        <v>7</v>
      </c>
      <c r="D755" s="13"/>
      <c r="E755" s="13"/>
      <c r="F755" s="44" t="s">
        <v>4139</v>
      </c>
      <c r="G755" s="42"/>
      <c r="H755" s="42"/>
      <c r="I755" s="42"/>
      <c r="J755" s="22"/>
      <c r="K755" s="42"/>
    </row>
    <row r="756" ht="39.75" customHeight="1">
      <c r="A756" s="1">
        <v>755.0</v>
      </c>
      <c r="B756" s="2" t="s">
        <v>48</v>
      </c>
      <c r="C756" s="2" t="s">
        <v>13</v>
      </c>
      <c r="D756" s="13"/>
      <c r="E756" s="13"/>
      <c r="F756" s="45"/>
      <c r="G756" s="42"/>
      <c r="H756" s="42"/>
      <c r="I756" s="42"/>
      <c r="J756" s="22"/>
      <c r="K756" s="42"/>
    </row>
    <row r="757" ht="39.75" customHeight="1">
      <c r="A757" s="1">
        <v>756.0</v>
      </c>
      <c r="B757" s="21"/>
      <c r="C757" s="21"/>
      <c r="D757" s="21"/>
      <c r="E757" s="21"/>
      <c r="F757" s="46"/>
      <c r="G757" s="47"/>
      <c r="H757" s="47"/>
      <c r="I757" s="47"/>
      <c r="J757" s="48"/>
      <c r="K757" s="47"/>
      <c r="L757" s="119" t="s">
        <v>15</v>
      </c>
      <c r="M757" s="49"/>
      <c r="N757" s="49"/>
    </row>
    <row r="758" ht="39.75" customHeight="1">
      <c r="A758" s="1">
        <v>757.0</v>
      </c>
      <c r="B758" s="2" t="s">
        <v>12</v>
      </c>
      <c r="C758" s="2" t="s">
        <v>13</v>
      </c>
      <c r="D758" s="13"/>
      <c r="E758" s="13"/>
      <c r="F758" s="45"/>
      <c r="G758" s="42"/>
      <c r="H758" s="42"/>
      <c r="I758" s="42"/>
      <c r="J758" s="27" t="s">
        <v>1161</v>
      </c>
      <c r="K758" s="42"/>
      <c r="L758" s="15" t="s">
        <v>4146</v>
      </c>
    </row>
    <row r="759" ht="39.75" customHeight="1">
      <c r="A759" s="1">
        <v>758.0</v>
      </c>
      <c r="B759" s="2" t="s">
        <v>16</v>
      </c>
      <c r="C759" s="2" t="s">
        <v>3557</v>
      </c>
      <c r="D759" s="13"/>
      <c r="E759" s="13"/>
      <c r="F759" s="44" t="s">
        <v>4147</v>
      </c>
      <c r="G759" s="43">
        <v>1.0</v>
      </c>
      <c r="H759" s="42"/>
      <c r="I759" s="42"/>
      <c r="J759" s="27" t="s">
        <v>15</v>
      </c>
      <c r="K759" s="43"/>
    </row>
    <row r="760" ht="39.75" customHeight="1">
      <c r="A760" s="1">
        <v>759.0</v>
      </c>
      <c r="B760" s="2" t="s">
        <v>116</v>
      </c>
      <c r="C760" s="2" t="s">
        <v>3557</v>
      </c>
      <c r="D760" s="13"/>
      <c r="E760" s="13"/>
      <c r="F760" s="44" t="s">
        <v>4148</v>
      </c>
      <c r="G760" s="43">
        <v>1.0</v>
      </c>
      <c r="H760" s="42"/>
      <c r="I760" s="42"/>
      <c r="J760" s="27" t="s">
        <v>19</v>
      </c>
      <c r="K760" s="42"/>
    </row>
    <row r="761" ht="39.75" customHeight="1">
      <c r="A761" s="1">
        <v>760.0</v>
      </c>
      <c r="B761" s="2" t="s">
        <v>263</v>
      </c>
      <c r="C761" s="2" t="s">
        <v>44</v>
      </c>
      <c r="D761" s="13"/>
      <c r="E761" s="13"/>
      <c r="F761" s="44"/>
      <c r="G761" s="42"/>
      <c r="H761" s="42"/>
      <c r="I761" s="42"/>
      <c r="J761" s="27" t="s">
        <v>151</v>
      </c>
      <c r="K761" s="42"/>
    </row>
    <row r="762" ht="39.75" customHeight="1">
      <c r="A762" s="1">
        <v>761.0</v>
      </c>
      <c r="B762" s="2" t="s">
        <v>17</v>
      </c>
      <c r="C762" s="2" t="s">
        <v>3560</v>
      </c>
      <c r="D762" s="13"/>
      <c r="E762" s="13"/>
      <c r="F762" s="44" t="s">
        <v>4149</v>
      </c>
      <c r="G762" s="43">
        <v>1.0</v>
      </c>
      <c r="H762" s="42"/>
      <c r="I762" s="43">
        <v>1.0</v>
      </c>
      <c r="J762" s="27" t="s">
        <v>152</v>
      </c>
      <c r="K762" s="42"/>
    </row>
    <row r="763" ht="39.75" customHeight="1">
      <c r="A763" s="1">
        <v>762.0</v>
      </c>
      <c r="B763" s="2" t="s">
        <v>331</v>
      </c>
      <c r="C763" s="2" t="s">
        <v>3562</v>
      </c>
      <c r="D763" s="13"/>
      <c r="E763" s="13"/>
      <c r="F763" s="44" t="s">
        <v>4150</v>
      </c>
      <c r="G763" s="42"/>
      <c r="H763" s="42"/>
      <c r="I763" s="42"/>
      <c r="J763" s="27" t="s">
        <v>154</v>
      </c>
      <c r="K763" s="42"/>
    </row>
    <row r="764" ht="39.75" customHeight="1">
      <c r="A764" s="1">
        <v>763.0</v>
      </c>
      <c r="B764" s="2" t="s">
        <v>21</v>
      </c>
      <c r="C764" s="2" t="s">
        <v>27</v>
      </c>
      <c r="D764" s="13"/>
      <c r="E764" s="13"/>
      <c r="F764" s="45"/>
      <c r="G764" s="42"/>
      <c r="H764" s="42"/>
      <c r="I764" s="42"/>
      <c r="J764" s="22"/>
      <c r="K764" s="42"/>
    </row>
    <row r="765" ht="39.75" customHeight="1">
      <c r="A765" s="1">
        <v>764.0</v>
      </c>
      <c r="B765" s="2" t="s">
        <v>22</v>
      </c>
      <c r="C765" s="2" t="s">
        <v>13</v>
      </c>
      <c r="D765" s="13"/>
      <c r="E765" s="13"/>
      <c r="F765" s="45"/>
      <c r="G765" s="42"/>
      <c r="H765" s="42"/>
      <c r="I765" s="42"/>
      <c r="J765" s="22"/>
      <c r="K765" s="42"/>
    </row>
    <row r="766" ht="39.75" customHeight="1">
      <c r="A766" s="1">
        <v>765.0</v>
      </c>
      <c r="B766" s="2" t="s">
        <v>261</v>
      </c>
      <c r="C766" s="2" t="s">
        <v>13</v>
      </c>
      <c r="D766" s="13"/>
      <c r="E766" s="13"/>
      <c r="F766" s="45"/>
      <c r="G766" s="42"/>
      <c r="H766" s="42"/>
      <c r="I766" s="42"/>
      <c r="J766" s="22"/>
      <c r="K766" s="42"/>
    </row>
    <row r="767" ht="39.75" customHeight="1">
      <c r="A767" s="1">
        <v>766.0</v>
      </c>
      <c r="B767" s="2" t="s">
        <v>23</v>
      </c>
      <c r="C767" s="2" t="s">
        <v>13</v>
      </c>
      <c r="D767" s="13"/>
      <c r="E767" s="13"/>
      <c r="F767" s="45"/>
      <c r="G767" s="42"/>
      <c r="H767" s="42"/>
      <c r="I767" s="42"/>
      <c r="J767" s="22"/>
      <c r="K767" s="42"/>
    </row>
    <row r="768" ht="39.75" customHeight="1">
      <c r="A768" s="1">
        <v>767.0</v>
      </c>
      <c r="B768" s="2" t="s">
        <v>24</v>
      </c>
      <c r="C768" s="2" t="s">
        <v>13</v>
      </c>
      <c r="D768" s="13"/>
      <c r="E768" s="13"/>
      <c r="F768" s="45"/>
      <c r="G768" s="42"/>
      <c r="H768" s="42"/>
      <c r="I768" s="42"/>
      <c r="J768" s="22"/>
      <c r="K768" s="42"/>
    </row>
    <row r="769" ht="39.75" customHeight="1">
      <c r="A769" s="1">
        <v>768.0</v>
      </c>
      <c r="B769" s="2" t="s">
        <v>25</v>
      </c>
      <c r="C769" s="2" t="s">
        <v>13</v>
      </c>
      <c r="D769" s="13"/>
      <c r="E769" s="13"/>
      <c r="F769" s="45"/>
      <c r="G769" s="42"/>
      <c r="H769" s="42"/>
      <c r="I769" s="42"/>
      <c r="J769" s="22"/>
      <c r="K769" s="42"/>
    </row>
    <row r="770" ht="39.75" customHeight="1">
      <c r="A770" s="1">
        <v>769.0</v>
      </c>
      <c r="B770" s="2" t="s">
        <v>26</v>
      </c>
      <c r="C770" s="2" t="s">
        <v>13</v>
      </c>
      <c r="D770" s="13"/>
      <c r="E770" s="13"/>
      <c r="F770" s="45"/>
      <c r="G770" s="42"/>
      <c r="H770" s="42"/>
      <c r="I770" s="42"/>
      <c r="J770" s="22"/>
      <c r="K770" s="42"/>
    </row>
    <row r="771" ht="39.75" customHeight="1">
      <c r="A771" s="1">
        <v>770.0</v>
      </c>
      <c r="B771" s="2" t="s">
        <v>29</v>
      </c>
      <c r="C771" s="2" t="s">
        <v>39</v>
      </c>
      <c r="D771" s="13"/>
      <c r="E771" s="13"/>
      <c r="F771" s="44" t="s">
        <v>4151</v>
      </c>
      <c r="G771" s="43">
        <v>1.0</v>
      </c>
      <c r="H771" s="42"/>
      <c r="I771" s="43">
        <v>1.0</v>
      </c>
      <c r="J771" s="22"/>
      <c r="K771" s="42"/>
    </row>
    <row r="772" ht="39.75" customHeight="1">
      <c r="A772" s="1">
        <v>771.0</v>
      </c>
      <c r="B772" s="2" t="s">
        <v>32</v>
      </c>
      <c r="C772" s="2" t="s">
        <v>13</v>
      </c>
      <c r="D772" s="13"/>
      <c r="E772" s="13"/>
      <c r="F772" s="45"/>
      <c r="G772" s="42"/>
      <c r="H772" s="42"/>
      <c r="I772" s="42"/>
      <c r="J772" s="22"/>
      <c r="K772" s="42"/>
    </row>
    <row r="773" ht="39.75" customHeight="1">
      <c r="A773" s="1">
        <v>772.0</v>
      </c>
      <c r="B773" s="2" t="s">
        <v>67</v>
      </c>
      <c r="C773" s="2" t="s">
        <v>13</v>
      </c>
      <c r="D773" s="13"/>
      <c r="E773" s="13"/>
      <c r="F773" s="45"/>
      <c r="G773" s="42"/>
      <c r="H773" s="42"/>
      <c r="I773" s="42"/>
      <c r="J773" s="22"/>
      <c r="K773" s="42"/>
    </row>
    <row r="774" ht="39.75" customHeight="1">
      <c r="A774" s="1">
        <v>773.0</v>
      </c>
      <c r="B774" s="2" t="s">
        <v>35</v>
      </c>
      <c r="C774" s="2" t="s">
        <v>3557</v>
      </c>
      <c r="D774" s="13"/>
      <c r="E774" s="13"/>
      <c r="F774" s="44" t="s">
        <v>4152</v>
      </c>
      <c r="G774" s="42"/>
      <c r="H774" s="42"/>
      <c r="I774" s="42"/>
      <c r="J774" s="22"/>
      <c r="K774" s="42"/>
    </row>
    <row r="775" ht="39.75" customHeight="1">
      <c r="A775" s="1">
        <v>774.0</v>
      </c>
      <c r="B775" s="2" t="s">
        <v>36</v>
      </c>
      <c r="C775" s="2" t="s">
        <v>13</v>
      </c>
      <c r="D775" s="13"/>
      <c r="E775" s="13"/>
      <c r="F775" s="45"/>
      <c r="G775" s="42"/>
      <c r="H775" s="42"/>
      <c r="I775" s="42"/>
      <c r="J775" s="22"/>
      <c r="K775" s="42"/>
    </row>
    <row r="776" ht="39.75" customHeight="1">
      <c r="A776" s="1">
        <v>775.0</v>
      </c>
      <c r="B776" s="2" t="s">
        <v>38</v>
      </c>
      <c r="C776" s="2" t="s">
        <v>3560</v>
      </c>
      <c r="D776" s="13"/>
      <c r="E776" s="13"/>
      <c r="F776" s="44" t="s">
        <v>4153</v>
      </c>
      <c r="G776" s="43">
        <v>1.0</v>
      </c>
      <c r="H776" s="42"/>
      <c r="I776" s="42"/>
      <c r="J776" s="22"/>
      <c r="K776" s="42"/>
    </row>
    <row r="777" ht="39.75" customHeight="1">
      <c r="A777" s="1">
        <v>776.0</v>
      </c>
      <c r="B777" s="2" t="s">
        <v>41</v>
      </c>
      <c r="C777" s="2" t="s">
        <v>13</v>
      </c>
      <c r="D777" s="13"/>
      <c r="E777" s="13"/>
      <c r="F777" s="45"/>
      <c r="G777" s="42"/>
      <c r="H777" s="42"/>
      <c r="I777" s="42"/>
      <c r="J777" s="22"/>
      <c r="K777" s="42"/>
    </row>
    <row r="778" ht="39.75" customHeight="1">
      <c r="A778" s="1">
        <v>777.0</v>
      </c>
      <c r="B778" s="2" t="s">
        <v>42</v>
      </c>
      <c r="C778" s="2" t="s">
        <v>3557</v>
      </c>
      <c r="D778" s="13"/>
      <c r="E778" s="13"/>
      <c r="F778" s="44" t="s">
        <v>4154</v>
      </c>
      <c r="G778" s="43">
        <v>1.0</v>
      </c>
      <c r="H778" s="42"/>
      <c r="I778" s="42"/>
      <c r="J778" s="22"/>
      <c r="K778" s="42"/>
    </row>
    <row r="779" ht="39.75" customHeight="1">
      <c r="A779" s="1">
        <v>778.0</v>
      </c>
      <c r="B779" s="2" t="s">
        <v>43</v>
      </c>
      <c r="C779" s="2" t="s">
        <v>13</v>
      </c>
      <c r="D779" s="13"/>
      <c r="E779" s="13"/>
      <c r="F779" s="45"/>
      <c r="G779" s="42"/>
      <c r="H779" s="42"/>
      <c r="I779" s="42"/>
      <c r="J779" s="22"/>
      <c r="K779" s="42"/>
    </row>
    <row r="780" ht="39.75" customHeight="1">
      <c r="A780" s="1">
        <v>779.0</v>
      </c>
      <c r="B780" s="2" t="s">
        <v>267</v>
      </c>
      <c r="C780" s="2" t="s">
        <v>13</v>
      </c>
      <c r="D780" s="13"/>
      <c r="E780" s="13"/>
      <c r="F780" s="45"/>
      <c r="G780" s="42"/>
      <c r="H780" s="42"/>
      <c r="I780" s="42"/>
      <c r="J780" s="22"/>
      <c r="K780" s="42"/>
    </row>
    <row r="781" ht="39.75" customHeight="1">
      <c r="A781" s="1">
        <v>780.0</v>
      </c>
      <c r="B781" s="2" t="s">
        <v>46</v>
      </c>
      <c r="C781" s="2" t="s">
        <v>13</v>
      </c>
      <c r="D781" s="13"/>
      <c r="E781" s="13"/>
      <c r="F781" s="45"/>
      <c r="G781" s="42"/>
      <c r="H781" s="42"/>
      <c r="I781" s="42"/>
      <c r="J781" s="22"/>
      <c r="K781" s="42"/>
    </row>
    <row r="782" ht="39.75" customHeight="1">
      <c r="A782" s="1">
        <v>781.0</v>
      </c>
      <c r="B782" s="2" t="s">
        <v>47</v>
      </c>
      <c r="C782" s="2" t="s">
        <v>3557</v>
      </c>
      <c r="D782" s="13"/>
      <c r="E782" s="13"/>
      <c r="F782" s="44" t="s">
        <v>4155</v>
      </c>
      <c r="G782" s="42"/>
      <c r="H782" s="42"/>
      <c r="I782" s="42"/>
      <c r="J782" s="22"/>
      <c r="K782" s="42"/>
    </row>
    <row r="783" ht="39.75" customHeight="1">
      <c r="A783" s="1">
        <v>782.0</v>
      </c>
      <c r="B783" s="2" t="s">
        <v>48</v>
      </c>
      <c r="C783" s="2" t="s">
        <v>13</v>
      </c>
      <c r="D783" s="13"/>
      <c r="E783" s="13"/>
      <c r="F783" s="45"/>
      <c r="G783" s="42"/>
      <c r="H783" s="42"/>
      <c r="I783" s="42"/>
      <c r="J783" s="22"/>
      <c r="K783" s="42"/>
    </row>
    <row r="784" ht="39.75" customHeight="1">
      <c r="A784" s="1">
        <v>783.0</v>
      </c>
      <c r="B784" s="21"/>
      <c r="C784" s="21"/>
      <c r="D784" s="21"/>
      <c r="E784" s="21"/>
      <c r="F784" s="46"/>
      <c r="G784" s="47"/>
      <c r="H784" s="47"/>
      <c r="I784" s="47"/>
      <c r="J784" s="48"/>
      <c r="K784" s="47"/>
      <c r="L784" s="49"/>
      <c r="M784" s="49"/>
      <c r="N784" s="49"/>
    </row>
    <row r="785" ht="39.75" customHeight="1">
      <c r="A785" s="1">
        <v>784.0</v>
      </c>
      <c r="B785" s="2" t="s">
        <v>12</v>
      </c>
      <c r="C785" s="2" t="s">
        <v>62</v>
      </c>
      <c r="D785" s="13"/>
      <c r="E785" s="13"/>
      <c r="F785" s="45"/>
      <c r="G785" s="42"/>
      <c r="H785" s="42"/>
      <c r="I785" s="42"/>
      <c r="J785" s="22"/>
      <c r="K785" s="42"/>
      <c r="L785" s="15" t="s">
        <v>467</v>
      </c>
    </row>
    <row r="786" ht="39.75" customHeight="1">
      <c r="A786" s="1">
        <v>785.0</v>
      </c>
      <c r="B786" s="2" t="s">
        <v>16</v>
      </c>
      <c r="C786" s="2"/>
      <c r="D786" s="13"/>
      <c r="E786" s="13"/>
      <c r="F786" s="45"/>
      <c r="G786" s="42"/>
      <c r="H786" s="42"/>
      <c r="I786" s="42"/>
      <c r="J786" s="27" t="s">
        <v>467</v>
      </c>
      <c r="K786" s="43"/>
    </row>
    <row r="787" ht="39.75" customHeight="1">
      <c r="A787" s="1">
        <v>786.0</v>
      </c>
      <c r="B787" s="2" t="s">
        <v>116</v>
      </c>
      <c r="C787" s="2"/>
      <c r="D787" s="13"/>
      <c r="E787" s="13"/>
      <c r="F787" s="45"/>
      <c r="G787" s="42"/>
      <c r="H787" s="42"/>
      <c r="I787" s="42"/>
      <c r="J787" s="22"/>
      <c r="K787" s="42"/>
    </row>
    <row r="788" ht="39.75" customHeight="1">
      <c r="A788" s="1">
        <v>787.0</v>
      </c>
      <c r="B788" s="2" t="s">
        <v>263</v>
      </c>
      <c r="C788" s="2"/>
      <c r="D788" s="13"/>
      <c r="E788" s="13"/>
      <c r="F788" s="44"/>
      <c r="G788" s="42"/>
      <c r="H788" s="42"/>
      <c r="I788" s="42"/>
      <c r="J788" s="22"/>
      <c r="K788" s="42"/>
    </row>
    <row r="789" ht="39.75" customHeight="1">
      <c r="A789" s="1">
        <v>788.0</v>
      </c>
      <c r="B789" s="2" t="s">
        <v>17</v>
      </c>
      <c r="C789" s="2" t="s">
        <v>64</v>
      </c>
      <c r="D789" s="13"/>
      <c r="E789" s="13"/>
      <c r="F789" s="45"/>
      <c r="G789" s="42"/>
      <c r="H789" s="42"/>
      <c r="I789" s="42"/>
      <c r="J789" s="22"/>
      <c r="K789" s="42"/>
    </row>
    <row r="790" ht="39.75" customHeight="1">
      <c r="A790" s="1">
        <v>789.0</v>
      </c>
      <c r="B790" s="2" t="s">
        <v>331</v>
      </c>
      <c r="C790" s="2"/>
      <c r="D790" s="13"/>
      <c r="E790" s="13"/>
      <c r="F790" s="45"/>
      <c r="G790" s="42"/>
      <c r="H790" s="42"/>
      <c r="I790" s="42"/>
      <c r="J790" s="22"/>
      <c r="K790" s="42"/>
    </row>
    <row r="791" ht="39.75" customHeight="1">
      <c r="A791" s="1">
        <v>790.0</v>
      </c>
      <c r="B791" s="2" t="s">
        <v>21</v>
      </c>
      <c r="C791" s="2"/>
      <c r="D791" s="13"/>
      <c r="E791" s="13"/>
      <c r="F791" s="45"/>
      <c r="G791" s="42"/>
      <c r="H791" s="42"/>
      <c r="I791" s="42"/>
      <c r="J791" s="22"/>
      <c r="K791" s="42"/>
    </row>
    <row r="792" ht="39.75" customHeight="1">
      <c r="A792" s="1">
        <v>791.0</v>
      </c>
      <c r="B792" s="2" t="s">
        <v>22</v>
      </c>
      <c r="C792" s="13"/>
      <c r="D792" s="13"/>
      <c r="E792" s="13"/>
      <c r="F792" s="45"/>
      <c r="G792" s="42"/>
      <c r="H792" s="42"/>
      <c r="I792" s="42"/>
      <c r="J792" s="22"/>
      <c r="K792" s="42"/>
    </row>
    <row r="793" ht="39.75" customHeight="1">
      <c r="A793" s="1">
        <v>792.0</v>
      </c>
      <c r="B793" s="2" t="s">
        <v>261</v>
      </c>
      <c r="C793" s="2" t="s">
        <v>13</v>
      </c>
      <c r="D793" s="13"/>
      <c r="E793" s="13"/>
      <c r="F793" s="45"/>
      <c r="G793" s="42"/>
      <c r="H793" s="42"/>
      <c r="I793" s="42"/>
      <c r="J793" s="22"/>
      <c r="K793" s="42"/>
    </row>
    <row r="794" ht="39.75" customHeight="1">
      <c r="A794" s="1">
        <v>793.0</v>
      </c>
      <c r="B794" s="2" t="s">
        <v>23</v>
      </c>
      <c r="C794" s="2"/>
      <c r="D794" s="13"/>
      <c r="E794" s="13"/>
      <c r="F794" s="45"/>
      <c r="G794" s="42"/>
      <c r="H794" s="42"/>
      <c r="I794" s="42"/>
      <c r="J794" s="22"/>
      <c r="K794" s="42"/>
    </row>
    <row r="795" ht="39.75" customHeight="1">
      <c r="A795" s="1">
        <v>794.0</v>
      </c>
      <c r="B795" s="2" t="s">
        <v>24</v>
      </c>
      <c r="C795" s="2"/>
      <c r="D795" s="13"/>
      <c r="E795" s="13"/>
      <c r="F795" s="45"/>
      <c r="G795" s="42"/>
      <c r="H795" s="42"/>
      <c r="I795" s="42"/>
      <c r="J795" s="22"/>
      <c r="K795" s="42"/>
    </row>
    <row r="796" ht="39.75" customHeight="1">
      <c r="A796" s="1">
        <v>795.0</v>
      </c>
      <c r="B796" s="2" t="s">
        <v>25</v>
      </c>
      <c r="C796" s="2"/>
      <c r="D796" s="13"/>
      <c r="E796" s="13"/>
      <c r="F796" s="45"/>
      <c r="G796" s="42"/>
      <c r="H796" s="42"/>
      <c r="I796" s="42"/>
      <c r="J796" s="22"/>
      <c r="K796" s="42"/>
    </row>
    <row r="797" ht="39.75" customHeight="1">
      <c r="A797" s="1">
        <v>796.0</v>
      </c>
      <c r="B797" s="2" t="s">
        <v>26</v>
      </c>
      <c r="C797" s="2"/>
      <c r="D797" s="13"/>
      <c r="E797" s="13"/>
      <c r="F797" s="45"/>
      <c r="G797" s="42"/>
      <c r="H797" s="42"/>
      <c r="I797" s="42"/>
      <c r="J797" s="22"/>
      <c r="K797" s="42"/>
    </row>
    <row r="798" ht="39.75" customHeight="1">
      <c r="A798" s="1">
        <v>797.0</v>
      </c>
      <c r="B798" s="2" t="s">
        <v>29</v>
      </c>
      <c r="C798" s="13"/>
      <c r="D798" s="13"/>
      <c r="E798" s="13"/>
      <c r="F798" s="45"/>
      <c r="G798" s="42"/>
      <c r="H798" s="42"/>
      <c r="I798" s="42"/>
      <c r="J798" s="22"/>
      <c r="K798" s="42"/>
    </row>
    <row r="799" ht="39.75" customHeight="1">
      <c r="A799" s="1">
        <v>798.0</v>
      </c>
      <c r="B799" s="2" t="s">
        <v>32</v>
      </c>
      <c r="C799" s="2"/>
      <c r="D799" s="13"/>
      <c r="E799" s="13"/>
      <c r="F799" s="45"/>
      <c r="G799" s="42"/>
      <c r="H799" s="42"/>
      <c r="I799" s="42"/>
      <c r="J799" s="22"/>
      <c r="K799" s="42"/>
    </row>
    <row r="800" ht="39.75" customHeight="1">
      <c r="A800" s="1">
        <v>799.0</v>
      </c>
      <c r="B800" s="2" t="s">
        <v>67</v>
      </c>
      <c r="C800" s="2"/>
      <c r="D800" s="13"/>
      <c r="E800" s="13"/>
      <c r="F800" s="45"/>
      <c r="G800" s="42"/>
      <c r="H800" s="42"/>
      <c r="I800" s="42"/>
      <c r="J800" s="22"/>
      <c r="K800" s="42"/>
    </row>
    <row r="801" ht="39.75" customHeight="1">
      <c r="A801" s="1">
        <v>800.0</v>
      </c>
      <c r="B801" s="2" t="s">
        <v>35</v>
      </c>
      <c r="C801" s="2"/>
      <c r="D801" s="13"/>
      <c r="E801" s="13"/>
      <c r="F801" s="45"/>
      <c r="G801" s="42"/>
      <c r="H801" s="42"/>
      <c r="I801" s="42"/>
      <c r="J801" s="22"/>
      <c r="K801" s="42"/>
    </row>
    <row r="802" ht="39.75" customHeight="1">
      <c r="A802" s="1">
        <v>801.0</v>
      </c>
      <c r="B802" s="2" t="s">
        <v>36</v>
      </c>
      <c r="C802" s="2"/>
      <c r="D802" s="13"/>
      <c r="E802" s="13"/>
      <c r="F802" s="45"/>
      <c r="G802" s="42"/>
      <c r="H802" s="42"/>
      <c r="I802" s="42"/>
      <c r="J802" s="22"/>
      <c r="K802" s="42"/>
    </row>
    <row r="803" ht="39.75" customHeight="1">
      <c r="A803" s="1">
        <v>802.0</v>
      </c>
      <c r="B803" s="2" t="s">
        <v>38</v>
      </c>
      <c r="C803" s="2"/>
      <c r="D803" s="13"/>
      <c r="E803" s="13"/>
      <c r="F803" s="45"/>
      <c r="G803" s="42"/>
      <c r="H803" s="42"/>
      <c r="I803" s="42"/>
      <c r="J803" s="22"/>
      <c r="K803" s="42"/>
    </row>
    <row r="804" ht="39.75" customHeight="1">
      <c r="A804" s="1">
        <v>803.0</v>
      </c>
      <c r="B804" s="2" t="s">
        <v>41</v>
      </c>
      <c r="C804" s="13"/>
      <c r="D804" s="13"/>
      <c r="E804" s="13"/>
      <c r="F804" s="45"/>
      <c r="G804" s="42"/>
      <c r="H804" s="42"/>
      <c r="I804" s="42"/>
      <c r="J804" s="22"/>
      <c r="K804" s="42"/>
    </row>
    <row r="805" ht="39.75" customHeight="1">
      <c r="A805" s="1">
        <v>804.0</v>
      </c>
      <c r="B805" s="2" t="s">
        <v>42</v>
      </c>
      <c r="C805" s="2"/>
      <c r="D805" s="13"/>
      <c r="E805" s="13"/>
      <c r="F805" s="45"/>
      <c r="G805" s="42"/>
      <c r="H805" s="42"/>
      <c r="I805" s="42"/>
      <c r="J805" s="22"/>
      <c r="K805" s="42"/>
    </row>
    <row r="806" ht="39.75" customHeight="1">
      <c r="A806" s="1">
        <v>805.0</v>
      </c>
      <c r="B806" s="2" t="s">
        <v>43</v>
      </c>
      <c r="C806" s="2"/>
      <c r="D806" s="13"/>
      <c r="E806" s="13"/>
      <c r="F806" s="45"/>
      <c r="G806" s="42"/>
      <c r="H806" s="42"/>
      <c r="I806" s="42"/>
      <c r="J806" s="22"/>
      <c r="K806" s="42"/>
    </row>
    <row r="807" ht="39.75" customHeight="1">
      <c r="A807" s="1">
        <v>806.0</v>
      </c>
      <c r="B807" s="2" t="s">
        <v>267</v>
      </c>
      <c r="C807" s="2"/>
      <c r="D807" s="13"/>
      <c r="E807" s="13"/>
      <c r="F807" s="45"/>
      <c r="G807" s="42"/>
      <c r="H807" s="42"/>
      <c r="I807" s="42"/>
      <c r="J807" s="22"/>
      <c r="K807" s="42"/>
    </row>
    <row r="808" ht="39.75" customHeight="1">
      <c r="A808" s="1">
        <v>807.0</v>
      </c>
      <c r="B808" s="2" t="s">
        <v>46</v>
      </c>
      <c r="C808" s="2"/>
      <c r="D808" s="13"/>
      <c r="E808" s="13"/>
      <c r="F808" s="45"/>
      <c r="G808" s="42"/>
      <c r="H808" s="42"/>
      <c r="I808" s="42"/>
      <c r="J808" s="22"/>
      <c r="K808" s="42"/>
    </row>
    <row r="809" ht="39.75" customHeight="1">
      <c r="A809" s="1">
        <v>808.0</v>
      </c>
      <c r="B809" s="2" t="s">
        <v>47</v>
      </c>
      <c r="C809" s="2"/>
      <c r="D809" s="13"/>
      <c r="E809" s="13"/>
      <c r="F809" s="45"/>
      <c r="G809" s="42"/>
      <c r="H809" s="42"/>
      <c r="I809" s="42"/>
      <c r="J809" s="22"/>
      <c r="K809" s="42"/>
    </row>
    <row r="810" ht="39.75" customHeight="1">
      <c r="A810" s="1">
        <v>809.0</v>
      </c>
      <c r="B810" s="2" t="s">
        <v>48</v>
      </c>
      <c r="C810" s="2"/>
      <c r="D810" s="13"/>
      <c r="E810" s="13"/>
      <c r="F810" s="45"/>
      <c r="G810" s="42"/>
      <c r="H810" s="42"/>
      <c r="I810" s="42"/>
      <c r="J810" s="22"/>
      <c r="K810" s="42"/>
    </row>
    <row r="811" ht="39.75" customHeight="1">
      <c r="A811" s="1">
        <v>810.0</v>
      </c>
      <c r="B811" s="21"/>
      <c r="C811" s="21"/>
      <c r="D811" s="21"/>
      <c r="E811" s="21"/>
      <c r="F811" s="46"/>
      <c r="G811" s="47"/>
      <c r="H811" s="47"/>
      <c r="I811" s="47"/>
      <c r="J811" s="48"/>
      <c r="K811" s="47"/>
      <c r="L811" s="49"/>
      <c r="M811" s="49"/>
      <c r="N811" s="49"/>
    </row>
    <row r="812" ht="39.75" customHeight="1">
      <c r="A812" s="1">
        <v>811.0</v>
      </c>
      <c r="B812" s="2" t="s">
        <v>12</v>
      </c>
      <c r="C812" s="2" t="s">
        <v>62</v>
      </c>
      <c r="D812" s="13"/>
      <c r="E812" s="13"/>
      <c r="F812" s="45"/>
      <c r="G812" s="42"/>
      <c r="H812" s="42"/>
      <c r="I812" s="42"/>
      <c r="J812" s="22"/>
      <c r="K812" s="42"/>
      <c r="L812" s="15" t="s">
        <v>477</v>
      </c>
    </row>
    <row r="813" ht="39.75" customHeight="1">
      <c r="A813" s="1">
        <v>812.0</v>
      </c>
      <c r="B813" s="2" t="s">
        <v>16</v>
      </c>
      <c r="C813" s="2"/>
      <c r="D813" s="13"/>
      <c r="E813" s="13"/>
      <c r="F813" s="45"/>
      <c r="G813" s="42"/>
      <c r="H813" s="42"/>
      <c r="I813" s="42"/>
      <c r="J813" s="27" t="s">
        <v>477</v>
      </c>
      <c r="K813" s="43"/>
    </row>
    <row r="814" ht="39.75" customHeight="1">
      <c r="A814" s="1">
        <v>813.0</v>
      </c>
      <c r="B814" s="2" t="s">
        <v>116</v>
      </c>
      <c r="C814" s="2"/>
      <c r="D814" s="13"/>
      <c r="E814" s="13"/>
      <c r="F814" s="45"/>
      <c r="G814" s="42"/>
      <c r="H814" s="42"/>
      <c r="I814" s="42"/>
      <c r="J814" s="22"/>
      <c r="K814" s="42"/>
    </row>
    <row r="815" ht="39.75" customHeight="1">
      <c r="A815" s="1">
        <v>814.0</v>
      </c>
      <c r="B815" s="2" t="s">
        <v>263</v>
      </c>
      <c r="C815" s="2"/>
      <c r="D815" s="13"/>
      <c r="E815" s="13"/>
      <c r="F815" s="44"/>
      <c r="G815" s="42"/>
      <c r="H815" s="42"/>
      <c r="I815" s="42"/>
      <c r="J815" s="22"/>
      <c r="K815" s="42"/>
    </row>
    <row r="816" ht="39.75" customHeight="1">
      <c r="A816" s="1">
        <v>815.0</v>
      </c>
      <c r="B816" s="2" t="s">
        <v>17</v>
      </c>
      <c r="C816" s="2" t="s">
        <v>64</v>
      </c>
      <c r="D816" s="13"/>
      <c r="E816" s="13"/>
      <c r="F816" s="45"/>
      <c r="G816" s="42"/>
      <c r="H816" s="42"/>
      <c r="I816" s="42"/>
      <c r="J816" s="22"/>
      <c r="K816" s="42"/>
    </row>
    <row r="817" ht="39.75" customHeight="1">
      <c r="A817" s="1">
        <v>816.0</v>
      </c>
      <c r="B817" s="2" t="s">
        <v>331</v>
      </c>
      <c r="C817" s="2"/>
      <c r="D817" s="13"/>
      <c r="E817" s="13"/>
      <c r="F817" s="45"/>
      <c r="G817" s="42"/>
      <c r="H817" s="42"/>
      <c r="I817" s="42"/>
      <c r="J817" s="22"/>
      <c r="K817" s="42"/>
    </row>
    <row r="818" ht="39.75" customHeight="1">
      <c r="A818" s="1">
        <v>817.0</v>
      </c>
      <c r="B818" s="2" t="s">
        <v>21</v>
      </c>
      <c r="C818" s="2"/>
      <c r="D818" s="13"/>
      <c r="E818" s="13"/>
      <c r="F818" s="45"/>
      <c r="G818" s="42"/>
      <c r="H818" s="42"/>
      <c r="I818" s="42"/>
      <c r="J818" s="22"/>
      <c r="K818" s="42"/>
    </row>
    <row r="819" ht="39.75" customHeight="1">
      <c r="A819" s="1">
        <v>818.0</v>
      </c>
      <c r="B819" s="2" t="s">
        <v>22</v>
      </c>
      <c r="C819" s="13"/>
      <c r="D819" s="13"/>
      <c r="E819" s="13"/>
      <c r="F819" s="45"/>
      <c r="G819" s="42"/>
      <c r="H819" s="42"/>
      <c r="I819" s="42"/>
      <c r="J819" s="22"/>
      <c r="K819" s="42"/>
    </row>
    <row r="820" ht="39.75" customHeight="1">
      <c r="A820" s="1">
        <v>819.0</v>
      </c>
      <c r="B820" s="2" t="s">
        <v>261</v>
      </c>
      <c r="C820" s="2"/>
      <c r="D820" s="13"/>
      <c r="E820" s="13"/>
      <c r="F820" s="45"/>
      <c r="G820" s="42"/>
      <c r="H820" s="42"/>
      <c r="I820" s="42"/>
      <c r="J820" s="22"/>
      <c r="K820" s="42"/>
    </row>
    <row r="821" ht="39.75" customHeight="1">
      <c r="A821" s="1">
        <v>820.0</v>
      </c>
      <c r="B821" s="2" t="s">
        <v>23</v>
      </c>
      <c r="C821" s="2"/>
      <c r="D821" s="13"/>
      <c r="E821" s="13"/>
      <c r="F821" s="45"/>
      <c r="G821" s="42"/>
      <c r="H821" s="42"/>
      <c r="I821" s="42"/>
      <c r="J821" s="22"/>
      <c r="K821" s="42"/>
    </row>
    <row r="822" ht="39.75" customHeight="1">
      <c r="A822" s="1">
        <v>821.0</v>
      </c>
      <c r="B822" s="2" t="s">
        <v>24</v>
      </c>
      <c r="C822" s="2"/>
      <c r="D822" s="13"/>
      <c r="E822" s="13"/>
      <c r="F822" s="45"/>
      <c r="G822" s="42"/>
      <c r="H822" s="42"/>
      <c r="I822" s="42"/>
      <c r="J822" s="22"/>
      <c r="K822" s="42"/>
    </row>
    <row r="823" ht="39.75" customHeight="1">
      <c r="A823" s="1">
        <v>822.0</v>
      </c>
      <c r="B823" s="2" t="s">
        <v>25</v>
      </c>
      <c r="C823" s="2"/>
      <c r="D823" s="13"/>
      <c r="E823" s="13"/>
      <c r="F823" s="45"/>
      <c r="G823" s="42"/>
      <c r="H823" s="42"/>
      <c r="I823" s="42"/>
      <c r="J823" s="22"/>
      <c r="K823" s="42"/>
    </row>
    <row r="824" ht="39.75" customHeight="1">
      <c r="A824" s="1">
        <v>823.0</v>
      </c>
      <c r="B824" s="2" t="s">
        <v>26</v>
      </c>
      <c r="C824" s="2"/>
      <c r="D824" s="13"/>
      <c r="E824" s="13"/>
      <c r="F824" s="45"/>
      <c r="G824" s="42"/>
      <c r="H824" s="42"/>
      <c r="I824" s="42"/>
      <c r="J824" s="22"/>
      <c r="K824" s="42"/>
    </row>
    <row r="825" ht="39.75" customHeight="1">
      <c r="A825" s="1">
        <v>824.0</v>
      </c>
      <c r="B825" s="2" t="s">
        <v>29</v>
      </c>
      <c r="C825" s="13"/>
      <c r="D825" s="13"/>
      <c r="E825" s="13"/>
      <c r="F825" s="45"/>
      <c r="G825" s="42"/>
      <c r="H825" s="42"/>
      <c r="I825" s="42"/>
      <c r="J825" s="22"/>
      <c r="K825" s="42"/>
    </row>
    <row r="826" ht="39.75" customHeight="1">
      <c r="A826" s="1">
        <v>825.0</v>
      </c>
      <c r="B826" s="2" t="s">
        <v>32</v>
      </c>
      <c r="C826" s="2"/>
      <c r="D826" s="13"/>
      <c r="E826" s="13"/>
      <c r="F826" s="45"/>
      <c r="G826" s="42"/>
      <c r="H826" s="42"/>
      <c r="I826" s="42"/>
      <c r="J826" s="22"/>
      <c r="K826" s="42"/>
    </row>
    <row r="827" ht="39.75" customHeight="1">
      <c r="A827" s="1">
        <v>826.0</v>
      </c>
      <c r="B827" s="2" t="s">
        <v>67</v>
      </c>
      <c r="C827" s="2"/>
      <c r="D827" s="13"/>
      <c r="E827" s="13"/>
      <c r="F827" s="45"/>
      <c r="G827" s="42"/>
      <c r="H827" s="42"/>
      <c r="I827" s="42"/>
      <c r="J827" s="22"/>
      <c r="K827" s="42"/>
    </row>
    <row r="828" ht="39.75" customHeight="1">
      <c r="A828" s="1">
        <v>827.0</v>
      </c>
      <c r="B828" s="2" t="s">
        <v>35</v>
      </c>
      <c r="C828" s="2"/>
      <c r="D828" s="13"/>
      <c r="E828" s="13"/>
      <c r="F828" s="45"/>
      <c r="G828" s="42"/>
      <c r="H828" s="42"/>
      <c r="I828" s="42"/>
      <c r="J828" s="22"/>
      <c r="K828" s="42"/>
    </row>
    <row r="829" ht="39.75" customHeight="1">
      <c r="A829" s="1">
        <v>828.0</v>
      </c>
      <c r="B829" s="2" t="s">
        <v>36</v>
      </c>
      <c r="C829" s="2"/>
      <c r="D829" s="13"/>
      <c r="E829" s="13"/>
      <c r="F829" s="45"/>
      <c r="G829" s="42"/>
      <c r="H829" s="42"/>
      <c r="I829" s="42"/>
      <c r="J829" s="22"/>
      <c r="K829" s="42"/>
    </row>
    <row r="830" ht="39.75" customHeight="1">
      <c r="A830" s="1">
        <v>829.0</v>
      </c>
      <c r="B830" s="2" t="s">
        <v>38</v>
      </c>
      <c r="C830" s="2"/>
      <c r="D830" s="13"/>
      <c r="E830" s="13"/>
      <c r="F830" s="45"/>
      <c r="G830" s="42"/>
      <c r="H830" s="42"/>
      <c r="I830" s="42"/>
      <c r="J830" s="22"/>
      <c r="K830" s="42"/>
    </row>
    <row r="831" ht="39.75" customHeight="1">
      <c r="A831" s="1">
        <v>830.0</v>
      </c>
      <c r="B831" s="2" t="s">
        <v>41</v>
      </c>
      <c r="C831" s="13"/>
      <c r="D831" s="13"/>
      <c r="E831" s="13"/>
      <c r="F831" s="45"/>
      <c r="G831" s="42"/>
      <c r="H831" s="42"/>
      <c r="I831" s="42"/>
      <c r="J831" s="22"/>
      <c r="K831" s="42"/>
    </row>
    <row r="832" ht="39.75" customHeight="1">
      <c r="A832" s="1">
        <v>831.0</v>
      </c>
      <c r="B832" s="2" t="s">
        <v>42</v>
      </c>
      <c r="C832" s="2"/>
      <c r="D832" s="13"/>
      <c r="E832" s="13"/>
      <c r="F832" s="45"/>
      <c r="G832" s="42"/>
      <c r="H832" s="42"/>
      <c r="I832" s="42"/>
      <c r="J832" s="22"/>
      <c r="K832" s="42"/>
    </row>
    <row r="833" ht="39.75" customHeight="1">
      <c r="A833" s="1">
        <v>832.0</v>
      </c>
      <c r="B833" s="2" t="s">
        <v>43</v>
      </c>
      <c r="C833" s="2"/>
      <c r="D833" s="13"/>
      <c r="E833" s="13"/>
      <c r="F833" s="45"/>
      <c r="G833" s="42"/>
      <c r="H833" s="42"/>
      <c r="I833" s="42"/>
      <c r="J833" s="22"/>
      <c r="K833" s="42"/>
    </row>
    <row r="834" ht="39.75" customHeight="1">
      <c r="A834" s="1">
        <v>833.0</v>
      </c>
      <c r="B834" s="2" t="s">
        <v>267</v>
      </c>
      <c r="C834" s="2"/>
      <c r="D834" s="13"/>
      <c r="E834" s="13"/>
      <c r="F834" s="45"/>
      <c r="G834" s="42"/>
      <c r="H834" s="42"/>
      <c r="I834" s="42"/>
      <c r="J834" s="22"/>
      <c r="K834" s="42"/>
    </row>
    <row r="835" ht="39.75" customHeight="1">
      <c r="A835" s="1">
        <v>834.0</v>
      </c>
      <c r="B835" s="2" t="s">
        <v>46</v>
      </c>
      <c r="C835" s="2"/>
      <c r="D835" s="13"/>
      <c r="E835" s="13"/>
      <c r="F835" s="45"/>
      <c r="G835" s="42"/>
      <c r="H835" s="42"/>
      <c r="I835" s="42"/>
      <c r="J835" s="22"/>
      <c r="K835" s="42"/>
    </row>
    <row r="836" ht="39.75" customHeight="1">
      <c r="A836" s="1">
        <v>835.0</v>
      </c>
      <c r="B836" s="2" t="s">
        <v>47</v>
      </c>
      <c r="C836" s="2"/>
      <c r="D836" s="13"/>
      <c r="E836" s="13"/>
      <c r="F836" s="45"/>
      <c r="G836" s="42"/>
      <c r="H836" s="42"/>
      <c r="I836" s="42"/>
      <c r="J836" s="22"/>
      <c r="K836" s="42"/>
    </row>
    <row r="837" ht="39.75" customHeight="1">
      <c r="A837" s="1">
        <v>836.0</v>
      </c>
      <c r="B837" s="2" t="s">
        <v>48</v>
      </c>
      <c r="C837" s="2"/>
      <c r="D837" s="13"/>
      <c r="E837" s="13"/>
      <c r="F837" s="45"/>
      <c r="G837" s="42"/>
      <c r="H837" s="42"/>
      <c r="I837" s="42"/>
      <c r="J837" s="22"/>
      <c r="K837" s="42"/>
    </row>
    <row r="838" ht="39.75" customHeight="1">
      <c r="A838" s="1">
        <v>837.0</v>
      </c>
      <c r="B838" s="21"/>
      <c r="C838" s="21"/>
      <c r="D838" s="21"/>
      <c r="E838" s="21"/>
      <c r="F838" s="46"/>
      <c r="G838" s="47"/>
      <c r="H838" s="47"/>
      <c r="I838" s="47"/>
      <c r="J838" s="48"/>
      <c r="K838" s="47"/>
      <c r="L838" s="49"/>
      <c r="M838" s="49"/>
      <c r="N838" s="49"/>
    </row>
  </sheetData>
  <mergeCells count="31">
    <mergeCell ref="L2:N27"/>
    <mergeCell ref="L29:N54"/>
    <mergeCell ref="L56:N81"/>
    <mergeCell ref="L83:N108"/>
    <mergeCell ref="L110:N135"/>
    <mergeCell ref="L137:N162"/>
    <mergeCell ref="L164:N189"/>
    <mergeCell ref="L191:N216"/>
    <mergeCell ref="L218:N243"/>
    <mergeCell ref="L245:N270"/>
    <mergeCell ref="L272:N297"/>
    <mergeCell ref="L299:N324"/>
    <mergeCell ref="L326:N351"/>
    <mergeCell ref="L353:N378"/>
    <mergeCell ref="L380:N405"/>
    <mergeCell ref="L407:N432"/>
    <mergeCell ref="L434:N459"/>
    <mergeCell ref="L461:N486"/>
    <mergeCell ref="L488:N513"/>
    <mergeCell ref="L515:N540"/>
    <mergeCell ref="L542:N567"/>
    <mergeCell ref="L758:N783"/>
    <mergeCell ref="L785:N810"/>
    <mergeCell ref="L812:N837"/>
    <mergeCell ref="L569:N594"/>
    <mergeCell ref="L596:N621"/>
    <mergeCell ref="L623:N648"/>
    <mergeCell ref="L650:N675"/>
    <mergeCell ref="L677:N702"/>
    <mergeCell ref="L704:N729"/>
    <mergeCell ref="L731:N756"/>
  </mergeCells>
  <conditionalFormatting sqref="B2:I838">
    <cfRule type="expression" dxfId="6" priority="1">
      <formula>$C2="휴가"</formula>
    </cfRule>
  </conditionalFormatting>
  <conditionalFormatting sqref="B2:I838">
    <cfRule type="expression" dxfId="6" priority="2">
      <formula>$C2="휴무"</formula>
    </cfRule>
  </conditionalFormatting>
  <conditionalFormatting sqref="B2:I838">
    <cfRule type="expression" dxfId="6" priority="3">
      <formula>$C2="제크"</formula>
    </cfRule>
  </conditionalFormatting>
  <conditionalFormatting sqref="B2:I838">
    <cfRule type="expression" dxfId="7" priority="4">
      <formula>$C2="야퇴"</formula>
    </cfRule>
  </conditionalFormatting>
  <conditionalFormatting sqref="B2:I838">
    <cfRule type="expression" dxfId="8" priority="5">
      <formula>$C2="청와대"</formula>
    </cfRule>
  </conditionalFormatting>
  <conditionalFormatting sqref="B2:I838">
    <cfRule type="expression" dxfId="9" priority="6">
      <formula>$C2="국회"</formula>
    </cfRule>
  </conditionalFormatting>
  <conditionalFormatting sqref="A1">
    <cfRule type="notContainsBlanks" dxfId="5" priority="7">
      <formula>LEN(TRIM(A1))&gt;0</formula>
    </cfRule>
  </conditionalFormatting>
  <conditionalFormatting sqref="K20">
    <cfRule type="expression" dxfId="10" priority="8">
      <formula>"밀라노"</formula>
    </cfRule>
  </conditionalFormatting>
  <conditionalFormatting sqref="C30">
    <cfRule type="notContainsBlanks" dxfId="5" priority="9">
      <formula>LEN(TRIM(C30))&gt;0</formula>
    </cfRule>
  </conditionalFormatting>
  <conditionalFormatting sqref="B2:I838">
    <cfRule type="expression" dxfId="11" priority="10">
      <formula>$C2="밀라노"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8.25"/>
    <col customWidth="1" min="3" max="3" width="10.75"/>
    <col customWidth="1" min="4" max="5" width="8.88"/>
    <col customWidth="1" min="6" max="6" width="50.13"/>
    <col customWidth="1" min="7" max="7" width="8.88"/>
    <col customWidth="1" min="8" max="8" width="10.63"/>
    <col customWidth="1" min="9" max="9" width="11.38"/>
    <col customWidth="1" min="10" max="10" width="8.5"/>
    <col customWidth="1" min="11" max="11" width="11.38"/>
    <col customWidth="1" min="12" max="14" width="12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36"/>
      <c r="K1" s="2" t="s">
        <v>1160</v>
      </c>
      <c r="L1" s="37" t="s">
        <v>490</v>
      </c>
      <c r="M1" s="38" t="s">
        <v>10</v>
      </c>
      <c r="N1" s="39" t="s">
        <v>11</v>
      </c>
    </row>
    <row r="2" ht="39.75" customHeight="1">
      <c r="A2" s="1">
        <v>1.0</v>
      </c>
      <c r="B2" s="2" t="s">
        <v>268</v>
      </c>
      <c r="C2" s="2" t="s">
        <v>63</v>
      </c>
      <c r="D2" s="40"/>
      <c r="E2" s="40"/>
      <c r="F2" s="45"/>
      <c r="G2" s="42"/>
      <c r="H2" s="42"/>
      <c r="I2" s="42"/>
      <c r="J2" s="14" t="s">
        <v>491</v>
      </c>
      <c r="K2" s="43"/>
      <c r="L2" s="15" t="s">
        <v>15</v>
      </c>
    </row>
    <row r="3" ht="39.75" customHeight="1">
      <c r="A3" s="1">
        <v>2.0</v>
      </c>
      <c r="B3" s="2" t="s">
        <v>16</v>
      </c>
      <c r="C3" s="2" t="s">
        <v>13</v>
      </c>
      <c r="D3" s="13"/>
      <c r="E3" s="13"/>
      <c r="F3" s="44"/>
      <c r="G3" s="42"/>
      <c r="H3" s="42"/>
      <c r="I3" s="42"/>
      <c r="J3" s="14" t="s">
        <v>15</v>
      </c>
      <c r="K3" s="43"/>
    </row>
    <row r="4" ht="39.75" customHeight="1">
      <c r="A4" s="1">
        <v>3.0</v>
      </c>
      <c r="B4" s="2" t="s">
        <v>116</v>
      </c>
      <c r="C4" s="2" t="s">
        <v>69</v>
      </c>
      <c r="D4" s="40">
        <v>0.5416666666666666</v>
      </c>
      <c r="E4" s="40">
        <v>0.7916666666666666</v>
      </c>
      <c r="F4" s="44" t="s">
        <v>4156</v>
      </c>
      <c r="G4" s="43">
        <v>1.0</v>
      </c>
      <c r="H4" s="42"/>
      <c r="I4" s="42"/>
      <c r="J4" s="14" t="s">
        <v>111</v>
      </c>
      <c r="K4" s="43"/>
    </row>
    <row r="5" ht="39.75" customHeight="1">
      <c r="A5" s="1">
        <v>4.0</v>
      </c>
      <c r="B5" s="2" t="s">
        <v>263</v>
      </c>
      <c r="C5" s="2" t="s">
        <v>13</v>
      </c>
      <c r="D5" s="13"/>
      <c r="E5" s="13"/>
      <c r="F5" s="44"/>
      <c r="G5" s="42"/>
      <c r="H5" s="42"/>
      <c r="I5" s="42"/>
      <c r="J5" s="14" t="s">
        <v>165</v>
      </c>
      <c r="K5" s="43"/>
    </row>
    <row r="6" ht="39.75" customHeight="1">
      <c r="A6" s="1">
        <v>5.0</v>
      </c>
      <c r="B6" s="2" t="s">
        <v>17</v>
      </c>
      <c r="C6" s="2" t="s">
        <v>13</v>
      </c>
      <c r="D6" s="13"/>
      <c r="E6" s="13"/>
      <c r="F6" s="45"/>
      <c r="G6" s="42"/>
      <c r="H6" s="42"/>
      <c r="I6" s="42"/>
      <c r="J6" s="14" t="s">
        <v>2637</v>
      </c>
      <c r="K6" s="43"/>
    </row>
    <row r="7" ht="39.75" customHeight="1">
      <c r="A7" s="1">
        <v>6.0</v>
      </c>
      <c r="B7" s="2" t="s">
        <v>331</v>
      </c>
      <c r="C7" s="2" t="s">
        <v>13</v>
      </c>
      <c r="D7" s="13"/>
      <c r="E7" s="13"/>
      <c r="F7" s="45"/>
      <c r="G7" s="42"/>
      <c r="H7" s="42"/>
      <c r="I7" s="42"/>
      <c r="J7" s="14" t="s">
        <v>2638</v>
      </c>
      <c r="K7" s="43"/>
    </row>
    <row r="8" ht="39.75" customHeight="1">
      <c r="A8" s="1">
        <v>7.0</v>
      </c>
      <c r="B8" s="2" t="s">
        <v>21</v>
      </c>
      <c r="C8" s="2" t="s">
        <v>13</v>
      </c>
      <c r="D8" s="40"/>
      <c r="E8" s="13"/>
      <c r="F8" s="44"/>
      <c r="G8" s="42"/>
      <c r="H8" s="42"/>
      <c r="I8" s="42"/>
      <c r="J8" s="14"/>
      <c r="K8" s="43"/>
    </row>
    <row r="9" ht="39.75" customHeight="1">
      <c r="A9" s="1">
        <v>8.0</v>
      </c>
      <c r="B9" s="2" t="s">
        <v>22</v>
      </c>
      <c r="C9" s="2" t="s">
        <v>13</v>
      </c>
      <c r="D9" s="13"/>
      <c r="E9" s="13"/>
      <c r="F9" s="45"/>
      <c r="G9" s="42"/>
      <c r="H9" s="42"/>
      <c r="I9" s="42"/>
      <c r="J9" s="14" t="s">
        <v>3715</v>
      </c>
      <c r="K9" s="43"/>
    </row>
    <row r="10" ht="39.75" customHeight="1">
      <c r="A10" s="1">
        <v>9.0</v>
      </c>
      <c r="B10" s="2" t="s">
        <v>261</v>
      </c>
      <c r="C10" s="2" t="s">
        <v>13</v>
      </c>
      <c r="D10" s="13"/>
      <c r="E10" s="13"/>
      <c r="F10" s="44"/>
      <c r="G10" s="42"/>
      <c r="H10" s="43"/>
      <c r="I10" s="43"/>
      <c r="J10" s="14" t="s">
        <v>412</v>
      </c>
      <c r="K10" s="43"/>
    </row>
    <row r="11" ht="39.75" customHeight="1">
      <c r="A11" s="1">
        <v>10.0</v>
      </c>
      <c r="B11" s="2" t="s">
        <v>23</v>
      </c>
      <c r="C11" s="2" t="s">
        <v>13</v>
      </c>
      <c r="D11" s="13"/>
      <c r="E11" s="13"/>
      <c r="F11" s="45"/>
      <c r="G11" s="42"/>
      <c r="H11" s="42"/>
      <c r="I11" s="42"/>
      <c r="J11" s="14"/>
      <c r="K11" s="43"/>
    </row>
    <row r="12" ht="39.75" customHeight="1">
      <c r="A12" s="1">
        <v>11.0</v>
      </c>
      <c r="B12" s="2" t="s">
        <v>24</v>
      </c>
      <c r="C12" s="2" t="s">
        <v>13</v>
      </c>
      <c r="D12" s="13"/>
      <c r="E12" s="13"/>
      <c r="F12" s="44"/>
      <c r="G12" s="42"/>
      <c r="H12" s="42"/>
      <c r="I12" s="42"/>
      <c r="J12" s="14"/>
      <c r="K12" s="43"/>
    </row>
    <row r="13" ht="39.75" customHeight="1">
      <c r="A13" s="1">
        <v>12.0</v>
      </c>
      <c r="B13" s="2" t="s">
        <v>25</v>
      </c>
      <c r="C13" s="2" t="s">
        <v>69</v>
      </c>
      <c r="D13" s="40">
        <v>0.5416666666666666</v>
      </c>
      <c r="E13" s="40">
        <v>0.7291666666666666</v>
      </c>
      <c r="F13" s="44"/>
      <c r="G13" s="42"/>
      <c r="H13" s="42"/>
      <c r="I13" s="42"/>
      <c r="J13" s="14"/>
      <c r="K13" s="43"/>
    </row>
    <row r="14" ht="39.75" customHeight="1">
      <c r="A14" s="1">
        <v>13.0</v>
      </c>
      <c r="B14" s="2" t="s">
        <v>26</v>
      </c>
      <c r="C14" s="2"/>
      <c r="D14" s="40">
        <v>0.375</v>
      </c>
      <c r="E14" s="40">
        <v>0.6458333333333334</v>
      </c>
      <c r="F14" s="44" t="s">
        <v>926</v>
      </c>
      <c r="G14" s="43">
        <v>1.0</v>
      </c>
      <c r="H14" s="42"/>
      <c r="I14" s="43">
        <v>1.0</v>
      </c>
      <c r="J14" s="14"/>
      <c r="K14" s="43"/>
    </row>
    <row r="15" ht="39.75" customHeight="1">
      <c r="A15" s="1">
        <v>14.0</v>
      </c>
      <c r="B15" s="2" t="s">
        <v>29</v>
      </c>
      <c r="C15" s="2" t="s">
        <v>13</v>
      </c>
      <c r="D15" s="13"/>
      <c r="E15" s="13"/>
      <c r="F15" s="45"/>
      <c r="G15" s="42"/>
      <c r="H15" s="42"/>
      <c r="I15" s="42"/>
      <c r="J15" s="14"/>
      <c r="K15" s="43"/>
    </row>
    <row r="16" ht="39.75" customHeight="1">
      <c r="A16" s="1">
        <v>15.0</v>
      </c>
      <c r="B16" s="2" t="s">
        <v>32</v>
      </c>
      <c r="C16" s="2" t="s">
        <v>39</v>
      </c>
      <c r="D16" s="40">
        <v>0.3333333333333333</v>
      </c>
      <c r="E16" s="40">
        <v>0.5833333333333334</v>
      </c>
      <c r="F16" s="44" t="s">
        <v>4157</v>
      </c>
      <c r="G16" s="43">
        <v>1.0</v>
      </c>
      <c r="H16" s="42"/>
      <c r="I16" s="42"/>
      <c r="J16" s="14"/>
      <c r="K16" s="43"/>
    </row>
    <row r="17" ht="39.75" customHeight="1">
      <c r="A17" s="1">
        <v>16.0</v>
      </c>
      <c r="B17" s="2" t="s">
        <v>67</v>
      </c>
      <c r="C17" s="2" t="s">
        <v>27</v>
      </c>
      <c r="D17" s="13"/>
      <c r="E17" s="13"/>
      <c r="F17" s="44"/>
      <c r="G17" s="42"/>
      <c r="H17" s="43"/>
      <c r="I17" s="43"/>
      <c r="J17" s="14"/>
      <c r="K17" s="43"/>
    </row>
    <row r="18" ht="39.75" customHeight="1">
      <c r="A18" s="1">
        <v>17.0</v>
      </c>
      <c r="B18" s="2" t="s">
        <v>35</v>
      </c>
      <c r="C18" s="2"/>
      <c r="D18" s="40">
        <v>0.375</v>
      </c>
      <c r="E18" s="40">
        <v>0.6388888888888888</v>
      </c>
      <c r="F18" s="45"/>
      <c r="G18" s="42"/>
      <c r="H18" s="42"/>
      <c r="I18" s="42"/>
      <c r="J18" s="14"/>
      <c r="K18" s="43"/>
    </row>
    <row r="19" ht="39.75" customHeight="1">
      <c r="A19" s="1">
        <v>18.0</v>
      </c>
      <c r="B19" s="2" t="s">
        <v>36</v>
      </c>
      <c r="C19" s="2" t="s">
        <v>13</v>
      </c>
      <c r="D19" s="13"/>
      <c r="E19" s="13"/>
      <c r="F19" s="44"/>
      <c r="G19" s="42"/>
      <c r="H19" s="42"/>
      <c r="I19" s="42"/>
      <c r="J19" s="14"/>
      <c r="K19" s="43"/>
    </row>
    <row r="20" ht="39.75" customHeight="1">
      <c r="A20" s="1">
        <v>19.0</v>
      </c>
      <c r="B20" s="2" t="s">
        <v>38</v>
      </c>
      <c r="C20" s="2" t="s">
        <v>44</v>
      </c>
      <c r="D20" s="13"/>
      <c r="E20" s="135">
        <v>0.3680555555555556</v>
      </c>
      <c r="F20" s="52" t="s">
        <v>4158</v>
      </c>
      <c r="G20" s="56">
        <v>1.0</v>
      </c>
      <c r="H20" s="42"/>
      <c r="I20" s="56">
        <v>1.0</v>
      </c>
      <c r="J20" s="14"/>
      <c r="K20" s="43"/>
    </row>
    <row r="21" ht="39.75" customHeight="1">
      <c r="A21" s="1">
        <v>20.0</v>
      </c>
      <c r="B21" s="2" t="s">
        <v>41</v>
      </c>
      <c r="C21" s="2" t="s">
        <v>13</v>
      </c>
      <c r="D21" s="13"/>
      <c r="E21" s="13"/>
      <c r="F21" s="44"/>
      <c r="G21" s="42"/>
      <c r="H21" s="42"/>
      <c r="I21" s="42"/>
      <c r="J21" s="14"/>
      <c r="K21" s="43"/>
    </row>
    <row r="22" ht="39.75" customHeight="1">
      <c r="A22" s="1">
        <v>21.0</v>
      </c>
      <c r="B22" s="2" t="s">
        <v>42</v>
      </c>
      <c r="C22" s="2" t="s">
        <v>13</v>
      </c>
      <c r="D22" s="13"/>
      <c r="E22" s="13"/>
      <c r="F22" s="45"/>
      <c r="G22" s="42"/>
      <c r="H22" s="42"/>
      <c r="I22" s="42"/>
      <c r="J22" s="14"/>
      <c r="K22" s="43"/>
    </row>
    <row r="23" ht="39.75" customHeight="1">
      <c r="A23" s="1">
        <v>22.0</v>
      </c>
      <c r="B23" s="2" t="s">
        <v>43</v>
      </c>
      <c r="C23" s="2" t="s">
        <v>69</v>
      </c>
      <c r="D23" s="13"/>
      <c r="E23" s="40">
        <v>0.7291666666666666</v>
      </c>
      <c r="F23" s="45"/>
      <c r="G23" s="42"/>
      <c r="H23" s="42"/>
      <c r="I23" s="42"/>
      <c r="J23" s="14"/>
      <c r="K23" s="43"/>
    </row>
    <row r="24" ht="39.75" customHeight="1">
      <c r="A24" s="1">
        <v>23.0</v>
      </c>
      <c r="B24" s="2" t="s">
        <v>267</v>
      </c>
      <c r="C24" s="2"/>
      <c r="D24" s="40">
        <v>0.375</v>
      </c>
      <c r="E24" s="40">
        <v>0.6736111111111112</v>
      </c>
      <c r="F24" s="44" t="s">
        <v>4159</v>
      </c>
      <c r="G24" s="43">
        <v>1.0</v>
      </c>
      <c r="H24" s="42"/>
      <c r="I24" s="42"/>
      <c r="J24" s="14"/>
      <c r="K24" s="43"/>
    </row>
    <row r="25" ht="39.75" customHeight="1">
      <c r="A25" s="1">
        <v>24.0</v>
      </c>
      <c r="B25" s="2" t="s">
        <v>45</v>
      </c>
      <c r="C25" s="2" t="s">
        <v>272</v>
      </c>
      <c r="D25" s="40"/>
      <c r="E25" s="13"/>
      <c r="F25" s="44"/>
      <c r="G25" s="43">
        <v>1.0</v>
      </c>
      <c r="H25" s="42"/>
      <c r="I25" s="42"/>
      <c r="J25" s="14"/>
      <c r="K25" s="43"/>
    </row>
    <row r="26" ht="39.75" customHeight="1">
      <c r="A26" s="1">
        <v>25.0</v>
      </c>
      <c r="B26" s="2" t="s">
        <v>47</v>
      </c>
      <c r="C26" s="2"/>
      <c r="D26" s="40">
        <v>0.375</v>
      </c>
      <c r="E26" s="40">
        <v>0.6388888888888888</v>
      </c>
      <c r="F26" s="45"/>
      <c r="G26" s="42"/>
      <c r="H26" s="42"/>
      <c r="I26" s="42"/>
      <c r="J26" s="14"/>
      <c r="K26" s="43"/>
    </row>
    <row r="27" ht="39.75" customHeight="1">
      <c r="A27" s="1">
        <v>26.0</v>
      </c>
      <c r="B27" s="2" t="s">
        <v>48</v>
      </c>
      <c r="C27" s="2" t="s">
        <v>13</v>
      </c>
      <c r="D27" s="13"/>
      <c r="E27" s="13"/>
      <c r="F27" s="45"/>
      <c r="G27" s="42"/>
      <c r="H27" s="42"/>
      <c r="I27" s="42"/>
      <c r="J27" s="14"/>
      <c r="K27" s="43"/>
    </row>
    <row r="28" ht="39.75" customHeight="1">
      <c r="A28" s="1">
        <v>27.0</v>
      </c>
      <c r="B28" s="21"/>
      <c r="C28" s="21"/>
      <c r="D28" s="21"/>
      <c r="E28" s="21"/>
      <c r="F28" s="46"/>
      <c r="G28" s="47"/>
      <c r="H28" s="47"/>
      <c r="I28" s="47"/>
      <c r="J28" s="48"/>
      <c r="K28" s="47"/>
      <c r="L28" s="49"/>
      <c r="M28" s="49"/>
      <c r="N28" s="49"/>
    </row>
    <row r="29" ht="39.75" customHeight="1">
      <c r="A29" s="1">
        <v>28.0</v>
      </c>
      <c r="B29" s="2" t="s">
        <v>12</v>
      </c>
      <c r="C29" s="2" t="s">
        <v>62</v>
      </c>
      <c r="D29" s="13"/>
      <c r="E29" s="13"/>
      <c r="F29" s="45"/>
      <c r="G29" s="43">
        <v>1.0</v>
      </c>
      <c r="H29" s="42"/>
      <c r="I29" s="42"/>
      <c r="J29" s="14" t="s">
        <v>491</v>
      </c>
      <c r="K29" s="43"/>
      <c r="L29" s="15" t="s">
        <v>52</v>
      </c>
    </row>
    <row r="30" ht="39.75" customHeight="1">
      <c r="A30" s="1">
        <v>29.0</v>
      </c>
      <c r="B30" s="2" t="s">
        <v>16</v>
      </c>
      <c r="C30" s="2"/>
      <c r="D30" s="13"/>
      <c r="E30" s="13"/>
      <c r="F30" s="44" t="s">
        <v>4160</v>
      </c>
      <c r="G30" s="43">
        <v>1.0</v>
      </c>
      <c r="H30" s="42"/>
      <c r="I30" s="43">
        <v>1.0</v>
      </c>
      <c r="J30" s="14" t="s">
        <v>52</v>
      </c>
      <c r="K30" s="43"/>
    </row>
    <row r="31" ht="39.75" customHeight="1">
      <c r="A31" s="1">
        <v>30.0</v>
      </c>
      <c r="B31" s="2" t="s">
        <v>116</v>
      </c>
      <c r="C31" s="2"/>
      <c r="D31" s="13"/>
      <c r="E31" s="13"/>
      <c r="F31" s="44" t="s">
        <v>4161</v>
      </c>
      <c r="G31" s="43">
        <v>1.0</v>
      </c>
      <c r="H31" s="42"/>
      <c r="I31" s="43">
        <v>1.0</v>
      </c>
      <c r="J31" s="14" t="s">
        <v>131</v>
      </c>
      <c r="K31" s="43"/>
    </row>
    <row r="32" ht="39.75" customHeight="1">
      <c r="A32" s="1">
        <v>31.0</v>
      </c>
      <c r="B32" s="2" t="s">
        <v>263</v>
      </c>
      <c r="C32" s="2" t="s">
        <v>66</v>
      </c>
      <c r="D32" s="13"/>
      <c r="E32" s="13"/>
      <c r="F32" s="45"/>
      <c r="G32" s="42"/>
      <c r="H32" s="42"/>
      <c r="I32" s="42"/>
      <c r="J32" s="14"/>
      <c r="K32" s="43"/>
    </row>
    <row r="33" ht="39.75" customHeight="1">
      <c r="A33" s="1">
        <v>32.0</v>
      </c>
      <c r="B33" s="2" t="s">
        <v>17</v>
      </c>
      <c r="C33" s="2" t="s">
        <v>64</v>
      </c>
      <c r="D33" s="13"/>
      <c r="E33" s="13"/>
      <c r="F33" s="44" t="s">
        <v>2034</v>
      </c>
      <c r="G33" s="43">
        <v>1.0</v>
      </c>
      <c r="H33" s="42"/>
      <c r="I33" s="43">
        <v>1.0</v>
      </c>
      <c r="J33" s="14" t="s">
        <v>3633</v>
      </c>
      <c r="K33" s="43"/>
    </row>
    <row r="34" ht="39.75" customHeight="1">
      <c r="A34" s="1">
        <v>33.0</v>
      </c>
      <c r="B34" s="2" t="s">
        <v>331</v>
      </c>
      <c r="C34" s="2" t="s">
        <v>542</v>
      </c>
      <c r="D34" s="13"/>
      <c r="E34" s="13"/>
      <c r="F34" s="44" t="s">
        <v>4162</v>
      </c>
      <c r="G34" s="43">
        <v>1.0</v>
      </c>
      <c r="H34" s="42"/>
      <c r="I34" s="43">
        <v>1.0</v>
      </c>
      <c r="J34" s="14"/>
      <c r="K34" s="43"/>
    </row>
    <row r="35" ht="39.75" customHeight="1">
      <c r="A35" s="1">
        <v>34.0</v>
      </c>
      <c r="B35" s="2" t="s">
        <v>21</v>
      </c>
      <c r="C35" s="2"/>
      <c r="D35" s="13"/>
      <c r="E35" s="13"/>
      <c r="F35" s="44" t="s">
        <v>4163</v>
      </c>
      <c r="G35" s="43">
        <v>1.0</v>
      </c>
      <c r="H35" s="42"/>
      <c r="I35" s="43"/>
      <c r="J35" s="14"/>
      <c r="K35" s="43"/>
    </row>
    <row r="36" ht="39.75" customHeight="1">
      <c r="A36" s="1">
        <v>35.0</v>
      </c>
      <c r="B36" s="2" t="s">
        <v>22</v>
      </c>
      <c r="C36" s="13"/>
      <c r="D36" s="13"/>
      <c r="E36" s="13"/>
      <c r="F36" s="44" t="s">
        <v>4164</v>
      </c>
      <c r="G36" s="43">
        <v>1.0</v>
      </c>
      <c r="H36" s="42"/>
      <c r="I36" s="43">
        <v>1.0</v>
      </c>
      <c r="J36" s="14"/>
      <c r="K36" s="43"/>
    </row>
    <row r="37" ht="39.75" customHeight="1">
      <c r="A37" s="1">
        <v>36.0</v>
      </c>
      <c r="B37" s="2" t="s">
        <v>261</v>
      </c>
      <c r="C37" s="2"/>
      <c r="D37" s="13"/>
      <c r="E37" s="13"/>
      <c r="F37" s="44" t="s">
        <v>4165</v>
      </c>
      <c r="G37" s="43">
        <v>1.0</v>
      </c>
      <c r="H37" s="42"/>
      <c r="I37" s="43">
        <v>1.0</v>
      </c>
      <c r="J37" s="14"/>
      <c r="K37" s="43"/>
    </row>
    <row r="38" ht="39.75" customHeight="1">
      <c r="A38" s="1">
        <v>37.0</v>
      </c>
      <c r="B38" s="2" t="s">
        <v>23</v>
      </c>
      <c r="C38" s="2" t="s">
        <v>58</v>
      </c>
      <c r="D38" s="13"/>
      <c r="E38" s="13"/>
      <c r="F38" s="45"/>
      <c r="G38" s="42"/>
      <c r="H38" s="42"/>
      <c r="I38" s="42"/>
      <c r="J38" s="14"/>
      <c r="K38" s="43"/>
    </row>
    <row r="39" ht="39.75" customHeight="1">
      <c r="A39" s="1">
        <v>38.0</v>
      </c>
      <c r="B39" s="2" t="s">
        <v>24</v>
      </c>
      <c r="C39" s="2" t="s">
        <v>63</v>
      </c>
      <c r="D39" s="13"/>
      <c r="E39" s="13"/>
      <c r="F39" s="45"/>
      <c r="G39" s="42"/>
      <c r="H39" s="42"/>
      <c r="I39" s="42"/>
      <c r="J39" s="14"/>
      <c r="K39" s="43"/>
    </row>
    <row r="40" ht="39.75" customHeight="1">
      <c r="A40" s="1">
        <v>39.0</v>
      </c>
      <c r="B40" s="2" t="s">
        <v>25</v>
      </c>
      <c r="C40" s="2" t="s">
        <v>54</v>
      </c>
      <c r="D40" s="13"/>
      <c r="E40" s="13"/>
      <c r="F40" s="44" t="s">
        <v>4166</v>
      </c>
      <c r="G40" s="43">
        <v>1.0</v>
      </c>
      <c r="H40" s="42"/>
      <c r="I40" s="42"/>
      <c r="J40" s="14"/>
      <c r="K40" s="43"/>
    </row>
    <row r="41" ht="39.75" customHeight="1">
      <c r="A41" s="1">
        <v>40.0</v>
      </c>
      <c r="B41" s="2" t="s">
        <v>26</v>
      </c>
      <c r="C41" s="2" t="s">
        <v>39</v>
      </c>
      <c r="D41" s="13"/>
      <c r="E41" s="13"/>
      <c r="F41" s="44" t="s">
        <v>4167</v>
      </c>
      <c r="G41" s="43">
        <v>2.0</v>
      </c>
      <c r="H41" s="42"/>
      <c r="I41" s="43">
        <v>1.0</v>
      </c>
      <c r="J41" s="14"/>
      <c r="K41" s="43"/>
    </row>
    <row r="42" ht="39.75" customHeight="1">
      <c r="A42" s="1">
        <v>41.0</v>
      </c>
      <c r="B42" s="2" t="s">
        <v>29</v>
      </c>
      <c r="C42" s="2" t="s">
        <v>58</v>
      </c>
      <c r="D42" s="13"/>
      <c r="E42" s="13"/>
      <c r="F42" s="45"/>
      <c r="G42" s="42"/>
      <c r="H42" s="42"/>
      <c r="I42" s="42"/>
      <c r="J42" s="14"/>
      <c r="K42" s="43"/>
    </row>
    <row r="43" ht="39.75" customHeight="1">
      <c r="A43" s="1">
        <v>42.0</v>
      </c>
      <c r="B43" s="2" t="s">
        <v>32</v>
      </c>
      <c r="C43" s="2" t="s">
        <v>39</v>
      </c>
      <c r="D43" s="13"/>
      <c r="E43" s="13"/>
      <c r="F43" s="44" t="s">
        <v>4168</v>
      </c>
      <c r="G43" s="43">
        <v>1.0</v>
      </c>
      <c r="H43" s="42"/>
      <c r="I43" s="42"/>
      <c r="J43" s="14"/>
      <c r="K43" s="43"/>
    </row>
    <row r="44" ht="39.75" customHeight="1">
      <c r="A44" s="1">
        <v>43.0</v>
      </c>
      <c r="B44" s="2" t="s">
        <v>67</v>
      </c>
      <c r="C44" s="2" t="s">
        <v>44</v>
      </c>
      <c r="D44" s="13"/>
      <c r="E44" s="13"/>
      <c r="F44" s="45"/>
      <c r="G44" s="42"/>
      <c r="H44" s="42"/>
      <c r="I44" s="42"/>
      <c r="J44" s="14"/>
      <c r="K44" s="43"/>
    </row>
    <row r="45" ht="39.75" customHeight="1">
      <c r="A45" s="1">
        <v>44.0</v>
      </c>
      <c r="B45" s="2" t="s">
        <v>35</v>
      </c>
      <c r="C45" s="2" t="s">
        <v>27</v>
      </c>
      <c r="D45" s="13"/>
      <c r="E45" s="13"/>
      <c r="F45" s="70" t="s">
        <v>4169</v>
      </c>
      <c r="G45" s="43">
        <v>1.0</v>
      </c>
      <c r="H45" s="42"/>
      <c r="I45" s="42"/>
      <c r="J45" s="14"/>
      <c r="K45" s="43"/>
    </row>
    <row r="46" ht="39.75" customHeight="1">
      <c r="A46" s="1">
        <v>45.0</v>
      </c>
      <c r="B46" s="2" t="s">
        <v>36</v>
      </c>
      <c r="C46" s="2" t="s">
        <v>54</v>
      </c>
      <c r="D46" s="13"/>
      <c r="E46" s="13"/>
      <c r="F46" s="44" t="s">
        <v>4170</v>
      </c>
      <c r="G46" s="43">
        <v>1.0</v>
      </c>
      <c r="H46" s="42"/>
      <c r="I46" s="42"/>
      <c r="J46" s="14"/>
      <c r="K46" s="43"/>
    </row>
    <row r="47" ht="39.75" customHeight="1">
      <c r="A47" s="1">
        <v>46.0</v>
      </c>
      <c r="B47" s="2" t="s">
        <v>38</v>
      </c>
      <c r="C47" s="2" t="s">
        <v>69</v>
      </c>
      <c r="D47" s="13"/>
      <c r="E47" s="13"/>
      <c r="F47" s="44" t="s">
        <v>4171</v>
      </c>
      <c r="G47" s="43">
        <v>2.0</v>
      </c>
      <c r="H47" s="42"/>
      <c r="I47" s="43">
        <v>1.0</v>
      </c>
      <c r="J47" s="14"/>
      <c r="K47" s="43"/>
    </row>
    <row r="48" ht="39.75" customHeight="1">
      <c r="A48" s="1">
        <v>47.0</v>
      </c>
      <c r="B48" s="2" t="s">
        <v>41</v>
      </c>
      <c r="C48" s="2" t="s">
        <v>58</v>
      </c>
      <c r="D48" s="13"/>
      <c r="E48" s="13"/>
      <c r="F48" s="45"/>
      <c r="G48" s="42"/>
      <c r="H48" s="42"/>
      <c r="I48" s="42"/>
      <c r="J48" s="14"/>
      <c r="K48" s="43"/>
    </row>
    <row r="49" ht="39.75" customHeight="1">
      <c r="A49" s="1">
        <v>48.0</v>
      </c>
      <c r="B49" s="2" t="s">
        <v>42</v>
      </c>
      <c r="C49" s="2" t="s">
        <v>58</v>
      </c>
      <c r="D49" s="13"/>
      <c r="E49" s="13"/>
      <c r="F49" s="45"/>
      <c r="G49" s="42"/>
      <c r="H49" s="42"/>
      <c r="I49" s="42"/>
      <c r="J49" s="14"/>
      <c r="K49" s="43"/>
    </row>
    <row r="50" ht="39.75" customHeight="1">
      <c r="A50" s="1">
        <v>49.0</v>
      </c>
      <c r="B50" s="2" t="s">
        <v>43</v>
      </c>
      <c r="C50" s="2" t="s">
        <v>69</v>
      </c>
      <c r="D50" s="13"/>
      <c r="E50" s="13"/>
      <c r="F50" s="44" t="s">
        <v>4172</v>
      </c>
      <c r="G50" s="43">
        <v>2.0</v>
      </c>
      <c r="H50" s="42"/>
      <c r="I50" s="43">
        <v>1.0</v>
      </c>
      <c r="J50" s="14"/>
      <c r="K50" s="43"/>
    </row>
    <row r="51" ht="39.75" customHeight="1">
      <c r="A51" s="1">
        <v>50.0</v>
      </c>
      <c r="B51" s="2" t="s">
        <v>267</v>
      </c>
      <c r="C51" s="2" t="s">
        <v>54</v>
      </c>
      <c r="D51" s="13"/>
      <c r="E51" s="13"/>
      <c r="F51" s="44" t="s">
        <v>4159</v>
      </c>
      <c r="G51" s="43">
        <v>1.0</v>
      </c>
      <c r="H51" s="42"/>
      <c r="I51" s="42"/>
      <c r="J51" s="14"/>
      <c r="K51" s="43"/>
    </row>
    <row r="52" ht="39.75" customHeight="1">
      <c r="A52" s="1">
        <v>51.0</v>
      </c>
      <c r="B52" s="2" t="s">
        <v>46</v>
      </c>
      <c r="C52" s="2" t="s">
        <v>58</v>
      </c>
      <c r="D52" s="13"/>
      <c r="E52" s="13"/>
      <c r="F52" s="45"/>
      <c r="G52" s="42"/>
      <c r="H52" s="42"/>
      <c r="I52" s="42"/>
      <c r="J52" s="14"/>
      <c r="K52" s="43"/>
    </row>
    <row r="53" ht="39.75" customHeight="1">
      <c r="A53" s="1">
        <v>52.0</v>
      </c>
      <c r="B53" s="2" t="s">
        <v>47</v>
      </c>
      <c r="C53" s="2" t="s">
        <v>54</v>
      </c>
      <c r="D53" s="13"/>
      <c r="E53" s="13"/>
      <c r="F53" s="44" t="s">
        <v>4173</v>
      </c>
      <c r="G53" s="43">
        <v>1.0</v>
      </c>
      <c r="H53" s="42"/>
      <c r="I53" s="42"/>
      <c r="J53" s="14"/>
      <c r="K53" s="43"/>
    </row>
    <row r="54" ht="39.75" customHeight="1">
      <c r="A54" s="1">
        <v>53.0</v>
      </c>
      <c r="B54" s="2" t="s">
        <v>48</v>
      </c>
      <c r="C54" s="2" t="s">
        <v>69</v>
      </c>
      <c r="D54" s="13"/>
      <c r="E54" s="13"/>
      <c r="F54" s="44" t="s">
        <v>4174</v>
      </c>
      <c r="G54" s="43">
        <v>2.0</v>
      </c>
      <c r="H54" s="42"/>
      <c r="I54" s="43">
        <v>1.0</v>
      </c>
      <c r="J54" s="14"/>
      <c r="K54" s="43"/>
    </row>
    <row r="55" ht="39.75" customHeight="1">
      <c r="A55" s="1">
        <v>54.0</v>
      </c>
      <c r="B55" s="21"/>
      <c r="C55" s="21"/>
      <c r="D55" s="21"/>
      <c r="E55" s="21"/>
      <c r="F55" s="46"/>
      <c r="G55" s="47"/>
      <c r="H55" s="47"/>
      <c r="I55" s="47"/>
      <c r="J55" s="48"/>
      <c r="K55" s="47"/>
      <c r="L55" s="49"/>
      <c r="M55" s="49"/>
      <c r="N55" s="49"/>
    </row>
    <row r="56" ht="39.75" customHeight="1">
      <c r="A56" s="1">
        <v>55.0</v>
      </c>
      <c r="B56" s="2" t="s">
        <v>12</v>
      </c>
      <c r="C56" s="2" t="s">
        <v>13</v>
      </c>
      <c r="D56" s="13"/>
      <c r="E56" s="13"/>
      <c r="F56" s="45"/>
      <c r="G56" s="42"/>
      <c r="H56" s="42"/>
      <c r="I56" s="42"/>
      <c r="J56" s="14" t="s">
        <v>491</v>
      </c>
      <c r="K56" s="43"/>
      <c r="L56" s="15" t="s">
        <v>74</v>
      </c>
    </row>
    <row r="57" ht="39.75" customHeight="1">
      <c r="A57" s="1">
        <v>56.0</v>
      </c>
      <c r="B57" s="2" t="s">
        <v>16</v>
      </c>
      <c r="C57" s="2" t="s">
        <v>49</v>
      </c>
      <c r="D57" s="40">
        <v>0.4583333333333333</v>
      </c>
      <c r="E57" s="40">
        <v>0.75</v>
      </c>
      <c r="F57" s="44" t="s">
        <v>4175</v>
      </c>
      <c r="G57" s="43">
        <v>1.0</v>
      </c>
      <c r="H57" s="42"/>
      <c r="I57" s="42"/>
      <c r="J57" s="14" t="s">
        <v>74</v>
      </c>
      <c r="K57" s="43"/>
    </row>
    <row r="58" ht="39.75" customHeight="1">
      <c r="A58" s="1">
        <v>57.0</v>
      </c>
      <c r="B58" s="2" t="s">
        <v>116</v>
      </c>
      <c r="C58" s="2"/>
      <c r="D58" s="40">
        <v>0.375</v>
      </c>
      <c r="E58" s="51">
        <v>0.75</v>
      </c>
      <c r="F58" s="44" t="s">
        <v>4176</v>
      </c>
      <c r="G58" s="43">
        <v>1.0</v>
      </c>
      <c r="H58" s="42"/>
      <c r="I58" s="43">
        <v>1.0</v>
      </c>
      <c r="J58" s="14" t="s">
        <v>149</v>
      </c>
      <c r="K58" s="43"/>
    </row>
    <row r="59" ht="39.75" customHeight="1">
      <c r="A59" s="1">
        <v>58.0</v>
      </c>
      <c r="B59" s="2" t="s">
        <v>263</v>
      </c>
      <c r="C59" s="2" t="s">
        <v>13</v>
      </c>
      <c r="D59" s="13"/>
      <c r="E59" s="13"/>
      <c r="F59" s="45"/>
      <c r="G59" s="42"/>
      <c r="H59" s="42"/>
      <c r="I59" s="42"/>
      <c r="J59" s="14" t="s">
        <v>3715</v>
      </c>
      <c r="K59" s="43"/>
    </row>
    <row r="60" ht="39.75" customHeight="1">
      <c r="A60" s="1">
        <v>59.0</v>
      </c>
      <c r="B60" s="2" t="s">
        <v>17</v>
      </c>
      <c r="C60" s="2" t="s">
        <v>27</v>
      </c>
      <c r="D60" s="40">
        <v>0.6875</v>
      </c>
      <c r="E60" s="13"/>
      <c r="F60" s="45"/>
      <c r="G60" s="42"/>
      <c r="H60" s="42"/>
      <c r="I60" s="42"/>
      <c r="J60" s="14" t="s">
        <v>412</v>
      </c>
      <c r="K60" s="43"/>
    </row>
    <row r="61" ht="39.75" customHeight="1">
      <c r="A61" s="1">
        <v>60.0</v>
      </c>
      <c r="B61" s="2" t="s">
        <v>331</v>
      </c>
      <c r="C61" s="2" t="s">
        <v>13</v>
      </c>
      <c r="D61" s="13"/>
      <c r="E61" s="13"/>
      <c r="F61" s="45"/>
      <c r="G61" s="42"/>
      <c r="H61" s="42"/>
      <c r="I61" s="42"/>
      <c r="J61" s="14"/>
      <c r="K61" s="43"/>
    </row>
    <row r="62" ht="39.75" customHeight="1">
      <c r="A62" s="1">
        <v>61.0</v>
      </c>
      <c r="B62" s="2" t="s">
        <v>21</v>
      </c>
      <c r="C62" s="2" t="s">
        <v>13</v>
      </c>
      <c r="D62" s="13"/>
      <c r="E62" s="13"/>
      <c r="F62" s="45"/>
      <c r="G62" s="42"/>
      <c r="H62" s="42"/>
      <c r="I62" s="42"/>
      <c r="J62" s="14"/>
      <c r="K62" s="43"/>
    </row>
    <row r="63" ht="39.75" customHeight="1">
      <c r="A63" s="1">
        <v>62.0</v>
      </c>
      <c r="B63" s="2" t="s">
        <v>22</v>
      </c>
      <c r="C63" s="13"/>
      <c r="D63" s="40">
        <v>0.375</v>
      </c>
      <c r="E63" s="40">
        <v>0.7083333333333334</v>
      </c>
      <c r="F63" s="44" t="s">
        <v>4177</v>
      </c>
      <c r="G63" s="43">
        <v>1.0</v>
      </c>
      <c r="H63" s="42"/>
      <c r="I63" s="43">
        <v>1.0</v>
      </c>
      <c r="J63" s="14"/>
      <c r="K63" s="43"/>
    </row>
    <row r="64" ht="39.75" customHeight="1">
      <c r="A64" s="1">
        <v>63.0</v>
      </c>
      <c r="B64" s="2" t="s">
        <v>261</v>
      </c>
      <c r="C64" s="2" t="s">
        <v>13</v>
      </c>
      <c r="D64" s="13"/>
      <c r="E64" s="13"/>
      <c r="F64" s="45"/>
      <c r="G64" s="42"/>
      <c r="H64" s="42"/>
      <c r="I64" s="42"/>
      <c r="J64" s="14"/>
      <c r="K64" s="43"/>
    </row>
    <row r="65" ht="39.75" customHeight="1">
      <c r="A65" s="1">
        <v>64.0</v>
      </c>
      <c r="B65" s="2" t="s">
        <v>23</v>
      </c>
      <c r="C65" s="2" t="s">
        <v>13</v>
      </c>
      <c r="D65" s="13"/>
      <c r="E65" s="13"/>
      <c r="F65" s="45"/>
      <c r="G65" s="42"/>
      <c r="H65" s="42"/>
      <c r="I65" s="42"/>
      <c r="J65" s="14"/>
      <c r="K65" s="43"/>
    </row>
    <row r="66" ht="39.75" customHeight="1">
      <c r="A66" s="1">
        <v>65.0</v>
      </c>
      <c r="B66" s="2" t="s">
        <v>24</v>
      </c>
      <c r="C66" s="2" t="s">
        <v>63</v>
      </c>
      <c r="D66" s="13"/>
      <c r="E66" s="13"/>
      <c r="F66" s="45"/>
      <c r="G66" s="43">
        <v>1.0</v>
      </c>
      <c r="H66" s="42"/>
      <c r="I66" s="42"/>
      <c r="J66" s="14"/>
      <c r="K66" s="43"/>
    </row>
    <row r="67" ht="39.75" customHeight="1">
      <c r="A67" s="1">
        <v>66.0</v>
      </c>
      <c r="B67" s="2" t="s">
        <v>25</v>
      </c>
      <c r="C67" s="2" t="s">
        <v>13</v>
      </c>
      <c r="D67" s="13"/>
      <c r="E67" s="13"/>
      <c r="F67" s="45"/>
      <c r="G67" s="42"/>
      <c r="H67" s="42"/>
      <c r="I67" s="42"/>
      <c r="J67" s="14"/>
      <c r="K67" s="43"/>
    </row>
    <row r="68" ht="39.75" customHeight="1">
      <c r="A68" s="1">
        <v>67.0</v>
      </c>
      <c r="B68" s="2" t="s">
        <v>26</v>
      </c>
      <c r="C68" s="2" t="s">
        <v>13</v>
      </c>
      <c r="D68" s="13"/>
      <c r="E68" s="13"/>
      <c r="F68" s="45"/>
      <c r="G68" s="42"/>
      <c r="H68" s="42"/>
      <c r="I68" s="42"/>
      <c r="J68" s="14"/>
      <c r="K68" s="43"/>
    </row>
    <row r="69" ht="39.75" customHeight="1">
      <c r="A69" s="1">
        <v>68.0</v>
      </c>
      <c r="B69" s="2" t="s">
        <v>29</v>
      </c>
      <c r="C69" s="2" t="s">
        <v>13</v>
      </c>
      <c r="D69" s="13"/>
      <c r="E69" s="13"/>
      <c r="F69" s="45"/>
      <c r="G69" s="42"/>
      <c r="H69" s="42"/>
      <c r="I69" s="42"/>
      <c r="J69" s="14"/>
      <c r="K69" s="43"/>
    </row>
    <row r="70" ht="39.75" customHeight="1">
      <c r="A70" s="1">
        <v>69.0</v>
      </c>
      <c r="B70" s="2" t="s">
        <v>34</v>
      </c>
      <c r="C70" s="2" t="s">
        <v>272</v>
      </c>
      <c r="D70" s="13"/>
      <c r="E70" s="13"/>
      <c r="F70" s="45"/>
      <c r="G70" s="43">
        <v>1.0</v>
      </c>
      <c r="H70" s="42"/>
      <c r="I70" s="42"/>
      <c r="J70" s="14"/>
      <c r="K70" s="43"/>
    </row>
    <row r="71" ht="39.75" customHeight="1">
      <c r="A71" s="1">
        <v>70.0</v>
      </c>
      <c r="B71" s="2" t="s">
        <v>67</v>
      </c>
      <c r="C71" s="2" t="s">
        <v>13</v>
      </c>
      <c r="D71" s="13"/>
      <c r="E71" s="13"/>
      <c r="F71" s="45"/>
      <c r="G71" s="42"/>
      <c r="H71" s="42"/>
      <c r="I71" s="42"/>
      <c r="J71" s="14"/>
      <c r="K71" s="43"/>
    </row>
    <row r="72" ht="39.75" customHeight="1">
      <c r="A72" s="1">
        <v>71.0</v>
      </c>
      <c r="B72" s="2" t="s">
        <v>35</v>
      </c>
      <c r="C72" s="2" t="s">
        <v>44</v>
      </c>
      <c r="D72" s="13"/>
      <c r="E72" s="13"/>
      <c r="F72" s="45"/>
      <c r="G72" s="42"/>
      <c r="H72" s="42"/>
      <c r="I72" s="42"/>
      <c r="J72" s="14"/>
      <c r="K72" s="43"/>
    </row>
    <row r="73" ht="39.75" customHeight="1">
      <c r="A73" s="1">
        <v>72.0</v>
      </c>
      <c r="B73" s="2" t="s">
        <v>36</v>
      </c>
      <c r="C73" s="2" t="s">
        <v>13</v>
      </c>
      <c r="D73" s="13"/>
      <c r="E73" s="13"/>
      <c r="F73" s="45"/>
      <c r="G73" s="42"/>
      <c r="H73" s="42"/>
      <c r="I73" s="42"/>
      <c r="J73" s="14"/>
      <c r="K73" s="43"/>
    </row>
    <row r="74" ht="39.75" customHeight="1">
      <c r="A74" s="1">
        <v>73.0</v>
      </c>
      <c r="B74" s="2" t="s">
        <v>38</v>
      </c>
      <c r="C74" s="2" t="s">
        <v>13</v>
      </c>
      <c r="D74" s="13"/>
      <c r="E74" s="13"/>
      <c r="F74" s="45"/>
      <c r="G74" s="42"/>
      <c r="H74" s="42"/>
      <c r="I74" s="42"/>
      <c r="J74" s="14"/>
      <c r="K74" s="43"/>
    </row>
    <row r="75" ht="39.75" customHeight="1">
      <c r="A75" s="1">
        <v>74.0</v>
      </c>
      <c r="B75" s="2" t="s">
        <v>41</v>
      </c>
      <c r="C75" s="2" t="s">
        <v>13</v>
      </c>
      <c r="D75" s="13"/>
      <c r="E75" s="13"/>
      <c r="F75" s="45"/>
      <c r="G75" s="42"/>
      <c r="H75" s="42"/>
      <c r="I75" s="42"/>
      <c r="J75" s="14"/>
      <c r="K75" s="43"/>
    </row>
    <row r="76" ht="39.75" customHeight="1">
      <c r="A76" s="1">
        <v>75.0</v>
      </c>
      <c r="B76" s="2" t="s">
        <v>42</v>
      </c>
      <c r="C76" s="2" t="s">
        <v>13</v>
      </c>
      <c r="D76" s="13"/>
      <c r="E76" s="13"/>
      <c r="F76" s="45"/>
      <c r="G76" s="42"/>
      <c r="H76" s="42"/>
      <c r="I76" s="42"/>
      <c r="J76" s="14"/>
      <c r="K76" s="43"/>
    </row>
    <row r="77" ht="39.75" customHeight="1">
      <c r="A77" s="1">
        <v>76.0</v>
      </c>
      <c r="B77" s="2" t="s">
        <v>43</v>
      </c>
      <c r="C77" s="2" t="s">
        <v>13</v>
      </c>
      <c r="D77" s="13"/>
      <c r="E77" s="13"/>
      <c r="F77" s="45"/>
      <c r="G77" s="42"/>
      <c r="H77" s="42"/>
      <c r="I77" s="42"/>
      <c r="J77" s="14"/>
      <c r="K77" s="43"/>
    </row>
    <row r="78" ht="39.75" customHeight="1">
      <c r="A78" s="1">
        <v>77.0</v>
      </c>
      <c r="B78" s="2" t="s">
        <v>267</v>
      </c>
      <c r="C78" s="2" t="s">
        <v>13</v>
      </c>
      <c r="D78" s="13"/>
      <c r="E78" s="13"/>
      <c r="F78" s="45"/>
      <c r="G78" s="42"/>
      <c r="H78" s="42"/>
      <c r="I78" s="42"/>
      <c r="J78" s="14"/>
      <c r="K78" s="43"/>
    </row>
    <row r="79" ht="39.75" customHeight="1">
      <c r="A79" s="1">
        <v>78.0</v>
      </c>
      <c r="B79" s="2" t="s">
        <v>46</v>
      </c>
      <c r="C79" s="2" t="s">
        <v>13</v>
      </c>
      <c r="D79" s="13"/>
      <c r="E79" s="13"/>
      <c r="F79" s="45"/>
      <c r="G79" s="42"/>
      <c r="H79" s="42"/>
      <c r="I79" s="42"/>
      <c r="J79" s="14"/>
      <c r="K79" s="43"/>
    </row>
    <row r="80" ht="39.75" customHeight="1">
      <c r="A80" s="1">
        <v>79.0</v>
      </c>
      <c r="B80" s="2" t="s">
        <v>47</v>
      </c>
      <c r="C80" s="2" t="s">
        <v>13</v>
      </c>
      <c r="D80" s="13"/>
      <c r="E80" s="13"/>
      <c r="F80" s="45"/>
      <c r="G80" s="42"/>
      <c r="H80" s="42"/>
      <c r="I80" s="42"/>
      <c r="J80" s="14"/>
      <c r="K80" s="43"/>
    </row>
    <row r="81" ht="39.75" customHeight="1">
      <c r="A81" s="1">
        <v>80.0</v>
      </c>
      <c r="B81" s="2" t="s">
        <v>48</v>
      </c>
      <c r="C81" s="2" t="s">
        <v>39</v>
      </c>
      <c r="D81" s="40">
        <v>0.375</v>
      </c>
      <c r="E81" s="40">
        <v>0.7083333333333334</v>
      </c>
      <c r="F81" s="44" t="s">
        <v>926</v>
      </c>
      <c r="G81" s="43">
        <v>1.0</v>
      </c>
      <c r="H81" s="42"/>
      <c r="I81" s="43">
        <v>1.0</v>
      </c>
      <c r="J81" s="14"/>
      <c r="K81" s="43"/>
    </row>
    <row r="82" ht="39.75" customHeight="1">
      <c r="A82" s="1">
        <v>81.0</v>
      </c>
      <c r="B82" s="21"/>
      <c r="C82" s="21"/>
      <c r="D82" s="21"/>
      <c r="E82" s="21"/>
      <c r="F82" s="46"/>
      <c r="G82" s="47"/>
      <c r="H82" s="47"/>
      <c r="I82" s="47"/>
      <c r="J82" s="48"/>
      <c r="K82" s="47"/>
      <c r="L82" s="49"/>
      <c r="M82" s="49"/>
      <c r="N82" s="49"/>
    </row>
    <row r="83" ht="39.75" customHeight="1">
      <c r="A83" s="1">
        <v>82.0</v>
      </c>
      <c r="B83" s="2" t="s">
        <v>12</v>
      </c>
      <c r="C83" s="2" t="s">
        <v>13</v>
      </c>
      <c r="D83" s="13"/>
      <c r="E83" s="13"/>
      <c r="F83" s="45"/>
      <c r="G83" s="42"/>
      <c r="H83" s="42"/>
      <c r="I83" s="42"/>
      <c r="J83" s="14" t="s">
        <v>491</v>
      </c>
      <c r="K83" s="43"/>
      <c r="L83" s="15" t="s">
        <v>94</v>
      </c>
    </row>
    <row r="84" ht="39.75" customHeight="1">
      <c r="A84" s="1">
        <v>83.0</v>
      </c>
      <c r="B84" s="2" t="s">
        <v>16</v>
      </c>
      <c r="C84" s="2" t="s">
        <v>13</v>
      </c>
      <c r="D84" s="13"/>
      <c r="E84" s="13"/>
      <c r="F84" s="45"/>
      <c r="G84" s="42"/>
      <c r="H84" s="42"/>
      <c r="I84" s="42"/>
      <c r="J84" s="14" t="s">
        <v>94</v>
      </c>
      <c r="K84" s="43"/>
    </row>
    <row r="85" ht="39.75" customHeight="1">
      <c r="A85" s="1">
        <v>84.0</v>
      </c>
      <c r="B85" s="2" t="s">
        <v>116</v>
      </c>
      <c r="C85" s="2" t="s">
        <v>39</v>
      </c>
      <c r="D85" s="13"/>
      <c r="E85" s="13"/>
      <c r="F85" s="44" t="s">
        <v>1889</v>
      </c>
      <c r="G85" s="42"/>
      <c r="H85" s="42"/>
      <c r="I85" s="42"/>
      <c r="J85" s="14" t="s">
        <v>19</v>
      </c>
      <c r="K85" s="43"/>
    </row>
    <row r="86" ht="39.75" customHeight="1">
      <c r="A86" s="1">
        <v>85.0</v>
      </c>
      <c r="B86" s="2" t="s">
        <v>263</v>
      </c>
      <c r="C86" s="2" t="s">
        <v>13</v>
      </c>
      <c r="D86" s="13"/>
      <c r="E86" s="13"/>
      <c r="F86" s="45"/>
      <c r="G86" s="42"/>
      <c r="H86" s="42"/>
      <c r="I86" s="42"/>
      <c r="J86" s="14" t="s">
        <v>151</v>
      </c>
      <c r="K86" s="43"/>
    </row>
    <row r="87" ht="39.75" customHeight="1">
      <c r="A87" s="1">
        <v>86.0</v>
      </c>
      <c r="B87" s="2" t="s">
        <v>17</v>
      </c>
      <c r="C87" s="2" t="s">
        <v>44</v>
      </c>
      <c r="D87" s="13"/>
      <c r="E87" s="13"/>
      <c r="F87" s="45"/>
      <c r="G87" s="42"/>
      <c r="H87" s="42"/>
      <c r="I87" s="42"/>
      <c r="J87" s="14" t="s">
        <v>152</v>
      </c>
      <c r="K87" s="43"/>
    </row>
    <row r="88" ht="39.75" customHeight="1">
      <c r="A88" s="1">
        <v>87.0</v>
      </c>
      <c r="B88" s="2" t="s">
        <v>331</v>
      </c>
      <c r="C88" s="2" t="s">
        <v>13</v>
      </c>
      <c r="D88" s="13"/>
      <c r="E88" s="13"/>
      <c r="F88" s="45"/>
      <c r="G88" s="42"/>
      <c r="H88" s="42"/>
      <c r="I88" s="42"/>
      <c r="J88" s="14" t="s">
        <v>154</v>
      </c>
      <c r="K88" s="43"/>
    </row>
    <row r="89" ht="39.75" customHeight="1">
      <c r="A89" s="1">
        <v>88.0</v>
      </c>
      <c r="B89" s="2" t="s">
        <v>21</v>
      </c>
      <c r="C89" s="2" t="s">
        <v>63</v>
      </c>
      <c r="D89" s="13"/>
      <c r="E89" s="13"/>
      <c r="F89" s="44" t="s">
        <v>2811</v>
      </c>
      <c r="G89" s="42"/>
      <c r="H89" s="42"/>
      <c r="I89" s="42"/>
      <c r="J89" s="14"/>
      <c r="K89" s="43"/>
    </row>
    <row r="90" ht="39.75" customHeight="1">
      <c r="A90" s="1">
        <v>89.0</v>
      </c>
      <c r="B90" s="2" t="s">
        <v>22</v>
      </c>
      <c r="C90" s="2" t="s">
        <v>13</v>
      </c>
      <c r="D90" s="13"/>
      <c r="E90" s="13"/>
      <c r="F90" s="45"/>
      <c r="G90" s="42"/>
      <c r="H90" s="42"/>
      <c r="I90" s="42"/>
      <c r="J90" s="14"/>
      <c r="K90" s="43"/>
    </row>
    <row r="91" ht="39.75" customHeight="1">
      <c r="A91" s="1">
        <v>90.0</v>
      </c>
      <c r="B91" s="2" t="s">
        <v>261</v>
      </c>
      <c r="C91" s="2" t="s">
        <v>13</v>
      </c>
      <c r="D91" s="13"/>
      <c r="E91" s="13"/>
      <c r="F91" s="45"/>
      <c r="G91" s="42"/>
      <c r="H91" s="42"/>
      <c r="I91" s="42"/>
      <c r="J91" s="14"/>
      <c r="K91" s="43"/>
    </row>
    <row r="92" ht="39.75" customHeight="1">
      <c r="A92" s="1">
        <v>91.0</v>
      </c>
      <c r="B92" s="2" t="s">
        <v>23</v>
      </c>
      <c r="C92" s="2" t="s">
        <v>13</v>
      </c>
      <c r="D92" s="13"/>
      <c r="E92" s="13"/>
      <c r="F92" s="45"/>
      <c r="G92" s="42"/>
      <c r="H92" s="42"/>
      <c r="I92" s="42"/>
      <c r="J92" s="14"/>
      <c r="K92" s="43"/>
    </row>
    <row r="93" ht="39.75" customHeight="1">
      <c r="A93" s="1">
        <v>92.0</v>
      </c>
      <c r="B93" s="2" t="s">
        <v>24</v>
      </c>
      <c r="C93" s="2" t="s">
        <v>13</v>
      </c>
      <c r="D93" s="13"/>
      <c r="E93" s="13"/>
      <c r="F93" s="45"/>
      <c r="G93" s="42"/>
      <c r="H93" s="42"/>
      <c r="I93" s="42"/>
      <c r="J93" s="14"/>
      <c r="K93" s="43"/>
    </row>
    <row r="94" ht="39.75" customHeight="1">
      <c r="A94" s="1">
        <v>93.0</v>
      </c>
      <c r="B94" s="2" t="s">
        <v>25</v>
      </c>
      <c r="C94" s="2" t="s">
        <v>27</v>
      </c>
      <c r="D94" s="13"/>
      <c r="E94" s="13"/>
      <c r="F94" s="45"/>
      <c r="G94" s="42"/>
      <c r="H94" s="42"/>
      <c r="I94" s="42"/>
      <c r="J94" s="14"/>
      <c r="K94" s="43"/>
    </row>
    <row r="95" ht="39.75" customHeight="1">
      <c r="A95" s="1">
        <v>94.0</v>
      </c>
      <c r="B95" s="2" t="s">
        <v>26</v>
      </c>
      <c r="C95" s="2" t="s">
        <v>49</v>
      </c>
      <c r="D95" s="13"/>
      <c r="E95" s="13"/>
      <c r="F95" s="44" t="s">
        <v>4178</v>
      </c>
      <c r="G95" s="43">
        <v>1.0</v>
      </c>
      <c r="H95" s="42"/>
      <c r="I95" s="43">
        <v>1.0</v>
      </c>
      <c r="J95" s="14"/>
      <c r="K95" s="43"/>
    </row>
    <row r="96" ht="39.75" customHeight="1">
      <c r="A96" s="1">
        <v>95.0</v>
      </c>
      <c r="B96" s="2" t="s">
        <v>29</v>
      </c>
      <c r="C96" s="2" t="s">
        <v>13</v>
      </c>
      <c r="D96" s="13"/>
      <c r="E96" s="13"/>
      <c r="F96" s="45"/>
      <c r="G96" s="42"/>
      <c r="H96" s="42"/>
      <c r="I96" s="42"/>
      <c r="J96" s="14"/>
      <c r="K96" s="43"/>
    </row>
    <row r="97" ht="39.75" customHeight="1">
      <c r="A97" s="1">
        <v>96.0</v>
      </c>
      <c r="B97" s="2" t="s">
        <v>32</v>
      </c>
      <c r="C97" s="2"/>
      <c r="D97" s="40">
        <v>0.375</v>
      </c>
      <c r="E97" s="13"/>
      <c r="F97" s="44" t="s">
        <v>4179</v>
      </c>
      <c r="G97" s="43">
        <v>1.0</v>
      </c>
      <c r="H97" s="42"/>
      <c r="I97" s="42"/>
      <c r="J97" s="14"/>
      <c r="K97" s="43"/>
    </row>
    <row r="98" ht="39.75" customHeight="1">
      <c r="A98" s="1">
        <v>97.0</v>
      </c>
      <c r="B98" s="2" t="s">
        <v>67</v>
      </c>
      <c r="C98" s="2" t="s">
        <v>13</v>
      </c>
      <c r="D98" s="13"/>
      <c r="E98" s="13"/>
      <c r="F98" s="45"/>
      <c r="G98" s="42"/>
      <c r="H98" s="42"/>
      <c r="I98" s="42"/>
      <c r="J98" s="14"/>
      <c r="K98" s="43"/>
    </row>
    <row r="99" ht="39.75" customHeight="1">
      <c r="A99" s="1">
        <v>98.0</v>
      </c>
      <c r="B99" s="2" t="s">
        <v>35</v>
      </c>
      <c r="C99" s="2" t="s">
        <v>13</v>
      </c>
      <c r="D99" s="13"/>
      <c r="E99" s="13"/>
      <c r="F99" s="45"/>
      <c r="G99" s="42"/>
      <c r="H99" s="42"/>
      <c r="I99" s="42"/>
      <c r="J99" s="14"/>
      <c r="K99" s="43"/>
    </row>
    <row r="100" ht="39.75" customHeight="1">
      <c r="A100" s="1">
        <v>99.0</v>
      </c>
      <c r="B100" s="2" t="s">
        <v>36</v>
      </c>
      <c r="C100" s="2" t="s">
        <v>13</v>
      </c>
      <c r="D100" s="13"/>
      <c r="E100" s="13"/>
      <c r="F100" s="45"/>
      <c r="G100" s="42"/>
      <c r="H100" s="42"/>
      <c r="I100" s="42"/>
      <c r="J100" s="14"/>
      <c r="K100" s="43"/>
    </row>
    <row r="101" ht="39.75" customHeight="1">
      <c r="A101" s="1">
        <v>100.0</v>
      </c>
      <c r="B101" s="2" t="s">
        <v>38</v>
      </c>
      <c r="C101" s="2" t="s">
        <v>13</v>
      </c>
      <c r="D101" s="13"/>
      <c r="E101" s="13"/>
      <c r="F101" s="45"/>
      <c r="G101" s="42"/>
      <c r="H101" s="42"/>
      <c r="I101" s="42"/>
      <c r="J101" s="14"/>
      <c r="K101" s="43"/>
    </row>
    <row r="102" ht="39.75" customHeight="1">
      <c r="A102" s="1">
        <v>101.0</v>
      </c>
      <c r="B102" s="2" t="s">
        <v>41</v>
      </c>
      <c r="C102" s="2" t="s">
        <v>13</v>
      </c>
      <c r="D102" s="13"/>
      <c r="E102" s="13"/>
      <c r="F102" s="45"/>
      <c r="G102" s="42"/>
      <c r="H102" s="42"/>
      <c r="I102" s="42"/>
      <c r="J102" s="14"/>
      <c r="K102" s="43"/>
    </row>
    <row r="103" ht="39.75" customHeight="1">
      <c r="A103" s="1">
        <v>102.0</v>
      </c>
      <c r="B103" s="2" t="s">
        <v>42</v>
      </c>
      <c r="C103" s="2" t="s">
        <v>13</v>
      </c>
      <c r="D103" s="13"/>
      <c r="E103" s="13"/>
      <c r="F103" s="45"/>
      <c r="G103" s="42"/>
      <c r="H103" s="42"/>
      <c r="I103" s="42"/>
      <c r="J103" s="14"/>
      <c r="K103" s="43"/>
    </row>
    <row r="104" ht="39.75" customHeight="1">
      <c r="A104" s="1">
        <v>103.0</v>
      </c>
      <c r="B104" s="2" t="s">
        <v>43</v>
      </c>
      <c r="C104" s="2" t="s">
        <v>13</v>
      </c>
      <c r="D104" s="13"/>
      <c r="E104" s="13"/>
      <c r="F104" s="45"/>
      <c r="G104" s="42"/>
      <c r="H104" s="42"/>
      <c r="I104" s="42"/>
      <c r="J104" s="14"/>
      <c r="K104" s="43"/>
    </row>
    <row r="105" ht="39.75" customHeight="1">
      <c r="A105" s="1">
        <v>104.0</v>
      </c>
      <c r="B105" s="2" t="s">
        <v>267</v>
      </c>
      <c r="C105" s="2" t="s">
        <v>13</v>
      </c>
      <c r="D105" s="13"/>
      <c r="E105" s="13"/>
      <c r="F105" s="45"/>
      <c r="G105" s="42"/>
      <c r="H105" s="42"/>
      <c r="I105" s="42"/>
      <c r="J105" s="14"/>
      <c r="K105" s="43"/>
    </row>
    <row r="106" ht="39.75" customHeight="1">
      <c r="A106" s="1">
        <v>105.0</v>
      </c>
      <c r="B106" s="2" t="s">
        <v>45</v>
      </c>
      <c r="C106" s="2" t="s">
        <v>272</v>
      </c>
      <c r="D106" s="13"/>
      <c r="E106" s="13"/>
      <c r="F106" s="44" t="s">
        <v>1268</v>
      </c>
      <c r="G106" s="42"/>
      <c r="H106" s="42"/>
      <c r="I106" s="42"/>
      <c r="J106" s="14"/>
      <c r="K106" s="43"/>
    </row>
    <row r="107" ht="39.75" customHeight="1">
      <c r="A107" s="1">
        <v>106.0</v>
      </c>
      <c r="B107" s="2" t="s">
        <v>47</v>
      </c>
      <c r="C107" s="2"/>
      <c r="D107" s="82">
        <v>0.2916666666666667</v>
      </c>
      <c r="E107" s="51">
        <v>0.7708333333333334</v>
      </c>
      <c r="F107" s="44" t="s">
        <v>4180</v>
      </c>
      <c r="G107" s="43">
        <v>1.0</v>
      </c>
      <c r="H107" s="42"/>
      <c r="I107" s="43"/>
      <c r="J107" s="14"/>
      <c r="K107" s="43"/>
    </row>
    <row r="108" ht="39.75" customHeight="1">
      <c r="A108" s="1">
        <v>107.0</v>
      </c>
      <c r="B108" s="2" t="s">
        <v>48</v>
      </c>
      <c r="C108" s="2" t="s">
        <v>13</v>
      </c>
      <c r="D108" s="13"/>
      <c r="E108" s="13"/>
      <c r="F108" s="45"/>
      <c r="G108" s="42"/>
      <c r="H108" s="42"/>
      <c r="I108" s="42"/>
      <c r="J108" s="14"/>
      <c r="K108" s="43"/>
    </row>
    <row r="109" ht="39.75" customHeight="1">
      <c r="A109" s="1">
        <v>108.0</v>
      </c>
      <c r="B109" s="21"/>
      <c r="C109" s="21"/>
      <c r="D109" s="21"/>
      <c r="E109" s="21"/>
      <c r="F109" s="46"/>
      <c r="G109" s="47"/>
      <c r="H109" s="47"/>
      <c r="I109" s="47"/>
      <c r="J109" s="54"/>
      <c r="K109" s="72"/>
      <c r="L109" s="49"/>
      <c r="M109" s="49"/>
      <c r="N109" s="49"/>
    </row>
    <row r="110" ht="39.75" customHeight="1">
      <c r="A110" s="1">
        <v>109.0</v>
      </c>
      <c r="B110" s="2" t="s">
        <v>12</v>
      </c>
      <c r="C110" s="2" t="s">
        <v>62</v>
      </c>
      <c r="D110" s="13"/>
      <c r="E110" s="13"/>
      <c r="F110" s="44" t="s">
        <v>1543</v>
      </c>
      <c r="G110" s="42"/>
      <c r="H110" s="42"/>
      <c r="I110" s="42"/>
      <c r="J110" s="27" t="s">
        <v>491</v>
      </c>
      <c r="K110" s="43"/>
      <c r="L110" s="15" t="s">
        <v>109</v>
      </c>
    </row>
    <row r="111" ht="39.75" customHeight="1">
      <c r="A111" s="1">
        <v>110.0</v>
      </c>
      <c r="B111" s="103" t="s">
        <v>16</v>
      </c>
      <c r="C111" s="103" t="s">
        <v>13</v>
      </c>
      <c r="D111" s="104"/>
      <c r="E111" s="104"/>
      <c r="F111" s="105"/>
      <c r="G111" s="106"/>
      <c r="H111" s="106"/>
      <c r="I111" s="106"/>
      <c r="J111" s="27" t="s">
        <v>109</v>
      </c>
      <c r="K111" s="43"/>
    </row>
    <row r="112" ht="39.75" customHeight="1">
      <c r="A112" s="1">
        <v>111.0</v>
      </c>
      <c r="B112" s="2" t="s">
        <v>116</v>
      </c>
      <c r="C112" s="2" t="s">
        <v>39</v>
      </c>
      <c r="D112" s="13"/>
      <c r="E112" s="13"/>
      <c r="F112" s="44" t="s">
        <v>4181</v>
      </c>
      <c r="G112" s="43">
        <v>1.0</v>
      </c>
      <c r="H112" s="42"/>
      <c r="I112" s="43"/>
      <c r="J112" s="27" t="s">
        <v>56</v>
      </c>
      <c r="K112" s="43"/>
    </row>
    <row r="113" ht="39.75" customHeight="1">
      <c r="A113" s="1">
        <v>112.0</v>
      </c>
      <c r="B113" s="2" t="s">
        <v>48</v>
      </c>
      <c r="C113" s="2" t="s">
        <v>39</v>
      </c>
      <c r="D113" s="13"/>
      <c r="E113" s="13"/>
      <c r="F113" s="44" t="s">
        <v>4182</v>
      </c>
      <c r="G113" s="43">
        <v>1.0</v>
      </c>
      <c r="H113" s="42"/>
      <c r="I113" s="42"/>
      <c r="J113" s="27" t="s">
        <v>412</v>
      </c>
      <c r="K113" s="42"/>
    </row>
    <row r="114" ht="39.75" customHeight="1">
      <c r="A114" s="1">
        <v>113.0</v>
      </c>
      <c r="B114" s="2" t="s">
        <v>17</v>
      </c>
      <c r="C114" s="2" t="s">
        <v>64</v>
      </c>
      <c r="D114" s="13"/>
      <c r="E114" s="13"/>
      <c r="F114" s="44" t="s">
        <v>2034</v>
      </c>
      <c r="G114" s="42"/>
      <c r="H114" s="42"/>
      <c r="I114" s="42"/>
      <c r="J114" s="22"/>
      <c r="K114" s="42"/>
    </row>
    <row r="115" ht="39.75" customHeight="1">
      <c r="A115" s="1">
        <v>114.0</v>
      </c>
      <c r="B115" s="120" t="s">
        <v>331</v>
      </c>
      <c r="C115" s="120" t="s">
        <v>13</v>
      </c>
      <c r="D115" s="121"/>
      <c r="E115" s="121"/>
      <c r="F115" s="136"/>
      <c r="G115" s="123"/>
      <c r="H115" s="123"/>
      <c r="I115" s="123"/>
      <c r="J115" s="22"/>
      <c r="K115" s="42"/>
    </row>
    <row r="116" ht="39.75" customHeight="1">
      <c r="A116" s="1">
        <v>115.0</v>
      </c>
      <c r="B116" s="2" t="s">
        <v>21</v>
      </c>
      <c r="C116" s="2" t="s">
        <v>63</v>
      </c>
      <c r="D116" s="13"/>
      <c r="E116" s="13"/>
      <c r="F116" s="44" t="s">
        <v>4183</v>
      </c>
      <c r="G116" s="42"/>
      <c r="H116" s="42"/>
      <c r="I116" s="42"/>
      <c r="J116" s="22"/>
      <c r="K116" s="42"/>
    </row>
    <row r="117" ht="39.75" customHeight="1">
      <c r="A117" s="1">
        <v>116.0</v>
      </c>
      <c r="B117" s="120" t="s">
        <v>22</v>
      </c>
      <c r="C117" s="120" t="s">
        <v>13</v>
      </c>
      <c r="D117" s="121"/>
      <c r="E117" s="121"/>
      <c r="F117" s="136"/>
      <c r="G117" s="123"/>
      <c r="H117" s="123"/>
      <c r="I117" s="123"/>
      <c r="J117" s="22"/>
      <c r="K117" s="42"/>
    </row>
    <row r="118" ht="39.75" customHeight="1">
      <c r="A118" s="1">
        <v>117.0</v>
      </c>
      <c r="B118" s="2" t="s">
        <v>261</v>
      </c>
      <c r="C118" s="2"/>
      <c r="D118" s="13"/>
      <c r="E118" s="13"/>
      <c r="F118" s="44" t="s">
        <v>4184</v>
      </c>
      <c r="G118" s="43">
        <v>1.0</v>
      </c>
      <c r="H118" s="42"/>
      <c r="I118" s="43">
        <v>1.0</v>
      </c>
      <c r="J118" s="22"/>
      <c r="K118" s="42"/>
    </row>
    <row r="119" ht="39.75" customHeight="1">
      <c r="A119" s="1">
        <v>118.0</v>
      </c>
      <c r="B119" s="2" t="s">
        <v>23</v>
      </c>
      <c r="C119" s="2" t="s">
        <v>69</v>
      </c>
      <c r="D119" s="13"/>
      <c r="E119" s="13"/>
      <c r="F119" s="61" t="s">
        <v>4185</v>
      </c>
      <c r="G119" s="43">
        <v>2.0</v>
      </c>
      <c r="H119" s="43"/>
      <c r="I119" s="42"/>
      <c r="J119" s="22"/>
      <c r="K119" s="42"/>
    </row>
    <row r="120" ht="39.75" customHeight="1">
      <c r="A120" s="1">
        <v>119.0</v>
      </c>
      <c r="B120" s="2" t="s">
        <v>24</v>
      </c>
      <c r="C120" s="2" t="s">
        <v>7</v>
      </c>
      <c r="D120" s="13"/>
      <c r="E120" s="13"/>
      <c r="F120" s="44" t="s">
        <v>4186</v>
      </c>
      <c r="G120" s="42"/>
      <c r="H120" s="42"/>
      <c r="I120" s="42"/>
      <c r="J120" s="22"/>
      <c r="K120" s="42"/>
    </row>
    <row r="121" ht="39.75" customHeight="1">
      <c r="A121" s="1">
        <v>120.0</v>
      </c>
      <c r="B121" s="2" t="s">
        <v>25</v>
      </c>
      <c r="C121" s="2" t="s">
        <v>44</v>
      </c>
      <c r="D121" s="13"/>
      <c r="E121" s="13"/>
      <c r="F121" s="45"/>
      <c r="G121" s="42"/>
      <c r="H121" s="42"/>
      <c r="I121" s="42"/>
      <c r="J121" s="22"/>
      <c r="K121" s="42"/>
    </row>
    <row r="122" ht="39.75" customHeight="1">
      <c r="A122" s="1">
        <v>121.0</v>
      </c>
      <c r="B122" s="2" t="s">
        <v>26</v>
      </c>
      <c r="C122" s="2"/>
      <c r="D122" s="13"/>
      <c r="E122" s="13"/>
      <c r="F122" s="44" t="s">
        <v>4187</v>
      </c>
      <c r="G122" s="43">
        <v>1.0</v>
      </c>
      <c r="H122" s="42"/>
      <c r="I122" s="42"/>
      <c r="J122" s="22"/>
      <c r="K122" s="42"/>
    </row>
    <row r="123" ht="39.75" customHeight="1">
      <c r="A123" s="1">
        <v>122.0</v>
      </c>
      <c r="B123" s="120" t="s">
        <v>29</v>
      </c>
      <c r="C123" s="120" t="s">
        <v>66</v>
      </c>
      <c r="D123" s="121"/>
      <c r="E123" s="121"/>
      <c r="F123" s="136"/>
      <c r="G123" s="123"/>
      <c r="H123" s="123"/>
      <c r="I123" s="123"/>
      <c r="J123" s="22"/>
      <c r="K123" s="42"/>
    </row>
    <row r="124" ht="39.75" customHeight="1">
      <c r="A124" s="1">
        <v>123.0</v>
      </c>
      <c r="B124" s="2" t="s">
        <v>32</v>
      </c>
      <c r="C124" s="2" t="s">
        <v>54</v>
      </c>
      <c r="D124" s="13"/>
      <c r="E124" s="13"/>
      <c r="F124" s="44" t="s">
        <v>4188</v>
      </c>
      <c r="G124" s="43">
        <v>2.0</v>
      </c>
      <c r="H124" s="42"/>
      <c r="I124" s="43">
        <v>1.0</v>
      </c>
      <c r="J124" s="22"/>
      <c r="K124" s="42"/>
    </row>
    <row r="125" ht="39.75" customHeight="1">
      <c r="A125" s="1">
        <v>124.0</v>
      </c>
      <c r="B125" s="2" t="s">
        <v>67</v>
      </c>
      <c r="C125" s="2" t="s">
        <v>54</v>
      </c>
      <c r="D125" s="13"/>
      <c r="E125" s="13"/>
      <c r="F125" s="44" t="s">
        <v>4189</v>
      </c>
      <c r="G125" s="43">
        <v>1.0</v>
      </c>
      <c r="H125" s="42"/>
      <c r="I125" s="43"/>
      <c r="J125" s="22"/>
      <c r="K125" s="42"/>
    </row>
    <row r="126" ht="39.75" customHeight="1">
      <c r="A126" s="1">
        <v>125.0</v>
      </c>
      <c r="B126" s="2" t="s">
        <v>35</v>
      </c>
      <c r="C126" s="2" t="s">
        <v>69</v>
      </c>
      <c r="D126" s="13"/>
      <c r="E126" s="13"/>
      <c r="F126" s="44" t="s">
        <v>4190</v>
      </c>
      <c r="G126" s="43">
        <v>3.0</v>
      </c>
      <c r="H126" s="42"/>
      <c r="I126" s="43">
        <v>1.0</v>
      </c>
      <c r="J126" s="22"/>
      <c r="K126" s="42"/>
    </row>
    <row r="127" ht="39.75" customHeight="1">
      <c r="A127" s="1">
        <v>126.0</v>
      </c>
      <c r="B127" s="2" t="s">
        <v>36</v>
      </c>
      <c r="C127" s="2"/>
      <c r="D127" s="13"/>
      <c r="E127" s="13"/>
      <c r="F127" s="44" t="s">
        <v>4191</v>
      </c>
      <c r="G127" s="43">
        <v>1.0</v>
      </c>
      <c r="H127" s="42"/>
      <c r="I127" s="43">
        <v>1.0</v>
      </c>
      <c r="J127" s="22"/>
      <c r="K127" s="42"/>
    </row>
    <row r="128" ht="39.75" customHeight="1">
      <c r="A128" s="1">
        <v>127.0</v>
      </c>
      <c r="B128" s="2" t="s">
        <v>38</v>
      </c>
      <c r="C128" s="2" t="s">
        <v>54</v>
      </c>
      <c r="D128" s="13"/>
      <c r="E128" s="13"/>
      <c r="F128" s="44" t="s">
        <v>4192</v>
      </c>
      <c r="G128" s="43">
        <v>1.0</v>
      </c>
      <c r="H128" s="42"/>
      <c r="I128" s="42"/>
      <c r="J128" s="22"/>
      <c r="K128" s="42"/>
    </row>
    <row r="129" ht="39.75" customHeight="1">
      <c r="A129" s="1">
        <v>128.0</v>
      </c>
      <c r="B129" s="137" t="s">
        <v>41</v>
      </c>
      <c r="C129" s="137" t="s">
        <v>13</v>
      </c>
      <c r="D129" s="138"/>
      <c r="E129" s="138"/>
      <c r="F129" s="139"/>
      <c r="G129" s="140"/>
      <c r="H129" s="140"/>
      <c r="I129" s="140"/>
      <c r="J129" s="22"/>
      <c r="K129" s="42"/>
    </row>
    <row r="130" ht="39.75" customHeight="1">
      <c r="A130" s="1">
        <v>129.0</v>
      </c>
      <c r="B130" s="2" t="s">
        <v>42</v>
      </c>
      <c r="C130" s="2" t="s">
        <v>69</v>
      </c>
      <c r="D130" s="13"/>
      <c r="E130" s="13"/>
      <c r="F130" s="44" t="s">
        <v>4191</v>
      </c>
      <c r="G130" s="43">
        <v>1.0</v>
      </c>
      <c r="H130" s="42"/>
      <c r="I130" s="43">
        <v>1.0</v>
      </c>
      <c r="J130" s="22"/>
      <c r="K130" s="42"/>
    </row>
    <row r="131" ht="39.75" customHeight="1">
      <c r="A131" s="1">
        <v>130.0</v>
      </c>
      <c r="B131" s="2" t="s">
        <v>43</v>
      </c>
      <c r="C131" s="2" t="s">
        <v>54</v>
      </c>
      <c r="D131" s="13"/>
      <c r="E131" s="13"/>
      <c r="F131" s="44" t="s">
        <v>4193</v>
      </c>
      <c r="G131" s="43">
        <v>1.0</v>
      </c>
      <c r="H131" s="42"/>
      <c r="I131" s="43">
        <v>1.0</v>
      </c>
      <c r="J131" s="22"/>
      <c r="K131" s="42"/>
    </row>
    <row r="132" ht="39.75" customHeight="1">
      <c r="A132" s="1">
        <v>131.0</v>
      </c>
      <c r="B132" s="91" t="s">
        <v>267</v>
      </c>
      <c r="C132" s="91" t="s">
        <v>7</v>
      </c>
      <c r="D132" s="97"/>
      <c r="E132" s="97"/>
      <c r="F132" s="98" t="s">
        <v>4194</v>
      </c>
      <c r="G132" s="99">
        <v>1.0</v>
      </c>
      <c r="H132" s="99">
        <v>1.0</v>
      </c>
      <c r="I132" s="100"/>
      <c r="J132" s="22"/>
      <c r="K132" s="42"/>
    </row>
    <row r="133" ht="39.75" customHeight="1">
      <c r="A133" s="1">
        <v>132.0</v>
      </c>
      <c r="B133" s="120" t="s">
        <v>46</v>
      </c>
      <c r="C133" s="120" t="s">
        <v>13</v>
      </c>
      <c r="D133" s="121"/>
      <c r="E133" s="121"/>
      <c r="F133" s="136"/>
      <c r="G133" s="123"/>
      <c r="H133" s="123"/>
      <c r="I133" s="123"/>
      <c r="J133" s="22"/>
      <c r="K133" s="42"/>
    </row>
    <row r="134" ht="39.75" customHeight="1">
      <c r="A134" s="1">
        <v>133.0</v>
      </c>
      <c r="B134" s="2" t="s">
        <v>47</v>
      </c>
      <c r="C134" s="2" t="s">
        <v>27</v>
      </c>
      <c r="D134" s="13"/>
      <c r="E134" s="13"/>
      <c r="F134" s="44" t="s">
        <v>4195</v>
      </c>
      <c r="G134" s="43">
        <v>1.0</v>
      </c>
      <c r="H134" s="42"/>
      <c r="I134" s="42"/>
      <c r="J134" s="22"/>
      <c r="K134" s="42"/>
    </row>
    <row r="135" ht="39.75" customHeight="1">
      <c r="A135" s="1">
        <v>134.0</v>
      </c>
      <c r="B135" s="2" t="s">
        <v>263</v>
      </c>
      <c r="C135" s="2"/>
      <c r="D135" s="13"/>
      <c r="E135" s="51">
        <v>0.75</v>
      </c>
      <c r="F135" s="44" t="s">
        <v>4196</v>
      </c>
      <c r="G135" s="43">
        <v>1.0</v>
      </c>
      <c r="H135" s="42"/>
      <c r="I135" s="42"/>
      <c r="J135" s="22"/>
      <c r="K135" s="42"/>
    </row>
    <row r="136" ht="39.75" customHeight="1">
      <c r="A136" s="1">
        <v>135.0</v>
      </c>
      <c r="B136" s="21"/>
      <c r="C136" s="21"/>
      <c r="D136" s="21"/>
      <c r="E136" s="21"/>
      <c r="F136" s="46"/>
      <c r="G136" s="47"/>
      <c r="H136" s="47"/>
      <c r="I136" s="47"/>
      <c r="J136" s="48"/>
      <c r="K136" s="47"/>
      <c r="L136" s="49"/>
      <c r="M136" s="49"/>
      <c r="N136" s="49"/>
    </row>
    <row r="137" ht="39.75" customHeight="1">
      <c r="A137" s="1">
        <v>136.0</v>
      </c>
      <c r="B137" s="2" t="s">
        <v>12</v>
      </c>
      <c r="C137" s="2" t="s">
        <v>62</v>
      </c>
      <c r="D137" s="13"/>
      <c r="E137" s="13"/>
      <c r="F137" s="45"/>
      <c r="G137" s="42"/>
      <c r="H137" s="42"/>
      <c r="I137" s="42"/>
      <c r="J137" s="27" t="s">
        <v>491</v>
      </c>
      <c r="K137" s="43"/>
      <c r="L137" s="15" t="s">
        <v>128</v>
      </c>
    </row>
    <row r="138" ht="39.75" customHeight="1">
      <c r="A138" s="1">
        <v>137.0</v>
      </c>
      <c r="B138" s="2" t="s">
        <v>16</v>
      </c>
      <c r="C138" s="2" t="s">
        <v>13</v>
      </c>
      <c r="D138" s="13"/>
      <c r="E138" s="13"/>
      <c r="F138" s="45"/>
      <c r="G138" s="42"/>
      <c r="H138" s="42"/>
      <c r="I138" s="42"/>
      <c r="J138" s="27" t="s">
        <v>128</v>
      </c>
      <c r="K138" s="43"/>
    </row>
    <row r="139" ht="39.75" customHeight="1">
      <c r="A139" s="1">
        <v>138.0</v>
      </c>
      <c r="B139" s="2" t="s">
        <v>116</v>
      </c>
      <c r="C139" s="2" t="s">
        <v>13</v>
      </c>
      <c r="D139" s="13"/>
      <c r="E139" s="13"/>
      <c r="F139" s="45"/>
      <c r="G139" s="42"/>
      <c r="H139" s="42"/>
      <c r="I139" s="42"/>
      <c r="J139" s="27" t="s">
        <v>77</v>
      </c>
      <c r="K139" s="43"/>
    </row>
    <row r="140" ht="39.75" customHeight="1">
      <c r="A140" s="1">
        <v>139.0</v>
      </c>
      <c r="B140" s="2" t="s">
        <v>263</v>
      </c>
      <c r="C140" s="2" t="s">
        <v>69</v>
      </c>
      <c r="D140" s="13"/>
      <c r="E140" s="13"/>
      <c r="F140" s="44" t="s">
        <v>4197</v>
      </c>
      <c r="G140" s="43">
        <v>1.0</v>
      </c>
      <c r="H140" s="42"/>
      <c r="I140" s="43">
        <v>1.0</v>
      </c>
      <c r="J140" s="27" t="s">
        <v>2638</v>
      </c>
      <c r="K140" s="43"/>
    </row>
    <row r="141" ht="39.75" customHeight="1">
      <c r="A141" s="1">
        <v>140.0</v>
      </c>
      <c r="B141" s="2" t="s">
        <v>17</v>
      </c>
      <c r="C141" s="2" t="s">
        <v>64</v>
      </c>
      <c r="D141" s="13"/>
      <c r="E141" s="13"/>
      <c r="F141" s="44" t="s">
        <v>2034</v>
      </c>
      <c r="G141" s="42"/>
      <c r="H141" s="42"/>
      <c r="I141" s="42"/>
      <c r="J141" s="27"/>
      <c r="K141" s="43"/>
    </row>
    <row r="142" ht="39.75" customHeight="1">
      <c r="A142" s="1">
        <v>141.0</v>
      </c>
      <c r="B142" s="2" t="s">
        <v>331</v>
      </c>
      <c r="C142" s="2" t="s">
        <v>13</v>
      </c>
      <c r="D142" s="13"/>
      <c r="E142" s="13"/>
      <c r="F142" s="45"/>
      <c r="G142" s="42"/>
      <c r="H142" s="42"/>
      <c r="I142" s="42"/>
      <c r="J142" s="27"/>
      <c r="K142" s="43"/>
    </row>
    <row r="143" ht="39.75" customHeight="1">
      <c r="A143" s="1">
        <v>142.0</v>
      </c>
      <c r="B143" s="2" t="s">
        <v>21</v>
      </c>
      <c r="C143" s="2" t="s">
        <v>3563</v>
      </c>
      <c r="D143" s="13"/>
      <c r="E143" s="13"/>
      <c r="F143" s="44" t="s">
        <v>4198</v>
      </c>
      <c r="G143" s="42"/>
      <c r="H143" s="42"/>
      <c r="I143" s="42"/>
      <c r="J143" s="22"/>
      <c r="K143" s="42"/>
    </row>
    <row r="144" ht="39.75" customHeight="1">
      <c r="A144" s="1">
        <v>143.0</v>
      </c>
      <c r="B144" s="2" t="s">
        <v>22</v>
      </c>
      <c r="C144" s="2" t="s">
        <v>66</v>
      </c>
      <c r="D144" s="13"/>
      <c r="E144" s="13"/>
      <c r="F144" s="45"/>
      <c r="G144" s="42"/>
      <c r="H144" s="42"/>
      <c r="I144" s="42"/>
      <c r="J144" s="22"/>
      <c r="K144" s="42"/>
    </row>
    <row r="145" ht="39.75" customHeight="1">
      <c r="A145" s="1">
        <v>144.0</v>
      </c>
      <c r="B145" s="2" t="s">
        <v>261</v>
      </c>
      <c r="C145" s="2"/>
      <c r="D145" s="13"/>
      <c r="E145" s="13"/>
      <c r="F145" s="44" t="s">
        <v>4199</v>
      </c>
      <c r="G145" s="43">
        <v>1.0</v>
      </c>
      <c r="H145" s="42"/>
      <c r="I145" s="42"/>
      <c r="J145" s="22"/>
      <c r="K145" s="42"/>
    </row>
    <row r="146" ht="39.75" customHeight="1">
      <c r="A146" s="1">
        <v>145.0</v>
      </c>
      <c r="B146" s="2" t="s">
        <v>23</v>
      </c>
      <c r="C146" s="2"/>
      <c r="D146" s="13"/>
      <c r="E146" s="13"/>
      <c r="F146" s="44" t="s">
        <v>4200</v>
      </c>
      <c r="G146" s="43">
        <v>1.0</v>
      </c>
      <c r="H146" s="42"/>
      <c r="I146" s="43">
        <v>1.0</v>
      </c>
      <c r="J146" s="22"/>
      <c r="K146" s="42"/>
    </row>
    <row r="147" ht="39.75" customHeight="1">
      <c r="A147" s="1">
        <v>146.0</v>
      </c>
      <c r="B147" s="2" t="s">
        <v>24</v>
      </c>
      <c r="C147" s="2" t="s">
        <v>3557</v>
      </c>
      <c r="D147" s="13"/>
      <c r="E147" s="13"/>
      <c r="F147" s="44" t="s">
        <v>4186</v>
      </c>
      <c r="G147" s="43">
        <v>1.0</v>
      </c>
      <c r="H147" s="42"/>
      <c r="I147" s="42"/>
      <c r="J147" s="22"/>
      <c r="K147" s="42"/>
    </row>
    <row r="148" ht="39.75" customHeight="1">
      <c r="A148" s="1">
        <v>147.0</v>
      </c>
      <c r="B148" s="2" t="s">
        <v>25</v>
      </c>
      <c r="C148" s="2" t="s">
        <v>13</v>
      </c>
      <c r="D148" s="13"/>
      <c r="E148" s="13"/>
      <c r="F148" s="45"/>
      <c r="G148" s="42"/>
      <c r="H148" s="42"/>
      <c r="I148" s="42"/>
      <c r="J148" s="22"/>
      <c r="K148" s="42"/>
    </row>
    <row r="149" ht="39.75" customHeight="1">
      <c r="A149" s="1">
        <v>148.0</v>
      </c>
      <c r="B149" s="2" t="s">
        <v>26</v>
      </c>
      <c r="C149" s="2" t="s">
        <v>54</v>
      </c>
      <c r="D149" s="13"/>
      <c r="E149" s="13"/>
      <c r="F149" s="44" t="s">
        <v>4201</v>
      </c>
      <c r="G149" s="43">
        <v>1.0</v>
      </c>
      <c r="H149" s="42"/>
      <c r="I149" s="42"/>
      <c r="J149" s="22"/>
      <c r="K149" s="42"/>
    </row>
    <row r="150" ht="39.75" customHeight="1">
      <c r="A150" s="1">
        <v>149.0</v>
      </c>
      <c r="B150" s="2" t="s">
        <v>29</v>
      </c>
      <c r="C150" s="13"/>
      <c r="D150" s="13"/>
      <c r="E150" s="13"/>
      <c r="F150" s="44" t="s">
        <v>4202</v>
      </c>
      <c r="G150" s="43">
        <v>3.0</v>
      </c>
      <c r="H150" s="42"/>
      <c r="I150" s="43">
        <v>2.0</v>
      </c>
      <c r="J150" s="22"/>
      <c r="K150" s="42"/>
    </row>
    <row r="151" ht="39.75" customHeight="1">
      <c r="A151" s="1">
        <v>150.0</v>
      </c>
      <c r="B151" s="2" t="s">
        <v>32</v>
      </c>
      <c r="C151" s="2" t="s">
        <v>4203</v>
      </c>
      <c r="D151" s="13"/>
      <c r="E151" s="13"/>
      <c r="F151" s="44" t="s">
        <v>4204</v>
      </c>
      <c r="G151" s="43">
        <v>1.0</v>
      </c>
      <c r="H151" s="43">
        <v>1.0</v>
      </c>
      <c r="I151" s="42"/>
      <c r="J151" s="22"/>
      <c r="K151" s="42"/>
    </row>
    <row r="152" ht="39.75" customHeight="1">
      <c r="A152" s="1">
        <v>151.0</v>
      </c>
      <c r="B152" s="2" t="s">
        <v>67</v>
      </c>
      <c r="C152" s="2" t="s">
        <v>54</v>
      </c>
      <c r="D152" s="13"/>
      <c r="E152" s="13"/>
      <c r="F152" s="44" t="s">
        <v>4205</v>
      </c>
      <c r="G152" s="43">
        <v>1.0</v>
      </c>
      <c r="H152" s="42"/>
      <c r="I152" s="43"/>
      <c r="J152" s="22"/>
      <c r="K152" s="42"/>
    </row>
    <row r="153" ht="39.75" customHeight="1">
      <c r="A153" s="1">
        <v>152.0</v>
      </c>
      <c r="B153" s="2" t="s">
        <v>35</v>
      </c>
      <c r="C153" s="2"/>
      <c r="D153" s="53">
        <v>0.3402777777777778</v>
      </c>
      <c r="E153" s="13"/>
      <c r="F153" s="44" t="s">
        <v>4206</v>
      </c>
      <c r="G153" s="43">
        <v>3.0</v>
      </c>
      <c r="H153" s="42"/>
      <c r="I153" s="43">
        <v>2.0</v>
      </c>
      <c r="J153" s="22"/>
      <c r="K153" s="42"/>
    </row>
    <row r="154" ht="39.75" customHeight="1">
      <c r="A154" s="1">
        <v>153.0</v>
      </c>
      <c r="B154" s="2" t="s">
        <v>36</v>
      </c>
      <c r="C154" s="2" t="s">
        <v>39</v>
      </c>
      <c r="D154" s="13"/>
      <c r="E154" s="13"/>
      <c r="F154" s="84" t="s">
        <v>4207</v>
      </c>
      <c r="G154" s="43">
        <v>2.0</v>
      </c>
      <c r="H154" s="42"/>
      <c r="I154" s="43">
        <v>1.0</v>
      </c>
      <c r="J154" s="22"/>
      <c r="K154" s="42"/>
    </row>
    <row r="155" ht="39.75" customHeight="1">
      <c r="A155" s="1">
        <v>154.0</v>
      </c>
      <c r="B155" s="2" t="s">
        <v>38</v>
      </c>
      <c r="C155" s="2" t="s">
        <v>69</v>
      </c>
      <c r="D155" s="13"/>
      <c r="E155" s="13"/>
      <c r="F155" s="44" t="s">
        <v>4208</v>
      </c>
      <c r="G155" s="43">
        <v>3.0</v>
      </c>
      <c r="H155" s="42"/>
      <c r="I155" s="43">
        <v>1.0</v>
      </c>
      <c r="J155" s="22"/>
      <c r="K155" s="42"/>
    </row>
    <row r="156" ht="39.75" customHeight="1">
      <c r="A156" s="1">
        <v>156.0</v>
      </c>
      <c r="B156" s="2" t="s">
        <v>42</v>
      </c>
      <c r="C156" s="2" t="s">
        <v>39</v>
      </c>
      <c r="D156" s="13"/>
      <c r="E156" s="13"/>
      <c r="F156" s="44" t="s">
        <v>4209</v>
      </c>
      <c r="G156" s="43">
        <v>2.0</v>
      </c>
      <c r="H156" s="42"/>
      <c r="I156" s="43">
        <v>2.0</v>
      </c>
      <c r="J156" s="22"/>
      <c r="K156" s="42"/>
    </row>
    <row r="157" ht="39.75" customHeight="1">
      <c r="A157" s="1">
        <v>157.0</v>
      </c>
      <c r="B157" s="2" t="s">
        <v>43</v>
      </c>
      <c r="C157" s="2" t="s">
        <v>27</v>
      </c>
      <c r="D157" s="13"/>
      <c r="E157" s="13"/>
      <c r="F157" s="44" t="s">
        <v>4210</v>
      </c>
      <c r="G157" s="43">
        <v>1.0</v>
      </c>
      <c r="H157" s="42"/>
      <c r="I157" s="42"/>
      <c r="J157" s="22"/>
      <c r="K157" s="42"/>
    </row>
    <row r="158" ht="39.75" customHeight="1">
      <c r="A158" s="1">
        <v>158.0</v>
      </c>
      <c r="B158" s="2" t="s">
        <v>267</v>
      </c>
      <c r="C158" s="2" t="s">
        <v>7</v>
      </c>
      <c r="D158" s="13"/>
      <c r="E158" s="13"/>
      <c r="F158" s="44" t="s">
        <v>4194</v>
      </c>
      <c r="G158" s="43">
        <v>1.0</v>
      </c>
      <c r="H158" s="43">
        <v>1.0</v>
      </c>
      <c r="I158" s="42"/>
      <c r="J158" s="22"/>
      <c r="K158" s="42"/>
    </row>
    <row r="159" ht="39.75" customHeight="1">
      <c r="A159" s="1">
        <v>159.0</v>
      </c>
      <c r="B159" s="2" t="s">
        <v>46</v>
      </c>
      <c r="C159" s="2" t="s">
        <v>54</v>
      </c>
      <c r="D159" s="13"/>
      <c r="E159" s="13"/>
      <c r="F159" s="44" t="s">
        <v>4211</v>
      </c>
      <c r="G159" s="43">
        <v>1.0</v>
      </c>
      <c r="H159" s="42"/>
      <c r="I159" s="43">
        <v>1.0</v>
      </c>
      <c r="J159" s="22"/>
      <c r="K159" s="42"/>
    </row>
    <row r="160" ht="39.75" customHeight="1">
      <c r="A160" s="1">
        <v>160.0</v>
      </c>
      <c r="B160" s="2" t="s">
        <v>47</v>
      </c>
      <c r="C160" s="2" t="s">
        <v>44</v>
      </c>
      <c r="D160" s="13"/>
      <c r="E160" s="13"/>
      <c r="F160" s="45"/>
      <c r="G160" s="42"/>
      <c r="H160" s="42"/>
      <c r="I160" s="42"/>
      <c r="J160" s="22"/>
      <c r="K160" s="42"/>
    </row>
    <row r="161" ht="39.75" customHeight="1">
      <c r="A161" s="1">
        <v>161.0</v>
      </c>
      <c r="B161" s="2" t="s">
        <v>48</v>
      </c>
      <c r="C161" s="2" t="s">
        <v>69</v>
      </c>
      <c r="D161" s="13"/>
      <c r="E161" s="13"/>
      <c r="F161" s="44" t="s">
        <v>4212</v>
      </c>
      <c r="G161" s="43">
        <v>2.0</v>
      </c>
      <c r="H161" s="42"/>
      <c r="I161" s="43">
        <v>1.0</v>
      </c>
      <c r="J161" s="22"/>
      <c r="K161" s="42"/>
    </row>
    <row r="162" ht="39.75" customHeight="1">
      <c r="A162" s="1">
        <v>162.0</v>
      </c>
      <c r="B162" s="21"/>
      <c r="C162" s="21"/>
      <c r="D162" s="21"/>
      <c r="E162" s="21"/>
      <c r="F162" s="46"/>
      <c r="G162" s="47"/>
      <c r="H162" s="47"/>
      <c r="I162" s="47"/>
      <c r="J162" s="48"/>
      <c r="K162" s="47"/>
      <c r="L162" s="49"/>
      <c r="M162" s="49"/>
      <c r="N162" s="49"/>
    </row>
    <row r="163" ht="39.75" customHeight="1">
      <c r="A163" s="1">
        <v>163.0</v>
      </c>
      <c r="B163" s="2" t="s">
        <v>12</v>
      </c>
      <c r="C163" s="2" t="s">
        <v>62</v>
      </c>
      <c r="D163" s="13"/>
      <c r="E163" s="13"/>
      <c r="F163" s="44" t="s">
        <v>1543</v>
      </c>
      <c r="G163" s="43">
        <v>1.0</v>
      </c>
      <c r="H163" s="42"/>
      <c r="I163" s="43">
        <v>1.0</v>
      </c>
      <c r="J163" s="27" t="s">
        <v>491</v>
      </c>
      <c r="K163" s="43"/>
      <c r="L163" s="15" t="s">
        <v>147</v>
      </c>
    </row>
    <row r="164" ht="39.75" customHeight="1">
      <c r="A164" s="1">
        <v>164.0</v>
      </c>
      <c r="B164" s="2" t="s">
        <v>16</v>
      </c>
      <c r="C164" s="2" t="s">
        <v>13</v>
      </c>
      <c r="D164" s="13"/>
      <c r="E164" s="13"/>
      <c r="F164" s="45"/>
      <c r="G164" s="42"/>
      <c r="H164" s="42"/>
      <c r="I164" s="42"/>
      <c r="J164" s="27" t="s">
        <v>147</v>
      </c>
      <c r="K164" s="43"/>
    </row>
    <row r="165" ht="39.75" customHeight="1">
      <c r="A165" s="1">
        <v>165.0</v>
      </c>
      <c r="B165" s="2" t="s">
        <v>116</v>
      </c>
      <c r="C165" s="2" t="s">
        <v>13</v>
      </c>
      <c r="D165" s="13"/>
      <c r="E165" s="13"/>
      <c r="F165" s="45"/>
      <c r="G165" s="42"/>
      <c r="H165" s="42"/>
      <c r="I165" s="42"/>
      <c r="J165" s="27" t="s">
        <v>95</v>
      </c>
      <c r="K165" s="43"/>
    </row>
    <row r="166" ht="39.75" customHeight="1">
      <c r="A166" s="1">
        <v>166.0</v>
      </c>
      <c r="B166" s="2" t="s">
        <v>263</v>
      </c>
      <c r="C166" s="2" t="s">
        <v>63</v>
      </c>
      <c r="D166" s="13"/>
      <c r="E166" s="13"/>
      <c r="F166" s="44"/>
      <c r="G166" s="42"/>
      <c r="H166" s="42"/>
      <c r="I166" s="42"/>
      <c r="J166" s="27" t="s">
        <v>3633</v>
      </c>
      <c r="K166" s="43"/>
    </row>
    <row r="167" ht="39.75" customHeight="1">
      <c r="A167" s="1">
        <v>167.0</v>
      </c>
      <c r="B167" s="2" t="s">
        <v>17</v>
      </c>
      <c r="C167" s="2" t="s">
        <v>64</v>
      </c>
      <c r="D167" s="13"/>
      <c r="E167" s="13"/>
      <c r="F167" s="45"/>
      <c r="G167" s="42"/>
      <c r="H167" s="42"/>
      <c r="I167" s="42"/>
      <c r="J167" s="27"/>
      <c r="K167" s="43"/>
    </row>
    <row r="168" ht="39.75" customHeight="1">
      <c r="A168" s="1">
        <v>168.0</v>
      </c>
      <c r="B168" s="2" t="s">
        <v>331</v>
      </c>
      <c r="C168" s="2"/>
      <c r="D168" s="13"/>
      <c r="E168" s="13"/>
      <c r="F168" s="44" t="s">
        <v>4213</v>
      </c>
      <c r="G168" s="43">
        <v>2.0</v>
      </c>
      <c r="H168" s="42"/>
      <c r="I168" s="43">
        <v>2.0</v>
      </c>
      <c r="J168" s="27"/>
      <c r="K168" s="43"/>
    </row>
    <row r="169" ht="39.75" customHeight="1">
      <c r="A169" s="1">
        <v>169.0</v>
      </c>
      <c r="B169" s="2" t="s">
        <v>21</v>
      </c>
      <c r="C169" s="2"/>
      <c r="D169" s="13"/>
      <c r="E169" s="13"/>
      <c r="F169" s="44" t="s">
        <v>4198</v>
      </c>
      <c r="G169" s="43">
        <v>1.0</v>
      </c>
      <c r="H169" s="42"/>
      <c r="I169" s="42"/>
      <c r="J169" s="22"/>
      <c r="K169" s="42"/>
    </row>
    <row r="170" ht="39.75" customHeight="1">
      <c r="A170" s="1">
        <v>170.0</v>
      </c>
      <c r="B170" s="2" t="s">
        <v>22</v>
      </c>
      <c r="C170" s="2" t="s">
        <v>13</v>
      </c>
      <c r="D170" s="13"/>
      <c r="E170" s="13"/>
      <c r="F170" s="45"/>
      <c r="G170" s="42"/>
      <c r="H170" s="42"/>
      <c r="I170" s="42"/>
      <c r="J170" s="22"/>
      <c r="K170" s="42"/>
    </row>
    <row r="171" ht="39.75" customHeight="1">
      <c r="A171" s="1">
        <v>171.0</v>
      </c>
      <c r="B171" s="2" t="s">
        <v>261</v>
      </c>
      <c r="C171" s="2"/>
      <c r="D171" s="13"/>
      <c r="E171" s="13"/>
      <c r="F171" s="44" t="s">
        <v>4214</v>
      </c>
      <c r="G171" s="43">
        <v>1.0</v>
      </c>
      <c r="H171" s="42"/>
      <c r="I171" s="43">
        <v>1.0</v>
      </c>
      <c r="J171" s="22"/>
      <c r="K171" s="42"/>
    </row>
    <row r="172" ht="39.75" customHeight="1">
      <c r="A172" s="1">
        <v>172.0</v>
      </c>
      <c r="B172" s="2" t="s">
        <v>23</v>
      </c>
      <c r="C172" s="2" t="s">
        <v>69</v>
      </c>
      <c r="D172" s="13"/>
      <c r="E172" s="13"/>
      <c r="F172" s="44" t="s">
        <v>4215</v>
      </c>
      <c r="G172" s="43">
        <v>2.0</v>
      </c>
      <c r="H172" s="42"/>
      <c r="I172" s="43">
        <v>2.0</v>
      </c>
      <c r="J172" s="22"/>
      <c r="K172" s="42"/>
    </row>
    <row r="173" ht="39.75" customHeight="1">
      <c r="A173" s="1">
        <v>173.0</v>
      </c>
      <c r="B173" s="2" t="s">
        <v>24</v>
      </c>
      <c r="C173" s="2" t="s">
        <v>3557</v>
      </c>
      <c r="D173" s="13"/>
      <c r="E173" s="13"/>
      <c r="F173" s="44" t="s">
        <v>4186</v>
      </c>
      <c r="G173" s="43">
        <v>1.0</v>
      </c>
      <c r="H173" s="42"/>
      <c r="I173" s="42"/>
      <c r="J173" s="22"/>
      <c r="K173" s="42"/>
    </row>
    <row r="174" ht="39.75" customHeight="1">
      <c r="A174" s="1">
        <v>174.0</v>
      </c>
      <c r="B174" s="2" t="s">
        <v>25</v>
      </c>
      <c r="C174" s="2"/>
      <c r="D174" s="13"/>
      <c r="E174" s="13"/>
      <c r="F174" s="44" t="s">
        <v>4216</v>
      </c>
      <c r="G174" s="43">
        <v>1.0</v>
      </c>
      <c r="H174" s="42"/>
      <c r="I174" s="43">
        <v>1.0</v>
      </c>
      <c r="J174" s="22"/>
      <c r="K174" s="42"/>
    </row>
    <row r="175" ht="39.75" customHeight="1">
      <c r="A175" s="1">
        <v>175.0</v>
      </c>
      <c r="B175" s="2" t="s">
        <v>26</v>
      </c>
      <c r="C175" s="2" t="s">
        <v>54</v>
      </c>
      <c r="D175" s="13"/>
      <c r="E175" s="13"/>
      <c r="F175" s="44" t="s">
        <v>4217</v>
      </c>
      <c r="G175" s="43">
        <v>2.0</v>
      </c>
      <c r="H175" s="42"/>
      <c r="I175" s="43">
        <v>1.0</v>
      </c>
      <c r="J175" s="22"/>
      <c r="K175" s="42"/>
    </row>
    <row r="176" ht="39.75" customHeight="1">
      <c r="A176" s="1">
        <v>176.0</v>
      </c>
      <c r="B176" s="2" t="s">
        <v>29</v>
      </c>
      <c r="C176" s="2" t="s">
        <v>69</v>
      </c>
      <c r="D176" s="13"/>
      <c r="E176" s="13"/>
      <c r="F176" s="44" t="s">
        <v>4218</v>
      </c>
      <c r="G176" s="43">
        <v>1.0</v>
      </c>
      <c r="H176" s="42"/>
      <c r="I176" s="43">
        <v>1.0</v>
      </c>
      <c r="J176" s="22"/>
      <c r="K176" s="42"/>
    </row>
    <row r="177" ht="39.75" customHeight="1">
      <c r="A177" s="1">
        <v>177.0</v>
      </c>
      <c r="B177" s="2" t="s">
        <v>32</v>
      </c>
      <c r="C177" s="2" t="s">
        <v>54</v>
      </c>
      <c r="D177" s="13"/>
      <c r="E177" s="13"/>
      <c r="F177" s="44" t="s">
        <v>4204</v>
      </c>
      <c r="G177" s="43">
        <v>1.0</v>
      </c>
      <c r="H177" s="43">
        <v>1.0</v>
      </c>
      <c r="I177" s="42"/>
      <c r="J177" s="22"/>
      <c r="K177" s="42"/>
    </row>
    <row r="178" ht="39.75" customHeight="1">
      <c r="A178" s="1">
        <v>178.0</v>
      </c>
      <c r="B178" s="2" t="s">
        <v>67</v>
      </c>
      <c r="C178" s="2" t="s">
        <v>69</v>
      </c>
      <c r="D178" s="13"/>
      <c r="E178" s="13"/>
      <c r="F178" s="44" t="s">
        <v>4219</v>
      </c>
      <c r="G178" s="43">
        <v>1.0</v>
      </c>
      <c r="H178" s="42"/>
      <c r="I178" s="42"/>
      <c r="J178" s="22"/>
      <c r="K178" s="42"/>
    </row>
    <row r="179" ht="39.75" customHeight="1">
      <c r="A179" s="1">
        <v>179.0</v>
      </c>
      <c r="B179" s="2" t="s">
        <v>35</v>
      </c>
      <c r="C179" s="2" t="s">
        <v>39</v>
      </c>
      <c r="D179" s="40">
        <v>0.2916666666666667</v>
      </c>
      <c r="E179" s="13"/>
      <c r="F179" s="44" t="s">
        <v>4220</v>
      </c>
      <c r="G179" s="43">
        <v>2.0</v>
      </c>
      <c r="H179" s="42"/>
      <c r="I179" s="42"/>
      <c r="J179" s="22"/>
      <c r="K179" s="42"/>
    </row>
    <row r="180" ht="39.75" customHeight="1">
      <c r="A180" s="1">
        <v>180.0</v>
      </c>
      <c r="B180" s="2" t="s">
        <v>36</v>
      </c>
      <c r="C180" s="2" t="s">
        <v>4221</v>
      </c>
      <c r="D180" s="53">
        <v>0.2916666666666667</v>
      </c>
      <c r="E180" s="51">
        <v>0.7916666666666666</v>
      </c>
      <c r="F180" s="44" t="s">
        <v>4222</v>
      </c>
      <c r="G180" s="43">
        <v>1.0</v>
      </c>
      <c r="H180" s="42"/>
      <c r="I180" s="43"/>
      <c r="J180" s="22"/>
      <c r="K180" s="42"/>
    </row>
    <row r="181" ht="39.75" customHeight="1">
      <c r="A181" s="1">
        <v>181.0</v>
      </c>
      <c r="B181" s="2" t="s">
        <v>38</v>
      </c>
      <c r="C181" s="2" t="s">
        <v>27</v>
      </c>
      <c r="D181" s="13"/>
      <c r="E181" s="13"/>
      <c r="F181" s="44" t="s">
        <v>4223</v>
      </c>
      <c r="G181" s="43">
        <v>1.0</v>
      </c>
      <c r="H181" s="42"/>
      <c r="I181" s="43">
        <v>1.0</v>
      </c>
      <c r="J181" s="22"/>
      <c r="K181" s="42"/>
    </row>
    <row r="182" ht="39.75" customHeight="1">
      <c r="A182" s="1">
        <v>183.0</v>
      </c>
      <c r="B182" s="2" t="s">
        <v>42</v>
      </c>
      <c r="C182" s="2" t="s">
        <v>13</v>
      </c>
      <c r="D182" s="13"/>
      <c r="E182" s="13"/>
      <c r="F182" s="44"/>
      <c r="G182" s="42"/>
      <c r="H182" s="42"/>
      <c r="I182" s="42"/>
      <c r="J182" s="22"/>
      <c r="K182" s="42"/>
    </row>
    <row r="183" ht="39.75" customHeight="1">
      <c r="A183" s="1">
        <v>184.0</v>
      </c>
      <c r="B183" s="2" t="s">
        <v>43</v>
      </c>
      <c r="C183" s="2" t="s">
        <v>44</v>
      </c>
      <c r="D183" s="13"/>
      <c r="E183" s="13"/>
      <c r="F183" s="45"/>
      <c r="G183" s="42"/>
      <c r="H183" s="42"/>
      <c r="I183" s="42"/>
      <c r="J183" s="22"/>
      <c r="K183" s="42"/>
    </row>
    <row r="184" ht="39.75" customHeight="1">
      <c r="A184" s="1">
        <v>185.0</v>
      </c>
      <c r="B184" s="2" t="s">
        <v>267</v>
      </c>
      <c r="C184" s="2" t="s">
        <v>3557</v>
      </c>
      <c r="D184" s="13"/>
      <c r="E184" s="13"/>
      <c r="F184" s="44" t="s">
        <v>4194</v>
      </c>
      <c r="G184" s="43">
        <v>1.0</v>
      </c>
      <c r="H184" s="42"/>
      <c r="I184" s="42"/>
      <c r="J184" s="22"/>
      <c r="K184" s="42"/>
    </row>
    <row r="185" ht="39.75" customHeight="1">
      <c r="A185" s="1">
        <v>186.0</v>
      </c>
      <c r="B185" s="2" t="s">
        <v>46</v>
      </c>
      <c r="C185" s="2" t="s">
        <v>54</v>
      </c>
      <c r="D185" s="13"/>
      <c r="E185" s="13"/>
      <c r="F185" s="44" t="s">
        <v>4224</v>
      </c>
      <c r="G185" s="43">
        <v>2.0</v>
      </c>
      <c r="H185" s="42"/>
      <c r="I185" s="42"/>
      <c r="J185" s="22"/>
      <c r="K185" s="42"/>
    </row>
    <row r="186" ht="39.75" customHeight="1">
      <c r="A186" s="1">
        <v>187.0</v>
      </c>
      <c r="B186" s="2" t="s">
        <v>47</v>
      </c>
      <c r="C186" s="2" t="s">
        <v>4221</v>
      </c>
      <c r="D186" s="53">
        <v>0.2916666666666667</v>
      </c>
      <c r="E186" s="51">
        <v>0.7916666666666666</v>
      </c>
      <c r="F186" s="44" t="s">
        <v>4225</v>
      </c>
      <c r="G186" s="43">
        <v>1.0</v>
      </c>
      <c r="H186" s="42"/>
      <c r="I186" s="43"/>
      <c r="J186" s="22"/>
      <c r="K186" s="42"/>
    </row>
    <row r="187" ht="39.75" customHeight="1">
      <c r="A187" s="1">
        <v>188.0</v>
      </c>
      <c r="B187" s="2" t="s">
        <v>48</v>
      </c>
      <c r="C187" s="2" t="s">
        <v>39</v>
      </c>
      <c r="D187" s="40">
        <v>0.2916666666666667</v>
      </c>
      <c r="E187" s="13"/>
      <c r="F187" s="44" t="s">
        <v>4226</v>
      </c>
      <c r="G187" s="42"/>
      <c r="H187" s="42"/>
      <c r="I187" s="42"/>
      <c r="J187" s="22"/>
      <c r="K187" s="42"/>
    </row>
    <row r="188" ht="39.75" customHeight="1">
      <c r="A188" s="1">
        <v>189.0</v>
      </c>
      <c r="B188" s="21"/>
      <c r="C188" s="21"/>
      <c r="D188" s="21"/>
      <c r="E188" s="21"/>
      <c r="F188" s="141" t="s">
        <v>4214</v>
      </c>
      <c r="G188" s="47"/>
      <c r="H188" s="47"/>
      <c r="I188" s="47"/>
      <c r="J188" s="48"/>
      <c r="K188" s="47"/>
      <c r="L188" s="49"/>
      <c r="M188" s="49"/>
      <c r="N188" s="49"/>
    </row>
    <row r="189" ht="39.75" customHeight="1">
      <c r="A189" s="1">
        <v>190.0</v>
      </c>
      <c r="B189" s="2" t="s">
        <v>12</v>
      </c>
      <c r="C189" s="2" t="s">
        <v>62</v>
      </c>
      <c r="D189" s="13"/>
      <c r="E189" s="13"/>
      <c r="F189" s="44" t="s">
        <v>4227</v>
      </c>
      <c r="G189" s="42"/>
      <c r="H189" s="42"/>
      <c r="I189" s="42"/>
      <c r="J189" s="27" t="s">
        <v>491</v>
      </c>
      <c r="K189" s="42"/>
      <c r="L189" s="15" t="s">
        <v>163</v>
      </c>
    </row>
    <row r="190" ht="39.75" customHeight="1">
      <c r="A190" s="1">
        <v>191.0</v>
      </c>
      <c r="B190" s="2" t="s">
        <v>16</v>
      </c>
      <c r="C190" s="2" t="s">
        <v>13</v>
      </c>
      <c r="D190" s="13"/>
      <c r="E190" s="13"/>
      <c r="F190" s="45"/>
      <c r="G190" s="42"/>
      <c r="H190" s="42"/>
      <c r="I190" s="42"/>
      <c r="J190" s="27" t="s">
        <v>163</v>
      </c>
      <c r="K190" s="43"/>
    </row>
    <row r="191" ht="39.75" customHeight="1">
      <c r="A191" s="1">
        <v>192.0</v>
      </c>
      <c r="B191" s="2" t="s">
        <v>116</v>
      </c>
      <c r="C191" s="2" t="s">
        <v>13</v>
      </c>
      <c r="D191" s="13"/>
      <c r="E191" s="13"/>
      <c r="F191" s="45"/>
      <c r="G191" s="42"/>
      <c r="H191" s="42"/>
      <c r="I191" s="42"/>
      <c r="J191" s="27" t="s">
        <v>111</v>
      </c>
      <c r="K191" s="42"/>
    </row>
    <row r="192" ht="39.75" customHeight="1">
      <c r="A192" s="1">
        <v>193.0</v>
      </c>
      <c r="B192" s="2" t="s">
        <v>263</v>
      </c>
      <c r="C192" s="2"/>
      <c r="D192" s="13"/>
      <c r="E192" s="13"/>
      <c r="F192" s="44" t="s">
        <v>4228</v>
      </c>
      <c r="G192" s="43">
        <v>1.0</v>
      </c>
      <c r="H192" s="42"/>
      <c r="I192" s="42"/>
      <c r="J192" s="27" t="s">
        <v>412</v>
      </c>
      <c r="K192" s="42"/>
    </row>
    <row r="193" ht="39.75" customHeight="1">
      <c r="A193" s="1">
        <v>194.0</v>
      </c>
      <c r="B193" s="2" t="s">
        <v>17</v>
      </c>
      <c r="C193" s="2" t="s">
        <v>64</v>
      </c>
      <c r="D193" s="13"/>
      <c r="E193" s="13"/>
      <c r="F193" s="44" t="s">
        <v>3604</v>
      </c>
      <c r="G193" s="42"/>
      <c r="H193" s="42"/>
      <c r="I193" s="42"/>
      <c r="J193" s="22"/>
      <c r="K193" s="42"/>
    </row>
    <row r="194" ht="39.75" customHeight="1">
      <c r="A194" s="1">
        <v>195.0</v>
      </c>
      <c r="B194" s="2" t="s">
        <v>331</v>
      </c>
      <c r="C194" s="2" t="s">
        <v>13</v>
      </c>
      <c r="D194" s="13"/>
      <c r="E194" s="13"/>
      <c r="F194" s="44" t="s">
        <v>4229</v>
      </c>
      <c r="G194" s="43">
        <v>1.0</v>
      </c>
      <c r="H194" s="42"/>
      <c r="I194" s="42"/>
      <c r="J194" s="22"/>
      <c r="K194" s="42"/>
    </row>
    <row r="195" ht="39.75" customHeight="1">
      <c r="A195" s="1">
        <v>196.0</v>
      </c>
      <c r="B195" s="2" t="s">
        <v>21</v>
      </c>
      <c r="C195" s="2" t="s">
        <v>63</v>
      </c>
      <c r="D195" s="13"/>
      <c r="E195" s="13"/>
      <c r="F195" s="45"/>
      <c r="G195" s="42"/>
      <c r="H195" s="42"/>
      <c r="I195" s="42"/>
      <c r="J195" s="22"/>
      <c r="K195" s="42"/>
    </row>
    <row r="196" ht="39.75" customHeight="1">
      <c r="A196" s="1">
        <v>197.0</v>
      </c>
      <c r="B196" s="2" t="s">
        <v>22</v>
      </c>
      <c r="C196" s="2" t="s">
        <v>69</v>
      </c>
      <c r="D196" s="13"/>
      <c r="E196" s="13"/>
      <c r="F196" s="44" t="s">
        <v>4230</v>
      </c>
      <c r="G196" s="43">
        <v>1.0</v>
      </c>
      <c r="H196" s="42"/>
      <c r="I196" s="43">
        <v>1.0</v>
      </c>
      <c r="J196" s="22"/>
      <c r="K196" s="42"/>
    </row>
    <row r="197" ht="39.75" customHeight="1">
      <c r="A197" s="1">
        <v>198.0</v>
      </c>
      <c r="B197" s="2" t="s">
        <v>261</v>
      </c>
      <c r="C197" s="2"/>
      <c r="D197" s="13"/>
      <c r="E197" s="13"/>
      <c r="F197" s="44" t="s">
        <v>4231</v>
      </c>
      <c r="G197" s="43">
        <v>1.0</v>
      </c>
      <c r="H197" s="42"/>
      <c r="I197" s="42"/>
      <c r="J197" s="22"/>
      <c r="K197" s="42"/>
    </row>
    <row r="198" ht="39.75" customHeight="1">
      <c r="A198" s="1">
        <v>199.0</v>
      </c>
      <c r="B198" s="2" t="s">
        <v>23</v>
      </c>
      <c r="C198" s="2" t="s">
        <v>54</v>
      </c>
      <c r="D198" s="13"/>
      <c r="E198" s="13"/>
      <c r="F198" s="44" t="s">
        <v>4232</v>
      </c>
      <c r="G198" s="43">
        <v>1.0</v>
      </c>
      <c r="H198" s="42"/>
      <c r="I198" s="42"/>
      <c r="J198" s="22"/>
      <c r="K198" s="42"/>
    </row>
    <row r="199" ht="39.75" customHeight="1">
      <c r="A199" s="1">
        <v>200.0</v>
      </c>
      <c r="B199" s="2" t="s">
        <v>24</v>
      </c>
      <c r="C199" s="2" t="s">
        <v>66</v>
      </c>
      <c r="D199" s="13"/>
      <c r="E199" s="13"/>
      <c r="F199" s="45"/>
      <c r="G199" s="42"/>
      <c r="H199" s="42"/>
      <c r="I199" s="42"/>
      <c r="J199" s="22"/>
      <c r="K199" s="42"/>
    </row>
    <row r="200" ht="39.75" customHeight="1">
      <c r="A200" s="1">
        <v>201.0</v>
      </c>
      <c r="B200" s="2" t="s">
        <v>25</v>
      </c>
      <c r="C200" s="2" t="s">
        <v>69</v>
      </c>
      <c r="D200" s="13"/>
      <c r="E200" s="13"/>
      <c r="F200" s="44" t="s">
        <v>4233</v>
      </c>
      <c r="G200" s="43">
        <v>1.0</v>
      </c>
      <c r="H200" s="42"/>
      <c r="I200" s="43">
        <v>1.0</v>
      </c>
      <c r="J200" s="22"/>
      <c r="K200" s="42"/>
    </row>
    <row r="201" ht="39.75" customHeight="1">
      <c r="A201" s="1">
        <v>202.0</v>
      </c>
      <c r="B201" s="2" t="s">
        <v>26</v>
      </c>
      <c r="C201" s="2" t="s">
        <v>54</v>
      </c>
      <c r="D201" s="13"/>
      <c r="E201" s="13"/>
      <c r="F201" s="44" t="s">
        <v>4234</v>
      </c>
      <c r="G201" s="42"/>
      <c r="H201" s="42"/>
      <c r="I201" s="42"/>
      <c r="J201" s="22"/>
      <c r="K201" s="42"/>
    </row>
    <row r="202" ht="39.75" customHeight="1">
      <c r="A202" s="1">
        <v>203.0</v>
      </c>
      <c r="B202" s="2" t="s">
        <v>29</v>
      </c>
      <c r="C202" s="2" t="s">
        <v>39</v>
      </c>
      <c r="D202" s="13"/>
      <c r="E202" s="13"/>
      <c r="F202" s="44" t="s">
        <v>4235</v>
      </c>
      <c r="G202" s="43">
        <v>1.0</v>
      </c>
      <c r="H202" s="42"/>
      <c r="I202" s="43">
        <v>1.0</v>
      </c>
      <c r="J202" s="22"/>
      <c r="K202" s="42"/>
    </row>
    <row r="203" ht="39.75" customHeight="1">
      <c r="A203" s="1">
        <v>204.0</v>
      </c>
      <c r="B203" s="2" t="s">
        <v>32</v>
      </c>
      <c r="C203" s="2" t="s">
        <v>54</v>
      </c>
      <c r="D203" s="13"/>
      <c r="E203" s="13"/>
      <c r="F203" s="44" t="s">
        <v>4236</v>
      </c>
      <c r="G203" s="43">
        <v>1.0</v>
      </c>
      <c r="H203" s="42"/>
      <c r="I203" s="42"/>
      <c r="J203" s="22"/>
      <c r="K203" s="42"/>
    </row>
    <row r="204" ht="39.75" customHeight="1">
      <c r="A204" s="1">
        <v>205.0</v>
      </c>
      <c r="B204" s="2" t="s">
        <v>67</v>
      </c>
      <c r="C204" s="2" t="s">
        <v>54</v>
      </c>
      <c r="D204" s="13"/>
      <c r="E204" s="13"/>
      <c r="F204" s="44" t="s">
        <v>4237</v>
      </c>
      <c r="G204" s="43">
        <v>1.0</v>
      </c>
      <c r="H204" s="42"/>
      <c r="I204" s="42"/>
      <c r="J204" s="22"/>
      <c r="K204" s="42"/>
    </row>
    <row r="205" ht="39.75" customHeight="1">
      <c r="A205" s="1">
        <v>206.0</v>
      </c>
      <c r="B205" s="2" t="s">
        <v>35</v>
      </c>
      <c r="C205" s="2"/>
      <c r="D205" s="13"/>
      <c r="E205" s="51">
        <v>0.7083333333333334</v>
      </c>
      <c r="F205" s="44" t="s">
        <v>4238</v>
      </c>
      <c r="G205" s="43">
        <v>1.0</v>
      </c>
      <c r="H205" s="42"/>
      <c r="I205" s="42"/>
      <c r="J205" s="22"/>
      <c r="K205" s="42"/>
    </row>
    <row r="206" ht="39.75" customHeight="1">
      <c r="A206" s="1">
        <v>207.0</v>
      </c>
      <c r="B206" s="2" t="s">
        <v>36</v>
      </c>
      <c r="C206" s="2"/>
      <c r="D206" s="13"/>
      <c r="E206" s="13"/>
      <c r="F206" s="44" t="s">
        <v>4239</v>
      </c>
      <c r="G206" s="43">
        <v>1.0</v>
      </c>
      <c r="H206" s="42"/>
      <c r="I206" s="42"/>
      <c r="J206" s="22"/>
      <c r="K206" s="42"/>
    </row>
    <row r="207" ht="39.75" customHeight="1">
      <c r="A207" s="1">
        <v>208.0</v>
      </c>
      <c r="B207" s="2" t="s">
        <v>38</v>
      </c>
      <c r="C207" s="2" t="s">
        <v>44</v>
      </c>
      <c r="D207" s="13"/>
      <c r="E207" s="13"/>
      <c r="F207" s="45"/>
      <c r="G207" s="42"/>
      <c r="H207" s="42"/>
      <c r="I207" s="42"/>
      <c r="J207" s="22"/>
      <c r="K207" s="42"/>
    </row>
    <row r="208" ht="39.75" customHeight="1">
      <c r="A208" s="1">
        <v>210.0</v>
      </c>
      <c r="B208" s="2" t="s">
        <v>42</v>
      </c>
      <c r="C208" s="2" t="s">
        <v>13</v>
      </c>
      <c r="D208" s="13"/>
      <c r="E208" s="13"/>
      <c r="F208" s="45"/>
      <c r="G208" s="42"/>
      <c r="H208" s="42"/>
      <c r="I208" s="42"/>
      <c r="J208" s="22"/>
      <c r="K208" s="42"/>
    </row>
    <row r="209" ht="39.75" customHeight="1">
      <c r="A209" s="1">
        <v>211.0</v>
      </c>
      <c r="B209" s="2" t="s">
        <v>43</v>
      </c>
      <c r="C209" s="2" t="s">
        <v>69</v>
      </c>
      <c r="D209" s="13"/>
      <c r="E209" s="51">
        <v>0.8333333333333334</v>
      </c>
      <c r="F209" s="44" t="s">
        <v>4240</v>
      </c>
      <c r="G209" s="42"/>
      <c r="H209" s="42"/>
      <c r="I209" s="42"/>
      <c r="J209" s="22"/>
      <c r="K209" s="42"/>
    </row>
    <row r="210" ht="39.75" customHeight="1">
      <c r="A210" s="1">
        <v>212.0</v>
      </c>
      <c r="B210" s="2" t="s">
        <v>267</v>
      </c>
      <c r="C210" s="2"/>
      <c r="D210" s="13"/>
      <c r="E210" s="13"/>
      <c r="F210" s="44" t="s">
        <v>4194</v>
      </c>
      <c r="G210" s="43">
        <v>1.0</v>
      </c>
      <c r="H210" s="42"/>
      <c r="I210" s="42"/>
      <c r="J210" s="22"/>
      <c r="K210" s="42"/>
    </row>
    <row r="211" ht="39.75" customHeight="1">
      <c r="A211" s="1">
        <v>213.0</v>
      </c>
      <c r="B211" s="2" t="s">
        <v>46</v>
      </c>
      <c r="C211" s="2" t="s">
        <v>39</v>
      </c>
      <c r="D211" s="13"/>
      <c r="E211" s="13"/>
      <c r="F211" s="44" t="s">
        <v>4241</v>
      </c>
      <c r="G211" s="43">
        <v>2.0</v>
      </c>
      <c r="H211" s="42"/>
      <c r="I211" s="43">
        <v>2.0</v>
      </c>
      <c r="J211" s="22"/>
      <c r="K211" s="42"/>
    </row>
    <row r="212" ht="39.75" customHeight="1">
      <c r="A212" s="1">
        <v>214.0</v>
      </c>
      <c r="B212" s="2" t="s">
        <v>47</v>
      </c>
      <c r="C212" s="2" t="s">
        <v>27</v>
      </c>
      <c r="D212" s="13"/>
      <c r="E212" s="13"/>
      <c r="F212" s="45"/>
      <c r="G212" s="42"/>
      <c r="H212" s="42"/>
      <c r="I212" s="42"/>
      <c r="J212" s="22"/>
      <c r="K212" s="42"/>
    </row>
    <row r="213" ht="39.75" customHeight="1">
      <c r="A213" s="1">
        <v>215.0</v>
      </c>
      <c r="B213" s="2" t="s">
        <v>48</v>
      </c>
      <c r="C213" s="2" t="s">
        <v>66</v>
      </c>
      <c r="D213" s="13"/>
      <c r="E213" s="13"/>
      <c r="F213" s="45"/>
      <c r="G213" s="42"/>
      <c r="H213" s="42"/>
      <c r="I213" s="42"/>
      <c r="J213" s="22"/>
      <c r="K213" s="42"/>
    </row>
    <row r="214" ht="39.75" customHeight="1">
      <c r="A214" s="1">
        <v>216.0</v>
      </c>
      <c r="B214" s="21"/>
      <c r="C214" s="21"/>
      <c r="D214" s="21"/>
      <c r="E214" s="21"/>
      <c r="F214" s="46"/>
      <c r="G214" s="47"/>
      <c r="H214" s="47"/>
      <c r="I214" s="47"/>
      <c r="J214" s="48"/>
      <c r="K214" s="47"/>
      <c r="L214" s="49"/>
      <c r="M214" s="49"/>
      <c r="N214" s="49"/>
    </row>
    <row r="215" ht="39.75" customHeight="1">
      <c r="A215" s="1">
        <v>217.0</v>
      </c>
      <c r="B215" s="2" t="s">
        <v>12</v>
      </c>
      <c r="C215" s="2" t="s">
        <v>62</v>
      </c>
      <c r="D215" s="13"/>
      <c r="E215" s="13"/>
      <c r="F215" s="45"/>
      <c r="G215" s="42"/>
      <c r="H215" s="42"/>
      <c r="I215" s="42"/>
      <c r="J215" s="27" t="s">
        <v>491</v>
      </c>
      <c r="K215" s="42"/>
      <c r="L215" s="15" t="s">
        <v>175</v>
      </c>
    </row>
    <row r="216" ht="39.75" customHeight="1">
      <c r="A216" s="1">
        <v>218.0</v>
      </c>
      <c r="B216" s="2" t="s">
        <v>16</v>
      </c>
      <c r="C216" s="2" t="s">
        <v>13</v>
      </c>
      <c r="D216" s="13"/>
      <c r="E216" s="13"/>
      <c r="F216" s="45"/>
      <c r="G216" s="42"/>
      <c r="H216" s="42"/>
      <c r="I216" s="42"/>
      <c r="J216" s="27" t="s">
        <v>175</v>
      </c>
      <c r="K216" s="43"/>
    </row>
    <row r="217" ht="39.75" customHeight="1">
      <c r="A217" s="1">
        <v>219.0</v>
      </c>
      <c r="B217" s="2" t="s">
        <v>116</v>
      </c>
      <c r="C217" s="2" t="s">
        <v>13</v>
      </c>
      <c r="D217" s="13"/>
      <c r="E217" s="13"/>
      <c r="F217" s="45"/>
      <c r="G217" s="42"/>
      <c r="H217" s="42"/>
      <c r="I217" s="42"/>
      <c r="J217" s="27" t="s">
        <v>131</v>
      </c>
      <c r="K217" s="42"/>
    </row>
    <row r="218" ht="39.75" customHeight="1">
      <c r="A218" s="1">
        <v>220.0</v>
      </c>
      <c r="B218" s="2" t="s">
        <v>263</v>
      </c>
      <c r="C218" s="2" t="s">
        <v>69</v>
      </c>
      <c r="D218" s="13"/>
      <c r="E218" s="13"/>
      <c r="F218" s="44"/>
      <c r="G218" s="42"/>
      <c r="H218" s="42"/>
      <c r="I218" s="42"/>
      <c r="J218" s="22"/>
      <c r="K218" s="42"/>
    </row>
    <row r="219" ht="39.75" customHeight="1">
      <c r="A219" s="1">
        <v>221.0</v>
      </c>
      <c r="B219" s="2" t="s">
        <v>17</v>
      </c>
      <c r="C219" s="2" t="s">
        <v>64</v>
      </c>
      <c r="D219" s="13"/>
      <c r="E219" s="13"/>
      <c r="F219" s="44" t="s">
        <v>4242</v>
      </c>
      <c r="G219" s="43">
        <v>1.0</v>
      </c>
      <c r="H219" s="42"/>
      <c r="I219" s="42"/>
      <c r="J219" s="22"/>
      <c r="K219" s="42"/>
    </row>
    <row r="220" ht="39.75" customHeight="1">
      <c r="A220" s="1">
        <v>222.0</v>
      </c>
      <c r="B220" s="2" t="s">
        <v>331</v>
      </c>
      <c r="C220" s="2" t="s">
        <v>542</v>
      </c>
      <c r="D220" s="13"/>
      <c r="E220" s="13"/>
      <c r="F220" s="44" t="s">
        <v>4243</v>
      </c>
      <c r="G220" s="43">
        <v>1.0</v>
      </c>
      <c r="H220" s="42"/>
      <c r="I220" s="42"/>
      <c r="J220" s="22"/>
      <c r="K220" s="42"/>
    </row>
    <row r="221" ht="39.75" customHeight="1">
      <c r="A221" s="1">
        <v>223.0</v>
      </c>
      <c r="B221" s="2" t="s">
        <v>21</v>
      </c>
      <c r="C221" s="2" t="s">
        <v>3563</v>
      </c>
      <c r="D221" s="13"/>
      <c r="E221" s="13"/>
      <c r="F221" s="45"/>
      <c r="G221" s="42"/>
      <c r="H221" s="42"/>
      <c r="I221" s="42"/>
      <c r="J221" s="22"/>
      <c r="K221" s="42"/>
    </row>
    <row r="222" ht="39.75" customHeight="1">
      <c r="A222" s="1">
        <v>224.0</v>
      </c>
      <c r="B222" s="2" t="s">
        <v>22</v>
      </c>
      <c r="C222" s="13"/>
      <c r="D222" s="13"/>
      <c r="E222" s="13"/>
      <c r="F222" s="44" t="s">
        <v>4244</v>
      </c>
      <c r="G222" s="43">
        <v>1.0</v>
      </c>
      <c r="H222" s="42"/>
      <c r="I222" s="42"/>
      <c r="J222" s="22"/>
      <c r="K222" s="42"/>
    </row>
    <row r="223" ht="39.75" customHeight="1">
      <c r="A223" s="1">
        <v>225.0</v>
      </c>
      <c r="B223" s="2" t="s">
        <v>261</v>
      </c>
      <c r="C223" s="2"/>
      <c r="D223" s="13"/>
      <c r="E223" s="13"/>
      <c r="F223" s="44" t="s">
        <v>4245</v>
      </c>
      <c r="G223" s="43">
        <v>1.0</v>
      </c>
      <c r="H223" s="42"/>
      <c r="I223" s="42"/>
      <c r="J223" s="22"/>
      <c r="K223" s="42"/>
    </row>
    <row r="224" ht="39.75" customHeight="1">
      <c r="A224" s="1">
        <v>226.0</v>
      </c>
      <c r="B224" s="2" t="s">
        <v>23</v>
      </c>
      <c r="C224" s="2" t="s">
        <v>39</v>
      </c>
      <c r="D224" s="82">
        <v>0.25</v>
      </c>
      <c r="E224" s="13"/>
      <c r="F224" s="44" t="s">
        <v>4246</v>
      </c>
      <c r="G224" s="43">
        <v>1.0</v>
      </c>
      <c r="H224" s="42"/>
      <c r="I224" s="43">
        <v>1.0</v>
      </c>
      <c r="J224" s="22"/>
      <c r="K224" s="42"/>
    </row>
    <row r="225" ht="39.75" customHeight="1">
      <c r="A225" s="1">
        <v>227.0</v>
      </c>
      <c r="B225" s="2" t="s">
        <v>24</v>
      </c>
      <c r="C225" s="2"/>
      <c r="D225" s="13"/>
      <c r="E225" s="13"/>
      <c r="F225" s="44" t="s">
        <v>4247</v>
      </c>
      <c r="G225" s="43">
        <v>1.0</v>
      </c>
      <c r="H225" s="42"/>
      <c r="I225" s="42"/>
      <c r="J225" s="22"/>
      <c r="K225" s="42"/>
    </row>
    <row r="226" ht="39.75" customHeight="1">
      <c r="A226" s="1">
        <v>228.0</v>
      </c>
      <c r="B226" s="2" t="s">
        <v>25</v>
      </c>
      <c r="C226" s="2" t="s">
        <v>69</v>
      </c>
      <c r="D226" s="13"/>
      <c r="E226" s="13"/>
      <c r="F226" s="44" t="s">
        <v>4248</v>
      </c>
      <c r="G226" s="43">
        <v>1.0</v>
      </c>
      <c r="H226" s="42"/>
      <c r="I226" s="42"/>
      <c r="J226" s="22"/>
      <c r="K226" s="42"/>
    </row>
    <row r="227" ht="39.75" customHeight="1">
      <c r="A227" s="1">
        <v>229.0</v>
      </c>
      <c r="B227" s="2" t="s">
        <v>26</v>
      </c>
      <c r="C227" s="2" t="s">
        <v>54</v>
      </c>
      <c r="D227" s="13"/>
      <c r="E227" s="13"/>
      <c r="F227" s="44" t="s">
        <v>4249</v>
      </c>
      <c r="G227" s="43">
        <v>1.0</v>
      </c>
      <c r="H227" s="42"/>
      <c r="I227" s="42"/>
      <c r="J227" s="22"/>
      <c r="K227" s="42"/>
    </row>
    <row r="228" ht="39.75" customHeight="1">
      <c r="A228" s="1">
        <v>230.0</v>
      </c>
      <c r="B228" s="2" t="s">
        <v>29</v>
      </c>
      <c r="C228" s="2" t="s">
        <v>27</v>
      </c>
      <c r="D228" s="13"/>
      <c r="E228" s="13"/>
      <c r="F228" s="45"/>
      <c r="G228" s="42"/>
      <c r="H228" s="42"/>
      <c r="I228" s="42"/>
      <c r="J228" s="22"/>
      <c r="K228" s="42"/>
    </row>
    <row r="229" ht="39.75" customHeight="1">
      <c r="A229" s="1">
        <v>231.0</v>
      </c>
      <c r="B229" s="2" t="s">
        <v>32</v>
      </c>
      <c r="C229" s="2" t="s">
        <v>54</v>
      </c>
      <c r="D229" s="13"/>
      <c r="E229" s="13"/>
      <c r="F229" s="44" t="s">
        <v>4250</v>
      </c>
      <c r="G229" s="43">
        <v>1.0</v>
      </c>
      <c r="H229" s="42"/>
      <c r="I229" s="42"/>
      <c r="J229" s="22"/>
      <c r="K229" s="42"/>
    </row>
    <row r="230" ht="39.75" customHeight="1">
      <c r="A230" s="1">
        <v>232.0</v>
      </c>
      <c r="B230" s="2" t="s">
        <v>67</v>
      </c>
      <c r="C230" s="2" t="s">
        <v>13</v>
      </c>
      <c r="D230" s="13"/>
      <c r="E230" s="13"/>
      <c r="F230" s="45"/>
      <c r="G230" s="42"/>
      <c r="H230" s="42"/>
      <c r="I230" s="42"/>
      <c r="J230" s="22"/>
      <c r="K230" s="42"/>
    </row>
    <row r="231" ht="39.75" customHeight="1">
      <c r="A231" s="1">
        <v>233.0</v>
      </c>
      <c r="B231" s="2" t="s">
        <v>35</v>
      </c>
      <c r="C231" s="2" t="s">
        <v>3560</v>
      </c>
      <c r="D231" s="82">
        <v>0.3333333333333333</v>
      </c>
      <c r="E231" s="13"/>
      <c r="F231" s="44" t="s">
        <v>4251</v>
      </c>
      <c r="G231" s="43">
        <v>1.0</v>
      </c>
      <c r="H231" s="42"/>
      <c r="I231" s="42"/>
      <c r="J231" s="22"/>
      <c r="K231" s="42"/>
    </row>
    <row r="232" ht="39.75" customHeight="1">
      <c r="A232" s="1">
        <v>234.0</v>
      </c>
      <c r="B232" s="2" t="s">
        <v>36</v>
      </c>
      <c r="C232" s="2" t="s">
        <v>39</v>
      </c>
      <c r="D232" s="82">
        <v>0.2916666666666667</v>
      </c>
      <c r="E232" s="13"/>
      <c r="F232" s="44" t="s">
        <v>4252</v>
      </c>
      <c r="G232" s="43">
        <v>1.0</v>
      </c>
      <c r="H232" s="42"/>
      <c r="I232" s="42"/>
      <c r="J232" s="22"/>
      <c r="K232" s="42"/>
    </row>
    <row r="233" ht="39.75" customHeight="1">
      <c r="A233" s="1">
        <v>235.0</v>
      </c>
      <c r="B233" s="2" t="s">
        <v>38</v>
      </c>
      <c r="C233" s="2" t="s">
        <v>13</v>
      </c>
      <c r="D233" s="13"/>
      <c r="E233" s="13"/>
      <c r="F233" s="45"/>
      <c r="G233" s="42"/>
      <c r="H233" s="42"/>
      <c r="I233" s="42"/>
      <c r="J233" s="22"/>
      <c r="K233" s="42"/>
    </row>
    <row r="234" ht="39.75" customHeight="1">
      <c r="A234" s="1">
        <v>237.0</v>
      </c>
      <c r="B234" s="2" t="s">
        <v>42</v>
      </c>
      <c r="C234" s="2" t="s">
        <v>66</v>
      </c>
      <c r="D234" s="13"/>
      <c r="E234" s="13"/>
      <c r="F234" s="45"/>
      <c r="G234" s="42"/>
      <c r="H234" s="42"/>
      <c r="I234" s="42"/>
      <c r="J234" s="22"/>
      <c r="K234" s="42"/>
    </row>
    <row r="235" ht="39.75" customHeight="1">
      <c r="A235" s="1">
        <v>238.0</v>
      </c>
      <c r="B235" s="2" t="s">
        <v>43</v>
      </c>
      <c r="C235" s="2" t="s">
        <v>54</v>
      </c>
      <c r="D235" s="13"/>
      <c r="E235" s="13"/>
      <c r="F235" s="44" t="s">
        <v>4253</v>
      </c>
      <c r="G235" s="43">
        <v>1.0</v>
      </c>
      <c r="H235" s="42"/>
      <c r="I235" s="42"/>
      <c r="J235" s="22"/>
      <c r="K235" s="42"/>
    </row>
    <row r="236" ht="39.75" customHeight="1">
      <c r="A236" s="1">
        <v>239.0</v>
      </c>
      <c r="B236" s="2" t="s">
        <v>267</v>
      </c>
      <c r="C236" s="2"/>
      <c r="D236" s="13"/>
      <c r="E236" s="13"/>
      <c r="F236" s="44" t="s">
        <v>4194</v>
      </c>
      <c r="G236" s="43">
        <v>1.0</v>
      </c>
      <c r="H236" s="42"/>
      <c r="I236" s="42"/>
      <c r="J236" s="22"/>
      <c r="K236" s="42"/>
    </row>
    <row r="237" ht="39.75" customHeight="1">
      <c r="A237" s="1">
        <v>240.0</v>
      </c>
      <c r="B237" s="2" t="s">
        <v>46</v>
      </c>
      <c r="C237" s="2" t="s">
        <v>54</v>
      </c>
      <c r="D237" s="13"/>
      <c r="E237" s="13"/>
      <c r="F237" s="44" t="s">
        <v>4254</v>
      </c>
      <c r="G237" s="43">
        <v>1.0</v>
      </c>
      <c r="H237" s="42"/>
      <c r="I237" s="43">
        <v>1.0</v>
      </c>
      <c r="J237" s="22"/>
      <c r="K237" s="42"/>
    </row>
    <row r="238" ht="39.75" customHeight="1">
      <c r="A238" s="1">
        <v>241.0</v>
      </c>
      <c r="B238" s="2" t="s">
        <v>47</v>
      </c>
      <c r="C238" s="2" t="s">
        <v>44</v>
      </c>
      <c r="D238" s="13"/>
      <c r="E238" s="13"/>
      <c r="F238" s="45"/>
      <c r="G238" s="42"/>
      <c r="H238" s="42"/>
      <c r="I238" s="42"/>
      <c r="J238" s="22"/>
      <c r="K238" s="42"/>
    </row>
    <row r="239" ht="39.75" customHeight="1">
      <c r="A239" s="1">
        <v>242.0</v>
      </c>
      <c r="B239" s="2" t="s">
        <v>48</v>
      </c>
      <c r="C239" s="2" t="s">
        <v>69</v>
      </c>
      <c r="D239" s="13"/>
      <c r="E239" s="13"/>
      <c r="F239" s="45"/>
      <c r="G239" s="42"/>
      <c r="H239" s="42"/>
      <c r="I239" s="42"/>
      <c r="J239" s="22"/>
      <c r="K239" s="42"/>
    </row>
    <row r="240" ht="39.75" customHeight="1">
      <c r="A240" s="1">
        <v>243.0</v>
      </c>
      <c r="B240" s="21"/>
      <c r="C240" s="21"/>
      <c r="D240" s="21"/>
      <c r="E240" s="21"/>
      <c r="F240" s="46"/>
      <c r="G240" s="47"/>
      <c r="H240" s="47"/>
      <c r="I240" s="47"/>
      <c r="J240" s="48"/>
      <c r="K240" s="47"/>
      <c r="L240" s="49"/>
      <c r="M240" s="49"/>
      <c r="N240" s="49"/>
    </row>
    <row r="241" ht="39.75" customHeight="1">
      <c r="A241" s="1">
        <v>244.0</v>
      </c>
      <c r="B241" s="2" t="s">
        <v>12</v>
      </c>
      <c r="C241" s="2" t="s">
        <v>39</v>
      </c>
      <c r="D241" s="13"/>
      <c r="E241" s="13"/>
      <c r="F241" s="44" t="s">
        <v>4255</v>
      </c>
      <c r="G241" s="43">
        <v>2.0</v>
      </c>
      <c r="H241" s="42"/>
      <c r="I241" s="43">
        <v>2.0</v>
      </c>
      <c r="J241" s="27" t="s">
        <v>491</v>
      </c>
      <c r="K241" s="42"/>
      <c r="L241" s="15" t="s">
        <v>4256</v>
      </c>
    </row>
    <row r="242" ht="39.75" customHeight="1">
      <c r="A242" s="1">
        <v>246.0</v>
      </c>
      <c r="B242" s="2" t="s">
        <v>268</v>
      </c>
      <c r="C242" s="2" t="s">
        <v>63</v>
      </c>
      <c r="D242" s="13"/>
      <c r="E242" s="13"/>
      <c r="F242" s="142"/>
      <c r="G242" s="42"/>
      <c r="H242" s="42"/>
      <c r="I242" s="42"/>
      <c r="J242" s="27" t="s">
        <v>192</v>
      </c>
      <c r="K242" s="42"/>
    </row>
    <row r="243" ht="39.75" customHeight="1">
      <c r="A243" s="1">
        <v>247.0</v>
      </c>
      <c r="B243" s="2" t="s">
        <v>263</v>
      </c>
      <c r="C243" s="2" t="s">
        <v>69</v>
      </c>
      <c r="D243" s="13"/>
      <c r="E243" s="13"/>
      <c r="F243" s="44" t="s">
        <v>4257</v>
      </c>
      <c r="G243" s="43">
        <v>1.0</v>
      </c>
      <c r="H243" s="42"/>
      <c r="I243" s="42"/>
      <c r="J243" s="27" t="s">
        <v>3971</v>
      </c>
      <c r="K243" s="42"/>
    </row>
    <row r="244" ht="39.75" customHeight="1">
      <c r="A244" s="1">
        <v>248.0</v>
      </c>
      <c r="B244" s="143" t="s">
        <v>1061</v>
      </c>
      <c r="C244" s="143" t="s">
        <v>272</v>
      </c>
      <c r="D244" s="144">
        <v>0.375</v>
      </c>
      <c r="E244" s="145"/>
      <c r="F244" s="146" t="s">
        <v>1186</v>
      </c>
      <c r="G244" s="147"/>
      <c r="H244" s="147"/>
      <c r="I244" s="147"/>
      <c r="J244" s="27" t="s">
        <v>152</v>
      </c>
      <c r="K244" s="42"/>
    </row>
    <row r="245" ht="39.75" customHeight="1">
      <c r="A245" s="1">
        <v>251.0</v>
      </c>
      <c r="B245" s="2" t="s">
        <v>22</v>
      </c>
      <c r="C245" s="2" t="s">
        <v>27</v>
      </c>
      <c r="D245" s="13"/>
      <c r="E245" s="13"/>
      <c r="F245" s="44" t="s">
        <v>4258</v>
      </c>
      <c r="G245" s="43">
        <v>1.0</v>
      </c>
      <c r="H245" s="42"/>
      <c r="I245" s="43">
        <v>1.0</v>
      </c>
      <c r="J245" s="22"/>
      <c r="K245" s="42"/>
    </row>
    <row r="246" ht="39.75" customHeight="1">
      <c r="A246" s="1">
        <v>256.0</v>
      </c>
      <c r="B246" s="2" t="s">
        <v>26</v>
      </c>
      <c r="C246" s="2" t="s">
        <v>3560</v>
      </c>
      <c r="D246" s="13"/>
      <c r="E246" s="13"/>
      <c r="F246" s="44" t="s">
        <v>4259</v>
      </c>
      <c r="G246" s="43">
        <v>1.0</v>
      </c>
      <c r="H246" s="42"/>
      <c r="I246" s="43">
        <v>1.0</v>
      </c>
      <c r="J246" s="22"/>
      <c r="K246" s="42"/>
    </row>
    <row r="247" ht="39.75" customHeight="1">
      <c r="A247" s="1">
        <v>257.0</v>
      </c>
      <c r="B247" s="2" t="s">
        <v>29</v>
      </c>
      <c r="C247" s="2" t="s">
        <v>44</v>
      </c>
      <c r="D247" s="13"/>
      <c r="E247" s="13"/>
      <c r="F247" s="45"/>
      <c r="G247" s="42"/>
      <c r="H247" s="42"/>
      <c r="I247" s="42"/>
      <c r="J247" s="22"/>
      <c r="K247" s="42"/>
    </row>
    <row r="248" ht="39.75" customHeight="1">
      <c r="A248" s="1">
        <v>266.0</v>
      </c>
      <c r="B248" s="2" t="s">
        <v>267</v>
      </c>
      <c r="C248" s="2" t="s">
        <v>7</v>
      </c>
      <c r="D248" s="13"/>
      <c r="E248" s="13"/>
      <c r="F248" s="44" t="s">
        <v>4260</v>
      </c>
      <c r="G248" s="42"/>
      <c r="H248" s="42"/>
      <c r="I248" s="42"/>
      <c r="J248" s="22"/>
      <c r="K248" s="42"/>
    </row>
    <row r="249" ht="39.75" customHeight="1">
      <c r="A249" s="1">
        <v>267.0</v>
      </c>
      <c r="B249" s="2" t="s">
        <v>46</v>
      </c>
      <c r="C249" s="2" t="s">
        <v>3560</v>
      </c>
      <c r="D249" s="13"/>
      <c r="E249" s="13"/>
      <c r="F249" s="44" t="s">
        <v>4261</v>
      </c>
      <c r="G249" s="43">
        <v>1.0</v>
      </c>
      <c r="H249" s="42"/>
      <c r="I249" s="43">
        <v>1.0</v>
      </c>
      <c r="J249" s="22"/>
      <c r="K249" s="42"/>
    </row>
    <row r="250" ht="39.75" customHeight="1">
      <c r="A250" s="1">
        <v>270.0</v>
      </c>
      <c r="B250" s="21"/>
      <c r="C250" s="21"/>
      <c r="D250" s="21"/>
      <c r="E250" s="21"/>
      <c r="F250" s="46"/>
      <c r="G250" s="47"/>
      <c r="H250" s="47"/>
      <c r="I250" s="47"/>
      <c r="J250" s="48"/>
      <c r="K250" s="47"/>
      <c r="L250" s="49"/>
      <c r="M250" s="49"/>
      <c r="N250" s="49"/>
    </row>
    <row r="251" ht="39.75" customHeight="1">
      <c r="A251" s="1">
        <v>276.0</v>
      </c>
      <c r="B251" s="143" t="s">
        <v>34</v>
      </c>
      <c r="C251" s="143" t="s">
        <v>272</v>
      </c>
      <c r="D251" s="145"/>
      <c r="E251" s="145"/>
      <c r="F251" s="142"/>
      <c r="G251" s="147"/>
      <c r="H251" s="147"/>
      <c r="I251" s="147"/>
      <c r="J251" s="27" t="s">
        <v>491</v>
      </c>
      <c r="K251" s="42"/>
      <c r="L251" s="15" t="s">
        <v>4262</v>
      </c>
    </row>
    <row r="252" ht="39.75" customHeight="1">
      <c r="A252" s="1">
        <v>277.0</v>
      </c>
      <c r="B252" s="2" t="s">
        <v>21</v>
      </c>
      <c r="C252" s="2" t="s">
        <v>63</v>
      </c>
      <c r="D252" s="13"/>
      <c r="E252" s="13"/>
      <c r="F252" s="45"/>
      <c r="G252" s="42"/>
      <c r="H252" s="42"/>
      <c r="I252" s="42"/>
      <c r="J252" s="27" t="s">
        <v>209</v>
      </c>
      <c r="K252" s="42"/>
    </row>
    <row r="253" ht="39.75" customHeight="1">
      <c r="A253" s="1">
        <v>278.0</v>
      </c>
      <c r="B253" s="2" t="s">
        <v>22</v>
      </c>
      <c r="C253" s="2" t="s">
        <v>44</v>
      </c>
      <c r="D253" s="13"/>
      <c r="E253" s="13"/>
      <c r="F253" s="45"/>
      <c r="G253" s="42"/>
      <c r="H253" s="42"/>
      <c r="I253" s="42"/>
      <c r="J253" s="27" t="s">
        <v>4263</v>
      </c>
      <c r="K253" s="42"/>
    </row>
    <row r="254" ht="39.75" customHeight="1">
      <c r="A254" s="1">
        <v>282.0</v>
      </c>
      <c r="B254" s="2" t="s">
        <v>25</v>
      </c>
      <c r="C254" s="2" t="s">
        <v>39</v>
      </c>
      <c r="D254" s="13"/>
      <c r="E254" s="13"/>
      <c r="F254" s="44" t="s">
        <v>4264</v>
      </c>
      <c r="G254" s="43">
        <v>1.0</v>
      </c>
      <c r="H254" s="42"/>
      <c r="I254" s="43">
        <v>1.0</v>
      </c>
      <c r="J254" s="27" t="s">
        <v>3633</v>
      </c>
      <c r="K254" s="42"/>
    </row>
    <row r="255" ht="39.75" customHeight="1">
      <c r="A255" s="1">
        <v>284.0</v>
      </c>
      <c r="B255" s="2" t="s">
        <v>29</v>
      </c>
      <c r="C255" s="2" t="s">
        <v>3560</v>
      </c>
      <c r="D255" s="13"/>
      <c r="E255" s="51">
        <v>0.8333333333333334</v>
      </c>
      <c r="F255" s="44" t="s">
        <v>4265</v>
      </c>
      <c r="G255" s="43">
        <v>2.0</v>
      </c>
      <c r="H255" s="42"/>
      <c r="I255" s="43">
        <v>1.0</v>
      </c>
      <c r="J255" s="22"/>
      <c r="K255" s="42"/>
    </row>
    <row r="256" ht="39.75" customHeight="1">
      <c r="A256" s="1">
        <v>285.0</v>
      </c>
      <c r="B256" s="2" t="s">
        <v>32</v>
      </c>
      <c r="C256" s="2" t="s">
        <v>3560</v>
      </c>
      <c r="D256" s="13"/>
      <c r="E256" s="51">
        <v>0.875</v>
      </c>
      <c r="F256" s="44" t="s">
        <v>4266</v>
      </c>
      <c r="G256" s="43">
        <v>1.0</v>
      </c>
      <c r="H256" s="42"/>
      <c r="I256" s="42"/>
      <c r="J256" s="22"/>
      <c r="K256" s="42"/>
    </row>
    <row r="257" ht="39.75" customHeight="1">
      <c r="A257" s="1">
        <v>286.0</v>
      </c>
      <c r="B257" s="2" t="s">
        <v>67</v>
      </c>
      <c r="C257" s="2" t="s">
        <v>69</v>
      </c>
      <c r="D257" s="13"/>
      <c r="E257" s="51">
        <v>0.875</v>
      </c>
      <c r="F257" s="44" t="s">
        <v>4267</v>
      </c>
      <c r="G257" s="43">
        <v>1.0</v>
      </c>
      <c r="H257" s="42"/>
      <c r="I257" s="42"/>
      <c r="J257" s="22"/>
      <c r="K257" s="42"/>
    </row>
    <row r="258" ht="39.75" customHeight="1">
      <c r="A258" s="1">
        <v>288.0</v>
      </c>
      <c r="B258" s="2" t="s">
        <v>36</v>
      </c>
      <c r="C258" s="2" t="s">
        <v>27</v>
      </c>
      <c r="D258" s="13"/>
      <c r="E258" s="13"/>
      <c r="F258" s="44" t="s">
        <v>4268</v>
      </c>
      <c r="G258" s="43">
        <v>1.0</v>
      </c>
      <c r="H258" s="42"/>
      <c r="I258" s="42"/>
      <c r="J258" s="22"/>
      <c r="K258" s="42"/>
    </row>
    <row r="259" ht="39.75" customHeight="1">
      <c r="A259" s="1">
        <v>297.0</v>
      </c>
      <c r="B259" s="21"/>
      <c r="C259" s="21"/>
      <c r="D259" s="21"/>
      <c r="E259" s="21"/>
      <c r="F259" s="46"/>
      <c r="G259" s="47"/>
      <c r="H259" s="47"/>
      <c r="I259" s="47"/>
      <c r="J259" s="48"/>
      <c r="K259" s="47"/>
      <c r="L259" s="49"/>
      <c r="M259" s="49"/>
      <c r="N259" s="49"/>
    </row>
    <row r="260" ht="39.75" customHeight="1">
      <c r="A260" s="1">
        <v>298.0</v>
      </c>
      <c r="B260" s="2" t="s">
        <v>12</v>
      </c>
      <c r="C260" s="2" t="s">
        <v>62</v>
      </c>
      <c r="D260" s="13"/>
      <c r="E260" s="13"/>
      <c r="F260" s="44" t="s">
        <v>1543</v>
      </c>
      <c r="G260" s="43">
        <v>1.0</v>
      </c>
      <c r="H260" s="42"/>
      <c r="I260" s="42"/>
      <c r="J260" s="27" t="s">
        <v>491</v>
      </c>
      <c r="K260" s="42"/>
      <c r="L260" s="15" t="s">
        <v>4269</v>
      </c>
    </row>
    <row r="261" ht="39.75" customHeight="1">
      <c r="A261" s="1">
        <v>299.0</v>
      </c>
      <c r="B261" s="2" t="s">
        <v>16</v>
      </c>
      <c r="C261" s="2" t="s">
        <v>39</v>
      </c>
      <c r="D261" s="13"/>
      <c r="E261" s="13"/>
      <c r="F261" s="44" t="s">
        <v>4270</v>
      </c>
      <c r="G261" s="43">
        <v>1.0</v>
      </c>
      <c r="H261" s="42"/>
      <c r="I261" s="42"/>
      <c r="J261" s="27" t="s">
        <v>228</v>
      </c>
      <c r="K261" s="43"/>
    </row>
    <row r="262" ht="39.75" customHeight="1">
      <c r="A262" s="1">
        <v>300.0</v>
      </c>
      <c r="B262" s="2" t="s">
        <v>116</v>
      </c>
      <c r="C262" s="2" t="s">
        <v>13</v>
      </c>
      <c r="D262" s="13"/>
      <c r="E262" s="13"/>
      <c r="F262" s="45"/>
      <c r="G262" s="42"/>
      <c r="H262" s="42"/>
      <c r="I262" s="42"/>
      <c r="J262" s="27" t="s">
        <v>56</v>
      </c>
      <c r="K262" s="42"/>
    </row>
    <row r="263" ht="39.75" customHeight="1">
      <c r="A263" s="1">
        <v>301.0</v>
      </c>
      <c r="B263" s="2" t="s">
        <v>263</v>
      </c>
      <c r="C263" s="2"/>
      <c r="D263" s="13"/>
      <c r="E263" s="13"/>
      <c r="F263" s="44" t="s">
        <v>4271</v>
      </c>
      <c r="G263" s="43">
        <v>1.0</v>
      </c>
      <c r="H263" s="42"/>
      <c r="I263" s="42"/>
      <c r="J263" s="27" t="s">
        <v>3633</v>
      </c>
      <c r="K263" s="42"/>
    </row>
    <row r="264" ht="39.75" customHeight="1">
      <c r="A264" s="1">
        <v>302.0</v>
      </c>
      <c r="B264" s="2" t="s">
        <v>17</v>
      </c>
      <c r="C264" s="2" t="s">
        <v>64</v>
      </c>
      <c r="D264" s="13"/>
      <c r="E264" s="13"/>
      <c r="F264" s="44" t="s">
        <v>3604</v>
      </c>
      <c r="G264" s="43">
        <v>1.0</v>
      </c>
      <c r="H264" s="42"/>
      <c r="I264" s="42"/>
      <c r="J264" s="22"/>
      <c r="K264" s="42"/>
    </row>
    <row r="265" ht="39.75" customHeight="1">
      <c r="A265" s="1">
        <v>303.0</v>
      </c>
      <c r="B265" s="2" t="s">
        <v>331</v>
      </c>
      <c r="C265" s="2" t="s">
        <v>542</v>
      </c>
      <c r="D265" s="13"/>
      <c r="E265" s="13"/>
      <c r="F265" s="44" t="s">
        <v>1889</v>
      </c>
      <c r="G265" s="42"/>
      <c r="H265" s="42"/>
      <c r="I265" s="42"/>
      <c r="J265" s="22"/>
      <c r="K265" s="42"/>
    </row>
    <row r="266" ht="39.75" customHeight="1">
      <c r="A266" s="1">
        <v>304.0</v>
      </c>
      <c r="B266" s="2" t="s">
        <v>21</v>
      </c>
      <c r="C266" s="2"/>
      <c r="D266" s="13"/>
      <c r="E266" s="13"/>
      <c r="F266" s="44" t="s">
        <v>4272</v>
      </c>
      <c r="G266" s="43">
        <v>1.0</v>
      </c>
      <c r="H266" s="42"/>
      <c r="I266" s="42"/>
      <c r="J266" s="22"/>
      <c r="K266" s="42"/>
    </row>
    <row r="267" ht="39.75" customHeight="1">
      <c r="A267" s="1">
        <v>305.0</v>
      </c>
      <c r="B267" s="2" t="s">
        <v>22</v>
      </c>
      <c r="C267" s="2" t="s">
        <v>4273</v>
      </c>
      <c r="D267" s="13"/>
      <c r="E267" s="13"/>
      <c r="F267" s="44" t="s">
        <v>1889</v>
      </c>
      <c r="G267" s="42"/>
      <c r="H267" s="42"/>
      <c r="I267" s="42"/>
      <c r="J267" s="22"/>
      <c r="K267" s="42"/>
    </row>
    <row r="268" ht="39.75" customHeight="1">
      <c r="A268" s="1">
        <v>306.0</v>
      </c>
      <c r="B268" s="2" t="s">
        <v>261</v>
      </c>
      <c r="C268" s="2"/>
      <c r="D268" s="13"/>
      <c r="E268" s="13"/>
      <c r="F268" s="44" t="s">
        <v>4274</v>
      </c>
      <c r="G268" s="43">
        <v>1.0</v>
      </c>
      <c r="H268" s="42"/>
      <c r="I268" s="42"/>
      <c r="J268" s="22"/>
      <c r="K268" s="42"/>
    </row>
    <row r="269" ht="39.75" customHeight="1">
      <c r="A269" s="1">
        <v>307.0</v>
      </c>
      <c r="B269" s="2" t="s">
        <v>23</v>
      </c>
      <c r="C269" s="2" t="s">
        <v>13</v>
      </c>
      <c r="D269" s="13"/>
      <c r="E269" s="13"/>
      <c r="F269" s="45"/>
      <c r="G269" s="42"/>
      <c r="H269" s="42"/>
      <c r="I269" s="42"/>
      <c r="J269" s="22"/>
      <c r="K269" s="42"/>
    </row>
    <row r="270" ht="39.75" customHeight="1">
      <c r="A270" s="1">
        <v>308.0</v>
      </c>
      <c r="B270" s="2" t="s">
        <v>24</v>
      </c>
      <c r="C270" s="2" t="s">
        <v>63</v>
      </c>
      <c r="D270" s="13"/>
      <c r="E270" s="13"/>
      <c r="F270" s="45"/>
      <c r="G270" s="42"/>
      <c r="H270" s="42"/>
      <c r="I270" s="42"/>
      <c r="J270" s="22"/>
      <c r="K270" s="42"/>
    </row>
    <row r="271" ht="39.75" customHeight="1">
      <c r="A271" s="1">
        <v>309.0</v>
      </c>
      <c r="B271" s="2" t="s">
        <v>25</v>
      </c>
      <c r="C271" s="2" t="s">
        <v>54</v>
      </c>
      <c r="D271" s="53">
        <v>0.3541666666666667</v>
      </c>
      <c r="E271" s="51">
        <v>0.8125</v>
      </c>
      <c r="F271" s="44" t="s">
        <v>4275</v>
      </c>
      <c r="G271" s="43">
        <v>1.0</v>
      </c>
      <c r="H271" s="42"/>
      <c r="I271" s="42"/>
      <c r="J271" s="22"/>
      <c r="K271" s="42"/>
    </row>
    <row r="272" ht="39.75" customHeight="1">
      <c r="A272" s="1">
        <v>310.0</v>
      </c>
      <c r="B272" s="2" t="s">
        <v>26</v>
      </c>
      <c r="C272" s="2" t="s">
        <v>13</v>
      </c>
      <c r="D272" s="13"/>
      <c r="E272" s="13"/>
      <c r="F272" s="45"/>
      <c r="G272" s="42"/>
      <c r="H272" s="42"/>
      <c r="I272" s="42"/>
      <c r="J272" s="22"/>
      <c r="K272" s="42"/>
    </row>
    <row r="273" ht="39.75" customHeight="1">
      <c r="A273" s="1">
        <v>311.0</v>
      </c>
      <c r="B273" s="2" t="s">
        <v>29</v>
      </c>
      <c r="C273" s="2" t="s">
        <v>54</v>
      </c>
      <c r="D273" s="2"/>
      <c r="E273" s="51">
        <v>0.8958333333333334</v>
      </c>
      <c r="F273" s="44" t="s">
        <v>4276</v>
      </c>
      <c r="G273" s="43">
        <v>1.0</v>
      </c>
      <c r="H273" s="42"/>
      <c r="I273" s="42"/>
      <c r="J273" s="22"/>
      <c r="K273" s="42"/>
    </row>
    <row r="274" ht="39.75" customHeight="1">
      <c r="A274" s="1">
        <v>312.0</v>
      </c>
      <c r="B274" s="2" t="s">
        <v>32</v>
      </c>
      <c r="C274" s="2" t="s">
        <v>69</v>
      </c>
      <c r="D274" s="13"/>
      <c r="E274" s="13"/>
      <c r="F274" s="44" t="s">
        <v>1889</v>
      </c>
      <c r="G274" s="42"/>
      <c r="H274" s="42"/>
      <c r="I274" s="42"/>
      <c r="J274" s="22"/>
      <c r="K274" s="42"/>
    </row>
    <row r="275" ht="39.75" customHeight="1">
      <c r="A275" s="1">
        <v>313.0</v>
      </c>
      <c r="B275" s="2" t="s">
        <v>67</v>
      </c>
      <c r="C275" s="2" t="s">
        <v>69</v>
      </c>
      <c r="D275" s="13"/>
      <c r="E275" s="13"/>
      <c r="F275" s="44" t="s">
        <v>1889</v>
      </c>
      <c r="G275" s="42"/>
      <c r="H275" s="42"/>
      <c r="I275" s="42"/>
      <c r="J275" s="22"/>
      <c r="K275" s="42"/>
    </row>
    <row r="276" ht="39.75" customHeight="1">
      <c r="A276" s="1">
        <v>314.0</v>
      </c>
      <c r="B276" s="2" t="s">
        <v>35</v>
      </c>
      <c r="C276" s="2" t="s">
        <v>54</v>
      </c>
      <c r="D276" s="13"/>
      <c r="E276" s="13"/>
      <c r="F276" s="44" t="s">
        <v>1889</v>
      </c>
      <c r="G276" s="42"/>
      <c r="H276" s="42"/>
      <c r="I276" s="42"/>
      <c r="J276" s="22"/>
      <c r="K276" s="42"/>
    </row>
    <row r="277" ht="39.75" customHeight="1">
      <c r="A277" s="1">
        <v>315.0</v>
      </c>
      <c r="B277" s="2" t="s">
        <v>36</v>
      </c>
      <c r="C277" s="2" t="s">
        <v>44</v>
      </c>
      <c r="D277" s="13"/>
      <c r="E277" s="13"/>
      <c r="F277" s="45"/>
      <c r="G277" s="42"/>
      <c r="H277" s="42"/>
      <c r="I277" s="42"/>
      <c r="J277" s="22"/>
      <c r="K277" s="42"/>
    </row>
    <row r="278" ht="39.75" customHeight="1">
      <c r="A278" s="1">
        <v>316.0</v>
      </c>
      <c r="B278" s="2" t="s">
        <v>38</v>
      </c>
      <c r="C278" s="2" t="s">
        <v>69</v>
      </c>
      <c r="D278" s="13"/>
      <c r="E278" s="13"/>
      <c r="F278" s="44" t="s">
        <v>1889</v>
      </c>
      <c r="G278" s="42"/>
      <c r="H278" s="42"/>
      <c r="I278" s="42"/>
      <c r="J278" s="22"/>
      <c r="K278" s="42"/>
    </row>
    <row r="279" ht="39.75" customHeight="1">
      <c r="A279" s="1">
        <v>317.0</v>
      </c>
      <c r="B279" s="2" t="s">
        <v>41</v>
      </c>
      <c r="C279" s="2" t="s">
        <v>13</v>
      </c>
      <c r="D279" s="13"/>
      <c r="E279" s="13"/>
      <c r="F279" s="45"/>
      <c r="G279" s="42"/>
      <c r="H279" s="42"/>
      <c r="I279" s="42"/>
      <c r="J279" s="22"/>
      <c r="K279" s="42"/>
    </row>
    <row r="280" ht="39.75" customHeight="1">
      <c r="A280" s="1">
        <v>318.0</v>
      </c>
      <c r="B280" s="2" t="s">
        <v>42</v>
      </c>
      <c r="C280" s="2" t="s">
        <v>54</v>
      </c>
      <c r="D280" s="13"/>
      <c r="E280" s="13"/>
      <c r="F280" s="44" t="s">
        <v>1889</v>
      </c>
      <c r="G280" s="42"/>
      <c r="H280" s="42"/>
      <c r="I280" s="42"/>
      <c r="J280" s="22"/>
      <c r="K280" s="42"/>
    </row>
    <row r="281" ht="39.75" customHeight="1">
      <c r="A281" s="1">
        <v>319.0</v>
      </c>
      <c r="B281" s="2" t="s">
        <v>43</v>
      </c>
      <c r="C281" s="2" t="s">
        <v>66</v>
      </c>
      <c r="D281" s="13"/>
      <c r="E281" s="13"/>
      <c r="F281" s="45"/>
      <c r="G281" s="42"/>
      <c r="H281" s="42"/>
      <c r="I281" s="42"/>
      <c r="J281" s="22"/>
      <c r="K281" s="42"/>
    </row>
    <row r="282" ht="39.75" customHeight="1">
      <c r="A282" s="1">
        <v>320.0</v>
      </c>
      <c r="B282" s="2" t="s">
        <v>267</v>
      </c>
      <c r="C282" s="2" t="s">
        <v>39</v>
      </c>
      <c r="D282" s="13"/>
      <c r="E282" s="13"/>
      <c r="F282" s="44" t="s">
        <v>4277</v>
      </c>
      <c r="G282" s="43">
        <v>1.0</v>
      </c>
      <c r="H282" s="42"/>
      <c r="I282" s="43">
        <v>1.0</v>
      </c>
      <c r="J282" s="22"/>
      <c r="K282" s="42"/>
    </row>
    <row r="283" ht="39.75" customHeight="1">
      <c r="A283" s="1">
        <v>321.0</v>
      </c>
      <c r="B283" s="2" t="s">
        <v>46</v>
      </c>
      <c r="C283" s="2"/>
      <c r="D283" s="13"/>
      <c r="E283" s="13"/>
      <c r="F283" s="44" t="s">
        <v>4274</v>
      </c>
      <c r="G283" s="43">
        <v>1.0</v>
      </c>
      <c r="H283" s="42"/>
      <c r="I283" s="43">
        <v>1.0</v>
      </c>
      <c r="J283" s="22"/>
      <c r="K283" s="42"/>
    </row>
    <row r="284" ht="39.75" customHeight="1">
      <c r="A284" s="1">
        <v>322.0</v>
      </c>
      <c r="B284" s="2" t="s">
        <v>47</v>
      </c>
      <c r="C284" s="2" t="s">
        <v>13</v>
      </c>
      <c r="D284" s="13"/>
      <c r="E284" s="13"/>
      <c r="F284" s="45"/>
      <c r="G284" s="42"/>
      <c r="H284" s="42"/>
      <c r="I284" s="42"/>
      <c r="J284" s="22"/>
      <c r="K284" s="42"/>
    </row>
    <row r="285" ht="39.75" customHeight="1">
      <c r="A285" s="1">
        <v>323.0</v>
      </c>
      <c r="B285" s="2" t="s">
        <v>48</v>
      </c>
      <c r="C285" s="2" t="s">
        <v>27</v>
      </c>
      <c r="D285" s="13"/>
      <c r="E285" s="13"/>
      <c r="F285" s="44" t="s">
        <v>4278</v>
      </c>
      <c r="G285" s="43">
        <v>1.0</v>
      </c>
      <c r="H285" s="42"/>
      <c r="I285" s="42"/>
      <c r="J285" s="22"/>
      <c r="K285" s="42"/>
    </row>
    <row r="286" ht="39.75" customHeight="1">
      <c r="A286" s="1">
        <v>324.0</v>
      </c>
      <c r="B286" s="21"/>
      <c r="C286" s="21"/>
      <c r="D286" s="21"/>
      <c r="E286" s="21"/>
      <c r="F286" s="46"/>
      <c r="G286" s="47"/>
      <c r="H286" s="47"/>
      <c r="I286" s="47"/>
      <c r="J286" s="48"/>
      <c r="K286" s="47"/>
      <c r="L286" s="49"/>
      <c r="M286" s="49"/>
      <c r="N286" s="49"/>
    </row>
    <row r="287" ht="39.75" customHeight="1">
      <c r="A287" s="1">
        <v>325.0</v>
      </c>
      <c r="B287" s="2" t="s">
        <v>12</v>
      </c>
      <c r="C287" s="2" t="s">
        <v>62</v>
      </c>
      <c r="D287" s="13"/>
      <c r="E287" s="13"/>
      <c r="F287" s="44" t="s">
        <v>4279</v>
      </c>
      <c r="G287" s="43">
        <v>1.0</v>
      </c>
      <c r="H287" s="42"/>
      <c r="I287" s="42"/>
      <c r="J287" s="27" t="s">
        <v>491</v>
      </c>
      <c r="K287" s="42"/>
      <c r="L287" s="15" t="s">
        <v>4280</v>
      </c>
    </row>
    <row r="288" ht="39.75" customHeight="1">
      <c r="A288" s="1">
        <v>326.0</v>
      </c>
      <c r="B288" s="2" t="s">
        <v>16</v>
      </c>
      <c r="C288" s="2" t="s">
        <v>27</v>
      </c>
      <c r="D288" s="13"/>
      <c r="E288" s="13"/>
      <c r="F288" s="44" t="s">
        <v>4281</v>
      </c>
      <c r="G288" s="43">
        <v>1.0</v>
      </c>
      <c r="H288" s="42"/>
      <c r="I288" s="42"/>
      <c r="J288" s="27" t="s">
        <v>244</v>
      </c>
      <c r="K288" s="43"/>
    </row>
    <row r="289" ht="39.75" customHeight="1">
      <c r="A289" s="1">
        <v>327.0</v>
      </c>
      <c r="B289" s="2" t="s">
        <v>116</v>
      </c>
      <c r="C289" s="2"/>
      <c r="D289" s="13"/>
      <c r="E289" s="13"/>
      <c r="F289" s="44" t="s">
        <v>4282</v>
      </c>
      <c r="G289" s="43">
        <v>1.0</v>
      </c>
      <c r="H289" s="42"/>
      <c r="I289" s="42"/>
      <c r="J289" s="27" t="s">
        <v>77</v>
      </c>
      <c r="K289" s="42"/>
    </row>
    <row r="290" ht="39.75" customHeight="1">
      <c r="A290" s="1">
        <v>328.0</v>
      </c>
      <c r="B290" s="2" t="s">
        <v>263</v>
      </c>
      <c r="C290" s="2"/>
      <c r="D290" s="13"/>
      <c r="E290" s="101">
        <v>0.8125</v>
      </c>
      <c r="F290" s="44" t="s">
        <v>4283</v>
      </c>
      <c r="G290" s="43">
        <v>1.0</v>
      </c>
      <c r="H290" s="42"/>
      <c r="I290" s="42"/>
      <c r="J290" s="27" t="s">
        <v>412</v>
      </c>
      <c r="K290" s="42"/>
    </row>
    <row r="291" ht="39.75" customHeight="1">
      <c r="A291" s="1">
        <v>329.0</v>
      </c>
      <c r="B291" s="2" t="s">
        <v>17</v>
      </c>
      <c r="C291" s="2" t="s">
        <v>64</v>
      </c>
      <c r="D291" s="13"/>
      <c r="E291" s="13"/>
      <c r="F291" s="44" t="s">
        <v>3392</v>
      </c>
      <c r="G291" s="43">
        <v>1.0</v>
      </c>
      <c r="H291" s="42"/>
      <c r="I291" s="42"/>
      <c r="J291" s="22"/>
      <c r="K291" s="42"/>
    </row>
    <row r="292" ht="39.75" customHeight="1">
      <c r="A292" s="1">
        <v>330.0</v>
      </c>
      <c r="B292" s="2" t="s">
        <v>331</v>
      </c>
      <c r="C292" s="2" t="s">
        <v>542</v>
      </c>
      <c r="D292" s="13"/>
      <c r="E292" s="13"/>
      <c r="F292" s="44" t="s">
        <v>4284</v>
      </c>
      <c r="G292" s="43">
        <v>1.0</v>
      </c>
      <c r="H292" s="42"/>
      <c r="I292" s="42"/>
      <c r="J292" s="22"/>
      <c r="K292" s="42"/>
    </row>
    <row r="293" ht="39.75" customHeight="1">
      <c r="A293" s="1">
        <v>331.0</v>
      </c>
      <c r="B293" s="2" t="s">
        <v>21</v>
      </c>
      <c r="C293" s="2"/>
      <c r="D293" s="13"/>
      <c r="E293" s="13"/>
      <c r="F293" s="44" t="s">
        <v>4285</v>
      </c>
      <c r="G293" s="43">
        <v>1.0</v>
      </c>
      <c r="H293" s="42"/>
      <c r="I293" s="42"/>
      <c r="J293" s="22"/>
      <c r="K293" s="42"/>
    </row>
    <row r="294" ht="39.75" customHeight="1">
      <c r="A294" s="1">
        <v>332.0</v>
      </c>
      <c r="B294" s="2" t="s">
        <v>22</v>
      </c>
      <c r="C294" s="2" t="s">
        <v>54</v>
      </c>
      <c r="D294" s="13"/>
      <c r="E294" s="13"/>
      <c r="F294" s="44" t="s">
        <v>4286</v>
      </c>
      <c r="G294" s="43">
        <v>1.0</v>
      </c>
      <c r="H294" s="42"/>
      <c r="I294" s="42"/>
      <c r="J294" s="22"/>
      <c r="K294" s="42"/>
    </row>
    <row r="295" ht="39.75" customHeight="1">
      <c r="A295" s="1">
        <v>333.0</v>
      </c>
      <c r="B295" s="2" t="s">
        <v>261</v>
      </c>
      <c r="C295" s="2"/>
      <c r="D295" s="13"/>
      <c r="E295" s="13"/>
      <c r="F295" s="44" t="s">
        <v>4287</v>
      </c>
      <c r="G295" s="2">
        <v>1.0</v>
      </c>
      <c r="H295" s="42"/>
      <c r="I295" s="42"/>
      <c r="J295" s="22"/>
      <c r="K295" s="42"/>
    </row>
    <row r="296" ht="39.75" customHeight="1">
      <c r="A296" s="1">
        <v>334.0</v>
      </c>
      <c r="B296" s="2" t="s">
        <v>23</v>
      </c>
      <c r="C296" s="2" t="s">
        <v>13</v>
      </c>
      <c r="D296" s="13"/>
      <c r="E296" s="13"/>
      <c r="F296" s="45"/>
      <c r="G296" s="42"/>
      <c r="H296" s="42"/>
      <c r="I296" s="42"/>
      <c r="J296" s="22"/>
      <c r="K296" s="42"/>
    </row>
    <row r="297" ht="39.75" customHeight="1">
      <c r="A297" s="1">
        <v>335.0</v>
      </c>
      <c r="B297" s="2" t="s">
        <v>24</v>
      </c>
      <c r="C297" s="2" t="s">
        <v>3563</v>
      </c>
      <c r="D297" s="13"/>
      <c r="E297" s="13"/>
      <c r="F297" s="45"/>
      <c r="G297" s="43">
        <v>1.0</v>
      </c>
      <c r="H297" s="42"/>
      <c r="I297" s="42"/>
      <c r="J297" s="22"/>
      <c r="K297" s="42"/>
    </row>
    <row r="298" ht="39.75" customHeight="1">
      <c r="A298" s="1">
        <v>336.0</v>
      </c>
      <c r="B298" s="2" t="s">
        <v>25</v>
      </c>
      <c r="C298" s="2" t="s">
        <v>39</v>
      </c>
      <c r="D298" s="82">
        <v>0.25</v>
      </c>
      <c r="E298" s="13"/>
      <c r="F298" s="61" t="s">
        <v>4288</v>
      </c>
      <c r="G298" s="43">
        <v>2.0</v>
      </c>
      <c r="H298" s="42"/>
      <c r="I298" s="43">
        <v>1.0</v>
      </c>
      <c r="J298" s="22"/>
      <c r="K298" s="42"/>
    </row>
    <row r="299" ht="39.75" customHeight="1">
      <c r="A299" s="1">
        <v>337.0</v>
      </c>
      <c r="B299" s="2" t="s">
        <v>26</v>
      </c>
      <c r="C299" s="2"/>
      <c r="D299" s="13"/>
      <c r="E299" s="13"/>
      <c r="F299" s="61" t="s">
        <v>4289</v>
      </c>
      <c r="G299" s="43">
        <v>1.0</v>
      </c>
      <c r="H299" s="42"/>
      <c r="I299" s="42"/>
      <c r="J299" s="22"/>
      <c r="K299" s="42"/>
    </row>
    <row r="300" ht="39.75" customHeight="1">
      <c r="A300" s="1">
        <v>338.0</v>
      </c>
      <c r="B300" s="2" t="s">
        <v>29</v>
      </c>
      <c r="C300" s="2" t="s">
        <v>54</v>
      </c>
      <c r="D300" s="13"/>
      <c r="E300" s="13"/>
      <c r="F300" s="44" t="s">
        <v>4290</v>
      </c>
      <c r="G300" s="43">
        <v>1.0</v>
      </c>
      <c r="H300" s="42"/>
      <c r="I300" s="42"/>
      <c r="J300" s="22"/>
      <c r="K300" s="42"/>
    </row>
    <row r="301" ht="39.75" customHeight="1">
      <c r="A301" s="1">
        <v>339.0</v>
      </c>
      <c r="B301" s="2" t="s">
        <v>32</v>
      </c>
      <c r="C301" s="2" t="s">
        <v>13</v>
      </c>
      <c r="D301" s="13"/>
      <c r="E301" s="13"/>
      <c r="F301" s="45"/>
      <c r="G301" s="42"/>
      <c r="H301" s="42"/>
      <c r="I301" s="42"/>
      <c r="J301" s="22"/>
      <c r="K301" s="42"/>
    </row>
    <row r="302" ht="39.75" customHeight="1">
      <c r="A302" s="1">
        <v>340.0</v>
      </c>
      <c r="B302" s="2" t="s">
        <v>67</v>
      </c>
      <c r="C302" s="2" t="s">
        <v>69</v>
      </c>
      <c r="D302" s="13"/>
      <c r="E302" s="13"/>
      <c r="F302" s="44" t="s">
        <v>4291</v>
      </c>
      <c r="G302" s="43">
        <v>1.0</v>
      </c>
      <c r="H302" s="42"/>
      <c r="I302" s="42"/>
      <c r="J302" s="22"/>
      <c r="K302" s="42"/>
    </row>
    <row r="303" ht="39.75" customHeight="1">
      <c r="A303" s="1">
        <v>341.0</v>
      </c>
      <c r="B303" s="2" t="s">
        <v>35</v>
      </c>
      <c r="C303" s="2" t="s">
        <v>69</v>
      </c>
      <c r="D303" s="13"/>
      <c r="E303" s="13"/>
      <c r="F303" s="44" t="s">
        <v>4292</v>
      </c>
      <c r="G303" s="43">
        <v>1.0</v>
      </c>
      <c r="H303" s="42"/>
      <c r="I303" s="43"/>
      <c r="J303" s="22"/>
      <c r="K303" s="42"/>
    </row>
    <row r="304" ht="39.75" customHeight="1">
      <c r="A304" s="1">
        <v>342.0</v>
      </c>
      <c r="B304" s="2" t="s">
        <v>36</v>
      </c>
      <c r="C304" s="2" t="s">
        <v>13</v>
      </c>
      <c r="D304" s="13"/>
      <c r="E304" s="13"/>
      <c r="F304" s="45"/>
      <c r="G304" s="42"/>
      <c r="H304" s="42"/>
      <c r="I304" s="42"/>
      <c r="J304" s="22"/>
      <c r="K304" s="42"/>
    </row>
    <row r="305" ht="39.75" customHeight="1">
      <c r="A305" s="1">
        <v>343.0</v>
      </c>
      <c r="B305" s="2" t="s">
        <v>38</v>
      </c>
      <c r="C305" s="2" t="s">
        <v>69</v>
      </c>
      <c r="D305" s="13"/>
      <c r="E305" s="13"/>
      <c r="F305" s="44" t="s">
        <v>4293</v>
      </c>
      <c r="G305" s="43">
        <v>1.0</v>
      </c>
      <c r="H305" s="42"/>
      <c r="I305" s="42"/>
      <c r="J305" s="22"/>
      <c r="K305" s="42"/>
    </row>
    <row r="306" ht="39.75" customHeight="1">
      <c r="A306" s="1">
        <v>344.0</v>
      </c>
      <c r="B306" s="2" t="s">
        <v>41</v>
      </c>
      <c r="C306" s="2" t="s">
        <v>13</v>
      </c>
      <c r="D306" s="13"/>
      <c r="E306" s="13"/>
      <c r="F306" s="45"/>
      <c r="G306" s="42"/>
      <c r="H306" s="42"/>
      <c r="I306" s="42"/>
      <c r="J306" s="22"/>
      <c r="K306" s="42"/>
    </row>
    <row r="307" ht="39.75" customHeight="1">
      <c r="A307" s="1">
        <v>345.0</v>
      </c>
      <c r="B307" s="2" t="s">
        <v>42</v>
      </c>
      <c r="C307" s="2" t="s">
        <v>54</v>
      </c>
      <c r="D307" s="13"/>
      <c r="E307" s="13"/>
      <c r="F307" s="44" t="s">
        <v>4290</v>
      </c>
      <c r="G307" s="43">
        <v>1.0</v>
      </c>
      <c r="H307" s="42"/>
      <c r="I307" s="42"/>
      <c r="J307" s="22"/>
      <c r="K307" s="42"/>
    </row>
    <row r="308" ht="39.75" customHeight="1">
      <c r="A308" s="1">
        <v>346.0</v>
      </c>
      <c r="B308" s="2" t="s">
        <v>43</v>
      </c>
      <c r="C308" s="2" t="s">
        <v>54</v>
      </c>
      <c r="D308" s="82">
        <v>0.3125</v>
      </c>
      <c r="E308" s="13"/>
      <c r="F308" s="44" t="s">
        <v>4294</v>
      </c>
      <c r="G308" s="43">
        <v>1.0</v>
      </c>
      <c r="H308" s="42"/>
      <c r="I308" s="42"/>
      <c r="J308" s="22"/>
      <c r="K308" s="42"/>
    </row>
    <row r="309" ht="39.75" customHeight="1">
      <c r="A309" s="1">
        <v>347.0</v>
      </c>
      <c r="B309" s="2" t="s">
        <v>267</v>
      </c>
      <c r="C309" s="2" t="s">
        <v>13</v>
      </c>
      <c r="D309" s="13"/>
      <c r="E309" s="13"/>
      <c r="F309" s="45"/>
      <c r="G309" s="42"/>
      <c r="H309" s="42"/>
      <c r="I309" s="42"/>
      <c r="J309" s="22"/>
      <c r="K309" s="42"/>
    </row>
    <row r="310" ht="39.75" customHeight="1">
      <c r="A310" s="1">
        <v>348.0</v>
      </c>
      <c r="B310" s="2" t="s">
        <v>46</v>
      </c>
      <c r="C310" s="2" t="s">
        <v>39</v>
      </c>
      <c r="D310" s="13"/>
      <c r="E310" s="13"/>
      <c r="F310" s="44" t="s">
        <v>4295</v>
      </c>
      <c r="G310" s="43">
        <v>2.0</v>
      </c>
      <c r="H310" s="42"/>
      <c r="I310" s="43">
        <v>1.0</v>
      </c>
      <c r="J310" s="22"/>
      <c r="K310" s="42"/>
    </row>
    <row r="311" ht="39.75" customHeight="1">
      <c r="A311" s="1">
        <v>349.0</v>
      </c>
      <c r="B311" s="2" t="s">
        <v>47</v>
      </c>
      <c r="C311" s="2" t="s">
        <v>4296</v>
      </c>
      <c r="D311" s="13"/>
      <c r="E311" s="51">
        <v>0.75</v>
      </c>
      <c r="F311" s="44" t="s">
        <v>4297</v>
      </c>
      <c r="G311" s="43">
        <v>2.0</v>
      </c>
      <c r="H311" s="42"/>
      <c r="I311" s="43">
        <v>2.0</v>
      </c>
      <c r="J311" s="22"/>
      <c r="K311" s="42"/>
    </row>
    <row r="312" ht="39.75" customHeight="1">
      <c r="A312" s="1">
        <v>350.0</v>
      </c>
      <c r="B312" s="2" t="s">
        <v>48</v>
      </c>
      <c r="C312" s="2" t="s">
        <v>44</v>
      </c>
      <c r="D312" s="13"/>
      <c r="E312" s="13"/>
      <c r="F312" s="52" t="s">
        <v>4298</v>
      </c>
      <c r="G312" s="43">
        <v>1.0</v>
      </c>
      <c r="H312" s="42"/>
      <c r="I312" s="42"/>
      <c r="J312" s="22"/>
      <c r="K312" s="42"/>
    </row>
    <row r="313" ht="39.75" customHeight="1">
      <c r="A313" s="1">
        <v>351.0</v>
      </c>
      <c r="B313" s="21"/>
      <c r="C313" s="21"/>
      <c r="D313" s="21"/>
      <c r="E313" s="21"/>
      <c r="F313" s="46"/>
      <c r="G313" s="47"/>
      <c r="H313" s="47"/>
      <c r="I313" s="47"/>
      <c r="J313" s="48"/>
      <c r="K313" s="47"/>
      <c r="L313" s="49"/>
      <c r="M313" s="49"/>
      <c r="N313" s="49"/>
    </row>
    <row r="314" ht="39.75" customHeight="1">
      <c r="A314" s="1">
        <v>352.0</v>
      </c>
      <c r="B314" s="2" t="s">
        <v>12</v>
      </c>
      <c r="C314" s="2" t="s">
        <v>62</v>
      </c>
      <c r="D314" s="13"/>
      <c r="E314" s="13"/>
      <c r="F314" s="44" t="s">
        <v>4299</v>
      </c>
      <c r="G314" s="43">
        <v>1.0</v>
      </c>
      <c r="H314" s="42"/>
      <c r="I314" s="43">
        <v>1.0</v>
      </c>
      <c r="J314" s="27" t="s">
        <v>491</v>
      </c>
      <c r="K314" s="42"/>
      <c r="L314" s="15" t="s">
        <v>4300</v>
      </c>
    </row>
    <row r="315" ht="39.75" customHeight="1">
      <c r="A315" s="1">
        <v>353.0</v>
      </c>
      <c r="B315" s="2" t="s">
        <v>16</v>
      </c>
      <c r="C315" s="2" t="s">
        <v>44</v>
      </c>
      <c r="D315" s="13"/>
      <c r="E315" s="13"/>
      <c r="F315" s="45"/>
      <c r="G315" s="42"/>
      <c r="H315" s="42"/>
      <c r="I315" s="42"/>
      <c r="J315" s="27" t="s">
        <v>260</v>
      </c>
      <c r="K315" s="43"/>
    </row>
    <row r="316" ht="39.75" customHeight="1">
      <c r="A316" s="1">
        <v>354.0</v>
      </c>
      <c r="B316" s="2" t="s">
        <v>116</v>
      </c>
      <c r="C316" s="2"/>
      <c r="D316" s="13"/>
      <c r="E316" s="13"/>
      <c r="F316" s="44" t="s">
        <v>4301</v>
      </c>
      <c r="G316" s="43">
        <v>1.0</v>
      </c>
      <c r="H316" s="42"/>
      <c r="I316" s="42"/>
      <c r="J316" s="27" t="s">
        <v>95</v>
      </c>
      <c r="K316" s="42"/>
    </row>
    <row r="317" ht="39.75" customHeight="1">
      <c r="A317" s="1">
        <v>355.0</v>
      </c>
      <c r="B317" s="2" t="s">
        <v>263</v>
      </c>
      <c r="C317" s="2" t="s">
        <v>39</v>
      </c>
      <c r="D317" s="13"/>
      <c r="E317" s="13"/>
      <c r="F317" s="44" t="s">
        <v>4302</v>
      </c>
      <c r="G317" s="43">
        <v>2.0</v>
      </c>
      <c r="H317" s="42"/>
      <c r="I317" s="43">
        <v>2.0</v>
      </c>
      <c r="J317" s="22"/>
      <c r="K317" s="42"/>
    </row>
    <row r="318" ht="39.75" customHeight="1">
      <c r="A318" s="1">
        <v>356.0</v>
      </c>
      <c r="B318" s="2" t="s">
        <v>17</v>
      </c>
      <c r="C318" s="2" t="s">
        <v>64</v>
      </c>
      <c r="D318" s="13"/>
      <c r="E318" s="13"/>
      <c r="F318" s="44" t="s">
        <v>3392</v>
      </c>
      <c r="G318" s="43">
        <v>1.0</v>
      </c>
      <c r="H318" s="42"/>
      <c r="I318" s="42"/>
      <c r="J318" s="22"/>
      <c r="K318" s="42"/>
    </row>
    <row r="319" ht="39.75" customHeight="1">
      <c r="A319" s="1">
        <v>357.0</v>
      </c>
      <c r="B319" s="2" t="s">
        <v>331</v>
      </c>
      <c r="C319" s="2" t="s">
        <v>13</v>
      </c>
      <c r="D319" s="13"/>
      <c r="E319" s="13"/>
      <c r="F319" s="45"/>
      <c r="G319" s="42"/>
      <c r="H319" s="42"/>
      <c r="I319" s="42"/>
      <c r="J319" s="22"/>
      <c r="K319" s="42"/>
    </row>
    <row r="320" ht="39.75" customHeight="1">
      <c r="A320" s="1">
        <v>358.0</v>
      </c>
      <c r="B320" s="2" t="s">
        <v>21</v>
      </c>
      <c r="C320" s="2"/>
      <c r="D320" s="13"/>
      <c r="E320" s="13"/>
      <c r="F320" s="44" t="s">
        <v>4303</v>
      </c>
      <c r="G320" s="43">
        <v>1.0</v>
      </c>
      <c r="H320" s="42"/>
      <c r="I320" s="43">
        <v>1.0</v>
      </c>
      <c r="J320" s="22"/>
      <c r="K320" s="42"/>
    </row>
    <row r="321" ht="39.75" customHeight="1">
      <c r="A321" s="1">
        <v>359.0</v>
      </c>
      <c r="B321" s="2" t="s">
        <v>22</v>
      </c>
      <c r="C321" s="2" t="s">
        <v>13</v>
      </c>
      <c r="D321" s="13"/>
      <c r="E321" s="13"/>
      <c r="F321" s="45"/>
      <c r="G321" s="42"/>
      <c r="H321" s="42"/>
      <c r="I321" s="42"/>
      <c r="J321" s="22"/>
      <c r="K321" s="42"/>
    </row>
    <row r="322" ht="39.75" customHeight="1">
      <c r="A322" s="1">
        <v>360.0</v>
      </c>
      <c r="B322" s="2" t="s">
        <v>261</v>
      </c>
      <c r="C322" s="2"/>
      <c r="D322" s="13"/>
      <c r="E322" s="13"/>
      <c r="F322" s="44" t="s">
        <v>4304</v>
      </c>
      <c r="G322" s="43">
        <v>1.0</v>
      </c>
      <c r="H322" s="42"/>
      <c r="I322" s="42"/>
      <c r="J322" s="22"/>
      <c r="K322" s="42"/>
    </row>
    <row r="323" ht="39.75" customHeight="1">
      <c r="A323" s="1">
        <v>361.0</v>
      </c>
      <c r="B323" s="2" t="s">
        <v>23</v>
      </c>
      <c r="C323" s="2" t="s">
        <v>13</v>
      </c>
      <c r="D323" s="13"/>
      <c r="E323" s="13"/>
      <c r="F323" s="45"/>
      <c r="G323" s="42"/>
      <c r="H323" s="42"/>
      <c r="I323" s="42"/>
      <c r="J323" s="22"/>
      <c r="K323" s="42"/>
    </row>
    <row r="324" ht="39.75" customHeight="1">
      <c r="A324" s="1">
        <v>362.0</v>
      </c>
      <c r="B324" s="2" t="s">
        <v>24</v>
      </c>
      <c r="C324" s="2" t="s">
        <v>3563</v>
      </c>
      <c r="D324" s="13"/>
      <c r="E324" s="13"/>
      <c r="F324" s="45"/>
      <c r="G324" s="42"/>
      <c r="H324" s="42"/>
      <c r="I324" s="42"/>
      <c r="J324" s="22"/>
      <c r="K324" s="42"/>
    </row>
    <row r="325" ht="39.75" customHeight="1">
      <c r="A325" s="1">
        <v>363.0</v>
      </c>
      <c r="B325" s="2" t="s">
        <v>25</v>
      </c>
      <c r="C325" s="2"/>
      <c r="D325" s="13"/>
      <c r="E325" s="13"/>
      <c r="F325" s="44" t="s">
        <v>4305</v>
      </c>
      <c r="G325" s="43">
        <v>1.0</v>
      </c>
      <c r="H325" s="42"/>
      <c r="I325" s="43">
        <v>1.0</v>
      </c>
      <c r="J325" s="22"/>
      <c r="K325" s="42"/>
    </row>
    <row r="326" ht="39.75" customHeight="1">
      <c r="A326" s="1">
        <v>364.0</v>
      </c>
      <c r="B326" s="2" t="s">
        <v>26</v>
      </c>
      <c r="C326" s="2" t="s">
        <v>69</v>
      </c>
      <c r="D326" s="13"/>
      <c r="E326" s="13"/>
      <c r="F326" s="44" t="s">
        <v>4306</v>
      </c>
      <c r="G326" s="43">
        <v>1.0</v>
      </c>
      <c r="H326" s="42"/>
      <c r="I326" s="42"/>
      <c r="J326" s="22"/>
      <c r="K326" s="42"/>
    </row>
    <row r="327" ht="39.75" customHeight="1">
      <c r="A327" s="1">
        <v>365.0</v>
      </c>
      <c r="B327" s="2" t="s">
        <v>29</v>
      </c>
      <c r="C327" s="2" t="s">
        <v>54</v>
      </c>
      <c r="D327" s="13"/>
      <c r="E327" s="13"/>
      <c r="F327" s="44" t="s">
        <v>4307</v>
      </c>
      <c r="G327" s="43">
        <v>1.0</v>
      </c>
      <c r="H327" s="42"/>
      <c r="I327" s="42"/>
      <c r="J327" s="22"/>
      <c r="K327" s="42"/>
    </row>
    <row r="328" ht="39.75" customHeight="1">
      <c r="A328" s="1">
        <v>366.0</v>
      </c>
      <c r="B328" s="2" t="s">
        <v>32</v>
      </c>
      <c r="C328" s="2" t="s">
        <v>27</v>
      </c>
      <c r="D328" s="13"/>
      <c r="E328" s="13"/>
      <c r="F328" s="45"/>
      <c r="G328" s="42"/>
      <c r="H328" s="42"/>
      <c r="I328" s="42"/>
      <c r="J328" s="22"/>
      <c r="K328" s="42"/>
    </row>
    <row r="329" ht="39.75" customHeight="1">
      <c r="A329" s="1">
        <v>367.0</v>
      </c>
      <c r="B329" s="2" t="s">
        <v>67</v>
      </c>
      <c r="C329" s="2" t="s">
        <v>13</v>
      </c>
      <c r="D329" s="13"/>
      <c r="E329" s="13"/>
      <c r="F329" s="45"/>
      <c r="G329" s="42"/>
      <c r="H329" s="42"/>
      <c r="I329" s="42"/>
      <c r="J329" s="22"/>
      <c r="K329" s="42"/>
    </row>
    <row r="330" ht="39.75" customHeight="1">
      <c r="A330" s="1">
        <v>368.0</v>
      </c>
      <c r="B330" s="2" t="s">
        <v>35</v>
      </c>
      <c r="C330" s="2"/>
      <c r="D330" s="13"/>
      <c r="E330" s="13"/>
      <c r="F330" s="44" t="s">
        <v>4308</v>
      </c>
      <c r="G330" s="43">
        <v>1.0</v>
      </c>
      <c r="H330" s="42"/>
      <c r="I330" s="42"/>
      <c r="J330" s="22"/>
      <c r="K330" s="42"/>
    </row>
    <row r="331" ht="39.75" customHeight="1">
      <c r="A331" s="1">
        <v>369.0</v>
      </c>
      <c r="B331" s="2" t="s">
        <v>36</v>
      </c>
      <c r="C331" s="2" t="s">
        <v>66</v>
      </c>
      <c r="D331" s="13"/>
      <c r="E331" s="13"/>
      <c r="F331" s="45"/>
      <c r="G331" s="42"/>
      <c r="H331" s="42"/>
      <c r="I331" s="42"/>
      <c r="J331" s="22"/>
      <c r="K331" s="42"/>
    </row>
    <row r="332" ht="39.75" customHeight="1">
      <c r="A332" s="1">
        <v>370.0</v>
      </c>
      <c r="B332" s="2" t="s">
        <v>38</v>
      </c>
      <c r="C332" s="2" t="s">
        <v>54</v>
      </c>
      <c r="D332" s="13"/>
      <c r="E332" s="13"/>
      <c r="F332" s="44" t="s">
        <v>4309</v>
      </c>
      <c r="G332" s="43">
        <v>1.0</v>
      </c>
      <c r="H332" s="42"/>
      <c r="I332" s="43">
        <v>1.0</v>
      </c>
      <c r="J332" s="22"/>
      <c r="K332" s="42"/>
    </row>
    <row r="333" ht="39.75" customHeight="1">
      <c r="A333" s="1">
        <v>371.0</v>
      </c>
      <c r="B333" s="2" t="s">
        <v>41</v>
      </c>
      <c r="C333" s="2" t="s">
        <v>13</v>
      </c>
      <c r="D333" s="13"/>
      <c r="E333" s="13"/>
      <c r="F333" s="45"/>
      <c r="G333" s="42"/>
      <c r="H333" s="42"/>
      <c r="I333" s="42"/>
      <c r="J333" s="22"/>
      <c r="K333" s="42"/>
    </row>
    <row r="334" ht="39.75" customHeight="1">
      <c r="A334" s="1">
        <v>372.0</v>
      </c>
      <c r="B334" s="2" t="s">
        <v>42</v>
      </c>
      <c r="C334" s="2" t="s">
        <v>54</v>
      </c>
      <c r="D334" s="13"/>
      <c r="E334" s="13"/>
      <c r="F334" s="44" t="s">
        <v>4310</v>
      </c>
      <c r="G334" s="43">
        <v>2.0</v>
      </c>
      <c r="H334" s="42"/>
      <c r="I334" s="42"/>
      <c r="J334" s="22"/>
      <c r="K334" s="42"/>
    </row>
    <row r="335" ht="39.75" customHeight="1">
      <c r="A335" s="1">
        <v>373.0</v>
      </c>
      <c r="B335" s="2" t="s">
        <v>43</v>
      </c>
      <c r="C335" s="2" t="s">
        <v>54</v>
      </c>
      <c r="D335" s="13"/>
      <c r="E335" s="13"/>
      <c r="F335" s="44" t="s">
        <v>4311</v>
      </c>
      <c r="G335" s="43">
        <v>1.0</v>
      </c>
      <c r="H335" s="42"/>
      <c r="I335" s="42"/>
      <c r="J335" s="22"/>
      <c r="K335" s="42"/>
    </row>
    <row r="336" ht="39.75" customHeight="1">
      <c r="A336" s="1">
        <v>374.0</v>
      </c>
      <c r="B336" s="2" t="s">
        <v>267</v>
      </c>
      <c r="C336" s="2" t="s">
        <v>69</v>
      </c>
      <c r="D336" s="13"/>
      <c r="E336" s="13"/>
      <c r="F336" s="44" t="s">
        <v>4312</v>
      </c>
      <c r="G336" s="43">
        <v>1.0</v>
      </c>
      <c r="H336" s="42"/>
      <c r="I336" s="42"/>
      <c r="J336" s="22"/>
      <c r="K336" s="42"/>
    </row>
    <row r="337" ht="39.75" customHeight="1">
      <c r="A337" s="1">
        <v>375.0</v>
      </c>
      <c r="B337" s="2" t="s">
        <v>46</v>
      </c>
      <c r="C337" s="2" t="s">
        <v>69</v>
      </c>
      <c r="D337" s="13"/>
      <c r="E337" s="13"/>
      <c r="F337" s="44" t="s">
        <v>4313</v>
      </c>
      <c r="G337" s="43">
        <v>1.0</v>
      </c>
      <c r="H337" s="42"/>
      <c r="I337" s="42"/>
      <c r="J337" s="22"/>
      <c r="K337" s="42"/>
    </row>
    <row r="338" ht="39.75" customHeight="1">
      <c r="A338" s="1">
        <v>376.0</v>
      </c>
      <c r="B338" s="2" t="s">
        <v>47</v>
      </c>
      <c r="C338" s="2" t="s">
        <v>39</v>
      </c>
      <c r="D338" s="13"/>
      <c r="E338" s="13"/>
      <c r="F338" s="44" t="s">
        <v>4314</v>
      </c>
      <c r="G338" s="43">
        <v>1.0</v>
      </c>
      <c r="H338" s="42"/>
      <c r="I338" s="42"/>
      <c r="J338" s="22"/>
      <c r="K338" s="42"/>
    </row>
    <row r="339" ht="39.75" customHeight="1">
      <c r="A339" s="1">
        <v>377.0</v>
      </c>
      <c r="B339" s="2" t="s">
        <v>48</v>
      </c>
      <c r="C339" s="2"/>
      <c r="D339" s="13"/>
      <c r="E339" s="13"/>
      <c r="F339" s="44" t="s">
        <v>4315</v>
      </c>
      <c r="G339" s="43">
        <v>2.0</v>
      </c>
      <c r="H339" s="42"/>
      <c r="I339" s="42"/>
      <c r="J339" s="22"/>
      <c r="K339" s="42"/>
    </row>
    <row r="340" ht="39.75" customHeight="1">
      <c r="A340" s="1">
        <v>378.0</v>
      </c>
      <c r="B340" s="21"/>
      <c r="C340" s="21"/>
      <c r="D340" s="21"/>
      <c r="E340" s="21"/>
      <c r="F340" s="46"/>
      <c r="G340" s="47"/>
      <c r="H340" s="47"/>
      <c r="I340" s="47"/>
      <c r="J340" s="48"/>
      <c r="K340" s="47"/>
      <c r="L340" s="49"/>
      <c r="M340" s="49"/>
      <c r="N340" s="49"/>
    </row>
    <row r="341" ht="39.75" customHeight="1">
      <c r="A341" s="1">
        <v>379.0</v>
      </c>
      <c r="B341" s="2" t="s">
        <v>12</v>
      </c>
      <c r="C341" s="2" t="s">
        <v>62</v>
      </c>
      <c r="D341" s="13"/>
      <c r="E341" s="13"/>
      <c r="F341" s="45"/>
      <c r="G341" s="42"/>
      <c r="H341" s="42"/>
      <c r="I341" s="42"/>
      <c r="J341" s="27" t="s">
        <v>491</v>
      </c>
      <c r="K341" s="42"/>
      <c r="L341" s="15" t="s">
        <v>4316</v>
      </c>
    </row>
    <row r="342" ht="39.75" customHeight="1">
      <c r="A342" s="1">
        <v>380.0</v>
      </c>
      <c r="B342" s="2" t="s">
        <v>16</v>
      </c>
      <c r="C342" s="2" t="s">
        <v>66</v>
      </c>
      <c r="D342" s="13"/>
      <c r="E342" s="13"/>
      <c r="F342" s="45"/>
      <c r="G342" s="42"/>
      <c r="H342" s="42"/>
      <c r="I342" s="42"/>
      <c r="J342" s="27" t="s">
        <v>269</v>
      </c>
      <c r="K342" s="43"/>
    </row>
    <row r="343" ht="39.75" customHeight="1">
      <c r="A343" s="1">
        <v>381.0</v>
      </c>
      <c r="B343" s="2" t="s">
        <v>116</v>
      </c>
      <c r="C343" s="2" t="s">
        <v>69</v>
      </c>
      <c r="D343" s="13"/>
      <c r="E343" s="13"/>
      <c r="F343" s="44" t="s">
        <v>4317</v>
      </c>
      <c r="G343" s="43">
        <v>1.0</v>
      </c>
      <c r="H343" s="42"/>
      <c r="I343" s="43">
        <v>1.0</v>
      </c>
      <c r="J343" s="27" t="s">
        <v>111</v>
      </c>
      <c r="K343" s="42"/>
    </row>
    <row r="344" ht="39.75" customHeight="1">
      <c r="A344" s="1">
        <v>382.0</v>
      </c>
      <c r="B344" s="2" t="s">
        <v>263</v>
      </c>
      <c r="C344" s="2" t="s">
        <v>39</v>
      </c>
      <c r="D344" s="13"/>
      <c r="E344" s="13"/>
      <c r="F344" s="44" t="s">
        <v>4318</v>
      </c>
      <c r="G344" s="43">
        <v>1.0</v>
      </c>
      <c r="H344" s="42"/>
      <c r="I344" s="43">
        <v>1.0</v>
      </c>
      <c r="J344" s="22"/>
      <c r="K344" s="42"/>
    </row>
    <row r="345" ht="39.75" customHeight="1">
      <c r="A345" s="1">
        <v>383.0</v>
      </c>
      <c r="B345" s="2" t="s">
        <v>17</v>
      </c>
      <c r="C345" s="2" t="s">
        <v>64</v>
      </c>
      <c r="D345" s="13"/>
      <c r="E345" s="13"/>
      <c r="F345" s="44" t="s">
        <v>3392</v>
      </c>
      <c r="G345" s="43">
        <v>1.0</v>
      </c>
      <c r="H345" s="42"/>
      <c r="I345" s="42"/>
      <c r="J345" s="22"/>
      <c r="K345" s="42"/>
    </row>
    <row r="346" ht="39.75" customHeight="1">
      <c r="A346" s="1">
        <v>384.0</v>
      </c>
      <c r="B346" s="2" t="s">
        <v>331</v>
      </c>
      <c r="C346" s="2" t="s">
        <v>13</v>
      </c>
      <c r="D346" s="13"/>
      <c r="E346" s="13"/>
      <c r="F346" s="45"/>
      <c r="G346" s="42"/>
      <c r="H346" s="42"/>
      <c r="I346" s="42"/>
      <c r="J346" s="22"/>
      <c r="K346" s="42"/>
    </row>
    <row r="347" ht="39.75" customHeight="1">
      <c r="A347" s="1">
        <v>385.0</v>
      </c>
      <c r="B347" s="2" t="s">
        <v>21</v>
      </c>
      <c r="C347" s="2" t="s">
        <v>13</v>
      </c>
      <c r="D347" s="13"/>
      <c r="E347" s="13"/>
      <c r="F347" s="45"/>
      <c r="G347" s="42"/>
      <c r="H347" s="42"/>
      <c r="I347" s="42"/>
      <c r="J347" s="22"/>
      <c r="K347" s="42"/>
    </row>
    <row r="348" ht="39.75" customHeight="1">
      <c r="A348" s="1">
        <v>386.0</v>
      </c>
      <c r="B348" s="2" t="s">
        <v>22</v>
      </c>
      <c r="C348" s="2" t="s">
        <v>54</v>
      </c>
      <c r="D348" s="13"/>
      <c r="E348" s="13"/>
      <c r="F348" s="44" t="s">
        <v>4319</v>
      </c>
      <c r="G348" s="43">
        <v>1.0</v>
      </c>
      <c r="H348" s="42"/>
      <c r="I348" s="42"/>
      <c r="J348" s="22"/>
      <c r="K348" s="42"/>
    </row>
    <row r="349" ht="39.75" customHeight="1">
      <c r="A349" s="1">
        <v>387.0</v>
      </c>
      <c r="B349" s="2" t="s">
        <v>261</v>
      </c>
      <c r="C349" s="2"/>
      <c r="D349" s="13"/>
      <c r="E349" s="13"/>
      <c r="F349" s="44" t="s">
        <v>4320</v>
      </c>
      <c r="G349" s="43">
        <v>1.0</v>
      </c>
      <c r="H349" s="42"/>
      <c r="I349" s="42"/>
      <c r="J349" s="22"/>
      <c r="K349" s="42"/>
    </row>
    <row r="350" ht="39.75" customHeight="1">
      <c r="A350" s="1">
        <v>388.0</v>
      </c>
      <c r="B350" s="2" t="s">
        <v>23</v>
      </c>
      <c r="C350" s="2" t="s">
        <v>13</v>
      </c>
      <c r="D350" s="13"/>
      <c r="E350" s="13"/>
      <c r="F350" s="45"/>
      <c r="G350" s="42"/>
      <c r="H350" s="42"/>
      <c r="I350" s="42"/>
      <c r="J350" s="22"/>
      <c r="K350" s="42"/>
    </row>
    <row r="351" ht="39.75" customHeight="1">
      <c r="A351" s="1">
        <v>389.0</v>
      </c>
      <c r="B351" s="2" t="s">
        <v>24</v>
      </c>
      <c r="C351" s="2" t="s">
        <v>3563</v>
      </c>
      <c r="D351" s="13"/>
      <c r="E351" s="13"/>
      <c r="F351" s="45"/>
      <c r="G351" s="42"/>
      <c r="H351" s="42"/>
      <c r="I351" s="42"/>
      <c r="J351" s="22"/>
      <c r="K351" s="42"/>
    </row>
    <row r="352" ht="39.75" customHeight="1">
      <c r="A352" s="1">
        <v>390.0</v>
      </c>
      <c r="B352" s="2" t="s">
        <v>25</v>
      </c>
      <c r="C352" s="2"/>
      <c r="D352" s="13"/>
      <c r="E352" s="13"/>
      <c r="F352" s="44" t="s">
        <v>4321</v>
      </c>
      <c r="G352" s="43">
        <v>1.0</v>
      </c>
      <c r="H352" s="42"/>
      <c r="I352" s="42"/>
      <c r="J352" s="22"/>
      <c r="K352" s="42"/>
    </row>
    <row r="353" ht="39.75" customHeight="1">
      <c r="A353" s="1">
        <v>391.0</v>
      </c>
      <c r="B353" s="2" t="s">
        <v>26</v>
      </c>
      <c r="C353" s="2" t="s">
        <v>39</v>
      </c>
      <c r="D353" s="13"/>
      <c r="E353" s="13"/>
      <c r="F353" s="44" t="s">
        <v>4322</v>
      </c>
      <c r="G353" s="43">
        <v>1.0</v>
      </c>
      <c r="H353" s="42"/>
      <c r="I353" s="42"/>
      <c r="J353" s="22"/>
      <c r="K353" s="42"/>
    </row>
    <row r="354" ht="39.75" customHeight="1">
      <c r="A354" s="1">
        <v>392.0</v>
      </c>
      <c r="B354" s="2" t="s">
        <v>29</v>
      </c>
      <c r="C354" s="2" t="s">
        <v>54</v>
      </c>
      <c r="D354" s="13"/>
      <c r="E354" s="13"/>
      <c r="F354" s="44" t="s">
        <v>4323</v>
      </c>
      <c r="G354" s="43">
        <v>1.0</v>
      </c>
      <c r="H354" s="42"/>
      <c r="I354" s="42"/>
      <c r="J354" s="22"/>
      <c r="K354" s="42"/>
    </row>
    <row r="355" ht="39.75" customHeight="1">
      <c r="A355" s="1">
        <v>393.0</v>
      </c>
      <c r="B355" s="2" t="s">
        <v>32</v>
      </c>
      <c r="C355" s="2" t="s">
        <v>44</v>
      </c>
      <c r="D355" s="13"/>
      <c r="E355" s="13"/>
      <c r="F355" s="45"/>
      <c r="G355" s="42"/>
      <c r="H355" s="42"/>
      <c r="I355" s="42"/>
      <c r="J355" s="22"/>
      <c r="K355" s="42"/>
    </row>
    <row r="356" ht="39.75" customHeight="1">
      <c r="A356" s="1">
        <v>394.0</v>
      </c>
      <c r="B356" s="2" t="s">
        <v>67</v>
      </c>
      <c r="C356" s="2" t="s">
        <v>27</v>
      </c>
      <c r="D356" s="13"/>
      <c r="E356" s="13"/>
      <c r="F356" s="45"/>
      <c r="G356" s="42"/>
      <c r="H356" s="42"/>
      <c r="I356" s="42"/>
      <c r="J356" s="22"/>
      <c r="K356" s="42"/>
    </row>
    <row r="357" ht="39.75" customHeight="1">
      <c r="A357" s="1">
        <v>395.0</v>
      </c>
      <c r="B357" s="2" t="s">
        <v>35</v>
      </c>
      <c r="C357" s="2"/>
      <c r="D357" s="13"/>
      <c r="E357" s="13"/>
      <c r="F357" s="44" t="s">
        <v>4324</v>
      </c>
      <c r="G357" s="43">
        <v>1.0</v>
      </c>
      <c r="H357" s="42"/>
      <c r="I357" s="42"/>
      <c r="J357" s="22"/>
      <c r="K357" s="42"/>
    </row>
    <row r="358" ht="39.75" customHeight="1">
      <c r="A358" s="1">
        <v>396.0</v>
      </c>
      <c r="B358" s="2" t="s">
        <v>36</v>
      </c>
      <c r="C358" s="2" t="s">
        <v>69</v>
      </c>
      <c r="D358" s="13"/>
      <c r="E358" s="13"/>
      <c r="F358" s="45"/>
      <c r="G358" s="42"/>
      <c r="H358" s="42"/>
      <c r="I358" s="42"/>
      <c r="J358" s="22"/>
      <c r="K358" s="42"/>
    </row>
    <row r="359" ht="39.75" customHeight="1">
      <c r="A359" s="1">
        <v>397.0</v>
      </c>
      <c r="B359" s="2" t="s">
        <v>38</v>
      </c>
      <c r="C359" s="2"/>
      <c r="D359" s="13"/>
      <c r="E359" s="13"/>
      <c r="F359" s="44" t="s">
        <v>4325</v>
      </c>
      <c r="G359" s="43">
        <v>1.0</v>
      </c>
      <c r="H359" s="42"/>
      <c r="I359" s="42"/>
      <c r="J359" s="22"/>
      <c r="K359" s="42"/>
    </row>
    <row r="360" ht="39.75" customHeight="1">
      <c r="A360" s="1">
        <v>398.0</v>
      </c>
      <c r="B360" s="2" t="s">
        <v>41</v>
      </c>
      <c r="C360" s="2" t="s">
        <v>13</v>
      </c>
      <c r="D360" s="13"/>
      <c r="E360" s="13"/>
      <c r="F360" s="45"/>
      <c r="G360" s="42"/>
      <c r="H360" s="42"/>
      <c r="I360" s="42"/>
      <c r="J360" s="22"/>
      <c r="K360" s="42"/>
    </row>
    <row r="361" ht="39.75" customHeight="1">
      <c r="A361" s="1">
        <v>399.0</v>
      </c>
      <c r="B361" s="2" t="s">
        <v>42</v>
      </c>
      <c r="C361" s="2" t="s">
        <v>54</v>
      </c>
      <c r="D361" s="13"/>
      <c r="E361" s="13"/>
      <c r="F361" s="44" t="s">
        <v>4326</v>
      </c>
      <c r="G361" s="43">
        <v>1.0</v>
      </c>
      <c r="H361" s="42"/>
      <c r="I361" s="42"/>
      <c r="J361" s="22"/>
      <c r="K361" s="42"/>
    </row>
    <row r="362" ht="39.75" customHeight="1">
      <c r="A362" s="1">
        <v>400.0</v>
      </c>
      <c r="B362" s="2" t="s">
        <v>43</v>
      </c>
      <c r="C362" s="2" t="s">
        <v>54</v>
      </c>
      <c r="D362" s="13"/>
      <c r="E362" s="13"/>
      <c r="F362" s="44" t="s">
        <v>4327</v>
      </c>
      <c r="G362" s="43">
        <v>1.0</v>
      </c>
      <c r="H362" s="42"/>
      <c r="I362" s="42"/>
      <c r="J362" s="22"/>
      <c r="K362" s="42"/>
    </row>
    <row r="363" ht="39.75" customHeight="1">
      <c r="A363" s="1">
        <v>401.0</v>
      </c>
      <c r="B363" s="2" t="s">
        <v>267</v>
      </c>
      <c r="C363" s="2"/>
      <c r="D363" s="13"/>
      <c r="E363" s="13"/>
      <c r="F363" s="44" t="s">
        <v>4328</v>
      </c>
      <c r="G363" s="43">
        <v>2.0</v>
      </c>
      <c r="H363" s="42"/>
      <c r="I363" s="42"/>
      <c r="J363" s="22"/>
      <c r="K363" s="42"/>
    </row>
    <row r="364" ht="39.75" customHeight="1">
      <c r="A364" s="1">
        <v>402.0</v>
      </c>
      <c r="B364" s="2" t="s">
        <v>46</v>
      </c>
      <c r="C364" s="2"/>
      <c r="D364" s="13"/>
      <c r="E364" s="13"/>
      <c r="F364" s="44" t="s">
        <v>4329</v>
      </c>
      <c r="G364" s="43">
        <v>2.0</v>
      </c>
      <c r="H364" s="42"/>
      <c r="I364" s="43">
        <v>1.0</v>
      </c>
      <c r="J364" s="22"/>
      <c r="K364" s="42"/>
    </row>
    <row r="365" ht="39.75" customHeight="1">
      <c r="A365" s="1">
        <v>403.0</v>
      </c>
      <c r="B365" s="2" t="s">
        <v>47</v>
      </c>
      <c r="C365" s="2" t="s">
        <v>69</v>
      </c>
      <c r="D365" s="13"/>
      <c r="E365" s="13"/>
      <c r="F365" s="45"/>
      <c r="G365" s="42"/>
      <c r="H365" s="42"/>
      <c r="I365" s="42"/>
      <c r="J365" s="22"/>
      <c r="K365" s="42"/>
    </row>
    <row r="366" ht="39.75" customHeight="1">
      <c r="A366" s="1">
        <v>404.0</v>
      </c>
      <c r="B366" s="2" t="s">
        <v>48</v>
      </c>
      <c r="C366" s="2" t="s">
        <v>13</v>
      </c>
      <c r="D366" s="13"/>
      <c r="E366" s="13"/>
      <c r="F366" s="45"/>
      <c r="G366" s="42"/>
      <c r="H366" s="42"/>
      <c r="I366" s="42"/>
      <c r="J366" s="22"/>
      <c r="K366" s="42"/>
    </row>
    <row r="367" ht="39.75" customHeight="1">
      <c r="A367" s="1">
        <v>405.0</v>
      </c>
      <c r="B367" s="21"/>
      <c r="C367" s="21"/>
      <c r="D367" s="21"/>
      <c r="E367" s="21"/>
      <c r="F367" s="46"/>
      <c r="G367" s="47"/>
      <c r="H367" s="47"/>
      <c r="I367" s="47"/>
      <c r="J367" s="48"/>
      <c r="K367" s="47"/>
      <c r="L367" s="49"/>
      <c r="M367" s="49"/>
      <c r="N367" s="49"/>
    </row>
    <row r="368" ht="39.75" customHeight="1">
      <c r="A368" s="1">
        <v>406.0</v>
      </c>
      <c r="B368" s="2" t="s">
        <v>12</v>
      </c>
      <c r="C368" s="2" t="s">
        <v>62</v>
      </c>
      <c r="D368" s="40"/>
      <c r="E368" s="40"/>
      <c r="F368" s="44" t="s">
        <v>4330</v>
      </c>
      <c r="G368" s="43">
        <v>2.0</v>
      </c>
      <c r="H368" s="42"/>
      <c r="I368" s="42"/>
      <c r="J368" s="27" t="s">
        <v>491</v>
      </c>
      <c r="K368" s="42"/>
      <c r="L368" s="15" t="s">
        <v>4331</v>
      </c>
    </row>
    <row r="369" ht="39.75" customHeight="1">
      <c r="A369" s="1">
        <v>407.0</v>
      </c>
      <c r="B369" s="2" t="s">
        <v>16</v>
      </c>
      <c r="C369" s="2" t="s">
        <v>69</v>
      </c>
      <c r="D369" s="13"/>
      <c r="E369" s="13"/>
      <c r="F369" s="44" t="s">
        <v>4332</v>
      </c>
      <c r="G369" s="43">
        <v>1.0</v>
      </c>
      <c r="H369" s="42"/>
      <c r="I369" s="42"/>
      <c r="J369" s="27" t="s">
        <v>274</v>
      </c>
      <c r="K369" s="43"/>
    </row>
    <row r="370" ht="39.75" customHeight="1">
      <c r="A370" s="1">
        <v>408.0</v>
      </c>
      <c r="B370" s="2" t="s">
        <v>116</v>
      </c>
      <c r="C370" s="2" t="s">
        <v>27</v>
      </c>
      <c r="D370" s="13"/>
      <c r="E370" s="13"/>
      <c r="F370" s="44" t="s">
        <v>4333</v>
      </c>
      <c r="G370" s="43">
        <v>1.0</v>
      </c>
      <c r="H370" s="42"/>
      <c r="I370" s="43">
        <v>1.0</v>
      </c>
      <c r="J370" s="27" t="s">
        <v>131</v>
      </c>
      <c r="K370" s="42"/>
    </row>
    <row r="371" ht="39.75" customHeight="1">
      <c r="A371" s="1">
        <v>409.0</v>
      </c>
      <c r="B371" s="2" t="s">
        <v>263</v>
      </c>
      <c r="C371" s="2"/>
      <c r="D371" s="13"/>
      <c r="E371" s="109">
        <v>0.3125</v>
      </c>
      <c r="F371" s="44" t="s">
        <v>4334</v>
      </c>
      <c r="G371" s="43">
        <v>1.0</v>
      </c>
      <c r="H371" s="42"/>
      <c r="I371" s="42"/>
      <c r="J371" s="27" t="s">
        <v>412</v>
      </c>
      <c r="K371" s="42"/>
    </row>
    <row r="372" ht="39.75" customHeight="1">
      <c r="A372" s="1">
        <v>410.0</v>
      </c>
      <c r="B372" s="2" t="s">
        <v>17</v>
      </c>
      <c r="C372" s="2" t="s">
        <v>13</v>
      </c>
      <c r="D372" s="13"/>
      <c r="E372" s="13"/>
      <c r="F372" s="45"/>
      <c r="G372" s="42"/>
      <c r="H372" s="42"/>
      <c r="I372" s="42"/>
      <c r="J372" s="22"/>
      <c r="K372" s="42"/>
    </row>
    <row r="373" ht="39.75" customHeight="1">
      <c r="A373" s="1">
        <v>411.0</v>
      </c>
      <c r="B373" s="2" t="s">
        <v>331</v>
      </c>
      <c r="C373" s="2" t="s">
        <v>13</v>
      </c>
      <c r="D373" s="13"/>
      <c r="E373" s="13"/>
      <c r="F373" s="45"/>
      <c r="G373" s="42"/>
      <c r="H373" s="42"/>
      <c r="I373" s="42"/>
      <c r="J373" s="22"/>
      <c r="K373" s="42"/>
    </row>
    <row r="374" ht="39.75" customHeight="1">
      <c r="A374" s="1">
        <v>412.0</v>
      </c>
      <c r="B374" s="2" t="s">
        <v>21</v>
      </c>
      <c r="C374" s="2"/>
      <c r="D374" s="13"/>
      <c r="E374" s="13"/>
      <c r="F374" s="44"/>
      <c r="G374" s="42"/>
      <c r="H374" s="42"/>
      <c r="I374" s="42"/>
      <c r="J374" s="22"/>
      <c r="K374" s="42"/>
    </row>
    <row r="375" ht="39.75" customHeight="1">
      <c r="A375" s="1">
        <v>413.0</v>
      </c>
      <c r="B375" s="2" t="s">
        <v>22</v>
      </c>
      <c r="C375" s="2" t="s">
        <v>54</v>
      </c>
      <c r="D375" s="13"/>
      <c r="E375" s="13"/>
      <c r="F375" s="44" t="s">
        <v>4335</v>
      </c>
      <c r="G375" s="43">
        <v>1.0</v>
      </c>
      <c r="H375" s="42"/>
      <c r="I375" s="42"/>
      <c r="J375" s="22"/>
      <c r="K375" s="42"/>
    </row>
    <row r="376" ht="39.75" customHeight="1">
      <c r="A376" s="1">
        <v>414.0</v>
      </c>
      <c r="B376" s="2" t="s">
        <v>261</v>
      </c>
      <c r="C376" s="2"/>
      <c r="D376" s="13"/>
      <c r="E376" s="13"/>
      <c r="F376" s="44" t="s">
        <v>4336</v>
      </c>
      <c r="G376" s="43">
        <v>1.0</v>
      </c>
      <c r="H376" s="43"/>
      <c r="I376" s="43">
        <v>1.0</v>
      </c>
      <c r="J376" s="22"/>
      <c r="K376" s="42"/>
    </row>
    <row r="377" ht="39.75" customHeight="1">
      <c r="A377" s="1">
        <v>415.0</v>
      </c>
      <c r="B377" s="2" t="s">
        <v>23</v>
      </c>
      <c r="C377" s="2" t="s">
        <v>13</v>
      </c>
      <c r="D377" s="13"/>
      <c r="E377" s="13"/>
      <c r="F377" s="45"/>
      <c r="G377" s="42"/>
      <c r="H377" s="42"/>
      <c r="I377" s="42"/>
      <c r="J377" s="22"/>
      <c r="K377" s="42"/>
    </row>
    <row r="378" ht="39.75" customHeight="1">
      <c r="A378" s="1">
        <v>416.0</v>
      </c>
      <c r="B378" s="2" t="s">
        <v>24</v>
      </c>
      <c r="C378" s="2" t="s">
        <v>3563</v>
      </c>
      <c r="D378" s="13"/>
      <c r="E378" s="13"/>
      <c r="F378" s="44"/>
      <c r="G378" s="42"/>
      <c r="H378" s="42"/>
      <c r="I378" s="42"/>
      <c r="J378" s="22"/>
      <c r="K378" s="42"/>
    </row>
    <row r="379" ht="39.75" customHeight="1">
      <c r="A379" s="1">
        <v>417.0</v>
      </c>
      <c r="B379" s="2" t="s">
        <v>25</v>
      </c>
      <c r="C379" s="2" t="s">
        <v>69</v>
      </c>
      <c r="D379" s="13"/>
      <c r="E379" s="13"/>
      <c r="F379" s="44" t="s">
        <v>4337</v>
      </c>
      <c r="G379" s="43">
        <v>1.0</v>
      </c>
      <c r="H379" s="42"/>
      <c r="I379" s="42"/>
      <c r="J379" s="22"/>
      <c r="K379" s="42"/>
    </row>
    <row r="380" ht="39.75" customHeight="1">
      <c r="A380" s="1">
        <v>418.0</v>
      </c>
      <c r="B380" s="2" t="s">
        <v>26</v>
      </c>
      <c r="C380" s="2"/>
      <c r="D380" s="13"/>
      <c r="E380" s="13"/>
      <c r="F380" s="44" t="s">
        <v>3603</v>
      </c>
      <c r="G380" s="43">
        <v>1.0</v>
      </c>
      <c r="H380" s="42"/>
      <c r="I380" s="42"/>
      <c r="J380" s="22"/>
      <c r="K380" s="42"/>
    </row>
    <row r="381" ht="39.75" customHeight="1">
      <c r="A381" s="1">
        <v>419.0</v>
      </c>
      <c r="B381" s="2" t="s">
        <v>29</v>
      </c>
      <c r="C381" s="2" t="s">
        <v>54</v>
      </c>
      <c r="D381" s="13"/>
      <c r="E381" s="13"/>
      <c r="F381" s="44" t="s">
        <v>4338</v>
      </c>
      <c r="G381" s="43">
        <v>1.0</v>
      </c>
      <c r="H381" s="42"/>
      <c r="I381" s="42"/>
      <c r="J381" s="22"/>
      <c r="K381" s="42"/>
    </row>
    <row r="382" ht="39.75" customHeight="1">
      <c r="A382" s="1">
        <v>420.0</v>
      </c>
      <c r="B382" s="2" t="s">
        <v>32</v>
      </c>
      <c r="C382" s="2" t="s">
        <v>39</v>
      </c>
      <c r="D382" s="13"/>
      <c r="E382" s="13"/>
      <c r="F382" s="44" t="s">
        <v>4334</v>
      </c>
      <c r="G382" s="43">
        <v>1.0</v>
      </c>
      <c r="H382" s="42"/>
      <c r="I382" s="42"/>
      <c r="J382" s="22"/>
      <c r="K382" s="42"/>
    </row>
    <row r="383" ht="39.75" customHeight="1">
      <c r="A383" s="1">
        <v>421.0</v>
      </c>
      <c r="B383" s="2" t="s">
        <v>67</v>
      </c>
      <c r="C383" s="2" t="s">
        <v>44</v>
      </c>
      <c r="D383" s="13"/>
      <c r="E383" s="13"/>
      <c r="F383" s="44"/>
      <c r="G383" s="42"/>
      <c r="H383" s="43"/>
      <c r="I383" s="43"/>
      <c r="J383" s="22"/>
      <c r="K383" s="42"/>
    </row>
    <row r="384" ht="39.75" customHeight="1">
      <c r="A384" s="1">
        <v>422.0</v>
      </c>
      <c r="B384" s="2" t="s">
        <v>35</v>
      </c>
      <c r="C384" s="2" t="s">
        <v>54</v>
      </c>
      <c r="D384" s="13"/>
      <c r="E384" s="51">
        <v>0.75</v>
      </c>
      <c r="F384" s="44" t="s">
        <v>4339</v>
      </c>
      <c r="G384" s="43">
        <v>1.0</v>
      </c>
      <c r="H384" s="42"/>
      <c r="I384" s="42"/>
      <c r="J384" s="22"/>
      <c r="K384" s="42"/>
    </row>
    <row r="385" ht="39.75" customHeight="1">
      <c r="A385" s="1">
        <v>423.0</v>
      </c>
      <c r="B385" s="2" t="s">
        <v>36</v>
      </c>
      <c r="C385" s="2"/>
      <c r="D385" s="13"/>
      <c r="E385" s="13"/>
      <c r="F385" s="44" t="s">
        <v>4340</v>
      </c>
      <c r="G385" s="43">
        <v>2.0</v>
      </c>
      <c r="H385" s="42"/>
      <c r="I385" s="43">
        <v>1.0</v>
      </c>
      <c r="J385" s="22"/>
      <c r="K385" s="42"/>
    </row>
    <row r="386" ht="39.75" customHeight="1">
      <c r="A386" s="1">
        <v>424.0</v>
      </c>
      <c r="B386" s="2" t="s">
        <v>38</v>
      </c>
      <c r="C386" s="2" t="s">
        <v>66</v>
      </c>
      <c r="D386" s="13"/>
      <c r="E386" s="13"/>
      <c r="F386" s="44"/>
      <c r="G386" s="42"/>
      <c r="H386" s="42"/>
      <c r="I386" s="42"/>
      <c r="J386" s="22"/>
      <c r="K386" s="42"/>
    </row>
    <row r="387" ht="39.75" customHeight="1">
      <c r="A387" s="1">
        <v>425.0</v>
      </c>
      <c r="B387" s="2" t="s">
        <v>41</v>
      </c>
      <c r="C387" s="2" t="s">
        <v>13</v>
      </c>
      <c r="D387" s="13"/>
      <c r="E387" s="13"/>
      <c r="F387" s="44"/>
      <c r="G387" s="42"/>
      <c r="H387" s="42"/>
      <c r="I387" s="42"/>
      <c r="J387" s="22"/>
      <c r="K387" s="42"/>
    </row>
    <row r="388" ht="39.75" customHeight="1">
      <c r="A388" s="1">
        <v>426.0</v>
      </c>
      <c r="B388" s="2" t="s">
        <v>42</v>
      </c>
      <c r="C388" s="2" t="s">
        <v>54</v>
      </c>
      <c r="D388" s="13"/>
      <c r="E388" s="51">
        <v>0.7708333333333334</v>
      </c>
      <c r="F388" s="44" t="s">
        <v>4341</v>
      </c>
      <c r="G388" s="43">
        <v>1.0</v>
      </c>
      <c r="H388" s="42"/>
      <c r="I388" s="42"/>
      <c r="J388" s="22"/>
      <c r="K388" s="42"/>
    </row>
    <row r="389" ht="39.75" customHeight="1">
      <c r="A389" s="1">
        <v>427.0</v>
      </c>
      <c r="B389" s="2" t="s">
        <v>43</v>
      </c>
      <c r="C389" s="2" t="s">
        <v>13</v>
      </c>
      <c r="D389" s="13"/>
      <c r="E389" s="13"/>
      <c r="F389" s="45"/>
      <c r="G389" s="42"/>
      <c r="H389" s="42"/>
      <c r="I389" s="42"/>
      <c r="J389" s="22"/>
      <c r="K389" s="42"/>
    </row>
    <row r="390" ht="39.75" customHeight="1">
      <c r="A390" s="1">
        <v>428.0</v>
      </c>
      <c r="B390" s="2" t="s">
        <v>267</v>
      </c>
      <c r="C390" s="2" t="s">
        <v>69</v>
      </c>
      <c r="D390" s="13"/>
      <c r="E390" s="13"/>
      <c r="F390" s="44" t="s">
        <v>4342</v>
      </c>
      <c r="G390" s="43">
        <v>1.0</v>
      </c>
      <c r="H390" s="42"/>
      <c r="I390" s="42"/>
      <c r="J390" s="22"/>
      <c r="K390" s="42"/>
    </row>
    <row r="391" ht="39.75" customHeight="1">
      <c r="A391" s="1">
        <v>429.0</v>
      </c>
      <c r="B391" s="2" t="s">
        <v>46</v>
      </c>
      <c r="C391" s="2" t="s">
        <v>39</v>
      </c>
      <c r="D391" s="40"/>
      <c r="E391" s="13"/>
      <c r="F391" s="44" t="s">
        <v>4343</v>
      </c>
      <c r="G391" s="43">
        <v>2.0</v>
      </c>
      <c r="H391" s="42"/>
      <c r="I391" s="43">
        <v>1.0</v>
      </c>
      <c r="J391" s="22"/>
      <c r="K391" s="42"/>
    </row>
    <row r="392" ht="39.75" customHeight="1">
      <c r="A392" s="1">
        <v>430.0</v>
      </c>
      <c r="B392" s="2" t="s">
        <v>47</v>
      </c>
      <c r="C392" s="2" t="s">
        <v>13</v>
      </c>
      <c r="D392" s="13"/>
      <c r="E392" s="13"/>
      <c r="F392" s="45"/>
      <c r="G392" s="42"/>
      <c r="H392" s="42"/>
      <c r="I392" s="42"/>
      <c r="J392" s="22"/>
      <c r="K392" s="42"/>
    </row>
    <row r="393" ht="39.75" customHeight="1">
      <c r="A393" s="1">
        <v>431.0</v>
      </c>
      <c r="B393" s="2" t="s">
        <v>48</v>
      </c>
      <c r="C393" s="2"/>
      <c r="D393" s="13"/>
      <c r="E393" s="51">
        <v>0.75</v>
      </c>
      <c r="F393" s="44" t="s">
        <v>4344</v>
      </c>
      <c r="G393" s="43">
        <v>2.0</v>
      </c>
      <c r="H393" s="42"/>
      <c r="I393" s="43">
        <v>1.0</v>
      </c>
      <c r="J393" s="22"/>
      <c r="K393" s="42"/>
    </row>
    <row r="394" ht="39.75" customHeight="1">
      <c r="A394" s="1">
        <v>432.0</v>
      </c>
      <c r="B394" s="21"/>
      <c r="C394" s="21"/>
      <c r="D394" s="21"/>
      <c r="E394" s="21"/>
      <c r="F394" s="46"/>
      <c r="G394" s="47"/>
      <c r="H394" s="47"/>
      <c r="I394" s="47"/>
      <c r="J394" s="48"/>
      <c r="K394" s="47"/>
      <c r="L394" s="49"/>
      <c r="M394" s="49"/>
      <c r="N394" s="49"/>
    </row>
    <row r="395" ht="39.75" customHeight="1">
      <c r="A395" s="1">
        <v>434.0</v>
      </c>
      <c r="B395" s="2" t="s">
        <v>16</v>
      </c>
      <c r="C395" s="2" t="s">
        <v>69</v>
      </c>
      <c r="D395" s="13"/>
      <c r="E395" s="13"/>
      <c r="F395" s="44" t="s">
        <v>4345</v>
      </c>
      <c r="G395" s="43">
        <v>1.0</v>
      </c>
      <c r="H395" s="42"/>
      <c r="I395" s="42"/>
      <c r="J395" s="27">
        <v>1.0</v>
      </c>
      <c r="K395" s="43"/>
      <c r="L395" s="15" t="s">
        <v>4346</v>
      </c>
    </row>
    <row r="396" ht="39.75" customHeight="1">
      <c r="A396" s="1">
        <v>435.0</v>
      </c>
      <c r="B396" s="2" t="s">
        <v>116</v>
      </c>
      <c r="C396" s="2" t="s">
        <v>44</v>
      </c>
      <c r="D396" s="13"/>
      <c r="E396" s="76">
        <v>0.375</v>
      </c>
      <c r="F396" s="52" t="s">
        <v>4333</v>
      </c>
      <c r="G396" s="56">
        <v>1.0</v>
      </c>
      <c r="H396" s="42"/>
      <c r="I396" s="56">
        <v>1.0</v>
      </c>
      <c r="J396" s="27" t="s">
        <v>294</v>
      </c>
      <c r="K396" s="42"/>
    </row>
    <row r="397" ht="39.75" customHeight="1">
      <c r="A397" s="1">
        <v>436.0</v>
      </c>
      <c r="B397" s="2" t="s">
        <v>263</v>
      </c>
      <c r="C397" s="2" t="s">
        <v>3560</v>
      </c>
      <c r="D397" s="13"/>
      <c r="E397" s="13"/>
      <c r="F397" s="44" t="s">
        <v>4347</v>
      </c>
      <c r="G397" s="43">
        <v>1.0</v>
      </c>
      <c r="H397" s="42"/>
      <c r="I397" s="43">
        <v>1.0</v>
      </c>
      <c r="J397" s="27" t="s">
        <v>149</v>
      </c>
      <c r="K397" s="42"/>
    </row>
    <row r="398" ht="39.75" customHeight="1">
      <c r="A398" s="1"/>
      <c r="B398" s="148" t="s">
        <v>45</v>
      </c>
      <c r="C398" s="148" t="s">
        <v>272</v>
      </c>
      <c r="D398" s="149"/>
      <c r="E398" s="149"/>
      <c r="F398" s="150"/>
      <c r="G398" s="151">
        <v>1.0</v>
      </c>
      <c r="H398" s="152"/>
      <c r="I398" s="152"/>
      <c r="J398" s="27" t="s">
        <v>3637</v>
      </c>
      <c r="K398" s="42"/>
    </row>
    <row r="399" ht="39.75" customHeight="1">
      <c r="A399" s="1"/>
      <c r="B399" s="148" t="s">
        <v>21</v>
      </c>
      <c r="C399" s="148" t="s">
        <v>3563</v>
      </c>
      <c r="D399" s="149"/>
      <c r="E399" s="149"/>
      <c r="F399" s="150"/>
      <c r="G399" s="151">
        <v>1.0</v>
      </c>
      <c r="H399" s="152"/>
      <c r="I399" s="152"/>
      <c r="J399" s="22"/>
      <c r="K399" s="42"/>
    </row>
    <row r="400" ht="39.75" customHeight="1">
      <c r="A400" s="1">
        <v>446.0</v>
      </c>
      <c r="B400" s="2" t="s">
        <v>29</v>
      </c>
      <c r="C400" s="2" t="s">
        <v>27</v>
      </c>
      <c r="D400" s="13"/>
      <c r="E400" s="13"/>
      <c r="F400" s="45"/>
      <c r="G400" s="42"/>
      <c r="H400" s="42"/>
      <c r="I400" s="42"/>
      <c r="J400" s="22"/>
      <c r="K400" s="42"/>
    </row>
    <row r="401" ht="39.75" customHeight="1">
      <c r="A401" s="1">
        <v>453.0</v>
      </c>
      <c r="B401" s="2" t="s">
        <v>42</v>
      </c>
      <c r="C401" s="2" t="s">
        <v>3560</v>
      </c>
      <c r="D401" s="13"/>
      <c r="E401" s="13"/>
      <c r="F401" s="44" t="s">
        <v>4348</v>
      </c>
      <c r="G401" s="43">
        <v>1.0</v>
      </c>
      <c r="H401" s="42"/>
      <c r="I401" s="43">
        <v>1.0</v>
      </c>
      <c r="J401" s="22"/>
      <c r="K401" s="42"/>
    </row>
    <row r="402" ht="39.75" customHeight="1">
      <c r="A402" s="1">
        <v>455.0</v>
      </c>
      <c r="B402" s="2" t="s">
        <v>48</v>
      </c>
      <c r="C402" s="2" t="s">
        <v>39</v>
      </c>
      <c r="D402" s="13"/>
      <c r="E402" s="13"/>
      <c r="F402" s="44" t="s">
        <v>4349</v>
      </c>
      <c r="G402" s="43">
        <v>1.0</v>
      </c>
      <c r="H402" s="42"/>
      <c r="I402" s="42"/>
      <c r="J402" s="22"/>
      <c r="K402" s="42"/>
    </row>
    <row r="403" ht="39.75" customHeight="1">
      <c r="A403" s="1">
        <v>459.0</v>
      </c>
      <c r="B403" s="21"/>
      <c r="C403" s="21"/>
      <c r="D403" s="21"/>
      <c r="E403" s="21"/>
      <c r="F403" s="46"/>
      <c r="G403" s="47"/>
      <c r="H403" s="47"/>
      <c r="I403" s="47"/>
      <c r="J403" s="48"/>
      <c r="K403" s="47"/>
      <c r="L403" s="49"/>
      <c r="M403" s="49"/>
      <c r="N403" s="49"/>
    </row>
    <row r="404" ht="39.75" customHeight="1">
      <c r="A404" s="1">
        <v>462.0</v>
      </c>
      <c r="B404" s="2" t="s">
        <v>116</v>
      </c>
      <c r="C404" s="2" t="s">
        <v>69</v>
      </c>
      <c r="D404" s="13"/>
      <c r="E404" s="13"/>
      <c r="F404" s="44" t="s">
        <v>4350</v>
      </c>
      <c r="G404" s="43">
        <v>1.0</v>
      </c>
      <c r="H404" s="42"/>
      <c r="I404" s="42"/>
      <c r="J404" s="27"/>
      <c r="K404" s="42"/>
      <c r="L404" s="15" t="s">
        <v>4351</v>
      </c>
    </row>
    <row r="405" ht="39.75" customHeight="1">
      <c r="A405" s="1"/>
      <c r="B405" s="148" t="s">
        <v>34</v>
      </c>
      <c r="C405" s="148" t="s">
        <v>272</v>
      </c>
      <c r="D405" s="149"/>
      <c r="E405" s="149"/>
      <c r="F405" s="150"/>
      <c r="G405" s="152"/>
      <c r="H405" s="152"/>
      <c r="I405" s="152"/>
      <c r="J405" s="27"/>
      <c r="K405" s="42"/>
    </row>
    <row r="406" ht="39.75" customHeight="1">
      <c r="A406" s="1"/>
      <c r="B406" s="148" t="s">
        <v>24</v>
      </c>
      <c r="C406" s="148" t="s">
        <v>3563</v>
      </c>
      <c r="D406" s="149"/>
      <c r="E406" s="149"/>
      <c r="F406" s="150"/>
      <c r="G406" s="152"/>
      <c r="H406" s="152"/>
      <c r="I406" s="152"/>
      <c r="J406" s="27">
        <v>1.0</v>
      </c>
      <c r="K406" s="42"/>
    </row>
    <row r="407" ht="39.75" customHeight="1">
      <c r="A407" s="1">
        <v>472.0</v>
      </c>
      <c r="B407" s="2" t="s">
        <v>26</v>
      </c>
      <c r="C407" s="2" t="s">
        <v>3560</v>
      </c>
      <c r="D407" s="13"/>
      <c r="E407" s="13"/>
      <c r="F407" s="44" t="s">
        <v>4352</v>
      </c>
      <c r="G407" s="43">
        <v>1.0</v>
      </c>
      <c r="H407" s="42"/>
      <c r="I407" s="42"/>
      <c r="J407" s="27" t="s">
        <v>309</v>
      </c>
      <c r="K407" s="42"/>
    </row>
    <row r="408" ht="39.75" customHeight="1">
      <c r="A408" s="1">
        <v>473.0</v>
      </c>
      <c r="B408" s="2" t="s">
        <v>29</v>
      </c>
      <c r="C408" s="2" t="s">
        <v>44</v>
      </c>
      <c r="D408" s="13"/>
      <c r="E408" s="13"/>
      <c r="F408" s="45"/>
      <c r="G408" s="42"/>
      <c r="H408" s="42"/>
      <c r="I408" s="42"/>
      <c r="J408" s="27" t="s">
        <v>19</v>
      </c>
      <c r="K408" s="42"/>
    </row>
    <row r="409" ht="39.75" customHeight="1">
      <c r="A409" s="1">
        <v>477.0</v>
      </c>
      <c r="B409" s="2" t="s">
        <v>36</v>
      </c>
      <c r="C409" s="2" t="s">
        <v>3560</v>
      </c>
      <c r="D409" s="13"/>
      <c r="E409" s="13"/>
      <c r="F409" s="44" t="s">
        <v>4353</v>
      </c>
      <c r="G409" s="43">
        <v>1.0</v>
      </c>
      <c r="H409" s="42"/>
      <c r="I409" s="43">
        <v>1.0</v>
      </c>
      <c r="J409" s="27" t="s">
        <v>30</v>
      </c>
      <c r="K409" s="42"/>
    </row>
    <row r="410" ht="39.75" customHeight="1">
      <c r="A410" s="1">
        <v>481.0</v>
      </c>
      <c r="B410" s="2" t="s">
        <v>43</v>
      </c>
      <c r="C410" s="2" t="s">
        <v>39</v>
      </c>
      <c r="D410" s="13"/>
      <c r="E410" s="13"/>
      <c r="F410" s="44" t="s">
        <v>4354</v>
      </c>
      <c r="G410" s="43">
        <v>1.0</v>
      </c>
      <c r="H410" s="42"/>
      <c r="I410" s="42"/>
      <c r="J410" s="22"/>
      <c r="K410" s="42"/>
    </row>
    <row r="411" ht="39.75" customHeight="1">
      <c r="A411" s="1">
        <v>484.0</v>
      </c>
      <c r="B411" s="2" t="s">
        <v>47</v>
      </c>
      <c r="C411" s="2" t="s">
        <v>27</v>
      </c>
      <c r="D411" s="13"/>
      <c r="E411" s="13"/>
      <c r="F411" s="44" t="s">
        <v>4355</v>
      </c>
      <c r="G411" s="43">
        <v>1.0</v>
      </c>
      <c r="H411" s="42"/>
      <c r="I411" s="42"/>
      <c r="J411" s="22"/>
      <c r="K411" s="42"/>
    </row>
    <row r="412" ht="39.75" customHeight="1">
      <c r="A412" s="1">
        <v>486.0</v>
      </c>
      <c r="B412" s="21"/>
      <c r="C412" s="21"/>
      <c r="D412" s="21"/>
      <c r="E412" s="21"/>
      <c r="F412" s="46"/>
      <c r="G412" s="47"/>
      <c r="H412" s="47"/>
      <c r="I412" s="47"/>
      <c r="J412" s="48"/>
      <c r="K412" s="47"/>
      <c r="L412" s="49"/>
      <c r="M412" s="49"/>
      <c r="N412" s="49"/>
    </row>
    <row r="413" ht="39.75" customHeight="1">
      <c r="A413" s="1">
        <v>487.0</v>
      </c>
      <c r="B413" s="2" t="s">
        <v>12</v>
      </c>
      <c r="C413" s="2" t="s">
        <v>62</v>
      </c>
      <c r="D413" s="13"/>
      <c r="E413" s="13"/>
      <c r="F413" s="44" t="s">
        <v>2011</v>
      </c>
      <c r="G413" s="43">
        <v>1.0</v>
      </c>
      <c r="H413" s="42"/>
      <c r="I413" s="42"/>
      <c r="J413" s="27" t="s">
        <v>491</v>
      </c>
      <c r="K413" s="42"/>
      <c r="L413" s="15" t="s">
        <v>328</v>
      </c>
    </row>
    <row r="414" ht="39.75" customHeight="1">
      <c r="A414" s="1">
        <v>488.0</v>
      </c>
      <c r="B414" s="2" t="s">
        <v>16</v>
      </c>
      <c r="C414" s="2" t="s">
        <v>54</v>
      </c>
      <c r="D414" s="13"/>
      <c r="E414" s="13"/>
      <c r="F414" s="44" t="s">
        <v>4356</v>
      </c>
      <c r="G414" s="43">
        <v>1.0</v>
      </c>
      <c r="H414" s="42"/>
      <c r="I414" s="42"/>
      <c r="J414" s="27" t="s">
        <v>328</v>
      </c>
      <c r="K414" s="43"/>
    </row>
    <row r="415" ht="39.75" customHeight="1">
      <c r="A415" s="1">
        <v>489.0</v>
      </c>
      <c r="B415" s="2" t="s">
        <v>116</v>
      </c>
      <c r="C415" s="2"/>
      <c r="D415" s="13"/>
      <c r="E415" s="13"/>
      <c r="F415" s="44" t="s">
        <v>310</v>
      </c>
      <c r="G415" s="43">
        <v>1.0</v>
      </c>
      <c r="H415" s="42"/>
      <c r="I415" s="42"/>
      <c r="J415" s="27" t="s">
        <v>56</v>
      </c>
      <c r="K415" s="42"/>
    </row>
    <row r="416" ht="39.75" customHeight="1">
      <c r="A416" s="1">
        <v>490.0</v>
      </c>
      <c r="B416" s="2" t="s">
        <v>263</v>
      </c>
      <c r="C416" s="2" t="s">
        <v>54</v>
      </c>
      <c r="D416" s="13"/>
      <c r="E416" s="13"/>
      <c r="F416" s="44" t="s">
        <v>4357</v>
      </c>
      <c r="G416" s="43">
        <v>1.0</v>
      </c>
      <c r="H416" s="42"/>
      <c r="I416" s="42"/>
      <c r="J416" s="27" t="s">
        <v>266</v>
      </c>
      <c r="K416" s="42"/>
    </row>
    <row r="417" ht="39.75" customHeight="1">
      <c r="A417" s="1">
        <v>491.0</v>
      </c>
      <c r="B417" s="2" t="s">
        <v>17</v>
      </c>
      <c r="C417" s="2" t="s">
        <v>13</v>
      </c>
      <c r="D417" s="13"/>
      <c r="E417" s="13"/>
      <c r="F417" s="45"/>
      <c r="G417" s="42"/>
      <c r="H417" s="42"/>
      <c r="I417" s="42"/>
      <c r="J417" s="22"/>
      <c r="K417" s="42"/>
    </row>
    <row r="418" ht="39.75" customHeight="1">
      <c r="A418" s="1">
        <v>492.0</v>
      </c>
      <c r="B418" s="2" t="s">
        <v>331</v>
      </c>
      <c r="C418" s="2" t="s">
        <v>13</v>
      </c>
      <c r="D418" s="13"/>
      <c r="E418" s="13"/>
      <c r="F418" s="45"/>
      <c r="G418" s="42"/>
      <c r="H418" s="42"/>
      <c r="I418" s="42"/>
      <c r="J418" s="22"/>
      <c r="K418" s="42"/>
    </row>
    <row r="419" ht="39.75" customHeight="1">
      <c r="A419" s="1">
        <v>493.0</v>
      </c>
      <c r="B419" s="2" t="s">
        <v>21</v>
      </c>
      <c r="C419" s="2" t="s">
        <v>69</v>
      </c>
      <c r="D419" s="13"/>
      <c r="E419" s="13"/>
      <c r="F419" s="45"/>
      <c r="G419" s="42"/>
      <c r="H419" s="42"/>
      <c r="I419" s="42"/>
      <c r="J419" s="22"/>
      <c r="K419" s="42"/>
    </row>
    <row r="420" ht="39.75" customHeight="1">
      <c r="A420" s="1">
        <v>494.0</v>
      </c>
      <c r="B420" s="2" t="s">
        <v>22</v>
      </c>
      <c r="C420" s="2" t="s">
        <v>27</v>
      </c>
      <c r="D420" s="13"/>
      <c r="E420" s="13"/>
      <c r="F420" s="45"/>
      <c r="G420" s="42"/>
      <c r="H420" s="42"/>
      <c r="I420" s="42"/>
      <c r="J420" s="22"/>
      <c r="K420" s="42"/>
    </row>
    <row r="421" ht="39.75" customHeight="1">
      <c r="A421" s="1">
        <v>495.0</v>
      </c>
      <c r="B421" s="2" t="s">
        <v>261</v>
      </c>
      <c r="C421" s="2" t="s">
        <v>66</v>
      </c>
      <c r="D421" s="13"/>
      <c r="E421" s="13"/>
      <c r="F421" s="45"/>
      <c r="G421" s="42"/>
      <c r="H421" s="42"/>
      <c r="I421" s="42"/>
      <c r="J421" s="22"/>
      <c r="K421" s="42"/>
    </row>
    <row r="422" ht="39.75" customHeight="1">
      <c r="A422" s="1">
        <v>496.0</v>
      </c>
      <c r="B422" s="2" t="s">
        <v>23</v>
      </c>
      <c r="C422" s="2"/>
      <c r="D422" s="13"/>
      <c r="E422" s="13"/>
      <c r="F422" s="44" t="s">
        <v>4358</v>
      </c>
      <c r="G422" s="43">
        <v>1.0</v>
      </c>
      <c r="H422" s="42"/>
      <c r="I422" s="42"/>
      <c r="J422" s="22"/>
      <c r="K422" s="42"/>
    </row>
    <row r="423" ht="39.75" customHeight="1">
      <c r="A423" s="1">
        <v>497.0</v>
      </c>
      <c r="B423" s="2" t="s">
        <v>35</v>
      </c>
      <c r="C423" s="2"/>
      <c r="D423" s="13"/>
      <c r="E423" s="13"/>
      <c r="F423" s="44" t="s">
        <v>4359</v>
      </c>
      <c r="G423" s="43">
        <v>1.0</v>
      </c>
      <c r="H423" s="42"/>
      <c r="I423" s="42"/>
      <c r="J423" s="22"/>
      <c r="K423" s="42"/>
    </row>
    <row r="424" ht="39.75" customHeight="1">
      <c r="A424" s="1">
        <v>498.0</v>
      </c>
      <c r="B424" s="2" t="s">
        <v>25</v>
      </c>
      <c r="C424" s="2" t="s">
        <v>66</v>
      </c>
      <c r="D424" s="13"/>
      <c r="E424" s="13"/>
      <c r="F424" s="45"/>
      <c r="G424" s="42"/>
      <c r="H424" s="42"/>
      <c r="I424" s="42"/>
      <c r="J424" s="22"/>
      <c r="K424" s="42"/>
    </row>
    <row r="425" ht="39.75" customHeight="1">
      <c r="A425" s="1">
        <v>499.0</v>
      </c>
      <c r="B425" s="2" t="s">
        <v>26</v>
      </c>
      <c r="C425" s="2" t="s">
        <v>69</v>
      </c>
      <c r="D425" s="13"/>
      <c r="E425" s="13"/>
      <c r="F425" s="44" t="s">
        <v>4360</v>
      </c>
      <c r="G425" s="43">
        <v>1.0</v>
      </c>
      <c r="H425" s="42"/>
      <c r="I425" s="42"/>
      <c r="J425" s="22"/>
      <c r="K425" s="42"/>
    </row>
    <row r="426" ht="39.75" customHeight="1">
      <c r="A426" s="1">
        <v>500.0</v>
      </c>
      <c r="B426" s="2" t="s">
        <v>29</v>
      </c>
      <c r="C426" s="2" t="s">
        <v>69</v>
      </c>
      <c r="D426" s="13"/>
      <c r="E426" s="13"/>
      <c r="F426" s="44" t="s">
        <v>4361</v>
      </c>
      <c r="G426" s="43">
        <v>1.0</v>
      </c>
      <c r="H426" s="42"/>
      <c r="I426" s="42"/>
      <c r="J426" s="22"/>
      <c r="K426" s="42"/>
    </row>
    <row r="427" ht="39.75" customHeight="1">
      <c r="A427" s="1">
        <v>501.0</v>
      </c>
      <c r="B427" s="2" t="s">
        <v>32</v>
      </c>
      <c r="C427" s="2" t="s">
        <v>13</v>
      </c>
      <c r="D427" s="2"/>
      <c r="E427" s="13"/>
      <c r="F427" s="45"/>
      <c r="G427" s="42"/>
      <c r="H427" s="42"/>
      <c r="I427" s="42"/>
      <c r="J427" s="22"/>
      <c r="K427" s="42"/>
    </row>
    <row r="428" ht="39.75" customHeight="1">
      <c r="A428" s="1">
        <v>502.0</v>
      </c>
      <c r="B428" s="2" t="s">
        <v>67</v>
      </c>
      <c r="C428" s="2" t="s">
        <v>13</v>
      </c>
      <c r="D428" s="13"/>
      <c r="E428" s="13"/>
      <c r="F428" s="45"/>
      <c r="G428" s="42"/>
      <c r="H428" s="42"/>
      <c r="I428" s="42"/>
      <c r="J428" s="22"/>
      <c r="K428" s="42"/>
    </row>
    <row r="429" ht="39.75" customHeight="1">
      <c r="A429" s="1">
        <v>503.0</v>
      </c>
      <c r="B429" s="2" t="s">
        <v>24</v>
      </c>
      <c r="C429" s="2" t="s">
        <v>3563</v>
      </c>
      <c r="D429" s="13"/>
      <c r="E429" s="13"/>
      <c r="F429" s="45"/>
      <c r="G429" s="42"/>
      <c r="H429" s="42"/>
      <c r="I429" s="42"/>
      <c r="J429" s="22"/>
      <c r="K429" s="42"/>
    </row>
    <row r="430" ht="39.75" customHeight="1">
      <c r="A430" s="1">
        <v>504.0</v>
      </c>
      <c r="B430" s="2" t="s">
        <v>36</v>
      </c>
      <c r="C430" s="2"/>
      <c r="D430" s="13"/>
      <c r="E430" s="13"/>
      <c r="F430" s="44" t="s">
        <v>4362</v>
      </c>
      <c r="G430" s="43">
        <v>1.0</v>
      </c>
      <c r="H430" s="42"/>
      <c r="I430" s="43">
        <v>1.0</v>
      </c>
      <c r="J430" s="22"/>
      <c r="K430" s="42"/>
    </row>
    <row r="431" ht="39.75" customHeight="1">
      <c r="A431" s="1">
        <v>505.0</v>
      </c>
      <c r="B431" s="2" t="s">
        <v>38</v>
      </c>
      <c r="C431" s="2" t="s">
        <v>39</v>
      </c>
      <c r="D431" s="13"/>
      <c r="E431" s="13"/>
      <c r="F431" s="75" t="s">
        <v>4363</v>
      </c>
      <c r="G431" s="153">
        <v>1.0</v>
      </c>
      <c r="I431" s="42"/>
      <c r="J431" s="22"/>
      <c r="K431" s="42"/>
    </row>
    <row r="432" ht="39.75" customHeight="1">
      <c r="A432" s="1">
        <v>506.0</v>
      </c>
      <c r="B432" s="2" t="s">
        <v>41</v>
      </c>
      <c r="C432" s="2" t="s">
        <v>13</v>
      </c>
      <c r="D432" s="13"/>
      <c r="E432" s="13"/>
      <c r="F432" s="45"/>
      <c r="G432" s="42"/>
      <c r="H432" s="42"/>
      <c r="I432" s="42"/>
      <c r="J432" s="22"/>
      <c r="K432" s="42"/>
    </row>
    <row r="433" ht="39.75" customHeight="1">
      <c r="A433" s="1">
        <v>507.0</v>
      </c>
      <c r="B433" s="2" t="s">
        <v>42</v>
      </c>
      <c r="C433" s="2"/>
      <c r="D433" s="13"/>
      <c r="E433" s="13"/>
      <c r="F433" s="44" t="s">
        <v>4364</v>
      </c>
      <c r="G433" s="43">
        <v>2.0</v>
      </c>
      <c r="H433" s="42"/>
      <c r="I433" s="43">
        <v>1.0</v>
      </c>
      <c r="J433" s="22"/>
      <c r="K433" s="42"/>
    </row>
    <row r="434" ht="39.75" customHeight="1">
      <c r="A434" s="1">
        <v>508.0</v>
      </c>
      <c r="B434" s="2" t="s">
        <v>43</v>
      </c>
      <c r="C434" s="2" t="s">
        <v>39</v>
      </c>
      <c r="D434" s="13"/>
      <c r="E434" s="13"/>
      <c r="F434" s="44" t="s">
        <v>4365</v>
      </c>
      <c r="G434" s="43">
        <v>1.0</v>
      </c>
      <c r="H434" s="42"/>
      <c r="I434" s="43">
        <v>1.0</v>
      </c>
      <c r="J434" s="22"/>
      <c r="K434" s="42"/>
    </row>
    <row r="435" ht="39.75" customHeight="1">
      <c r="A435" s="1">
        <v>509.0</v>
      </c>
      <c r="B435" s="2" t="s">
        <v>267</v>
      </c>
      <c r="C435" s="2"/>
      <c r="D435" s="13"/>
      <c r="E435" s="13"/>
      <c r="F435" s="44" t="s">
        <v>4366</v>
      </c>
      <c r="G435" s="43">
        <v>1.0</v>
      </c>
      <c r="H435" s="42"/>
      <c r="I435" s="42"/>
      <c r="J435" s="22"/>
      <c r="K435" s="42"/>
    </row>
    <row r="436" ht="39.75" customHeight="1">
      <c r="A436" s="1">
        <v>510.0</v>
      </c>
      <c r="B436" s="2" t="s">
        <v>46</v>
      </c>
      <c r="C436" s="2"/>
      <c r="D436" s="13"/>
      <c r="E436" s="13"/>
      <c r="F436" s="44" t="s">
        <v>881</v>
      </c>
      <c r="G436" s="43">
        <v>1.0</v>
      </c>
      <c r="H436" s="42"/>
      <c r="I436" s="42"/>
      <c r="J436" s="22"/>
      <c r="K436" s="42"/>
    </row>
    <row r="437" ht="39.75" customHeight="1">
      <c r="A437" s="1">
        <v>511.0</v>
      </c>
      <c r="B437" s="2" t="s">
        <v>47</v>
      </c>
      <c r="C437" s="2" t="s">
        <v>44</v>
      </c>
      <c r="D437" s="13"/>
      <c r="E437" s="13"/>
      <c r="F437" s="45"/>
      <c r="G437" s="42"/>
      <c r="H437" s="42"/>
      <c r="I437" s="42"/>
      <c r="J437" s="22"/>
      <c r="K437" s="42"/>
    </row>
    <row r="438" ht="39.75" customHeight="1">
      <c r="A438" s="1">
        <v>512.0</v>
      </c>
      <c r="B438" s="2" t="s">
        <v>48</v>
      </c>
      <c r="C438" s="2" t="s">
        <v>54</v>
      </c>
      <c r="D438" s="13"/>
      <c r="E438" s="13"/>
      <c r="F438" s="44" t="s">
        <v>4367</v>
      </c>
      <c r="G438" s="43">
        <v>1.0</v>
      </c>
      <c r="H438" s="42"/>
      <c r="I438" s="42"/>
      <c r="J438" s="22"/>
      <c r="K438" s="42"/>
    </row>
    <row r="439" ht="39.75" customHeight="1">
      <c r="A439" s="1">
        <v>513.0</v>
      </c>
      <c r="B439" s="21"/>
      <c r="C439" s="21"/>
      <c r="D439" s="21"/>
      <c r="E439" s="21"/>
      <c r="F439" s="46"/>
      <c r="G439" s="47"/>
      <c r="H439" s="47"/>
      <c r="I439" s="47"/>
      <c r="J439" s="48"/>
      <c r="K439" s="47"/>
      <c r="L439" s="49"/>
      <c r="M439" s="49"/>
      <c r="N439" s="49"/>
    </row>
    <row r="440" ht="39.75" customHeight="1">
      <c r="A440" s="1">
        <v>514.0</v>
      </c>
      <c r="B440" s="2" t="s">
        <v>12</v>
      </c>
      <c r="C440" s="2" t="s">
        <v>13</v>
      </c>
      <c r="D440" s="13"/>
      <c r="E440" s="13"/>
      <c r="F440" s="45"/>
      <c r="G440" s="42"/>
      <c r="H440" s="42"/>
      <c r="I440" s="42"/>
      <c r="J440" s="27" t="s">
        <v>491</v>
      </c>
      <c r="K440" s="42"/>
      <c r="L440" s="15" t="s">
        <v>347</v>
      </c>
    </row>
    <row r="441" ht="39.75" customHeight="1">
      <c r="A441" s="1">
        <v>515.0</v>
      </c>
      <c r="B441" s="2" t="s">
        <v>16</v>
      </c>
      <c r="C441" s="2" t="s">
        <v>54</v>
      </c>
      <c r="D441" s="13"/>
      <c r="E441" s="13"/>
      <c r="F441" s="44" t="s">
        <v>4368</v>
      </c>
      <c r="G441" s="43">
        <v>1.0</v>
      </c>
      <c r="H441" s="42"/>
      <c r="I441" s="42"/>
      <c r="J441" s="27" t="s">
        <v>347</v>
      </c>
      <c r="K441" s="43"/>
    </row>
    <row r="442" ht="39.75" customHeight="1">
      <c r="A442" s="1">
        <v>516.0</v>
      </c>
      <c r="B442" s="2" t="s">
        <v>116</v>
      </c>
      <c r="C442" s="2" t="s">
        <v>69</v>
      </c>
      <c r="D442" s="13"/>
      <c r="E442" s="13"/>
      <c r="F442" s="45"/>
      <c r="G442" s="42"/>
      <c r="H442" s="42"/>
      <c r="I442" s="42"/>
      <c r="J442" s="27" t="s">
        <v>77</v>
      </c>
      <c r="K442" s="42"/>
    </row>
    <row r="443" ht="39.75" customHeight="1">
      <c r="A443" s="1">
        <v>517.0</v>
      </c>
      <c r="B443" s="2" t="s">
        <v>263</v>
      </c>
      <c r="C443" s="2" t="s">
        <v>54</v>
      </c>
      <c r="D443" s="13"/>
      <c r="E443" s="13"/>
      <c r="F443" s="44" t="s">
        <v>4369</v>
      </c>
      <c r="G443" s="43">
        <v>1.0</v>
      </c>
      <c r="H443" s="42"/>
      <c r="I443" s="42"/>
      <c r="J443" s="22"/>
      <c r="K443" s="42"/>
    </row>
    <row r="444" ht="39.75" customHeight="1">
      <c r="A444" s="1">
        <v>518.0</v>
      </c>
      <c r="B444" s="2" t="s">
        <v>17</v>
      </c>
      <c r="C444" s="2" t="s">
        <v>13</v>
      </c>
      <c r="D444" s="13"/>
      <c r="E444" s="13"/>
      <c r="F444" s="45"/>
      <c r="G444" s="42"/>
      <c r="H444" s="42"/>
      <c r="I444" s="42"/>
      <c r="J444" s="27" t="s">
        <v>30</v>
      </c>
      <c r="K444" s="42"/>
    </row>
    <row r="445" ht="39.75" customHeight="1">
      <c r="A445" s="1">
        <v>519.0</v>
      </c>
      <c r="B445" s="2" t="s">
        <v>331</v>
      </c>
      <c r="C445" s="2" t="s">
        <v>542</v>
      </c>
      <c r="D445" s="13"/>
      <c r="E445" s="13"/>
      <c r="F445" s="45"/>
      <c r="G445" s="42"/>
      <c r="H445" s="42"/>
      <c r="I445" s="42"/>
      <c r="J445" s="22"/>
      <c r="K445" s="42"/>
    </row>
    <row r="446" ht="39.75" customHeight="1">
      <c r="A446" s="1">
        <v>520.0</v>
      </c>
      <c r="B446" s="2" t="s">
        <v>21</v>
      </c>
      <c r="C446" s="2"/>
      <c r="D446" s="13"/>
      <c r="E446" s="13"/>
      <c r="F446" s="44" t="s">
        <v>4370</v>
      </c>
      <c r="G446" s="43">
        <v>1.0</v>
      </c>
      <c r="H446" s="42"/>
      <c r="I446" s="42"/>
      <c r="J446" s="22"/>
      <c r="K446" s="42"/>
    </row>
    <row r="447" ht="39.75" customHeight="1">
      <c r="A447" s="1">
        <v>521.0</v>
      </c>
      <c r="B447" s="2" t="s">
        <v>22</v>
      </c>
      <c r="C447" s="2" t="s">
        <v>44</v>
      </c>
      <c r="D447" s="13"/>
      <c r="E447" s="13"/>
      <c r="F447" s="45"/>
      <c r="G447" s="42"/>
      <c r="H447" s="42"/>
      <c r="I447" s="42"/>
      <c r="J447" s="22"/>
      <c r="K447" s="42"/>
    </row>
    <row r="448" ht="39.75" customHeight="1">
      <c r="A448" s="1">
        <v>522.0</v>
      </c>
      <c r="B448" s="2" t="s">
        <v>261</v>
      </c>
      <c r="C448" s="2" t="s">
        <v>13</v>
      </c>
      <c r="D448" s="13"/>
      <c r="E448" s="13"/>
      <c r="F448" s="45"/>
      <c r="G448" s="42"/>
      <c r="H448" s="42"/>
      <c r="I448" s="42"/>
      <c r="J448" s="22"/>
      <c r="K448" s="42"/>
    </row>
    <row r="449" ht="39.75" customHeight="1">
      <c r="A449" s="1">
        <v>523.0</v>
      </c>
      <c r="B449" s="2" t="s">
        <v>23</v>
      </c>
      <c r="C449" s="2" t="s">
        <v>39</v>
      </c>
      <c r="D449" s="13"/>
      <c r="E449" s="13"/>
      <c r="F449" s="44" t="s">
        <v>926</v>
      </c>
      <c r="G449" s="43">
        <v>1.0</v>
      </c>
      <c r="H449" s="42"/>
      <c r="I449" s="43">
        <v>1.0</v>
      </c>
      <c r="J449" s="22"/>
      <c r="K449" s="42"/>
    </row>
    <row r="450" ht="39.75" customHeight="1">
      <c r="A450" s="1">
        <v>524.0</v>
      </c>
      <c r="B450" s="2" t="s">
        <v>24</v>
      </c>
      <c r="C450" s="2" t="s">
        <v>3563</v>
      </c>
      <c r="D450" s="13"/>
      <c r="E450" s="13"/>
      <c r="F450" s="45"/>
      <c r="G450" s="42"/>
      <c r="H450" s="42"/>
      <c r="I450" s="42"/>
      <c r="J450" s="22"/>
      <c r="K450" s="42"/>
    </row>
    <row r="451" ht="39.75" customHeight="1">
      <c r="A451" s="1">
        <v>525.0</v>
      </c>
      <c r="B451" s="2" t="s">
        <v>25</v>
      </c>
      <c r="C451" s="2" t="s">
        <v>13</v>
      </c>
      <c r="D451" s="13"/>
      <c r="E451" s="13"/>
      <c r="F451" s="45"/>
      <c r="G451" s="42"/>
      <c r="H451" s="42"/>
      <c r="I451" s="42"/>
      <c r="J451" s="22"/>
      <c r="K451" s="42"/>
    </row>
    <row r="452" ht="39.75" customHeight="1">
      <c r="A452" s="1">
        <v>526.0</v>
      </c>
      <c r="B452" s="2" t="s">
        <v>26</v>
      </c>
      <c r="C452" s="2" t="s">
        <v>27</v>
      </c>
      <c r="D452" s="13"/>
      <c r="E452" s="13"/>
      <c r="F452" s="45"/>
      <c r="G452" s="42"/>
      <c r="H452" s="42"/>
      <c r="I452" s="42"/>
      <c r="J452" s="22"/>
      <c r="K452" s="42"/>
    </row>
    <row r="453" ht="39.75" customHeight="1">
      <c r="A453" s="1">
        <v>527.0</v>
      </c>
      <c r="B453" s="2" t="s">
        <v>29</v>
      </c>
      <c r="C453" s="13"/>
      <c r="D453" s="13"/>
      <c r="E453" s="13"/>
      <c r="F453" s="44" t="s">
        <v>4371</v>
      </c>
      <c r="G453" s="43">
        <v>1.0</v>
      </c>
      <c r="H453" s="42"/>
      <c r="I453" s="42"/>
      <c r="J453" s="22"/>
      <c r="K453" s="42"/>
    </row>
    <row r="454" ht="39.75" customHeight="1">
      <c r="A454" s="1">
        <v>528.0</v>
      </c>
      <c r="B454" s="2" t="s">
        <v>32</v>
      </c>
      <c r="C454" s="2" t="s">
        <v>13</v>
      </c>
      <c r="D454" s="13"/>
      <c r="E454" s="13"/>
      <c r="F454" s="45"/>
      <c r="G454" s="42"/>
      <c r="H454" s="42"/>
      <c r="I454" s="42"/>
      <c r="J454" s="22"/>
      <c r="K454" s="42"/>
    </row>
    <row r="455" ht="39.75" customHeight="1">
      <c r="A455" s="1">
        <v>529.0</v>
      </c>
      <c r="B455" s="2" t="s">
        <v>67</v>
      </c>
      <c r="C455" s="2" t="s">
        <v>66</v>
      </c>
      <c r="D455" s="13"/>
      <c r="E455" s="13"/>
      <c r="F455" s="45"/>
      <c r="G455" s="42"/>
      <c r="H455" s="42"/>
      <c r="I455" s="42"/>
      <c r="J455" s="22"/>
      <c r="K455" s="42"/>
    </row>
    <row r="456" ht="39.75" customHeight="1">
      <c r="A456" s="1">
        <v>530.0</v>
      </c>
      <c r="B456" s="2" t="s">
        <v>35</v>
      </c>
      <c r="C456" s="2"/>
      <c r="D456" s="13"/>
      <c r="E456" s="13"/>
      <c r="F456" s="44" t="s">
        <v>4372</v>
      </c>
      <c r="G456" s="43">
        <v>1.0</v>
      </c>
      <c r="H456" s="42"/>
      <c r="I456" s="42"/>
      <c r="J456" s="22"/>
      <c r="K456" s="42"/>
    </row>
    <row r="457" ht="39.75" customHeight="1">
      <c r="A457" s="1">
        <v>531.0</v>
      </c>
      <c r="B457" s="2" t="s">
        <v>36</v>
      </c>
      <c r="C457" s="2"/>
      <c r="D457" s="13"/>
      <c r="E457" s="13"/>
      <c r="F457" s="44" t="s">
        <v>4373</v>
      </c>
      <c r="G457" s="43">
        <v>2.0</v>
      </c>
      <c r="H457" s="42"/>
      <c r="I457" s="43">
        <v>1.0</v>
      </c>
      <c r="J457" s="22"/>
      <c r="K457" s="42"/>
    </row>
    <row r="458" ht="39.75" customHeight="1">
      <c r="A458" s="1">
        <v>532.0</v>
      </c>
      <c r="B458" s="2" t="s">
        <v>38</v>
      </c>
      <c r="C458" s="2"/>
      <c r="D458" s="13"/>
      <c r="E458" s="13"/>
      <c r="F458" s="44" t="s">
        <v>4374</v>
      </c>
      <c r="G458" s="43">
        <v>1.0</v>
      </c>
      <c r="H458" s="42"/>
      <c r="I458" s="42"/>
      <c r="J458" s="22"/>
      <c r="K458" s="42"/>
    </row>
    <row r="459" ht="39.75" customHeight="1">
      <c r="A459" s="1">
        <v>533.0</v>
      </c>
      <c r="B459" s="2" t="s">
        <v>41</v>
      </c>
      <c r="C459" s="2" t="s">
        <v>13</v>
      </c>
      <c r="D459" s="13"/>
      <c r="E459" s="13"/>
      <c r="F459" s="45"/>
      <c r="G459" s="42"/>
      <c r="H459" s="42"/>
      <c r="I459" s="42"/>
      <c r="J459" s="22"/>
      <c r="K459" s="42"/>
    </row>
    <row r="460" ht="39.75" customHeight="1">
      <c r="A460" s="1">
        <v>534.0</v>
      </c>
      <c r="B460" s="2" t="s">
        <v>42</v>
      </c>
      <c r="C460" s="2"/>
      <c r="D460" s="13"/>
      <c r="E460" s="13"/>
      <c r="F460" s="44" t="s">
        <v>4375</v>
      </c>
      <c r="G460" s="43">
        <v>1.0</v>
      </c>
      <c r="H460" s="42"/>
      <c r="I460" s="42"/>
      <c r="J460" s="22"/>
      <c r="K460" s="42"/>
    </row>
    <row r="461" ht="39.75" customHeight="1">
      <c r="A461" s="1">
        <v>535.0</v>
      </c>
      <c r="B461" s="2" t="s">
        <v>43</v>
      </c>
      <c r="C461" s="2" t="s">
        <v>39</v>
      </c>
      <c r="D461" s="13"/>
      <c r="E461" s="13"/>
      <c r="F461" s="44" t="s">
        <v>4376</v>
      </c>
      <c r="G461" s="43">
        <v>1.0</v>
      </c>
      <c r="H461" s="42"/>
      <c r="I461" s="43">
        <v>1.0</v>
      </c>
      <c r="J461" s="22"/>
      <c r="K461" s="42"/>
    </row>
    <row r="462" ht="39.75" customHeight="1">
      <c r="A462" s="1">
        <v>536.0</v>
      </c>
      <c r="B462" s="2" t="s">
        <v>267</v>
      </c>
      <c r="C462" s="2"/>
      <c r="D462" s="13"/>
      <c r="E462" s="13"/>
      <c r="F462" s="44" t="s">
        <v>4377</v>
      </c>
      <c r="G462" s="42"/>
      <c r="H462" s="42"/>
      <c r="I462" s="42"/>
      <c r="J462" s="22"/>
      <c r="K462" s="42"/>
    </row>
    <row r="463" ht="39.75" customHeight="1">
      <c r="A463" s="1">
        <v>537.0</v>
      </c>
      <c r="B463" s="2" t="s">
        <v>46</v>
      </c>
      <c r="C463" s="2" t="s">
        <v>69</v>
      </c>
      <c r="D463" s="13"/>
      <c r="E463" s="13"/>
      <c r="F463" s="44" t="s">
        <v>4378</v>
      </c>
      <c r="G463" s="43">
        <v>2.0</v>
      </c>
      <c r="H463" s="42"/>
      <c r="I463" s="43">
        <v>1.0</v>
      </c>
      <c r="J463" s="22"/>
      <c r="K463" s="42"/>
    </row>
    <row r="464" ht="39.75" customHeight="1">
      <c r="A464" s="1">
        <v>538.0</v>
      </c>
      <c r="B464" s="2" t="s">
        <v>47</v>
      </c>
      <c r="C464" s="2" t="s">
        <v>69</v>
      </c>
      <c r="D464" s="13"/>
      <c r="E464" s="13"/>
      <c r="F464" s="45"/>
      <c r="G464" s="42"/>
      <c r="H464" s="42"/>
      <c r="I464" s="42"/>
      <c r="J464" s="22"/>
      <c r="K464" s="42"/>
    </row>
    <row r="465" ht="39.75" customHeight="1">
      <c r="A465" s="1">
        <v>539.0</v>
      </c>
      <c r="B465" s="2" t="s">
        <v>48</v>
      </c>
      <c r="C465" s="2" t="s">
        <v>54</v>
      </c>
      <c r="D465" s="13"/>
      <c r="E465" s="13"/>
      <c r="F465" s="44" t="s">
        <v>4379</v>
      </c>
      <c r="G465" s="43">
        <v>1.0</v>
      </c>
      <c r="H465" s="42"/>
      <c r="I465" s="42"/>
      <c r="J465" s="22"/>
      <c r="K465" s="42"/>
    </row>
    <row r="466" ht="39.75" customHeight="1">
      <c r="A466" s="1">
        <v>540.0</v>
      </c>
      <c r="B466" s="21"/>
      <c r="C466" s="21"/>
      <c r="D466" s="21"/>
      <c r="E466" s="21"/>
      <c r="F466" s="46"/>
      <c r="G466" s="47"/>
      <c r="H466" s="47"/>
      <c r="I466" s="47"/>
      <c r="J466" s="48"/>
      <c r="K466" s="47"/>
      <c r="L466" s="49"/>
      <c r="M466" s="49"/>
      <c r="N466" s="49"/>
    </row>
    <row r="467" ht="39.75" customHeight="1">
      <c r="A467" s="1">
        <v>541.0</v>
      </c>
      <c r="B467" s="2" t="s">
        <v>12</v>
      </c>
      <c r="C467" s="2" t="s">
        <v>62</v>
      </c>
      <c r="D467" s="13"/>
      <c r="E467" s="13"/>
      <c r="F467" s="44" t="s">
        <v>4380</v>
      </c>
      <c r="G467" s="42"/>
      <c r="H467" s="43">
        <v>1.0</v>
      </c>
      <c r="I467" s="42"/>
      <c r="J467" s="27" t="s">
        <v>491</v>
      </c>
      <c r="K467" s="42"/>
      <c r="L467" s="15" t="s">
        <v>362</v>
      </c>
    </row>
    <row r="468" ht="39.75" customHeight="1">
      <c r="A468" s="1">
        <v>542.0</v>
      </c>
      <c r="B468" s="2" t="s">
        <v>16</v>
      </c>
      <c r="C468" s="2" t="s">
        <v>69</v>
      </c>
      <c r="D468" s="13"/>
      <c r="E468" s="13"/>
      <c r="F468" s="44" t="s">
        <v>4381</v>
      </c>
      <c r="G468" s="43">
        <v>1.0</v>
      </c>
      <c r="H468" s="42"/>
      <c r="I468" s="42"/>
      <c r="J468" s="27" t="s">
        <v>362</v>
      </c>
      <c r="K468" s="43"/>
    </row>
    <row r="469" ht="39.75" customHeight="1">
      <c r="A469" s="1">
        <v>543.0</v>
      </c>
      <c r="B469" s="2" t="s">
        <v>116</v>
      </c>
      <c r="C469" s="2"/>
      <c r="D469" s="13"/>
      <c r="E469" s="13"/>
      <c r="F469" s="44" t="s">
        <v>310</v>
      </c>
      <c r="G469" s="42"/>
      <c r="H469" s="42"/>
      <c r="I469" s="42"/>
      <c r="J469" s="27" t="s">
        <v>95</v>
      </c>
      <c r="K469" s="42"/>
    </row>
    <row r="470" ht="39.75" customHeight="1">
      <c r="A470" s="1">
        <v>544.0</v>
      </c>
      <c r="B470" s="2" t="s">
        <v>263</v>
      </c>
      <c r="C470" s="2" t="s">
        <v>54</v>
      </c>
      <c r="D470" s="13"/>
      <c r="E470" s="13"/>
      <c r="F470" s="44" t="s">
        <v>4382</v>
      </c>
      <c r="G470" s="42"/>
      <c r="H470" s="42"/>
      <c r="I470" s="42"/>
      <c r="J470" s="22"/>
      <c r="K470" s="42"/>
    </row>
    <row r="471" ht="39.75" customHeight="1">
      <c r="A471" s="1">
        <v>545.0</v>
      </c>
      <c r="B471" s="2" t="s">
        <v>17</v>
      </c>
      <c r="C471" s="2" t="s">
        <v>66</v>
      </c>
      <c r="D471" s="13"/>
      <c r="E471" s="13"/>
      <c r="F471" s="45"/>
      <c r="G471" s="42"/>
      <c r="H471" s="42"/>
      <c r="I471" s="42"/>
      <c r="J471" s="22"/>
      <c r="K471" s="42"/>
    </row>
    <row r="472" ht="39.75" customHeight="1">
      <c r="A472" s="1">
        <v>546.0</v>
      </c>
      <c r="B472" s="2" t="s">
        <v>331</v>
      </c>
      <c r="C472" s="2" t="s">
        <v>542</v>
      </c>
      <c r="D472" s="13"/>
      <c r="E472" s="13"/>
      <c r="F472" s="44" t="s">
        <v>4383</v>
      </c>
      <c r="G472" s="42"/>
      <c r="H472" s="42"/>
      <c r="I472" s="42"/>
      <c r="J472" s="27" t="s">
        <v>3637</v>
      </c>
      <c r="K472" s="42"/>
    </row>
    <row r="473" ht="39.75" customHeight="1">
      <c r="A473" s="1">
        <v>547.0</v>
      </c>
      <c r="B473" s="2" t="s">
        <v>21</v>
      </c>
      <c r="C473" s="2" t="s">
        <v>39</v>
      </c>
      <c r="D473" s="13"/>
      <c r="E473" s="13"/>
      <c r="F473" s="44" t="s">
        <v>4384</v>
      </c>
      <c r="G473" s="43">
        <v>1.0</v>
      </c>
      <c r="H473" s="42"/>
      <c r="I473" s="43">
        <v>1.0</v>
      </c>
      <c r="J473" s="22"/>
      <c r="K473" s="42"/>
    </row>
    <row r="474" ht="39.75" customHeight="1">
      <c r="A474" s="1">
        <v>548.0</v>
      </c>
      <c r="B474" s="2" t="s">
        <v>22</v>
      </c>
      <c r="C474" s="13"/>
      <c r="D474" s="13"/>
      <c r="E474" s="13"/>
      <c r="F474" s="44" t="s">
        <v>4385</v>
      </c>
      <c r="G474" s="43">
        <v>1.0</v>
      </c>
      <c r="H474" s="42"/>
      <c r="I474" s="42"/>
      <c r="J474" s="22"/>
      <c r="K474" s="42"/>
    </row>
    <row r="475" ht="39.75" customHeight="1">
      <c r="A475" s="1">
        <v>549.0</v>
      </c>
      <c r="B475" s="2" t="s">
        <v>261</v>
      </c>
      <c r="C475" s="2" t="s">
        <v>13</v>
      </c>
      <c r="D475" s="13"/>
      <c r="E475" s="13"/>
      <c r="F475" s="45"/>
      <c r="G475" s="42"/>
      <c r="H475" s="42"/>
      <c r="I475" s="42"/>
      <c r="J475" s="22"/>
      <c r="K475" s="42"/>
    </row>
    <row r="476" ht="39.75" customHeight="1">
      <c r="A476" s="1">
        <v>550.0</v>
      </c>
      <c r="B476" s="2" t="s">
        <v>23</v>
      </c>
      <c r="C476" s="2" t="s">
        <v>69</v>
      </c>
      <c r="D476" s="13"/>
      <c r="E476" s="13"/>
      <c r="F476" s="44" t="s">
        <v>4386</v>
      </c>
      <c r="G476" s="43">
        <v>1.0</v>
      </c>
      <c r="H476" s="42"/>
      <c r="I476" s="42"/>
      <c r="J476" s="22"/>
      <c r="K476" s="42"/>
    </row>
    <row r="477" ht="39.75" customHeight="1">
      <c r="A477" s="1">
        <v>551.0</v>
      </c>
      <c r="B477" s="2" t="s">
        <v>24</v>
      </c>
      <c r="C477" s="2" t="s">
        <v>3563</v>
      </c>
      <c r="D477" s="13"/>
      <c r="E477" s="13"/>
      <c r="F477" s="44"/>
      <c r="G477" s="42"/>
      <c r="H477" s="42"/>
      <c r="I477" s="42"/>
      <c r="J477" s="22"/>
      <c r="K477" s="42"/>
    </row>
    <row r="478" ht="39.75" customHeight="1">
      <c r="A478" s="1">
        <v>552.0</v>
      </c>
      <c r="B478" s="2" t="s">
        <v>25</v>
      </c>
      <c r="C478" s="2" t="s">
        <v>39</v>
      </c>
      <c r="D478" s="13"/>
      <c r="E478" s="13"/>
      <c r="F478" s="44" t="s">
        <v>4387</v>
      </c>
      <c r="G478" s="43">
        <v>1.0</v>
      </c>
      <c r="H478" s="42"/>
      <c r="I478" s="42"/>
      <c r="J478" s="22"/>
      <c r="K478" s="42"/>
    </row>
    <row r="479" ht="39.75" customHeight="1">
      <c r="A479" s="1">
        <v>553.0</v>
      </c>
      <c r="B479" s="2" t="s">
        <v>26</v>
      </c>
      <c r="C479" s="2" t="s">
        <v>44</v>
      </c>
      <c r="D479" s="13"/>
      <c r="E479" s="13"/>
      <c r="F479" s="154" t="s">
        <v>4388</v>
      </c>
      <c r="G479" s="56">
        <v>1.0</v>
      </c>
      <c r="H479" s="42"/>
      <c r="I479" s="42"/>
      <c r="J479" s="22"/>
      <c r="K479" s="42"/>
    </row>
    <row r="480" ht="39.75" customHeight="1">
      <c r="A480" s="1">
        <v>554.0</v>
      </c>
      <c r="B480" s="2" t="s">
        <v>29</v>
      </c>
      <c r="C480" s="2" t="s">
        <v>27</v>
      </c>
      <c r="D480" s="13"/>
      <c r="E480" s="13"/>
      <c r="F480" s="44" t="s">
        <v>4386</v>
      </c>
      <c r="G480" s="43">
        <v>1.0</v>
      </c>
      <c r="H480" s="42"/>
      <c r="I480" s="42"/>
      <c r="J480" s="22"/>
      <c r="K480" s="42"/>
    </row>
    <row r="481" ht="39.75" customHeight="1">
      <c r="A481" s="1">
        <v>555.0</v>
      </c>
      <c r="B481" s="2" t="s">
        <v>32</v>
      </c>
      <c r="C481" s="2" t="s">
        <v>13</v>
      </c>
      <c r="D481" s="13"/>
      <c r="E481" s="13"/>
      <c r="F481" s="45"/>
      <c r="G481" s="42"/>
      <c r="H481" s="42"/>
      <c r="I481" s="42"/>
      <c r="J481" s="22"/>
      <c r="K481" s="42"/>
    </row>
    <row r="482" ht="39.75" customHeight="1">
      <c r="A482" s="1">
        <v>556.0</v>
      </c>
      <c r="B482" s="2" t="s">
        <v>67</v>
      </c>
      <c r="C482" s="2"/>
      <c r="D482" s="13"/>
      <c r="E482" s="13"/>
      <c r="F482" s="44" t="s">
        <v>4389</v>
      </c>
      <c r="G482" s="43">
        <v>1.0</v>
      </c>
      <c r="H482" s="42"/>
      <c r="I482" s="43">
        <v>1.0</v>
      </c>
      <c r="J482" s="22"/>
      <c r="K482" s="42"/>
    </row>
    <row r="483" ht="39.75" customHeight="1">
      <c r="A483" s="1">
        <v>557.0</v>
      </c>
      <c r="B483" s="2" t="s">
        <v>35</v>
      </c>
      <c r="C483" s="2"/>
      <c r="D483" s="13"/>
      <c r="E483" s="13"/>
      <c r="F483" s="44" t="s">
        <v>3482</v>
      </c>
      <c r="G483" s="43">
        <v>1.0</v>
      </c>
      <c r="H483" s="42"/>
      <c r="I483" s="42"/>
      <c r="J483" s="22"/>
      <c r="K483" s="42"/>
    </row>
    <row r="484" ht="39.75" customHeight="1">
      <c r="A484" s="1">
        <v>558.0</v>
      </c>
      <c r="B484" s="2" t="s">
        <v>36</v>
      </c>
      <c r="C484" s="2" t="s">
        <v>13</v>
      </c>
      <c r="D484" s="13"/>
      <c r="E484" s="13"/>
      <c r="F484" s="45"/>
      <c r="G484" s="42"/>
      <c r="H484" s="42"/>
      <c r="I484" s="42"/>
      <c r="J484" s="22"/>
      <c r="K484" s="42"/>
    </row>
    <row r="485" ht="39.75" customHeight="1">
      <c r="A485" s="1">
        <v>559.0</v>
      </c>
      <c r="B485" s="2" t="s">
        <v>38</v>
      </c>
      <c r="C485" s="2"/>
      <c r="D485" s="13"/>
      <c r="E485" s="13"/>
      <c r="F485" s="44" t="s">
        <v>4390</v>
      </c>
      <c r="G485" s="43">
        <v>1.0</v>
      </c>
      <c r="H485" s="42"/>
      <c r="I485" s="42"/>
      <c r="J485" s="22"/>
      <c r="K485" s="42"/>
    </row>
    <row r="486" ht="39.75" customHeight="1">
      <c r="A486" s="1">
        <v>560.0</v>
      </c>
      <c r="B486" s="2" t="s">
        <v>41</v>
      </c>
      <c r="C486" s="2" t="s">
        <v>13</v>
      </c>
      <c r="D486" s="13"/>
      <c r="E486" s="13"/>
      <c r="F486" s="45"/>
      <c r="G486" s="42"/>
      <c r="H486" s="42"/>
      <c r="I486" s="42"/>
      <c r="J486" s="22"/>
      <c r="K486" s="42"/>
    </row>
    <row r="487" ht="39.75" customHeight="1">
      <c r="A487" s="1">
        <v>561.0</v>
      </c>
      <c r="B487" s="2" t="s">
        <v>42</v>
      </c>
      <c r="C487" s="2" t="s">
        <v>69</v>
      </c>
      <c r="D487" s="13"/>
      <c r="E487" s="13"/>
      <c r="F487" s="45"/>
      <c r="G487" s="42"/>
      <c r="H487" s="42"/>
      <c r="I487" s="42"/>
      <c r="J487" s="22"/>
      <c r="K487" s="42"/>
    </row>
    <row r="488" ht="39.75" customHeight="1">
      <c r="A488" s="1">
        <v>562.0</v>
      </c>
      <c r="B488" s="2" t="s">
        <v>43</v>
      </c>
      <c r="C488" s="2" t="s">
        <v>69</v>
      </c>
      <c r="D488" s="13"/>
      <c r="E488" s="13"/>
      <c r="F488" s="44" t="s">
        <v>4391</v>
      </c>
      <c r="G488" s="43">
        <v>1.0</v>
      </c>
      <c r="H488" s="42"/>
      <c r="I488" s="43">
        <v>1.0</v>
      </c>
      <c r="J488" s="22"/>
      <c r="K488" s="42"/>
    </row>
    <row r="489" ht="39.75" customHeight="1">
      <c r="A489" s="1">
        <v>563.0</v>
      </c>
      <c r="B489" s="2" t="s">
        <v>267</v>
      </c>
      <c r="C489" s="2"/>
      <c r="D489" s="13"/>
      <c r="E489" s="13"/>
      <c r="F489" s="44" t="s">
        <v>4392</v>
      </c>
      <c r="G489" s="43">
        <v>1.0</v>
      </c>
      <c r="H489" s="42"/>
      <c r="I489" s="42"/>
      <c r="J489" s="22"/>
      <c r="K489" s="42"/>
    </row>
    <row r="490" ht="39.75" customHeight="1">
      <c r="A490" s="1">
        <v>564.0</v>
      </c>
      <c r="B490" s="2" t="s">
        <v>46</v>
      </c>
      <c r="C490" s="2" t="s">
        <v>66</v>
      </c>
      <c r="D490" s="13"/>
      <c r="E490" s="13"/>
      <c r="F490" s="45"/>
      <c r="G490" s="42"/>
      <c r="H490" s="42"/>
      <c r="I490" s="42"/>
      <c r="J490" s="22"/>
      <c r="K490" s="42"/>
    </row>
    <row r="491" ht="39.75" customHeight="1">
      <c r="A491" s="1">
        <v>565.0</v>
      </c>
      <c r="B491" s="2" t="s">
        <v>47</v>
      </c>
      <c r="C491" s="2" t="s">
        <v>54</v>
      </c>
      <c r="D491" s="13"/>
      <c r="E491" s="13"/>
      <c r="F491" s="44" t="s">
        <v>4393</v>
      </c>
      <c r="G491" s="43">
        <v>1.0</v>
      </c>
      <c r="H491" s="42"/>
      <c r="I491" s="42"/>
      <c r="J491" s="22"/>
      <c r="K491" s="42"/>
    </row>
    <row r="492" ht="39.75" customHeight="1">
      <c r="A492" s="1">
        <v>566.0</v>
      </c>
      <c r="B492" s="2" t="s">
        <v>48</v>
      </c>
      <c r="C492" s="2"/>
      <c r="D492" s="13"/>
      <c r="E492" s="13"/>
      <c r="F492" s="44" t="s">
        <v>4394</v>
      </c>
      <c r="G492" s="43">
        <v>1.0</v>
      </c>
      <c r="H492" s="42"/>
      <c r="I492" s="43">
        <v>1.0</v>
      </c>
      <c r="J492" s="22"/>
      <c r="K492" s="42"/>
    </row>
    <row r="493" ht="39.75" customHeight="1">
      <c r="A493" s="1">
        <v>567.0</v>
      </c>
      <c r="B493" s="21"/>
      <c r="C493" s="21"/>
      <c r="D493" s="21"/>
      <c r="E493" s="21"/>
      <c r="F493" s="46"/>
      <c r="G493" s="47"/>
      <c r="H493" s="47"/>
      <c r="I493" s="47"/>
      <c r="J493" s="48"/>
      <c r="K493" s="47"/>
      <c r="L493" s="49"/>
      <c r="M493" s="49"/>
      <c r="N493" s="49"/>
    </row>
    <row r="494" ht="39.75" customHeight="1">
      <c r="A494" s="1">
        <v>568.0</v>
      </c>
      <c r="B494" s="2" t="s">
        <v>12</v>
      </c>
      <c r="C494" s="2" t="s">
        <v>62</v>
      </c>
      <c r="D494" s="13"/>
      <c r="E494" s="13"/>
      <c r="F494" s="44" t="s">
        <v>7</v>
      </c>
      <c r="G494" s="43">
        <v>1.0</v>
      </c>
      <c r="H494" s="42"/>
      <c r="I494" s="42"/>
      <c r="J494" s="27" t="s">
        <v>491</v>
      </c>
      <c r="K494" s="42"/>
      <c r="L494" s="15" t="s">
        <v>369</v>
      </c>
    </row>
    <row r="495" ht="39.75" customHeight="1">
      <c r="A495" s="1">
        <v>569.0</v>
      </c>
      <c r="B495" s="2" t="s">
        <v>16</v>
      </c>
      <c r="C495" s="2" t="s">
        <v>54</v>
      </c>
      <c r="D495" s="13"/>
      <c r="E495" s="13"/>
      <c r="F495" s="44" t="s">
        <v>4395</v>
      </c>
      <c r="G495" s="43">
        <v>1.0</v>
      </c>
      <c r="H495" s="42"/>
      <c r="I495" s="42"/>
      <c r="J495" s="27" t="s">
        <v>369</v>
      </c>
      <c r="K495" s="43"/>
    </row>
    <row r="496" ht="39.75" customHeight="1">
      <c r="A496" s="1">
        <v>570.0</v>
      </c>
      <c r="B496" s="2" t="s">
        <v>116</v>
      </c>
      <c r="C496" s="2" t="s">
        <v>66</v>
      </c>
      <c r="D496" s="13"/>
      <c r="E496" s="13"/>
      <c r="F496" s="45"/>
      <c r="G496" s="42"/>
      <c r="H496" s="42"/>
      <c r="I496" s="42"/>
      <c r="J496" s="27" t="s">
        <v>111</v>
      </c>
      <c r="K496" s="42"/>
    </row>
    <row r="497" ht="39.75" customHeight="1">
      <c r="A497" s="1">
        <v>571.0</v>
      </c>
      <c r="B497" s="2" t="s">
        <v>263</v>
      </c>
      <c r="C497" s="2" t="s">
        <v>54</v>
      </c>
      <c r="D497" s="13"/>
      <c r="E497" s="13"/>
      <c r="F497" s="44" t="s">
        <v>4396</v>
      </c>
      <c r="G497" s="43">
        <v>2.0</v>
      </c>
      <c r="H497" s="42"/>
      <c r="I497" s="43">
        <v>1.0</v>
      </c>
      <c r="J497" s="22"/>
      <c r="K497" s="42"/>
    </row>
    <row r="498" ht="39.75" customHeight="1">
      <c r="A498" s="1">
        <v>572.0</v>
      </c>
      <c r="B498" s="2" t="s">
        <v>17</v>
      </c>
      <c r="C498" s="2" t="s">
        <v>64</v>
      </c>
      <c r="D498" s="13"/>
      <c r="E498" s="13"/>
      <c r="F498" s="44" t="s">
        <v>3392</v>
      </c>
      <c r="G498" s="43">
        <v>1.0</v>
      </c>
      <c r="H498" s="42"/>
      <c r="I498" s="42"/>
      <c r="J498" s="22"/>
      <c r="K498" s="42"/>
    </row>
    <row r="499" ht="39.75" customHeight="1">
      <c r="A499" s="1">
        <v>573.0</v>
      </c>
      <c r="B499" s="2" t="s">
        <v>331</v>
      </c>
      <c r="C499" s="2" t="s">
        <v>542</v>
      </c>
      <c r="D499" s="13"/>
      <c r="E499" s="13"/>
      <c r="F499" s="44" t="s">
        <v>4397</v>
      </c>
      <c r="G499" s="43">
        <v>1.0</v>
      </c>
      <c r="H499" s="42"/>
      <c r="I499" s="42"/>
      <c r="J499" s="22"/>
      <c r="K499" s="42"/>
    </row>
    <row r="500" ht="39.75" customHeight="1">
      <c r="A500" s="1">
        <v>574.0</v>
      </c>
      <c r="B500" s="2" t="s">
        <v>21</v>
      </c>
      <c r="C500" s="2"/>
      <c r="D500" s="13"/>
      <c r="E500" s="13"/>
      <c r="F500" s="44" t="s">
        <v>4398</v>
      </c>
      <c r="G500" s="43">
        <v>1.0</v>
      </c>
      <c r="H500" s="42"/>
      <c r="I500" s="42"/>
      <c r="J500" s="22"/>
      <c r="K500" s="42"/>
    </row>
    <row r="501" ht="39.75" customHeight="1">
      <c r="A501" s="1">
        <v>575.0</v>
      </c>
      <c r="B501" s="2" t="s">
        <v>22</v>
      </c>
      <c r="C501" s="2" t="s">
        <v>69</v>
      </c>
      <c r="D501" s="13"/>
      <c r="E501" s="13"/>
      <c r="F501" s="44" t="s">
        <v>4399</v>
      </c>
      <c r="G501" s="43">
        <v>1.0</v>
      </c>
      <c r="H501" s="42"/>
      <c r="I501" s="42"/>
      <c r="J501" s="22"/>
      <c r="K501" s="42"/>
    </row>
    <row r="502" ht="39.75" customHeight="1">
      <c r="A502" s="1">
        <v>576.0</v>
      </c>
      <c r="B502" s="2" t="s">
        <v>261</v>
      </c>
      <c r="C502" s="2" t="s">
        <v>13</v>
      </c>
      <c r="D502" s="13"/>
      <c r="E502" s="13"/>
      <c r="F502" s="45"/>
      <c r="G502" s="42"/>
      <c r="H502" s="42"/>
      <c r="I502" s="42"/>
      <c r="J502" s="22"/>
      <c r="K502" s="42"/>
    </row>
    <row r="503" ht="39.75" customHeight="1">
      <c r="A503" s="1">
        <v>577.0</v>
      </c>
      <c r="B503" s="2" t="s">
        <v>23</v>
      </c>
      <c r="C503" s="2"/>
      <c r="D503" s="13"/>
      <c r="E503" s="13"/>
      <c r="F503" s="44" t="s">
        <v>4400</v>
      </c>
      <c r="G503" s="43">
        <v>1.0</v>
      </c>
      <c r="H503" s="42"/>
      <c r="I503" s="43">
        <v>1.0</v>
      </c>
      <c r="J503" s="22"/>
      <c r="K503" s="42"/>
    </row>
    <row r="504" ht="39.75" customHeight="1">
      <c r="A504" s="1">
        <v>578.0</v>
      </c>
      <c r="B504" s="2" t="s">
        <v>24</v>
      </c>
      <c r="C504" s="2" t="s">
        <v>13</v>
      </c>
      <c r="D504" s="13"/>
      <c r="E504" s="13"/>
      <c r="F504" s="45"/>
      <c r="G504" s="42"/>
      <c r="H504" s="42"/>
      <c r="I504" s="42"/>
      <c r="J504" s="22"/>
      <c r="K504" s="42"/>
    </row>
    <row r="505" ht="39.75" customHeight="1">
      <c r="A505" s="1">
        <v>579.0</v>
      </c>
      <c r="B505" s="2" t="s">
        <v>25</v>
      </c>
      <c r="C505" s="2"/>
      <c r="D505" s="13"/>
      <c r="E505" s="13"/>
      <c r="F505" s="44" t="s">
        <v>4401</v>
      </c>
      <c r="G505" s="43">
        <v>1.0</v>
      </c>
      <c r="H505" s="42"/>
      <c r="I505" s="42"/>
      <c r="J505" s="22"/>
      <c r="K505" s="42"/>
    </row>
    <row r="506" ht="39.75" customHeight="1">
      <c r="A506" s="1">
        <v>580.0</v>
      </c>
      <c r="B506" s="2" t="s">
        <v>26</v>
      </c>
      <c r="C506" s="2" t="s">
        <v>13</v>
      </c>
      <c r="D506" s="13"/>
      <c r="E506" s="13"/>
      <c r="F506" s="45"/>
      <c r="G506" s="42"/>
      <c r="H506" s="42"/>
      <c r="I506" s="42"/>
      <c r="J506" s="22"/>
      <c r="K506" s="42"/>
    </row>
    <row r="507" ht="39.75" customHeight="1">
      <c r="A507" s="1">
        <v>581.0</v>
      </c>
      <c r="B507" s="2" t="s">
        <v>29</v>
      </c>
      <c r="C507" s="2" t="s">
        <v>44</v>
      </c>
      <c r="D507" s="13"/>
      <c r="E507" s="13"/>
      <c r="F507" s="44" t="s">
        <v>4402</v>
      </c>
      <c r="G507" s="56">
        <v>1.0</v>
      </c>
      <c r="H507" s="42"/>
      <c r="I507" s="56">
        <v>1.0</v>
      </c>
      <c r="J507" s="22"/>
      <c r="K507" s="42"/>
    </row>
    <row r="508" ht="39.75" customHeight="1">
      <c r="A508" s="1">
        <v>582.0</v>
      </c>
      <c r="B508" s="2" t="s">
        <v>32</v>
      </c>
      <c r="C508" s="2" t="s">
        <v>13</v>
      </c>
      <c r="D508" s="13"/>
      <c r="E508" s="13"/>
      <c r="F508" s="45"/>
      <c r="G508" s="42"/>
      <c r="H508" s="42"/>
      <c r="I508" s="42"/>
      <c r="J508" s="22"/>
      <c r="K508" s="42"/>
    </row>
    <row r="509" ht="39.75" customHeight="1">
      <c r="A509" s="1">
        <v>583.0</v>
      </c>
      <c r="B509" s="2" t="s">
        <v>67</v>
      </c>
      <c r="C509" s="2" t="s">
        <v>39</v>
      </c>
      <c r="D509" s="13"/>
      <c r="E509" s="13"/>
      <c r="F509" s="44" t="s">
        <v>4403</v>
      </c>
      <c r="G509" s="43">
        <v>1.0</v>
      </c>
      <c r="H509" s="42"/>
      <c r="I509" s="42"/>
      <c r="J509" s="22"/>
      <c r="K509" s="42"/>
    </row>
    <row r="510" ht="39.75" customHeight="1">
      <c r="A510" s="1">
        <v>584.0</v>
      </c>
      <c r="B510" s="2" t="s">
        <v>35</v>
      </c>
      <c r="C510" s="2" t="s">
        <v>3563</v>
      </c>
      <c r="D510" s="13"/>
      <c r="E510" s="13"/>
      <c r="F510" s="45"/>
      <c r="G510" s="42"/>
      <c r="H510" s="42"/>
      <c r="I510" s="42"/>
      <c r="J510" s="22"/>
      <c r="K510" s="42"/>
    </row>
    <row r="511" ht="39.75" customHeight="1">
      <c r="A511" s="1">
        <v>585.0</v>
      </c>
      <c r="B511" s="2" t="s">
        <v>36</v>
      </c>
      <c r="C511" s="2" t="s">
        <v>13</v>
      </c>
      <c r="D511" s="13"/>
      <c r="E511" s="13"/>
      <c r="F511" s="45"/>
      <c r="G511" s="42"/>
      <c r="H511" s="42"/>
      <c r="I511" s="42"/>
      <c r="J511" s="22"/>
      <c r="K511" s="42"/>
    </row>
    <row r="512" ht="39.75" customHeight="1">
      <c r="A512" s="1">
        <v>586.0</v>
      </c>
      <c r="B512" s="2" t="s">
        <v>38</v>
      </c>
      <c r="C512" s="2"/>
      <c r="D512" s="13"/>
      <c r="E512" s="13"/>
      <c r="F512" s="44" t="s">
        <v>4404</v>
      </c>
      <c r="G512" s="43">
        <v>1.0</v>
      </c>
      <c r="H512" s="42"/>
      <c r="I512" s="42"/>
      <c r="J512" s="22"/>
      <c r="K512" s="42"/>
    </row>
    <row r="513" ht="39.75" customHeight="1">
      <c r="A513" s="1">
        <v>587.0</v>
      </c>
      <c r="B513" s="2" t="s">
        <v>41</v>
      </c>
      <c r="C513" s="2" t="s">
        <v>13</v>
      </c>
      <c r="D513" s="13"/>
      <c r="E513" s="13"/>
      <c r="F513" s="45"/>
      <c r="G513" s="42"/>
      <c r="H513" s="42"/>
      <c r="I513" s="42"/>
      <c r="J513" s="22"/>
      <c r="K513" s="42"/>
    </row>
    <row r="514" ht="39.75" customHeight="1">
      <c r="A514" s="1">
        <v>588.0</v>
      </c>
      <c r="B514" s="2" t="s">
        <v>42</v>
      </c>
      <c r="C514" s="2" t="s">
        <v>69</v>
      </c>
      <c r="D514" s="13"/>
      <c r="E514" s="13"/>
      <c r="F514" s="44" t="s">
        <v>4405</v>
      </c>
      <c r="G514" s="43">
        <v>1.0</v>
      </c>
      <c r="H514" s="42"/>
      <c r="I514" s="42"/>
      <c r="J514" s="22"/>
      <c r="K514" s="42"/>
    </row>
    <row r="515" ht="39.75" customHeight="1">
      <c r="A515" s="1">
        <v>589.0</v>
      </c>
      <c r="B515" s="2" t="s">
        <v>43</v>
      </c>
      <c r="C515" s="2" t="s">
        <v>13</v>
      </c>
      <c r="D515" s="13"/>
      <c r="E515" s="13"/>
      <c r="F515" s="45"/>
      <c r="G515" s="42"/>
      <c r="H515" s="42"/>
      <c r="I515" s="42"/>
      <c r="J515" s="22"/>
      <c r="K515" s="42"/>
    </row>
    <row r="516" ht="39.75" customHeight="1">
      <c r="A516" s="1">
        <v>590.0</v>
      </c>
      <c r="B516" s="2" t="s">
        <v>267</v>
      </c>
      <c r="C516" s="2" t="s">
        <v>27</v>
      </c>
      <c r="D516" s="13"/>
      <c r="E516" s="13"/>
      <c r="F516" s="44" t="s">
        <v>4406</v>
      </c>
      <c r="G516" s="43">
        <v>1.0</v>
      </c>
      <c r="H516" s="42"/>
      <c r="I516" s="42"/>
      <c r="J516" s="22"/>
      <c r="K516" s="42"/>
    </row>
    <row r="517" ht="39.75" customHeight="1">
      <c r="A517" s="1">
        <v>591.0</v>
      </c>
      <c r="B517" s="2" t="s">
        <v>46</v>
      </c>
      <c r="C517" s="2" t="s">
        <v>69</v>
      </c>
      <c r="D517" s="13"/>
      <c r="E517" s="13"/>
      <c r="F517" s="44" t="s">
        <v>4407</v>
      </c>
      <c r="G517" s="43">
        <v>1.0</v>
      </c>
      <c r="H517" s="42"/>
      <c r="I517" s="43">
        <v>1.0</v>
      </c>
      <c r="J517" s="22"/>
      <c r="K517" s="42"/>
    </row>
    <row r="518" ht="39.75" customHeight="1">
      <c r="A518" s="1">
        <v>592.0</v>
      </c>
      <c r="B518" s="2" t="s">
        <v>47</v>
      </c>
      <c r="C518" s="2" t="s">
        <v>39</v>
      </c>
      <c r="D518" s="13"/>
      <c r="E518" s="13"/>
      <c r="F518" s="44" t="s">
        <v>4408</v>
      </c>
      <c r="G518" s="43">
        <v>2.0</v>
      </c>
      <c r="H518" s="42"/>
      <c r="I518" s="43">
        <v>1.0</v>
      </c>
      <c r="J518" s="22"/>
      <c r="K518" s="42"/>
    </row>
    <row r="519" ht="39.75" customHeight="1">
      <c r="A519" s="1">
        <v>593.0</v>
      </c>
      <c r="B519" s="2" t="s">
        <v>48</v>
      </c>
      <c r="C519" s="2" t="s">
        <v>54</v>
      </c>
      <c r="D519" s="13"/>
      <c r="E519" s="13"/>
      <c r="F519" s="44" t="s">
        <v>4409</v>
      </c>
      <c r="G519" s="43">
        <v>1.0</v>
      </c>
      <c r="H519" s="42"/>
      <c r="I519" s="42"/>
      <c r="J519" s="22"/>
      <c r="K519" s="42"/>
    </row>
    <row r="520" ht="39.75" customHeight="1">
      <c r="A520" s="1">
        <v>594.0</v>
      </c>
      <c r="B520" s="21"/>
      <c r="C520" s="21"/>
      <c r="D520" s="21"/>
      <c r="E520" s="21"/>
      <c r="F520" s="46"/>
      <c r="G520" s="47"/>
      <c r="H520" s="47"/>
      <c r="I520" s="47"/>
      <c r="J520" s="48"/>
      <c r="K520" s="47"/>
      <c r="L520" s="49"/>
      <c r="M520" s="49"/>
      <c r="N520" s="49"/>
    </row>
    <row r="521" ht="39.75" customHeight="1">
      <c r="A521" s="1">
        <v>595.0</v>
      </c>
      <c r="B521" s="2" t="s">
        <v>12</v>
      </c>
      <c r="C521" s="2" t="s">
        <v>66</v>
      </c>
      <c r="D521" s="13"/>
      <c r="E521" s="13"/>
      <c r="F521" s="45"/>
      <c r="G521" s="42"/>
      <c r="H521" s="42"/>
      <c r="I521" s="42"/>
      <c r="J521" s="27" t="s">
        <v>491</v>
      </c>
      <c r="K521" s="42"/>
      <c r="L521" s="15" t="s">
        <v>376</v>
      </c>
    </row>
    <row r="522" ht="39.75" customHeight="1">
      <c r="A522" s="1">
        <v>596.0</v>
      </c>
      <c r="B522" s="2" t="s">
        <v>16</v>
      </c>
      <c r="C522" s="2" t="s">
        <v>54</v>
      </c>
      <c r="D522" s="13"/>
      <c r="E522" s="13"/>
      <c r="F522" s="44" t="s">
        <v>4410</v>
      </c>
      <c r="G522" s="43">
        <v>1.0</v>
      </c>
      <c r="H522" s="42"/>
      <c r="I522" s="42"/>
      <c r="J522" s="27" t="s">
        <v>376</v>
      </c>
      <c r="K522" s="43"/>
    </row>
    <row r="523" ht="39.75" customHeight="1">
      <c r="A523" s="1">
        <v>597.0</v>
      </c>
      <c r="B523" s="2" t="s">
        <v>116</v>
      </c>
      <c r="C523" s="2" t="s">
        <v>13</v>
      </c>
      <c r="D523" s="13"/>
      <c r="E523" s="13"/>
      <c r="F523" s="45"/>
      <c r="G523" s="42"/>
      <c r="H523" s="42"/>
      <c r="I523" s="42"/>
      <c r="J523" s="27" t="s">
        <v>131</v>
      </c>
      <c r="K523" s="42"/>
    </row>
    <row r="524" ht="39.75" customHeight="1">
      <c r="A524" s="1">
        <v>598.0</v>
      </c>
      <c r="B524" s="2" t="s">
        <v>263</v>
      </c>
      <c r="C524" s="2" t="s">
        <v>54</v>
      </c>
      <c r="D524" s="13"/>
      <c r="E524" s="13"/>
      <c r="F524" s="44" t="s">
        <v>4411</v>
      </c>
      <c r="G524" s="43">
        <v>1.0</v>
      </c>
      <c r="H524" s="42"/>
      <c r="I524" s="42"/>
      <c r="J524" s="22"/>
      <c r="K524" s="42"/>
    </row>
    <row r="525" ht="39.75" customHeight="1">
      <c r="A525" s="1">
        <v>599.0</v>
      </c>
      <c r="B525" s="2" t="s">
        <v>17</v>
      </c>
      <c r="C525" s="2" t="s">
        <v>64</v>
      </c>
      <c r="D525" s="13"/>
      <c r="E525" s="13"/>
      <c r="F525" s="44" t="s">
        <v>3392</v>
      </c>
      <c r="G525" s="43">
        <v>1.0</v>
      </c>
      <c r="H525" s="42"/>
      <c r="I525" s="42"/>
      <c r="J525" s="22"/>
      <c r="K525" s="42"/>
    </row>
    <row r="526" ht="39.75" customHeight="1">
      <c r="A526" s="1">
        <v>600.0</v>
      </c>
      <c r="B526" s="2" t="s">
        <v>331</v>
      </c>
      <c r="C526" s="2" t="s">
        <v>542</v>
      </c>
      <c r="D526" s="13"/>
      <c r="E526" s="13"/>
      <c r="F526" s="44" t="s">
        <v>4412</v>
      </c>
      <c r="G526" s="43">
        <v>1.0</v>
      </c>
      <c r="H526" s="42"/>
      <c r="I526" s="42"/>
      <c r="J526" s="22"/>
      <c r="K526" s="42"/>
    </row>
    <row r="527" ht="39.75" customHeight="1">
      <c r="A527" s="1">
        <v>601.0</v>
      </c>
      <c r="B527" s="2" t="s">
        <v>21</v>
      </c>
      <c r="C527" s="2" t="s">
        <v>66</v>
      </c>
      <c r="D527" s="13"/>
      <c r="E527" s="13"/>
      <c r="F527" s="45"/>
      <c r="G527" s="42"/>
      <c r="H527" s="42"/>
      <c r="I527" s="42"/>
      <c r="J527" s="22"/>
      <c r="K527" s="42"/>
    </row>
    <row r="528" ht="39.75" customHeight="1">
      <c r="A528" s="1">
        <v>602.0</v>
      </c>
      <c r="B528" s="2" t="s">
        <v>22</v>
      </c>
      <c r="C528" s="13"/>
      <c r="D528" s="13"/>
      <c r="E528" s="13"/>
      <c r="F528" s="44" t="s">
        <v>4413</v>
      </c>
      <c r="G528" s="43">
        <v>1.0</v>
      </c>
      <c r="H528" s="42"/>
      <c r="I528" s="42"/>
      <c r="J528" s="22"/>
      <c r="K528" s="42"/>
    </row>
    <row r="529" ht="39.75" customHeight="1">
      <c r="A529" s="1">
        <v>603.0</v>
      </c>
      <c r="B529" s="2" t="s">
        <v>261</v>
      </c>
      <c r="C529" s="2" t="s">
        <v>13</v>
      </c>
      <c r="D529" s="13"/>
      <c r="E529" s="13"/>
      <c r="F529" s="45"/>
      <c r="G529" s="42"/>
      <c r="H529" s="42"/>
      <c r="I529" s="42"/>
      <c r="J529" s="22"/>
      <c r="K529" s="42"/>
    </row>
    <row r="530" ht="39.75" customHeight="1">
      <c r="A530" s="1">
        <v>604.0</v>
      </c>
      <c r="B530" s="2" t="s">
        <v>23</v>
      </c>
      <c r="C530" s="2" t="s">
        <v>66</v>
      </c>
      <c r="D530" s="13"/>
      <c r="E530" s="13"/>
      <c r="F530" s="45"/>
      <c r="G530" s="42"/>
      <c r="H530" s="42"/>
      <c r="I530" s="42"/>
      <c r="J530" s="22"/>
      <c r="K530" s="42"/>
    </row>
    <row r="531" ht="39.75" customHeight="1">
      <c r="A531" s="1">
        <v>605.0</v>
      </c>
      <c r="B531" s="2" t="s">
        <v>24</v>
      </c>
      <c r="C531" s="2" t="s">
        <v>13</v>
      </c>
      <c r="D531" s="13"/>
      <c r="E531" s="13"/>
      <c r="F531" s="45"/>
      <c r="G531" s="42"/>
      <c r="H531" s="42"/>
      <c r="I531" s="42"/>
      <c r="J531" s="22"/>
      <c r="K531" s="42"/>
    </row>
    <row r="532" ht="39.75" customHeight="1">
      <c r="A532" s="1">
        <v>606.0</v>
      </c>
      <c r="B532" s="2" t="s">
        <v>25</v>
      </c>
      <c r="C532" s="2"/>
      <c r="D532" s="13"/>
      <c r="E532" s="13"/>
      <c r="F532" s="44" t="s">
        <v>4414</v>
      </c>
      <c r="G532" s="43">
        <v>1.0</v>
      </c>
      <c r="H532" s="42"/>
      <c r="I532" s="42"/>
      <c r="J532" s="22"/>
      <c r="K532" s="42"/>
    </row>
    <row r="533" ht="39.75" customHeight="1">
      <c r="A533" s="1">
        <v>607.0</v>
      </c>
      <c r="B533" s="2" t="s">
        <v>26</v>
      </c>
      <c r="C533" s="2" t="s">
        <v>39</v>
      </c>
      <c r="D533" s="13"/>
      <c r="E533" s="13"/>
      <c r="F533" s="44" t="s">
        <v>4415</v>
      </c>
      <c r="G533" s="43">
        <v>2.0</v>
      </c>
      <c r="H533" s="42"/>
      <c r="I533" s="43">
        <v>1.0</v>
      </c>
      <c r="J533" s="22"/>
      <c r="K533" s="42"/>
    </row>
    <row r="534" ht="39.75" customHeight="1">
      <c r="A534" s="1">
        <v>608.0</v>
      </c>
      <c r="B534" s="2" t="s">
        <v>29</v>
      </c>
      <c r="C534" s="2" t="s">
        <v>13</v>
      </c>
      <c r="D534" s="13"/>
      <c r="E534" s="13"/>
      <c r="F534" s="45"/>
      <c r="G534" s="42"/>
      <c r="H534" s="42"/>
      <c r="I534" s="42"/>
      <c r="J534" s="22"/>
      <c r="K534" s="42"/>
    </row>
    <row r="535" ht="39.75" customHeight="1">
      <c r="A535" s="1">
        <v>609.0</v>
      </c>
      <c r="B535" s="2" t="s">
        <v>32</v>
      </c>
      <c r="C535" s="2" t="s">
        <v>13</v>
      </c>
      <c r="D535" s="13"/>
      <c r="E535" s="13"/>
      <c r="F535" s="45"/>
      <c r="G535" s="42"/>
      <c r="H535" s="42"/>
      <c r="I535" s="42"/>
      <c r="J535" s="22"/>
      <c r="K535" s="42"/>
    </row>
    <row r="536" ht="39.75" customHeight="1">
      <c r="A536" s="1">
        <v>610.0</v>
      </c>
      <c r="B536" s="2" t="s">
        <v>67</v>
      </c>
      <c r="C536" s="2"/>
      <c r="D536" s="13"/>
      <c r="E536" s="13"/>
      <c r="F536" s="44" t="s">
        <v>4416</v>
      </c>
      <c r="G536" s="43">
        <v>1.0</v>
      </c>
      <c r="H536" s="42"/>
      <c r="I536" s="42"/>
      <c r="J536" s="22"/>
      <c r="K536" s="42"/>
    </row>
    <row r="537" ht="39.75" customHeight="1">
      <c r="A537" s="1">
        <v>611.0</v>
      </c>
      <c r="B537" s="2" t="s">
        <v>35</v>
      </c>
      <c r="C537" s="2" t="s">
        <v>3563</v>
      </c>
      <c r="D537" s="13"/>
      <c r="E537" s="13"/>
      <c r="F537" s="45"/>
      <c r="G537" s="42"/>
      <c r="H537" s="42"/>
      <c r="I537" s="42"/>
      <c r="J537" s="22"/>
      <c r="K537" s="42"/>
    </row>
    <row r="538" ht="39.75" customHeight="1">
      <c r="A538" s="1">
        <v>612.0</v>
      </c>
      <c r="B538" s="2" t="s">
        <v>36</v>
      </c>
      <c r="C538" s="2" t="s">
        <v>13</v>
      </c>
      <c r="D538" s="13"/>
      <c r="E538" s="13"/>
      <c r="F538" s="45"/>
      <c r="G538" s="42"/>
      <c r="H538" s="42"/>
      <c r="I538" s="42"/>
      <c r="J538" s="22"/>
      <c r="K538" s="42"/>
    </row>
    <row r="539" ht="39.75" customHeight="1">
      <c r="A539" s="1">
        <v>613.0</v>
      </c>
      <c r="B539" s="2" t="s">
        <v>38</v>
      </c>
      <c r="C539" s="2" t="s">
        <v>39</v>
      </c>
      <c r="D539" s="13"/>
      <c r="E539" s="13"/>
      <c r="F539" s="44" t="s">
        <v>4417</v>
      </c>
      <c r="G539" s="43">
        <v>2.0</v>
      </c>
      <c r="H539" s="42"/>
      <c r="I539" s="43">
        <v>1.0</v>
      </c>
      <c r="J539" s="22"/>
      <c r="K539" s="42"/>
    </row>
    <row r="540" ht="39.75" customHeight="1">
      <c r="A540" s="1">
        <v>614.0</v>
      </c>
      <c r="B540" s="2" t="s">
        <v>41</v>
      </c>
      <c r="C540" s="2" t="s">
        <v>13</v>
      </c>
      <c r="D540" s="13"/>
      <c r="E540" s="13"/>
      <c r="F540" s="45"/>
      <c r="G540" s="42"/>
      <c r="H540" s="42"/>
      <c r="I540" s="42"/>
      <c r="J540" s="22"/>
      <c r="K540" s="42"/>
    </row>
    <row r="541" ht="39.75" customHeight="1">
      <c r="A541" s="1">
        <v>615.0</v>
      </c>
      <c r="B541" s="2" t="s">
        <v>42</v>
      </c>
      <c r="C541" s="2" t="s">
        <v>69</v>
      </c>
      <c r="D541" s="13"/>
      <c r="E541" s="13"/>
      <c r="F541" s="45"/>
      <c r="G541" s="42"/>
      <c r="H541" s="42"/>
      <c r="I541" s="42"/>
      <c r="J541" s="22"/>
      <c r="K541" s="42"/>
    </row>
    <row r="542" ht="39.75" customHeight="1">
      <c r="A542" s="1">
        <v>616.0</v>
      </c>
      <c r="B542" s="2" t="s">
        <v>43</v>
      </c>
      <c r="C542" s="2" t="s">
        <v>69</v>
      </c>
      <c r="D542" s="13"/>
      <c r="E542" s="13"/>
      <c r="F542" s="45"/>
      <c r="G542" s="42"/>
      <c r="H542" s="42"/>
      <c r="I542" s="42"/>
      <c r="J542" s="22"/>
      <c r="K542" s="42"/>
    </row>
    <row r="543" ht="39.75" customHeight="1">
      <c r="A543" s="1">
        <v>617.0</v>
      </c>
      <c r="B543" s="2" t="s">
        <v>267</v>
      </c>
      <c r="C543" s="2" t="s">
        <v>44</v>
      </c>
      <c r="D543" s="13"/>
      <c r="E543" s="13"/>
      <c r="F543" s="52" t="s">
        <v>4418</v>
      </c>
      <c r="G543" s="56">
        <v>1.0</v>
      </c>
      <c r="H543" s="42"/>
      <c r="I543" s="42"/>
      <c r="J543" s="22"/>
      <c r="K543" s="42"/>
    </row>
    <row r="544" ht="39.75" customHeight="1">
      <c r="A544" s="1">
        <v>618.0</v>
      </c>
      <c r="B544" s="2" t="s">
        <v>46</v>
      </c>
      <c r="C544" s="2" t="s">
        <v>69</v>
      </c>
      <c r="D544" s="13"/>
      <c r="E544" s="13"/>
      <c r="F544" s="45"/>
      <c r="G544" s="42"/>
      <c r="H544" s="42"/>
      <c r="I544" s="42"/>
      <c r="J544" s="22"/>
      <c r="K544" s="42"/>
    </row>
    <row r="545" ht="39.75" customHeight="1">
      <c r="A545" s="1">
        <v>619.0</v>
      </c>
      <c r="B545" s="2" t="s">
        <v>47</v>
      </c>
      <c r="C545" s="2" t="s">
        <v>27</v>
      </c>
      <c r="D545" s="13"/>
      <c r="E545" s="13"/>
      <c r="F545" s="45"/>
      <c r="G545" s="42"/>
      <c r="H545" s="42"/>
      <c r="I545" s="42"/>
      <c r="J545" s="22"/>
      <c r="K545" s="42"/>
    </row>
    <row r="546" ht="39.75" customHeight="1">
      <c r="A546" s="1">
        <v>620.0</v>
      </c>
      <c r="B546" s="2" t="s">
        <v>48</v>
      </c>
      <c r="C546" s="2" t="s">
        <v>54</v>
      </c>
      <c r="D546" s="13"/>
      <c r="E546" s="13"/>
      <c r="F546" s="44" t="s">
        <v>4419</v>
      </c>
      <c r="G546" s="43">
        <v>1.0</v>
      </c>
      <c r="H546" s="42"/>
      <c r="I546" s="42"/>
      <c r="J546" s="22"/>
      <c r="K546" s="42"/>
    </row>
    <row r="547" ht="39.75" customHeight="1">
      <c r="A547" s="1">
        <v>621.0</v>
      </c>
      <c r="B547" s="21"/>
      <c r="C547" s="21"/>
      <c r="D547" s="21"/>
      <c r="E547" s="21"/>
      <c r="F547" s="46"/>
      <c r="G547" s="47"/>
      <c r="H547" s="47"/>
      <c r="I547" s="47"/>
      <c r="J547" s="48"/>
      <c r="K547" s="47"/>
      <c r="L547" s="49"/>
      <c r="M547" s="49"/>
      <c r="N547" s="49"/>
    </row>
    <row r="548" ht="39.75" customHeight="1">
      <c r="A548" s="1">
        <v>622.0</v>
      </c>
      <c r="B548" s="2" t="s">
        <v>12</v>
      </c>
      <c r="C548" s="2"/>
      <c r="D548" s="13"/>
      <c r="E548" s="51">
        <v>0.75</v>
      </c>
      <c r="F548" s="44" t="s">
        <v>4420</v>
      </c>
      <c r="G548" s="43">
        <v>2.0</v>
      </c>
      <c r="H548" s="42"/>
      <c r="I548" s="43">
        <v>1.0</v>
      </c>
      <c r="J548" s="27" t="s">
        <v>491</v>
      </c>
      <c r="K548" s="42"/>
      <c r="L548" s="15" t="s">
        <v>389</v>
      </c>
    </row>
    <row r="549" ht="39.75" customHeight="1">
      <c r="A549" s="1">
        <v>623.0</v>
      </c>
      <c r="B549" s="2" t="s">
        <v>16</v>
      </c>
      <c r="C549" s="2" t="s">
        <v>13</v>
      </c>
      <c r="D549" s="13"/>
      <c r="E549" s="13"/>
      <c r="F549" s="45"/>
      <c r="G549" s="42"/>
      <c r="H549" s="42"/>
      <c r="I549" s="42"/>
      <c r="J549" s="27" t="s">
        <v>389</v>
      </c>
      <c r="K549" s="43"/>
    </row>
    <row r="550" ht="39.75" customHeight="1">
      <c r="A550" s="1">
        <v>624.0</v>
      </c>
      <c r="B550" s="2" t="s">
        <v>116</v>
      </c>
      <c r="C550" s="2" t="s">
        <v>13</v>
      </c>
      <c r="D550" s="13"/>
      <c r="E550" s="13"/>
      <c r="F550" s="45"/>
      <c r="G550" s="42"/>
      <c r="H550" s="42"/>
      <c r="I550" s="42"/>
      <c r="J550" s="27" t="s">
        <v>149</v>
      </c>
      <c r="K550" s="42"/>
    </row>
    <row r="551" ht="39.75" customHeight="1">
      <c r="A551" s="1">
        <v>625.0</v>
      </c>
      <c r="B551" s="2" t="s">
        <v>263</v>
      </c>
      <c r="C551" s="2" t="s">
        <v>13</v>
      </c>
      <c r="D551" s="13"/>
      <c r="E551" s="13"/>
      <c r="F551" s="44"/>
      <c r="G551" s="42"/>
      <c r="H551" s="42"/>
      <c r="I551" s="42"/>
      <c r="J551" s="27" t="s">
        <v>412</v>
      </c>
      <c r="K551" s="42"/>
    </row>
    <row r="552" ht="39.75" customHeight="1">
      <c r="A552" s="1">
        <v>626.0</v>
      </c>
      <c r="B552" s="2" t="s">
        <v>17</v>
      </c>
      <c r="C552" s="2" t="s">
        <v>13</v>
      </c>
      <c r="D552" s="13"/>
      <c r="E552" s="13"/>
      <c r="F552" s="45"/>
      <c r="G552" s="42"/>
      <c r="H552" s="42"/>
      <c r="I552" s="42"/>
      <c r="J552" s="22"/>
      <c r="K552" s="42"/>
    </row>
    <row r="553" ht="39.75" customHeight="1">
      <c r="A553" s="1">
        <v>627.0</v>
      </c>
      <c r="B553" s="2" t="s">
        <v>331</v>
      </c>
      <c r="C553" s="2" t="s">
        <v>13</v>
      </c>
      <c r="D553" s="13"/>
      <c r="E553" s="13"/>
      <c r="F553" s="45"/>
      <c r="G553" s="42"/>
      <c r="H553" s="42"/>
      <c r="I553" s="42"/>
      <c r="J553" s="22"/>
      <c r="K553" s="42"/>
    </row>
    <row r="554" ht="39.75" customHeight="1">
      <c r="A554" s="1">
        <v>628.0</v>
      </c>
      <c r="B554" s="2" t="s">
        <v>21</v>
      </c>
      <c r="C554" s="2" t="s">
        <v>69</v>
      </c>
      <c r="D554" s="13"/>
      <c r="E554" s="13"/>
      <c r="F554" s="44" t="s">
        <v>4421</v>
      </c>
      <c r="G554" s="43">
        <v>1.0</v>
      </c>
      <c r="H554" s="42"/>
      <c r="I554" s="42"/>
      <c r="J554" s="27"/>
      <c r="K554" s="42"/>
    </row>
    <row r="555" ht="39.75" customHeight="1">
      <c r="A555" s="1">
        <v>629.0</v>
      </c>
      <c r="B555" s="2" t="s">
        <v>22</v>
      </c>
      <c r="C555" s="2" t="s">
        <v>13</v>
      </c>
      <c r="D555" s="13"/>
      <c r="E555" s="13"/>
      <c r="F555" s="45"/>
      <c r="G555" s="42"/>
      <c r="H555" s="42"/>
      <c r="I555" s="42"/>
      <c r="J555" s="22"/>
      <c r="K555" s="42"/>
    </row>
    <row r="556" ht="39.75" customHeight="1">
      <c r="A556" s="1">
        <v>630.0</v>
      </c>
      <c r="B556" s="2" t="s">
        <v>261</v>
      </c>
      <c r="C556" s="2" t="s">
        <v>13</v>
      </c>
      <c r="D556" s="13"/>
      <c r="E556" s="13"/>
      <c r="F556" s="45"/>
      <c r="G556" s="42"/>
      <c r="H556" s="42"/>
      <c r="I556" s="42"/>
      <c r="J556" s="22"/>
      <c r="K556" s="42"/>
    </row>
    <row r="557" ht="39.75" customHeight="1">
      <c r="A557" s="1">
        <v>631.0</v>
      </c>
      <c r="B557" s="2" t="s">
        <v>23</v>
      </c>
      <c r="C557" s="2" t="s">
        <v>13</v>
      </c>
      <c r="D557" s="13"/>
      <c r="E557" s="13"/>
      <c r="F557" s="45"/>
      <c r="G557" s="42"/>
      <c r="H557" s="42"/>
      <c r="I557" s="42"/>
      <c r="J557" s="22"/>
      <c r="K557" s="42"/>
    </row>
    <row r="558" ht="39.75" customHeight="1">
      <c r="A558" s="1">
        <v>632.0</v>
      </c>
      <c r="B558" s="2" t="s">
        <v>24</v>
      </c>
      <c r="C558" s="2" t="s">
        <v>13</v>
      </c>
      <c r="D558" s="13"/>
      <c r="E558" s="13"/>
      <c r="F558" s="45"/>
      <c r="G558" s="42"/>
      <c r="H558" s="42"/>
      <c r="I558" s="42"/>
      <c r="J558" s="22"/>
      <c r="K558" s="42"/>
    </row>
    <row r="559" ht="39.75" customHeight="1">
      <c r="A559" s="1">
        <v>633.0</v>
      </c>
      <c r="B559" s="2" t="s">
        <v>25</v>
      </c>
      <c r="C559" s="2" t="s">
        <v>13</v>
      </c>
      <c r="D559" s="13"/>
      <c r="E559" s="13"/>
      <c r="F559" s="45"/>
      <c r="G559" s="42"/>
      <c r="H559" s="42"/>
      <c r="I559" s="42"/>
      <c r="J559" s="22"/>
      <c r="K559" s="42"/>
    </row>
    <row r="560" ht="39.75" customHeight="1">
      <c r="A560" s="1">
        <v>634.0</v>
      </c>
      <c r="B560" s="2" t="s">
        <v>26</v>
      </c>
      <c r="C560" s="2" t="s">
        <v>13</v>
      </c>
      <c r="D560" s="13"/>
      <c r="E560" s="13"/>
      <c r="F560" s="45"/>
      <c r="G560" s="42"/>
      <c r="H560" s="42"/>
      <c r="I560" s="42"/>
      <c r="J560" s="22"/>
      <c r="K560" s="42"/>
    </row>
    <row r="561" ht="39.75" customHeight="1">
      <c r="A561" s="1">
        <v>635.0</v>
      </c>
      <c r="B561" s="2" t="s">
        <v>29</v>
      </c>
      <c r="C561" s="2" t="s">
        <v>39</v>
      </c>
      <c r="D561" s="53">
        <v>0.25</v>
      </c>
      <c r="E561" s="13"/>
      <c r="F561" s="44" t="s">
        <v>4422</v>
      </c>
      <c r="G561" s="43">
        <v>2.0</v>
      </c>
      <c r="H561" s="42"/>
      <c r="I561" s="43">
        <v>2.0</v>
      </c>
      <c r="J561" s="27"/>
      <c r="K561" s="42"/>
    </row>
    <row r="562" ht="39.75" customHeight="1">
      <c r="A562" s="1">
        <v>636.0</v>
      </c>
      <c r="B562" s="2" t="s">
        <v>32</v>
      </c>
      <c r="C562" s="2" t="s">
        <v>13</v>
      </c>
      <c r="D562" s="13"/>
      <c r="E562" s="13"/>
      <c r="F562" s="45"/>
      <c r="G562" s="42"/>
      <c r="H562" s="42"/>
      <c r="I562" s="42"/>
      <c r="J562" s="22"/>
      <c r="K562" s="42"/>
    </row>
    <row r="563" ht="39.75" customHeight="1">
      <c r="A563" s="1">
        <v>637.0</v>
      </c>
      <c r="B563" s="2" t="s">
        <v>67</v>
      </c>
      <c r="C563" s="2" t="s">
        <v>13</v>
      </c>
      <c r="D563" s="13"/>
      <c r="E563" s="13"/>
      <c r="F563" s="45"/>
      <c r="G563" s="42"/>
      <c r="H563" s="42"/>
      <c r="I563" s="42"/>
      <c r="J563" s="22"/>
      <c r="K563" s="42"/>
    </row>
    <row r="564" ht="39.75" customHeight="1">
      <c r="A564" s="1">
        <v>638.0</v>
      </c>
      <c r="B564" s="2" t="s">
        <v>35</v>
      </c>
      <c r="C564" s="2" t="s">
        <v>13</v>
      </c>
      <c r="D564" s="13"/>
      <c r="E564" s="13"/>
      <c r="F564" s="45"/>
      <c r="G564" s="42"/>
      <c r="H564" s="42"/>
      <c r="I564" s="42"/>
      <c r="J564" s="22"/>
      <c r="K564" s="42"/>
    </row>
    <row r="565" ht="39.75" customHeight="1">
      <c r="A565" s="1">
        <v>639.0</v>
      </c>
      <c r="B565" s="2" t="s">
        <v>36</v>
      </c>
      <c r="C565" s="2" t="s">
        <v>13</v>
      </c>
      <c r="D565" s="13"/>
      <c r="E565" s="13"/>
      <c r="F565" s="45"/>
      <c r="G565" s="42"/>
      <c r="H565" s="42"/>
      <c r="I565" s="42"/>
      <c r="J565" s="22"/>
      <c r="K565" s="42"/>
    </row>
    <row r="566" ht="39.75" customHeight="1">
      <c r="A566" s="1">
        <v>640.0</v>
      </c>
      <c r="B566" s="2" t="s">
        <v>38</v>
      </c>
      <c r="C566" s="2" t="s">
        <v>13</v>
      </c>
      <c r="D566" s="13"/>
      <c r="E566" s="13"/>
      <c r="F566" s="45"/>
      <c r="G566" s="42"/>
      <c r="H566" s="42"/>
      <c r="I566" s="42"/>
      <c r="J566" s="22"/>
      <c r="K566" s="42"/>
    </row>
    <row r="567" ht="39.75" customHeight="1">
      <c r="A567" s="1">
        <v>641.0</v>
      </c>
      <c r="B567" s="2" t="s">
        <v>41</v>
      </c>
      <c r="C567" s="2" t="s">
        <v>13</v>
      </c>
      <c r="D567" s="13"/>
      <c r="E567" s="13"/>
      <c r="F567" s="45"/>
      <c r="G567" s="42"/>
      <c r="H567" s="42"/>
      <c r="I567" s="42"/>
      <c r="J567" s="22"/>
      <c r="K567" s="42"/>
    </row>
    <row r="568" ht="39.75" customHeight="1">
      <c r="A568" s="1">
        <v>642.0</v>
      </c>
      <c r="B568" s="2" t="s">
        <v>42</v>
      </c>
      <c r="C568" s="2"/>
      <c r="D568" s="13"/>
      <c r="E568" s="13"/>
      <c r="F568" s="44" t="s">
        <v>4423</v>
      </c>
      <c r="G568" s="43">
        <v>2.0</v>
      </c>
      <c r="H568" s="42"/>
      <c r="I568" s="43">
        <v>2.0</v>
      </c>
      <c r="J568" s="22"/>
      <c r="K568" s="42"/>
    </row>
    <row r="569" ht="39.75" customHeight="1">
      <c r="A569" s="1">
        <v>643.0</v>
      </c>
      <c r="B569" s="2" t="s">
        <v>43</v>
      </c>
      <c r="C569" s="2" t="s">
        <v>13</v>
      </c>
      <c r="D569" s="13"/>
      <c r="E569" s="13"/>
      <c r="F569" s="45"/>
      <c r="G569" s="42"/>
      <c r="H569" s="42"/>
      <c r="I569" s="42"/>
      <c r="J569" s="22"/>
      <c r="K569" s="42"/>
    </row>
    <row r="570" ht="39.75" customHeight="1">
      <c r="A570" s="1">
        <v>644.0</v>
      </c>
      <c r="B570" s="2" t="s">
        <v>267</v>
      </c>
      <c r="C570" s="2" t="s">
        <v>13</v>
      </c>
      <c r="D570" s="13"/>
      <c r="E570" s="13"/>
      <c r="F570" s="45"/>
      <c r="G570" s="42"/>
      <c r="H570" s="42"/>
      <c r="I570" s="42"/>
      <c r="J570" s="22"/>
      <c r="K570" s="42"/>
    </row>
    <row r="571" ht="39.75" customHeight="1">
      <c r="A571" s="1">
        <v>645.0</v>
      </c>
      <c r="B571" s="2" t="s">
        <v>46</v>
      </c>
      <c r="C571" s="2" t="s">
        <v>13</v>
      </c>
      <c r="D571" s="13"/>
      <c r="E571" s="13"/>
      <c r="F571" s="45"/>
      <c r="G571" s="42"/>
      <c r="H571" s="42"/>
      <c r="I571" s="42"/>
      <c r="J571" s="22"/>
      <c r="K571" s="42"/>
    </row>
    <row r="572" ht="39.75" customHeight="1">
      <c r="A572" s="1">
        <v>646.0</v>
      </c>
      <c r="B572" s="2" t="s">
        <v>47</v>
      </c>
      <c r="C572" s="2" t="s">
        <v>44</v>
      </c>
      <c r="D572" s="13"/>
      <c r="E572" s="13"/>
      <c r="F572" s="45"/>
      <c r="G572" s="42"/>
      <c r="H572" s="42"/>
      <c r="I572" s="42"/>
      <c r="J572" s="22"/>
      <c r="K572" s="42"/>
    </row>
    <row r="573" ht="39.75" customHeight="1">
      <c r="A573" s="1">
        <v>647.0</v>
      </c>
      <c r="B573" s="2" t="s">
        <v>48</v>
      </c>
      <c r="C573" s="2" t="s">
        <v>27</v>
      </c>
      <c r="D573" s="13"/>
      <c r="E573" s="13"/>
      <c r="F573" s="45"/>
      <c r="G573" s="42"/>
      <c r="H573" s="42"/>
      <c r="I573" s="42"/>
      <c r="J573" s="22"/>
      <c r="K573" s="42"/>
    </row>
    <row r="574" ht="39.75" customHeight="1">
      <c r="A574" s="1">
        <v>648.0</v>
      </c>
      <c r="B574" s="21"/>
      <c r="C574" s="21"/>
      <c r="D574" s="21"/>
      <c r="E574" s="21"/>
      <c r="F574" s="46"/>
      <c r="G574" s="47"/>
      <c r="H574" s="47"/>
      <c r="I574" s="47"/>
      <c r="J574" s="48"/>
      <c r="K574" s="47"/>
      <c r="L574" s="49"/>
      <c r="M574" s="49"/>
      <c r="N574" s="49"/>
    </row>
    <row r="575" ht="39.75" customHeight="1">
      <c r="A575" s="1">
        <v>649.0</v>
      </c>
      <c r="B575" s="2" t="s">
        <v>12</v>
      </c>
      <c r="C575" s="2" t="s">
        <v>13</v>
      </c>
      <c r="D575" s="13"/>
      <c r="E575" s="13"/>
      <c r="F575" s="45"/>
      <c r="G575" s="42"/>
      <c r="H575" s="42"/>
      <c r="I575" s="42"/>
      <c r="J575" s="27" t="s">
        <v>491</v>
      </c>
      <c r="K575" s="42"/>
      <c r="L575" s="15" t="s">
        <v>406</v>
      </c>
    </row>
    <row r="576" ht="39.75" customHeight="1">
      <c r="A576" s="1">
        <v>650.0</v>
      </c>
      <c r="B576" s="2" t="s">
        <v>16</v>
      </c>
      <c r="C576" s="2" t="s">
        <v>13</v>
      </c>
      <c r="D576" s="13"/>
      <c r="E576" s="13"/>
      <c r="F576" s="45"/>
      <c r="G576" s="42"/>
      <c r="H576" s="42"/>
      <c r="I576" s="42"/>
      <c r="J576" s="27" t="s">
        <v>406</v>
      </c>
      <c r="K576" s="43"/>
    </row>
    <row r="577" ht="39.75" customHeight="1">
      <c r="A577" s="1">
        <v>651.0</v>
      </c>
      <c r="B577" s="2" t="s">
        <v>116</v>
      </c>
      <c r="C577" s="2" t="s">
        <v>13</v>
      </c>
      <c r="D577" s="13"/>
      <c r="E577" s="13"/>
      <c r="F577" s="45"/>
      <c r="G577" s="42"/>
      <c r="H577" s="42"/>
      <c r="I577" s="42"/>
      <c r="J577" s="27" t="s">
        <v>19</v>
      </c>
      <c r="K577" s="42"/>
    </row>
    <row r="578" ht="39.75" customHeight="1">
      <c r="A578" s="1">
        <v>652.0</v>
      </c>
      <c r="B578" s="2" t="s">
        <v>263</v>
      </c>
      <c r="C578" s="2" t="s">
        <v>13</v>
      </c>
      <c r="D578" s="13"/>
      <c r="E578" s="13"/>
      <c r="F578" s="44"/>
      <c r="G578" s="42"/>
      <c r="H578" s="42"/>
      <c r="I578" s="42"/>
      <c r="J578" s="27"/>
      <c r="K578" s="42"/>
    </row>
    <row r="579" ht="39.75" customHeight="1">
      <c r="A579" s="1">
        <v>653.0</v>
      </c>
      <c r="B579" s="2" t="s">
        <v>17</v>
      </c>
      <c r="C579" s="2" t="s">
        <v>69</v>
      </c>
      <c r="D579" s="13"/>
      <c r="E579" s="13"/>
      <c r="F579" s="44" t="s">
        <v>4424</v>
      </c>
      <c r="G579" s="43">
        <v>1.0</v>
      </c>
      <c r="H579" s="42"/>
      <c r="I579" s="42"/>
      <c r="J579" s="27"/>
      <c r="K579" s="42"/>
    </row>
    <row r="580" ht="39.75" customHeight="1">
      <c r="A580" s="1">
        <v>654.0</v>
      </c>
      <c r="B580" s="2" t="s">
        <v>331</v>
      </c>
      <c r="C580" s="2" t="s">
        <v>13</v>
      </c>
      <c r="D580" s="13"/>
      <c r="E580" s="13"/>
      <c r="F580" s="45"/>
      <c r="G580" s="42"/>
      <c r="H580" s="42"/>
      <c r="I580" s="42"/>
      <c r="J580" s="22"/>
      <c r="K580" s="42"/>
    </row>
    <row r="581" ht="39.75" customHeight="1">
      <c r="A581" s="1">
        <v>655.0</v>
      </c>
      <c r="B581" s="2" t="s">
        <v>21</v>
      </c>
      <c r="C581" s="2" t="s">
        <v>13</v>
      </c>
      <c r="D581" s="13"/>
      <c r="E581" s="13"/>
      <c r="F581" s="45"/>
      <c r="G581" s="42"/>
      <c r="H581" s="42"/>
      <c r="I581" s="42"/>
      <c r="J581" s="22"/>
      <c r="K581" s="42"/>
    </row>
    <row r="582" ht="39.75" customHeight="1">
      <c r="A582" s="1">
        <v>656.0</v>
      </c>
      <c r="B582" s="2" t="s">
        <v>22</v>
      </c>
      <c r="C582" s="13"/>
      <c r="D582" s="13"/>
      <c r="E582" s="13"/>
      <c r="F582" s="44" t="s">
        <v>4425</v>
      </c>
      <c r="G582" s="43">
        <v>1.0</v>
      </c>
      <c r="H582" s="42"/>
      <c r="I582" s="42"/>
      <c r="J582" s="27"/>
      <c r="K582" s="42"/>
    </row>
    <row r="583" ht="39.75" customHeight="1">
      <c r="A583" s="1">
        <v>657.0</v>
      </c>
      <c r="B583" s="2" t="s">
        <v>261</v>
      </c>
      <c r="C583" s="2" t="s">
        <v>13</v>
      </c>
      <c r="D583" s="13"/>
      <c r="E583" s="13"/>
      <c r="F583" s="45"/>
      <c r="G583" s="42"/>
      <c r="H583" s="42"/>
      <c r="I583" s="42"/>
      <c r="J583" s="22"/>
      <c r="K583" s="42"/>
    </row>
    <row r="584" ht="39.75" customHeight="1">
      <c r="A584" s="1">
        <v>658.0</v>
      </c>
      <c r="B584" s="2" t="s">
        <v>23</v>
      </c>
      <c r="C584" s="2" t="s">
        <v>13</v>
      </c>
      <c r="D584" s="13"/>
      <c r="E584" s="13"/>
      <c r="F584" s="45"/>
      <c r="G584" s="42"/>
      <c r="H584" s="42"/>
      <c r="I584" s="42"/>
      <c r="J584" s="22"/>
      <c r="K584" s="42"/>
    </row>
    <row r="585" ht="39.75" customHeight="1">
      <c r="A585" s="1">
        <v>659.0</v>
      </c>
      <c r="B585" s="2" t="s">
        <v>24</v>
      </c>
      <c r="C585" s="2" t="s">
        <v>3563</v>
      </c>
      <c r="D585" s="13"/>
      <c r="E585" s="13"/>
      <c r="F585" s="45"/>
      <c r="G585" s="42"/>
      <c r="H585" s="42"/>
      <c r="I585" s="42"/>
      <c r="J585" s="27"/>
      <c r="K585" s="42"/>
    </row>
    <row r="586" ht="39.75" customHeight="1">
      <c r="A586" s="1">
        <v>660.0</v>
      </c>
      <c r="B586" s="2" t="s">
        <v>25</v>
      </c>
      <c r="C586" s="2" t="s">
        <v>13</v>
      </c>
      <c r="D586" s="13"/>
      <c r="E586" s="13"/>
      <c r="F586" s="45"/>
      <c r="G586" s="42"/>
      <c r="H586" s="42"/>
      <c r="I586" s="42"/>
      <c r="J586" s="22"/>
      <c r="K586" s="42"/>
    </row>
    <row r="587" ht="39.75" customHeight="1">
      <c r="A587" s="1">
        <v>661.0</v>
      </c>
      <c r="B587" s="2" t="s">
        <v>26</v>
      </c>
      <c r="C587" s="2" t="s">
        <v>27</v>
      </c>
      <c r="D587" s="13"/>
      <c r="E587" s="13"/>
      <c r="F587" s="45"/>
      <c r="G587" s="42"/>
      <c r="H587" s="42"/>
      <c r="I587" s="42"/>
      <c r="J587" s="22"/>
      <c r="K587" s="42"/>
    </row>
    <row r="588" ht="39.75" customHeight="1">
      <c r="A588" s="1">
        <v>662.0</v>
      </c>
      <c r="B588" s="2" t="s">
        <v>29</v>
      </c>
      <c r="C588" s="2" t="s">
        <v>13</v>
      </c>
      <c r="D588" s="13"/>
      <c r="E588" s="13"/>
      <c r="F588" s="45"/>
      <c r="G588" s="42"/>
      <c r="H588" s="42"/>
      <c r="I588" s="42"/>
      <c r="J588" s="22"/>
      <c r="K588" s="42"/>
    </row>
    <row r="589" ht="39.75" customHeight="1">
      <c r="A589" s="1">
        <v>663.0</v>
      </c>
      <c r="B589" s="2" t="s">
        <v>32</v>
      </c>
      <c r="C589" s="2" t="s">
        <v>13</v>
      </c>
      <c r="D589" s="13"/>
      <c r="E589" s="13"/>
      <c r="F589" s="45"/>
      <c r="G589" s="42"/>
      <c r="H589" s="42"/>
      <c r="I589" s="42"/>
      <c r="J589" s="22"/>
      <c r="K589" s="42"/>
    </row>
    <row r="590" ht="39.75" customHeight="1">
      <c r="A590" s="1">
        <v>664.0</v>
      </c>
      <c r="B590" s="2" t="s">
        <v>67</v>
      </c>
      <c r="C590" s="2" t="s">
        <v>13</v>
      </c>
      <c r="D590" s="13"/>
      <c r="E590" s="13"/>
      <c r="F590" s="45"/>
      <c r="G590" s="42"/>
      <c r="H590" s="42"/>
      <c r="I590" s="42"/>
      <c r="J590" s="22"/>
      <c r="K590" s="42"/>
    </row>
    <row r="591" ht="39.75" customHeight="1">
      <c r="A591" s="1">
        <v>665.0</v>
      </c>
      <c r="B591" s="2" t="s">
        <v>35</v>
      </c>
      <c r="C591" s="2" t="s">
        <v>13</v>
      </c>
      <c r="D591" s="13"/>
      <c r="E591" s="13"/>
      <c r="F591" s="45"/>
      <c r="G591" s="42"/>
      <c r="H591" s="42"/>
      <c r="I591" s="42"/>
      <c r="J591" s="22"/>
      <c r="K591" s="42"/>
    </row>
    <row r="592" ht="39.75" customHeight="1">
      <c r="A592" s="1">
        <v>666.0</v>
      </c>
      <c r="B592" s="2" t="s">
        <v>36</v>
      </c>
      <c r="C592" s="2" t="s">
        <v>13</v>
      </c>
      <c r="D592" s="13"/>
      <c r="E592" s="13"/>
      <c r="F592" s="45"/>
      <c r="G592" s="42"/>
      <c r="H592" s="42"/>
      <c r="I592" s="42"/>
      <c r="J592" s="22"/>
      <c r="K592" s="42"/>
    </row>
    <row r="593" ht="39.75" customHeight="1">
      <c r="A593" s="1">
        <v>667.0</v>
      </c>
      <c r="B593" s="2" t="s">
        <v>38</v>
      </c>
      <c r="C593" s="2"/>
      <c r="D593" s="13"/>
      <c r="E593" s="13"/>
      <c r="F593" s="44" t="s">
        <v>4426</v>
      </c>
      <c r="G593" s="43">
        <v>1.0</v>
      </c>
      <c r="H593" s="42"/>
      <c r="I593" s="43">
        <v>1.0</v>
      </c>
      <c r="J593" s="22"/>
      <c r="K593" s="42"/>
    </row>
    <row r="594" ht="39.75" customHeight="1">
      <c r="A594" s="1">
        <v>668.0</v>
      </c>
      <c r="B594" s="2" t="s">
        <v>41</v>
      </c>
      <c r="C594" s="2" t="s">
        <v>13</v>
      </c>
      <c r="D594" s="13"/>
      <c r="E594" s="13"/>
      <c r="F594" s="45"/>
      <c r="G594" s="42"/>
      <c r="H594" s="42"/>
      <c r="I594" s="42"/>
      <c r="J594" s="22"/>
      <c r="K594" s="42"/>
    </row>
    <row r="595" ht="39.75" customHeight="1">
      <c r="A595" s="1">
        <v>669.0</v>
      </c>
      <c r="B595" s="2" t="s">
        <v>42</v>
      </c>
      <c r="C595" s="2" t="s">
        <v>13</v>
      </c>
      <c r="D595" s="13"/>
      <c r="E595" s="13"/>
      <c r="F595" s="45"/>
      <c r="G595" s="42"/>
      <c r="H595" s="42"/>
      <c r="I595" s="42"/>
      <c r="J595" s="22"/>
      <c r="K595" s="42"/>
    </row>
    <row r="596" ht="39.75" customHeight="1">
      <c r="A596" s="1">
        <v>670.0</v>
      </c>
      <c r="B596" s="2" t="s">
        <v>43</v>
      </c>
      <c r="C596" s="2" t="s">
        <v>13</v>
      </c>
      <c r="D596" s="13"/>
      <c r="E596" s="13"/>
      <c r="F596" s="45"/>
      <c r="G596" s="42"/>
      <c r="H596" s="42"/>
      <c r="I596" s="42"/>
      <c r="J596" s="22"/>
      <c r="K596" s="42"/>
    </row>
    <row r="597" ht="39.75" customHeight="1">
      <c r="A597" s="1">
        <v>671.0</v>
      </c>
      <c r="B597" s="2" t="s">
        <v>267</v>
      </c>
      <c r="C597" s="2" t="s">
        <v>13</v>
      </c>
      <c r="D597" s="13"/>
      <c r="E597" s="13"/>
      <c r="F597" s="45"/>
      <c r="G597" s="42"/>
      <c r="H597" s="42"/>
      <c r="I597" s="42"/>
      <c r="J597" s="22"/>
      <c r="K597" s="42"/>
    </row>
    <row r="598" ht="39.75" customHeight="1">
      <c r="A598" s="1">
        <v>672.0</v>
      </c>
      <c r="B598" s="2" t="s">
        <v>46</v>
      </c>
      <c r="C598" s="2"/>
      <c r="D598" s="13"/>
      <c r="E598" s="13"/>
      <c r="F598" s="44" t="s">
        <v>4427</v>
      </c>
      <c r="G598" s="43">
        <v>1.0</v>
      </c>
      <c r="H598" s="42"/>
      <c r="I598" s="42"/>
      <c r="J598" s="22"/>
      <c r="K598" s="42"/>
    </row>
    <row r="599" ht="39.75" customHeight="1">
      <c r="A599" s="1">
        <v>673.0</v>
      </c>
      <c r="B599" s="2" t="s">
        <v>47</v>
      </c>
      <c r="C599" s="2" t="s">
        <v>13</v>
      </c>
      <c r="D599" s="13"/>
      <c r="E599" s="13"/>
      <c r="F599" s="45"/>
      <c r="G599" s="42"/>
      <c r="H599" s="42"/>
      <c r="I599" s="42"/>
      <c r="J599" s="22"/>
      <c r="K599" s="42"/>
    </row>
    <row r="600" ht="39.75" customHeight="1">
      <c r="A600" s="1">
        <v>674.0</v>
      </c>
      <c r="B600" s="2" t="s">
        <v>48</v>
      </c>
      <c r="C600" s="2" t="s">
        <v>44</v>
      </c>
      <c r="D600" s="13"/>
      <c r="E600" s="13"/>
      <c r="F600" s="45"/>
      <c r="G600" s="42"/>
      <c r="H600" s="42"/>
      <c r="I600" s="42"/>
      <c r="J600" s="22"/>
      <c r="K600" s="42"/>
    </row>
    <row r="601" ht="39.75" customHeight="1">
      <c r="A601" s="1">
        <v>675.0</v>
      </c>
      <c r="B601" s="21"/>
      <c r="C601" s="21"/>
      <c r="D601" s="21"/>
      <c r="E601" s="21"/>
      <c r="F601" s="46"/>
      <c r="G601" s="47"/>
      <c r="H601" s="47"/>
      <c r="I601" s="47"/>
      <c r="J601" s="48"/>
      <c r="K601" s="47"/>
      <c r="L601" s="49"/>
      <c r="M601" s="49"/>
      <c r="N601" s="49"/>
    </row>
    <row r="602" ht="39.75" customHeight="1">
      <c r="A602" s="1">
        <v>676.0</v>
      </c>
      <c r="B602" s="2" t="s">
        <v>12</v>
      </c>
      <c r="C602" s="2" t="s">
        <v>62</v>
      </c>
      <c r="D602" s="13"/>
      <c r="E602" s="13"/>
      <c r="F602" s="44" t="s">
        <v>1543</v>
      </c>
      <c r="G602" s="43">
        <v>1.0</v>
      </c>
      <c r="H602" s="42"/>
      <c r="I602" s="42"/>
      <c r="J602" s="27" t="s">
        <v>491</v>
      </c>
      <c r="K602" s="42"/>
      <c r="L602" s="15" t="s">
        <v>423</v>
      </c>
    </row>
    <row r="603" ht="39.75" customHeight="1">
      <c r="A603" s="1">
        <v>677.0</v>
      </c>
      <c r="B603" s="2" t="s">
        <v>16</v>
      </c>
      <c r="C603" s="2" t="s">
        <v>39</v>
      </c>
      <c r="D603" s="13"/>
      <c r="E603" s="13"/>
      <c r="F603" s="44" t="s">
        <v>4428</v>
      </c>
      <c r="G603" s="43">
        <v>1.0</v>
      </c>
      <c r="H603" s="42"/>
      <c r="I603" s="42"/>
      <c r="J603" s="27" t="s">
        <v>423</v>
      </c>
      <c r="K603" s="43"/>
    </row>
    <row r="604" ht="39.75" customHeight="1">
      <c r="A604" s="1">
        <v>678.0</v>
      </c>
      <c r="B604" s="2" t="s">
        <v>116</v>
      </c>
      <c r="C604" s="2" t="s">
        <v>54</v>
      </c>
      <c r="D604" s="13"/>
      <c r="E604" s="13"/>
      <c r="F604" s="45"/>
      <c r="G604" s="42"/>
      <c r="H604" s="42"/>
      <c r="I604" s="42"/>
      <c r="J604" s="27" t="s">
        <v>56</v>
      </c>
      <c r="K604" s="42"/>
    </row>
    <row r="605" ht="39.75" customHeight="1">
      <c r="A605" s="1">
        <v>679.0</v>
      </c>
      <c r="B605" s="2" t="s">
        <v>263</v>
      </c>
      <c r="C605" s="2" t="s">
        <v>27</v>
      </c>
      <c r="D605" s="13"/>
      <c r="E605" s="13"/>
      <c r="F605" s="44"/>
      <c r="G605" s="42"/>
      <c r="H605" s="42"/>
      <c r="I605" s="42"/>
      <c r="J605" s="27" t="s">
        <v>266</v>
      </c>
      <c r="K605" s="42"/>
    </row>
    <row r="606" ht="39.75" customHeight="1">
      <c r="A606" s="1">
        <v>680.0</v>
      </c>
      <c r="B606" s="2" t="s">
        <v>17</v>
      </c>
      <c r="C606" s="2" t="s">
        <v>64</v>
      </c>
      <c r="D606" s="13"/>
      <c r="E606" s="13"/>
      <c r="F606" s="44" t="s">
        <v>3604</v>
      </c>
      <c r="G606" s="43">
        <v>1.0</v>
      </c>
      <c r="H606" s="42"/>
      <c r="I606" s="42"/>
      <c r="J606" s="22"/>
      <c r="K606" s="42"/>
    </row>
    <row r="607" ht="39.75" customHeight="1">
      <c r="A607" s="1">
        <v>681.0</v>
      </c>
      <c r="B607" s="2" t="s">
        <v>331</v>
      </c>
      <c r="C607" s="2" t="s">
        <v>542</v>
      </c>
      <c r="D607" s="13"/>
      <c r="E607" s="13"/>
      <c r="F607" s="45"/>
      <c r="G607" s="42"/>
      <c r="H607" s="42"/>
      <c r="I607" s="42"/>
      <c r="J607" s="22"/>
      <c r="K607" s="42"/>
    </row>
    <row r="608" ht="39.75" customHeight="1">
      <c r="A608" s="1">
        <v>682.0</v>
      </c>
      <c r="B608" s="2" t="s">
        <v>21</v>
      </c>
      <c r="C608" s="2" t="s">
        <v>54</v>
      </c>
      <c r="D608" s="13"/>
      <c r="E608" s="13"/>
      <c r="F608" s="44" t="s">
        <v>3651</v>
      </c>
      <c r="G608" s="43">
        <v>1.0</v>
      </c>
      <c r="H608" s="42"/>
      <c r="I608" s="42"/>
      <c r="J608" s="22"/>
      <c r="K608" s="42"/>
    </row>
    <row r="609" ht="39.75" customHeight="1">
      <c r="A609" s="1">
        <v>683.0</v>
      </c>
      <c r="B609" s="2" t="s">
        <v>22</v>
      </c>
      <c r="C609" s="2" t="s">
        <v>39</v>
      </c>
      <c r="D609" s="13"/>
      <c r="E609" s="13"/>
      <c r="F609" s="44" t="s">
        <v>4429</v>
      </c>
      <c r="G609" s="43">
        <v>1.0</v>
      </c>
      <c r="H609" s="42"/>
      <c r="I609" s="43">
        <v>1.0</v>
      </c>
      <c r="J609" s="22"/>
      <c r="K609" s="42"/>
    </row>
    <row r="610" ht="39.75" customHeight="1">
      <c r="A610" s="1">
        <v>684.0</v>
      </c>
      <c r="B610" s="2" t="s">
        <v>261</v>
      </c>
      <c r="C610" s="2" t="s">
        <v>13</v>
      </c>
      <c r="D610" s="13"/>
      <c r="E610" s="13"/>
      <c r="F610" s="45"/>
      <c r="G610" s="42"/>
      <c r="H610" s="42"/>
      <c r="I610" s="42"/>
      <c r="J610" s="22"/>
      <c r="K610" s="42"/>
    </row>
    <row r="611" ht="39.75" customHeight="1">
      <c r="A611" s="1">
        <v>685.0</v>
      </c>
      <c r="B611" s="2" t="s">
        <v>23</v>
      </c>
      <c r="C611" s="2" t="s">
        <v>54</v>
      </c>
      <c r="D611" s="13"/>
      <c r="E611" s="13"/>
      <c r="F611" s="44" t="s">
        <v>4430</v>
      </c>
      <c r="G611" s="43">
        <v>1.0</v>
      </c>
      <c r="H611" s="42"/>
      <c r="I611" s="42"/>
      <c r="J611" s="22"/>
      <c r="K611" s="42"/>
    </row>
    <row r="612" ht="39.75" customHeight="1">
      <c r="A612" s="1">
        <v>686.0</v>
      </c>
      <c r="B612" s="2" t="s">
        <v>24</v>
      </c>
      <c r="C612" s="2" t="s">
        <v>3563</v>
      </c>
      <c r="D612" s="13"/>
      <c r="E612" s="13"/>
      <c r="F612" s="45"/>
      <c r="G612" s="42"/>
      <c r="H612" s="42"/>
      <c r="I612" s="42"/>
      <c r="J612" s="22"/>
      <c r="K612" s="42"/>
    </row>
    <row r="613" ht="39.75" customHeight="1">
      <c r="A613" s="1">
        <v>687.0</v>
      </c>
      <c r="B613" s="2" t="s">
        <v>25</v>
      </c>
      <c r="C613" s="2" t="s">
        <v>69</v>
      </c>
      <c r="D613" s="13"/>
      <c r="E613" s="13"/>
      <c r="F613" s="45"/>
      <c r="G613" s="42"/>
      <c r="H613" s="42"/>
      <c r="I613" s="42"/>
      <c r="J613" s="22"/>
      <c r="K613" s="42"/>
    </row>
    <row r="614" ht="39.75" customHeight="1">
      <c r="A614" s="1">
        <v>688.0</v>
      </c>
      <c r="B614" s="2" t="s">
        <v>26</v>
      </c>
      <c r="C614" s="2" t="s">
        <v>44</v>
      </c>
      <c r="D614" s="13"/>
      <c r="E614" s="13"/>
      <c r="F614" s="45"/>
      <c r="G614" s="42"/>
      <c r="H614" s="42"/>
      <c r="I614" s="42"/>
      <c r="J614" s="22"/>
      <c r="K614" s="42"/>
    </row>
    <row r="615" ht="39.75" customHeight="1">
      <c r="A615" s="1">
        <v>689.0</v>
      </c>
      <c r="B615" s="2" t="s">
        <v>29</v>
      </c>
      <c r="C615" s="2" t="s">
        <v>13</v>
      </c>
      <c r="D615" s="13"/>
      <c r="E615" s="13"/>
      <c r="F615" s="45"/>
      <c r="G615" s="42"/>
      <c r="H615" s="42"/>
      <c r="I615" s="42"/>
      <c r="J615" s="22"/>
      <c r="K615" s="42"/>
    </row>
    <row r="616" ht="39.75" customHeight="1">
      <c r="A616" s="1">
        <v>690.0</v>
      </c>
      <c r="B616" s="2" t="s">
        <v>32</v>
      </c>
      <c r="C616" s="2" t="s">
        <v>66</v>
      </c>
      <c r="D616" s="13"/>
      <c r="E616" s="13"/>
      <c r="F616" s="45"/>
      <c r="G616" s="42"/>
      <c r="H616" s="42"/>
      <c r="I616" s="42"/>
      <c r="J616" s="22"/>
      <c r="K616" s="42"/>
    </row>
    <row r="617" ht="39.75" customHeight="1">
      <c r="A617" s="1">
        <v>691.0</v>
      </c>
      <c r="B617" s="2" t="s">
        <v>67</v>
      </c>
      <c r="C617" s="2" t="s">
        <v>13</v>
      </c>
      <c r="D617" s="13"/>
      <c r="E617" s="13"/>
      <c r="F617" s="45"/>
      <c r="G617" s="42"/>
      <c r="H617" s="42"/>
      <c r="I617" s="42"/>
      <c r="J617" s="22"/>
      <c r="K617" s="42"/>
    </row>
    <row r="618" ht="39.75" customHeight="1">
      <c r="A618" s="1">
        <v>692.0</v>
      </c>
      <c r="B618" s="2" t="s">
        <v>35</v>
      </c>
      <c r="C618" s="2"/>
      <c r="D618" s="13"/>
      <c r="E618" s="13"/>
      <c r="F618" s="44" t="s">
        <v>4431</v>
      </c>
      <c r="G618" s="43">
        <v>1.0</v>
      </c>
      <c r="H618" s="42"/>
      <c r="I618" s="42"/>
      <c r="J618" s="22"/>
      <c r="K618" s="42"/>
    </row>
    <row r="619" ht="39.75" customHeight="1">
      <c r="A619" s="1">
        <v>693.0</v>
      </c>
      <c r="B619" s="2" t="s">
        <v>36</v>
      </c>
      <c r="C619" s="2"/>
      <c r="D619" s="13"/>
      <c r="E619" s="13"/>
      <c r="F619" s="44" t="s">
        <v>4432</v>
      </c>
      <c r="G619" s="43">
        <v>1.0</v>
      </c>
      <c r="H619" s="42"/>
      <c r="I619" s="42"/>
      <c r="J619" s="22"/>
      <c r="K619" s="42"/>
    </row>
    <row r="620" ht="39.75" customHeight="1">
      <c r="A620" s="1">
        <v>694.0</v>
      </c>
      <c r="B620" s="2" t="s">
        <v>38</v>
      </c>
      <c r="C620" s="2" t="s">
        <v>54</v>
      </c>
      <c r="D620" s="13"/>
      <c r="E620" s="13"/>
      <c r="F620" s="44" t="s">
        <v>4433</v>
      </c>
      <c r="G620" s="43">
        <v>1.0</v>
      </c>
      <c r="H620" s="42"/>
      <c r="I620" s="43">
        <v>1.0</v>
      </c>
      <c r="J620" s="22"/>
      <c r="K620" s="42"/>
    </row>
    <row r="621" ht="39.75" customHeight="1">
      <c r="A621" s="1">
        <v>695.0</v>
      </c>
      <c r="B621" s="2" t="s">
        <v>41</v>
      </c>
      <c r="C621" s="2" t="s">
        <v>13</v>
      </c>
      <c r="D621" s="13"/>
      <c r="E621" s="13"/>
      <c r="F621" s="45"/>
      <c r="G621" s="42"/>
      <c r="H621" s="42"/>
      <c r="I621" s="42"/>
      <c r="J621" s="22"/>
      <c r="K621" s="42"/>
    </row>
    <row r="622" ht="39.75" customHeight="1">
      <c r="A622" s="1">
        <v>696.0</v>
      </c>
      <c r="B622" s="2" t="s">
        <v>42</v>
      </c>
      <c r="C622" s="2" t="s">
        <v>13</v>
      </c>
      <c r="D622" s="13"/>
      <c r="E622" s="13"/>
      <c r="F622" s="45"/>
      <c r="G622" s="42"/>
      <c r="H622" s="42"/>
      <c r="I622" s="42"/>
      <c r="J622" s="22"/>
      <c r="K622" s="42"/>
    </row>
    <row r="623" ht="39.75" customHeight="1">
      <c r="A623" s="1">
        <v>697.0</v>
      </c>
      <c r="B623" s="2" t="s">
        <v>43</v>
      </c>
      <c r="C623" s="2" t="s">
        <v>4273</v>
      </c>
      <c r="D623" s="13"/>
      <c r="E623" s="13"/>
      <c r="F623" s="45"/>
      <c r="G623" s="42"/>
      <c r="H623" s="42"/>
      <c r="I623" s="42"/>
      <c r="J623" s="22"/>
      <c r="K623" s="42"/>
    </row>
    <row r="624" ht="39.75" customHeight="1">
      <c r="A624" s="1">
        <v>698.0</v>
      </c>
      <c r="B624" s="2" t="s">
        <v>267</v>
      </c>
      <c r="C624" s="2" t="s">
        <v>69</v>
      </c>
      <c r="D624" s="13"/>
      <c r="E624" s="13"/>
      <c r="F624" s="45"/>
      <c r="G624" s="42"/>
      <c r="H624" s="42"/>
      <c r="I624" s="42"/>
      <c r="J624" s="22"/>
      <c r="K624" s="42"/>
    </row>
    <row r="625" ht="39.75" customHeight="1">
      <c r="A625" s="1">
        <v>699.0</v>
      </c>
      <c r="B625" s="2" t="s">
        <v>46</v>
      </c>
      <c r="C625" s="2"/>
      <c r="D625" s="13"/>
      <c r="E625" s="13"/>
      <c r="F625" s="45"/>
      <c r="G625" s="42"/>
      <c r="H625" s="42"/>
      <c r="I625" s="42"/>
      <c r="J625" s="22"/>
      <c r="K625" s="42"/>
    </row>
    <row r="626" ht="39.75" customHeight="1">
      <c r="A626" s="1">
        <v>700.0</v>
      </c>
      <c r="B626" s="2" t="s">
        <v>47</v>
      </c>
      <c r="C626" s="2" t="s">
        <v>13</v>
      </c>
      <c r="D626" s="13"/>
      <c r="E626" s="13"/>
      <c r="F626" s="45"/>
      <c r="G626" s="42"/>
      <c r="H626" s="42"/>
      <c r="I626" s="42"/>
      <c r="J626" s="22"/>
      <c r="K626" s="42"/>
    </row>
    <row r="627" ht="39.75" customHeight="1">
      <c r="A627" s="1">
        <v>701.0</v>
      </c>
      <c r="B627" s="2" t="s">
        <v>48</v>
      </c>
      <c r="C627" s="2" t="s">
        <v>69</v>
      </c>
      <c r="D627" s="13"/>
      <c r="E627" s="13"/>
      <c r="F627" s="45"/>
      <c r="G627" s="42"/>
      <c r="H627" s="42"/>
      <c r="I627" s="42"/>
      <c r="J627" s="22"/>
      <c r="K627" s="42"/>
    </row>
    <row r="628" ht="39.75" customHeight="1">
      <c r="A628" s="1">
        <v>702.0</v>
      </c>
      <c r="B628" s="21"/>
      <c r="C628" s="21"/>
      <c r="D628" s="21"/>
      <c r="E628" s="21"/>
      <c r="F628" s="46"/>
      <c r="G628" s="47"/>
      <c r="H628" s="47"/>
      <c r="I628" s="47"/>
      <c r="J628" s="48"/>
      <c r="K628" s="47"/>
      <c r="L628" s="49"/>
      <c r="M628" s="49"/>
      <c r="N628" s="49"/>
    </row>
    <row r="629" ht="39.75" customHeight="1">
      <c r="A629" s="1">
        <v>703.0</v>
      </c>
      <c r="B629" s="2" t="s">
        <v>12</v>
      </c>
      <c r="C629" s="2" t="s">
        <v>13</v>
      </c>
      <c r="D629" s="13"/>
      <c r="E629" s="13"/>
      <c r="F629" s="45"/>
      <c r="G629" s="42"/>
      <c r="H629" s="42"/>
      <c r="I629" s="42"/>
      <c r="J629" s="27" t="s">
        <v>491</v>
      </c>
      <c r="K629" s="42"/>
      <c r="L629" s="15" t="s">
        <v>438</v>
      </c>
    </row>
    <row r="630" ht="39.75" customHeight="1">
      <c r="A630" s="1">
        <v>704.0</v>
      </c>
      <c r="B630" s="2" t="s">
        <v>16</v>
      </c>
      <c r="C630" s="2" t="s">
        <v>69</v>
      </c>
      <c r="D630" s="13"/>
      <c r="E630" s="13"/>
      <c r="F630" s="45"/>
      <c r="G630" s="42"/>
      <c r="H630" s="42"/>
      <c r="I630" s="42"/>
      <c r="J630" s="27" t="s">
        <v>438</v>
      </c>
      <c r="K630" s="43"/>
    </row>
    <row r="631" ht="39.75" customHeight="1">
      <c r="A631" s="1">
        <v>705.0</v>
      </c>
      <c r="B631" s="2" t="s">
        <v>116</v>
      </c>
      <c r="C631" s="2"/>
      <c r="D631" s="13"/>
      <c r="E631" s="13"/>
      <c r="F631" s="44" t="s">
        <v>4434</v>
      </c>
      <c r="G631" s="43">
        <v>1.0</v>
      </c>
      <c r="H631" s="42"/>
      <c r="I631" s="42"/>
      <c r="J631" s="27" t="s">
        <v>77</v>
      </c>
      <c r="K631" s="42"/>
    </row>
    <row r="632" ht="39.75" customHeight="1">
      <c r="A632" s="1">
        <v>706.0</v>
      </c>
      <c r="B632" s="2" t="s">
        <v>263</v>
      </c>
      <c r="C632" s="2" t="s">
        <v>44</v>
      </c>
      <c r="D632" s="13"/>
      <c r="E632" s="155">
        <v>0.4166666666666667</v>
      </c>
      <c r="F632" s="44"/>
      <c r="G632" s="42"/>
      <c r="H632" s="42"/>
      <c r="I632" s="42"/>
      <c r="J632" s="27" t="s">
        <v>412</v>
      </c>
      <c r="K632" s="42"/>
    </row>
    <row r="633" ht="39.75" customHeight="1">
      <c r="A633" s="1">
        <v>707.0</v>
      </c>
      <c r="B633" s="2" t="s">
        <v>17</v>
      </c>
      <c r="C633" s="2" t="s">
        <v>64</v>
      </c>
      <c r="D633" s="13"/>
      <c r="E633" s="13"/>
      <c r="F633" s="44" t="s">
        <v>3604</v>
      </c>
      <c r="G633" s="43">
        <v>1.0</v>
      </c>
      <c r="H633" s="42"/>
      <c r="I633" s="42"/>
      <c r="J633" s="22"/>
      <c r="K633" s="42"/>
    </row>
    <row r="634" ht="39.75" customHeight="1">
      <c r="A634" s="1">
        <v>708.0</v>
      </c>
      <c r="B634" s="2" t="s">
        <v>331</v>
      </c>
      <c r="C634" s="2" t="s">
        <v>13</v>
      </c>
      <c r="D634" s="13"/>
      <c r="E634" s="13"/>
      <c r="F634" s="45"/>
      <c r="G634" s="42"/>
      <c r="H634" s="42"/>
      <c r="I634" s="42"/>
      <c r="J634" s="22"/>
      <c r="K634" s="42"/>
    </row>
    <row r="635" ht="39.75" customHeight="1">
      <c r="A635" s="1">
        <v>709.0</v>
      </c>
      <c r="B635" s="2" t="s">
        <v>21</v>
      </c>
      <c r="C635" s="2" t="s">
        <v>54</v>
      </c>
      <c r="D635" s="13"/>
      <c r="E635" s="13"/>
      <c r="F635" s="45"/>
      <c r="G635" s="42"/>
      <c r="H635" s="42"/>
      <c r="I635" s="42"/>
      <c r="J635" s="22"/>
      <c r="K635" s="42"/>
    </row>
    <row r="636" ht="39.75" customHeight="1">
      <c r="A636" s="1">
        <v>710.0</v>
      </c>
      <c r="B636" s="2" t="s">
        <v>22</v>
      </c>
      <c r="C636" s="2" t="s">
        <v>13</v>
      </c>
      <c r="D636" s="13"/>
      <c r="E636" s="13"/>
      <c r="F636" s="45"/>
      <c r="G636" s="42"/>
      <c r="H636" s="42"/>
      <c r="I636" s="42"/>
      <c r="J636" s="22"/>
      <c r="K636" s="42"/>
    </row>
    <row r="637" ht="39.75" customHeight="1">
      <c r="A637" s="1">
        <v>711.0</v>
      </c>
      <c r="B637" s="2" t="s">
        <v>261</v>
      </c>
      <c r="C637" s="2" t="s">
        <v>13</v>
      </c>
      <c r="D637" s="13"/>
      <c r="E637" s="13"/>
      <c r="F637" s="45"/>
      <c r="G637" s="42"/>
      <c r="H637" s="42"/>
      <c r="I637" s="42"/>
      <c r="J637" s="22"/>
      <c r="K637" s="42"/>
    </row>
    <row r="638" ht="39.75" customHeight="1">
      <c r="A638" s="1">
        <v>712.0</v>
      </c>
      <c r="B638" s="2" t="s">
        <v>23</v>
      </c>
      <c r="C638" s="2" t="s">
        <v>54</v>
      </c>
      <c r="D638" s="13"/>
      <c r="E638" s="13"/>
      <c r="F638" s="44" t="s">
        <v>4435</v>
      </c>
      <c r="G638" s="43">
        <v>1.0</v>
      </c>
      <c r="H638" s="42"/>
      <c r="I638" s="42"/>
      <c r="J638" s="22"/>
      <c r="K638" s="42"/>
    </row>
    <row r="639" ht="39.75" customHeight="1">
      <c r="A639" s="1">
        <v>713.0</v>
      </c>
      <c r="B639" s="2" t="s">
        <v>24</v>
      </c>
      <c r="C639" s="2" t="s">
        <v>3563</v>
      </c>
      <c r="D639" s="13"/>
      <c r="E639" s="13"/>
      <c r="F639" s="45"/>
      <c r="G639" s="42"/>
      <c r="H639" s="42"/>
      <c r="I639" s="42"/>
      <c r="J639" s="22"/>
      <c r="K639" s="42"/>
    </row>
    <row r="640" ht="39.75" customHeight="1">
      <c r="A640" s="1">
        <v>714.0</v>
      </c>
      <c r="B640" s="2" t="s">
        <v>25</v>
      </c>
      <c r="C640" s="2"/>
      <c r="D640" s="13"/>
      <c r="E640" s="13"/>
      <c r="F640" s="44" t="s">
        <v>4436</v>
      </c>
      <c r="G640" s="43">
        <v>1.0</v>
      </c>
      <c r="H640" s="42"/>
      <c r="I640" s="42"/>
      <c r="J640" s="22"/>
      <c r="K640" s="42"/>
    </row>
    <row r="641" ht="39.75" customHeight="1">
      <c r="A641" s="1">
        <v>715.0</v>
      </c>
      <c r="B641" s="2" t="s">
        <v>26</v>
      </c>
      <c r="C641" s="2" t="s">
        <v>13</v>
      </c>
      <c r="D641" s="13"/>
      <c r="E641" s="13"/>
      <c r="F641" s="45"/>
      <c r="G641" s="42"/>
      <c r="H641" s="42"/>
      <c r="I641" s="42"/>
      <c r="J641" s="22"/>
      <c r="K641" s="42"/>
    </row>
    <row r="642" ht="39.75" customHeight="1">
      <c r="A642" s="1">
        <v>716.0</v>
      </c>
      <c r="B642" s="2" t="s">
        <v>29</v>
      </c>
      <c r="C642" s="2" t="s">
        <v>39</v>
      </c>
      <c r="D642" s="13"/>
      <c r="E642" s="13"/>
      <c r="F642" s="44" t="s">
        <v>4437</v>
      </c>
      <c r="G642" s="43">
        <v>1.0</v>
      </c>
      <c r="H642" s="42"/>
      <c r="I642" s="43">
        <v>1.0</v>
      </c>
      <c r="J642" s="22"/>
      <c r="K642" s="42"/>
    </row>
    <row r="643" ht="39.75" customHeight="1">
      <c r="A643" s="1">
        <v>717.0</v>
      </c>
      <c r="B643" s="2" t="s">
        <v>32</v>
      </c>
      <c r="C643" s="2" t="s">
        <v>13</v>
      </c>
      <c r="D643" s="13"/>
      <c r="E643" s="13"/>
      <c r="F643" s="45"/>
      <c r="G643" s="42"/>
      <c r="H643" s="42"/>
      <c r="I643" s="42"/>
      <c r="J643" s="22"/>
      <c r="K643" s="42"/>
    </row>
    <row r="644" ht="39.75" customHeight="1">
      <c r="A644" s="1">
        <v>718.0</v>
      </c>
      <c r="B644" s="2" t="s">
        <v>67</v>
      </c>
      <c r="C644" s="2"/>
      <c r="D644" s="13"/>
      <c r="E644" s="13"/>
      <c r="F644" s="44" t="s">
        <v>4438</v>
      </c>
      <c r="G644" s="43">
        <v>1.0</v>
      </c>
      <c r="H644" s="42"/>
      <c r="I644" s="42"/>
      <c r="J644" s="22"/>
      <c r="K644" s="42"/>
    </row>
    <row r="645" ht="39.75" customHeight="1">
      <c r="A645" s="1">
        <v>719.0</v>
      </c>
      <c r="B645" s="2" t="s">
        <v>35</v>
      </c>
      <c r="C645" s="2"/>
      <c r="D645" s="13"/>
      <c r="E645" s="13"/>
      <c r="F645" s="44" t="s">
        <v>4439</v>
      </c>
      <c r="G645" s="43">
        <v>2.0</v>
      </c>
      <c r="H645" s="42"/>
      <c r="I645" s="43">
        <v>1.0</v>
      </c>
      <c r="J645" s="22"/>
      <c r="K645" s="42"/>
    </row>
    <row r="646" ht="39.75" customHeight="1">
      <c r="A646" s="1">
        <v>720.0</v>
      </c>
      <c r="B646" s="2" t="s">
        <v>36</v>
      </c>
      <c r="C646" s="2" t="s">
        <v>39</v>
      </c>
      <c r="D646" s="13"/>
      <c r="E646" s="13"/>
      <c r="F646" s="44" t="s">
        <v>4440</v>
      </c>
      <c r="G646" s="43">
        <v>2.0</v>
      </c>
      <c r="H646" s="42"/>
      <c r="I646" s="43">
        <v>1.0</v>
      </c>
      <c r="J646" s="22"/>
      <c r="K646" s="42"/>
    </row>
    <row r="647" ht="39.75" customHeight="1">
      <c r="A647" s="1">
        <v>721.0</v>
      </c>
      <c r="B647" s="2" t="s">
        <v>38</v>
      </c>
      <c r="C647" s="2" t="s">
        <v>54</v>
      </c>
      <c r="D647" s="13"/>
      <c r="E647" s="13"/>
      <c r="F647" s="44" t="s">
        <v>4441</v>
      </c>
      <c r="G647" s="43">
        <v>1.0</v>
      </c>
      <c r="H647" s="42"/>
      <c r="I647" s="42"/>
      <c r="J647" s="22"/>
      <c r="K647" s="42"/>
    </row>
    <row r="648" ht="39.75" customHeight="1">
      <c r="A648" s="1">
        <v>722.0</v>
      </c>
      <c r="B648" s="2" t="s">
        <v>41</v>
      </c>
      <c r="C648" s="2" t="s">
        <v>13</v>
      </c>
      <c r="D648" s="13"/>
      <c r="E648" s="13"/>
      <c r="F648" s="45"/>
      <c r="G648" s="42"/>
      <c r="H648" s="42"/>
      <c r="I648" s="42"/>
      <c r="J648" s="22"/>
      <c r="K648" s="42"/>
    </row>
    <row r="649" ht="39.75" customHeight="1">
      <c r="A649" s="1">
        <v>723.0</v>
      </c>
      <c r="B649" s="2" t="s">
        <v>42</v>
      </c>
      <c r="C649" s="2" t="s">
        <v>69</v>
      </c>
      <c r="D649" s="13"/>
      <c r="E649" s="13"/>
      <c r="F649" s="44" t="s">
        <v>4441</v>
      </c>
      <c r="G649" s="43">
        <v>1.0</v>
      </c>
      <c r="H649" s="42"/>
      <c r="I649" s="42"/>
      <c r="J649" s="22"/>
      <c r="K649" s="42"/>
    </row>
    <row r="650" ht="39.75" customHeight="1">
      <c r="A650" s="1">
        <v>724.0</v>
      </c>
      <c r="B650" s="2" t="s">
        <v>43</v>
      </c>
      <c r="C650" s="2" t="s">
        <v>69</v>
      </c>
      <c r="D650" s="13"/>
      <c r="E650" s="51">
        <v>0.8333333333333334</v>
      </c>
      <c r="F650" s="44" t="s">
        <v>4437</v>
      </c>
      <c r="G650" s="43">
        <v>1.0</v>
      </c>
      <c r="H650" s="42"/>
      <c r="I650" s="42"/>
      <c r="J650" s="22"/>
      <c r="K650" s="42"/>
    </row>
    <row r="651" ht="39.75" customHeight="1">
      <c r="A651" s="1">
        <v>725.0</v>
      </c>
      <c r="B651" s="2" t="s">
        <v>267</v>
      </c>
      <c r="C651" s="2" t="s">
        <v>66</v>
      </c>
      <c r="D651" s="13"/>
      <c r="E651" s="13"/>
      <c r="F651" s="45"/>
      <c r="G651" s="42"/>
      <c r="H651" s="42"/>
      <c r="I651" s="42"/>
      <c r="J651" s="22"/>
      <c r="K651" s="42"/>
    </row>
    <row r="652" ht="39.75" customHeight="1">
      <c r="A652" s="1">
        <v>726.0</v>
      </c>
      <c r="B652" s="2" t="s">
        <v>46</v>
      </c>
      <c r="C652" s="2" t="s">
        <v>27</v>
      </c>
      <c r="D652" s="13"/>
      <c r="E652" s="13"/>
      <c r="F652" s="44" t="s">
        <v>4442</v>
      </c>
      <c r="G652" s="43">
        <v>2.0</v>
      </c>
      <c r="H652" s="42"/>
      <c r="I652" s="43">
        <v>1.0</v>
      </c>
      <c r="J652" s="22"/>
      <c r="K652" s="42"/>
    </row>
    <row r="653" ht="39.75" customHeight="1">
      <c r="A653" s="1">
        <v>727.0</v>
      </c>
      <c r="B653" s="2" t="s">
        <v>47</v>
      </c>
      <c r="C653" s="2" t="s">
        <v>54</v>
      </c>
      <c r="D653" s="13"/>
      <c r="E653" s="13"/>
      <c r="F653" s="44" t="s">
        <v>4443</v>
      </c>
      <c r="G653" s="43">
        <v>1.0</v>
      </c>
      <c r="H653" s="42"/>
      <c r="I653" s="42"/>
      <c r="J653" s="22"/>
      <c r="K653" s="42"/>
    </row>
    <row r="654" ht="39.75" customHeight="1">
      <c r="A654" s="1">
        <v>728.0</v>
      </c>
      <c r="B654" s="2" t="s">
        <v>48</v>
      </c>
      <c r="C654" s="2"/>
      <c r="D654" s="13"/>
      <c r="E654" s="51">
        <v>0.8125</v>
      </c>
      <c r="F654" s="44" t="s">
        <v>4444</v>
      </c>
      <c r="G654" s="43">
        <v>1.0</v>
      </c>
      <c r="H654" s="42"/>
      <c r="I654" s="42"/>
      <c r="J654" s="22"/>
      <c r="K654" s="42"/>
    </row>
    <row r="655" ht="39.75" customHeight="1">
      <c r="A655" s="1">
        <v>729.0</v>
      </c>
      <c r="B655" s="21"/>
      <c r="C655" s="21"/>
      <c r="D655" s="21"/>
      <c r="E655" s="21"/>
      <c r="F655" s="46"/>
      <c r="G655" s="47"/>
      <c r="H655" s="47"/>
      <c r="I655" s="47"/>
      <c r="J655" s="48"/>
      <c r="K655" s="47"/>
      <c r="L655" s="49"/>
      <c r="M655" s="49"/>
      <c r="N655" s="49"/>
    </row>
    <row r="656" ht="39.75" customHeight="1">
      <c r="A656" s="1">
        <v>730.0</v>
      </c>
      <c r="B656" s="2" t="s">
        <v>12</v>
      </c>
      <c r="C656" s="2" t="s">
        <v>62</v>
      </c>
      <c r="D656" s="13"/>
      <c r="E656" s="13"/>
      <c r="F656" s="45"/>
      <c r="G656" s="42"/>
      <c r="H656" s="42"/>
      <c r="I656" s="42"/>
      <c r="J656" s="27" t="s">
        <v>491</v>
      </c>
      <c r="K656" s="42"/>
      <c r="L656" s="15" t="s">
        <v>452</v>
      </c>
    </row>
    <row r="657" ht="39.75" customHeight="1">
      <c r="A657" s="1">
        <v>731.0</v>
      </c>
      <c r="B657" s="2" t="s">
        <v>16</v>
      </c>
      <c r="C657" s="2" t="s">
        <v>13</v>
      </c>
      <c r="D657" s="13"/>
      <c r="E657" s="13"/>
      <c r="F657" s="45"/>
      <c r="G657" s="42"/>
      <c r="H657" s="42"/>
      <c r="I657" s="42"/>
      <c r="J657" s="27" t="s">
        <v>452</v>
      </c>
      <c r="K657" s="43"/>
    </row>
    <row r="658" ht="39.75" customHeight="1">
      <c r="A658" s="1">
        <v>732.0</v>
      </c>
      <c r="B658" s="2" t="s">
        <v>116</v>
      </c>
      <c r="C658" s="2" t="s">
        <v>39</v>
      </c>
      <c r="D658" s="13"/>
      <c r="E658" s="13"/>
      <c r="F658" s="44" t="s">
        <v>4445</v>
      </c>
      <c r="G658" s="43">
        <v>1.0</v>
      </c>
      <c r="H658" s="42"/>
      <c r="I658" s="42"/>
      <c r="J658" s="27" t="s">
        <v>95</v>
      </c>
      <c r="K658" s="42"/>
    </row>
    <row r="659" ht="39.75" customHeight="1">
      <c r="A659" s="1">
        <v>733.0</v>
      </c>
      <c r="B659" s="2" t="s">
        <v>263</v>
      </c>
      <c r="C659" s="2" t="s">
        <v>69</v>
      </c>
      <c r="D659" s="13"/>
      <c r="E659" s="13"/>
      <c r="F659" s="44"/>
      <c r="G659" s="42"/>
      <c r="H659" s="42"/>
      <c r="I659" s="42"/>
      <c r="J659" s="27" t="s">
        <v>3633</v>
      </c>
      <c r="K659" s="42"/>
    </row>
    <row r="660" ht="39.75" customHeight="1">
      <c r="A660" s="1">
        <v>734.0</v>
      </c>
      <c r="B660" s="2" t="s">
        <v>17</v>
      </c>
      <c r="C660" s="2" t="s">
        <v>64</v>
      </c>
      <c r="D660" s="13"/>
      <c r="E660" s="13"/>
      <c r="F660" s="44" t="s">
        <v>3392</v>
      </c>
      <c r="G660" s="43">
        <v>1.0</v>
      </c>
      <c r="H660" s="42"/>
      <c r="I660" s="42"/>
      <c r="J660" s="22"/>
      <c r="K660" s="42"/>
    </row>
    <row r="661" ht="39.75" customHeight="1">
      <c r="A661" s="1">
        <v>735.0</v>
      </c>
      <c r="B661" s="2" t="s">
        <v>331</v>
      </c>
      <c r="C661" s="2" t="s">
        <v>542</v>
      </c>
      <c r="D661" s="13"/>
      <c r="E661" s="13"/>
      <c r="F661" s="44" t="s">
        <v>4446</v>
      </c>
      <c r="G661" s="43">
        <v>1.0</v>
      </c>
      <c r="H661" s="42"/>
      <c r="I661" s="42"/>
      <c r="J661" s="22"/>
      <c r="K661" s="42"/>
    </row>
    <row r="662" ht="39.75" customHeight="1">
      <c r="A662" s="1">
        <v>736.0</v>
      </c>
      <c r="B662" s="2" t="s">
        <v>21</v>
      </c>
      <c r="C662" s="2" t="s">
        <v>27</v>
      </c>
      <c r="D662" s="13"/>
      <c r="E662" s="13"/>
      <c r="F662" s="44" t="s">
        <v>4447</v>
      </c>
      <c r="G662" s="43">
        <v>1.0</v>
      </c>
      <c r="H662" s="42"/>
      <c r="I662" s="42"/>
      <c r="J662" s="22"/>
      <c r="K662" s="42"/>
    </row>
    <row r="663" ht="39.75" customHeight="1">
      <c r="A663" s="1">
        <v>737.0</v>
      </c>
      <c r="B663" s="2" t="s">
        <v>22</v>
      </c>
      <c r="C663" s="2" t="s">
        <v>69</v>
      </c>
      <c r="D663" s="13"/>
      <c r="E663" s="13"/>
      <c r="F663" s="45"/>
      <c r="G663" s="42"/>
      <c r="H663" s="42"/>
      <c r="I663" s="42"/>
      <c r="J663" s="22"/>
      <c r="K663" s="42"/>
    </row>
    <row r="664" ht="39.75" customHeight="1">
      <c r="A664" s="1">
        <v>738.0</v>
      </c>
      <c r="B664" s="2" t="s">
        <v>261</v>
      </c>
      <c r="C664" s="2" t="s">
        <v>13</v>
      </c>
      <c r="D664" s="13"/>
      <c r="E664" s="13"/>
      <c r="F664" s="45"/>
      <c r="G664" s="42"/>
      <c r="H664" s="42"/>
      <c r="I664" s="42"/>
      <c r="J664" s="22"/>
      <c r="K664" s="42"/>
    </row>
    <row r="665" ht="39.75" customHeight="1">
      <c r="A665" s="1">
        <v>739.0</v>
      </c>
      <c r="B665" s="2" t="s">
        <v>23</v>
      </c>
      <c r="C665" s="2" t="s">
        <v>54</v>
      </c>
      <c r="D665" s="13"/>
      <c r="E665" s="13"/>
      <c r="F665" s="44" t="s">
        <v>4448</v>
      </c>
      <c r="G665" s="43">
        <v>1.0</v>
      </c>
      <c r="H665" s="42"/>
      <c r="I665" s="42"/>
      <c r="J665" s="22"/>
      <c r="K665" s="42"/>
    </row>
    <row r="666" ht="39.75" customHeight="1">
      <c r="A666" s="1">
        <v>740.0</v>
      </c>
      <c r="B666" s="2" t="s">
        <v>24</v>
      </c>
      <c r="C666" s="2" t="s">
        <v>3563</v>
      </c>
      <c r="D666" s="13"/>
      <c r="E666" s="13"/>
      <c r="F666" s="45"/>
      <c r="G666" s="42"/>
      <c r="H666" s="42"/>
      <c r="I666" s="42"/>
      <c r="J666" s="22"/>
      <c r="K666" s="42"/>
    </row>
    <row r="667" ht="39.75" customHeight="1">
      <c r="A667" s="1">
        <v>741.0</v>
      </c>
      <c r="B667" s="2" t="s">
        <v>25</v>
      </c>
      <c r="C667" s="2"/>
      <c r="D667" s="13"/>
      <c r="E667" s="13"/>
      <c r="F667" s="44" t="s">
        <v>4449</v>
      </c>
      <c r="G667" s="43">
        <v>1.0</v>
      </c>
      <c r="H667" s="42"/>
      <c r="I667" s="43">
        <v>1.0</v>
      </c>
      <c r="J667" s="22"/>
      <c r="K667" s="42"/>
    </row>
    <row r="668" ht="39.75" customHeight="1">
      <c r="A668" s="1">
        <v>742.0</v>
      </c>
      <c r="B668" s="2" t="s">
        <v>26</v>
      </c>
      <c r="C668" s="2" t="s">
        <v>66</v>
      </c>
      <c r="D668" s="13"/>
      <c r="E668" s="13"/>
      <c r="F668" s="45"/>
      <c r="G668" s="42"/>
      <c r="H668" s="42"/>
      <c r="I668" s="42"/>
      <c r="J668" s="22"/>
      <c r="K668" s="42"/>
    </row>
    <row r="669" ht="39.75" customHeight="1">
      <c r="A669" s="1">
        <v>743.0</v>
      </c>
      <c r="B669" s="2" t="s">
        <v>29</v>
      </c>
      <c r="C669" s="2" t="s">
        <v>13</v>
      </c>
      <c r="D669" s="13"/>
      <c r="E669" s="13"/>
      <c r="F669" s="45"/>
      <c r="G669" s="42"/>
      <c r="H669" s="42"/>
      <c r="I669" s="42"/>
      <c r="J669" s="22"/>
      <c r="K669" s="42"/>
    </row>
    <row r="670" ht="39.75" customHeight="1">
      <c r="A670" s="1">
        <v>744.0</v>
      </c>
      <c r="B670" s="2" t="s">
        <v>32</v>
      </c>
      <c r="C670" s="2" t="s">
        <v>13</v>
      </c>
      <c r="D670" s="13"/>
      <c r="E670" s="13"/>
      <c r="F670" s="45"/>
      <c r="G670" s="42"/>
      <c r="H670" s="42"/>
      <c r="I670" s="42"/>
      <c r="J670" s="22"/>
      <c r="K670" s="42"/>
    </row>
    <row r="671" ht="39.75" customHeight="1">
      <c r="A671" s="1">
        <v>745.0</v>
      </c>
      <c r="B671" s="2" t="s">
        <v>67</v>
      </c>
      <c r="C671" s="2" t="s">
        <v>54</v>
      </c>
      <c r="D671" s="13"/>
      <c r="E671" s="13"/>
      <c r="F671" s="45"/>
      <c r="G671" s="42"/>
      <c r="H671" s="42"/>
      <c r="I671" s="42"/>
      <c r="J671" s="22"/>
      <c r="K671" s="42"/>
    </row>
    <row r="672" ht="39.75" customHeight="1">
      <c r="A672" s="1">
        <v>746.0</v>
      </c>
      <c r="B672" s="2" t="s">
        <v>35</v>
      </c>
      <c r="C672" s="2" t="s">
        <v>13</v>
      </c>
      <c r="D672" s="13"/>
      <c r="E672" s="13"/>
      <c r="F672" s="45"/>
      <c r="G672" s="42"/>
      <c r="H672" s="42"/>
      <c r="I672" s="42"/>
      <c r="J672" s="22"/>
      <c r="K672" s="42"/>
    </row>
    <row r="673" ht="39.75" customHeight="1">
      <c r="A673" s="1">
        <v>747.0</v>
      </c>
      <c r="B673" s="2" t="s">
        <v>36</v>
      </c>
      <c r="C673" s="2" t="s">
        <v>13</v>
      </c>
      <c r="D673" s="13"/>
      <c r="E673" s="13"/>
      <c r="F673" s="45"/>
      <c r="G673" s="42"/>
      <c r="H673" s="42"/>
      <c r="I673" s="42"/>
      <c r="J673" s="22"/>
      <c r="K673" s="42"/>
    </row>
    <row r="674" ht="39.75" customHeight="1">
      <c r="A674" s="1">
        <v>748.0</v>
      </c>
      <c r="B674" s="2" t="s">
        <v>38</v>
      </c>
      <c r="C674" s="2" t="s">
        <v>54</v>
      </c>
      <c r="D674" s="13"/>
      <c r="E674" s="13"/>
      <c r="F674" s="44" t="s">
        <v>4450</v>
      </c>
      <c r="G674" s="43">
        <v>1.0</v>
      </c>
      <c r="H674" s="42"/>
      <c r="I674" s="42"/>
      <c r="J674" s="22"/>
      <c r="K674" s="42"/>
    </row>
    <row r="675" ht="39.75" customHeight="1">
      <c r="A675" s="1">
        <v>749.0</v>
      </c>
      <c r="B675" s="2" t="s">
        <v>41</v>
      </c>
      <c r="C675" s="2" t="s">
        <v>13</v>
      </c>
      <c r="D675" s="13"/>
      <c r="E675" s="13"/>
      <c r="F675" s="45"/>
      <c r="G675" s="42"/>
      <c r="H675" s="42"/>
      <c r="I675" s="42"/>
      <c r="J675" s="22"/>
      <c r="K675" s="42"/>
    </row>
    <row r="676" ht="39.75" customHeight="1">
      <c r="A676" s="1">
        <v>750.0</v>
      </c>
      <c r="B676" s="2" t="s">
        <v>42</v>
      </c>
      <c r="C676" s="2"/>
      <c r="D676" s="13"/>
      <c r="E676" s="13"/>
      <c r="F676" s="45"/>
      <c r="G676" s="42"/>
      <c r="H676" s="42"/>
      <c r="I676" s="42"/>
      <c r="J676" s="22"/>
      <c r="K676" s="42"/>
    </row>
    <row r="677" ht="39.75" customHeight="1">
      <c r="A677" s="1">
        <v>751.0</v>
      </c>
      <c r="B677" s="2" t="s">
        <v>43</v>
      </c>
      <c r="C677" s="2" t="s">
        <v>69</v>
      </c>
      <c r="D677" s="13"/>
      <c r="E677" s="13"/>
      <c r="F677" s="45"/>
      <c r="G677" s="42"/>
      <c r="H677" s="42"/>
      <c r="I677" s="42"/>
      <c r="J677" s="22"/>
      <c r="K677" s="42"/>
    </row>
    <row r="678" ht="39.75" customHeight="1">
      <c r="A678" s="1">
        <v>752.0</v>
      </c>
      <c r="B678" s="2" t="s">
        <v>267</v>
      </c>
      <c r="C678" s="2"/>
      <c r="D678" s="13"/>
      <c r="E678" s="13"/>
      <c r="F678" s="44" t="s">
        <v>4451</v>
      </c>
      <c r="G678" s="43">
        <v>1.0</v>
      </c>
      <c r="H678" s="42"/>
      <c r="I678" s="42"/>
      <c r="J678" s="22"/>
      <c r="K678" s="42"/>
    </row>
    <row r="679" ht="39.75" customHeight="1">
      <c r="A679" s="1">
        <v>753.0</v>
      </c>
      <c r="B679" s="2" t="s">
        <v>46</v>
      </c>
      <c r="C679" s="2" t="s">
        <v>44</v>
      </c>
      <c r="D679" s="13"/>
      <c r="E679" s="13"/>
      <c r="F679" s="45"/>
      <c r="G679" s="42"/>
      <c r="H679" s="42"/>
      <c r="I679" s="42"/>
      <c r="J679" s="22"/>
      <c r="K679" s="42"/>
    </row>
    <row r="680" ht="39.75" customHeight="1">
      <c r="A680" s="1">
        <v>754.0</v>
      </c>
      <c r="B680" s="2" t="s">
        <v>47</v>
      </c>
      <c r="C680" s="2" t="s">
        <v>66</v>
      </c>
      <c r="D680" s="13"/>
      <c r="E680" s="13"/>
      <c r="F680" s="45"/>
      <c r="G680" s="42"/>
      <c r="H680" s="42"/>
      <c r="I680" s="42"/>
      <c r="J680" s="22"/>
      <c r="K680" s="42"/>
    </row>
    <row r="681" ht="39.75" customHeight="1">
      <c r="A681" s="1">
        <v>755.0</v>
      </c>
      <c r="B681" s="2" t="s">
        <v>48</v>
      </c>
      <c r="C681" s="2" t="s">
        <v>39</v>
      </c>
      <c r="D681" s="59">
        <v>0.3125</v>
      </c>
      <c r="E681" s="13"/>
      <c r="F681" s="44" t="s">
        <v>4452</v>
      </c>
      <c r="G681" s="43">
        <v>1.0</v>
      </c>
      <c r="H681" s="42"/>
      <c r="I681" s="43">
        <v>1.0</v>
      </c>
      <c r="J681" s="22"/>
      <c r="K681" s="42"/>
    </row>
    <row r="682" ht="39.75" customHeight="1">
      <c r="A682" s="1">
        <v>756.0</v>
      </c>
      <c r="B682" s="21"/>
      <c r="C682" s="21"/>
      <c r="D682" s="21"/>
      <c r="E682" s="21"/>
      <c r="F682" s="46"/>
      <c r="G682" s="47"/>
      <c r="H682" s="47"/>
      <c r="I682" s="47"/>
      <c r="J682" s="48"/>
      <c r="K682" s="47"/>
      <c r="L682" s="49"/>
      <c r="M682" s="49"/>
      <c r="N682" s="49"/>
    </row>
    <row r="683" ht="39.75" customHeight="1">
      <c r="A683" s="1">
        <v>757.0</v>
      </c>
      <c r="B683" s="2" t="s">
        <v>12</v>
      </c>
      <c r="C683" s="2" t="s">
        <v>62</v>
      </c>
      <c r="D683" s="13"/>
      <c r="E683" s="13"/>
      <c r="F683" s="44" t="s">
        <v>1543</v>
      </c>
      <c r="G683" s="42"/>
      <c r="H683" s="42"/>
      <c r="I683" s="42"/>
      <c r="J683" s="27" t="s">
        <v>491</v>
      </c>
      <c r="K683" s="42"/>
      <c r="L683" s="15" t="s">
        <v>460</v>
      </c>
    </row>
    <row r="684" ht="39.75" customHeight="1">
      <c r="A684" s="1">
        <v>758.0</v>
      </c>
      <c r="B684" s="2" t="s">
        <v>16</v>
      </c>
      <c r="C684" s="2"/>
      <c r="D684" s="13"/>
      <c r="E684" s="13"/>
      <c r="F684" s="44" t="s">
        <v>4453</v>
      </c>
      <c r="G684" s="43">
        <v>1.0</v>
      </c>
      <c r="H684" s="42"/>
      <c r="I684" s="43"/>
      <c r="J684" s="27" t="s">
        <v>460</v>
      </c>
      <c r="K684" s="43"/>
    </row>
    <row r="685" ht="39.75" customHeight="1">
      <c r="A685" s="1">
        <v>759.0</v>
      </c>
      <c r="B685" s="2" t="s">
        <v>116</v>
      </c>
      <c r="C685" s="2" t="s">
        <v>69</v>
      </c>
      <c r="D685" s="13"/>
      <c r="E685" s="51">
        <v>0.8333333333333334</v>
      </c>
      <c r="F685" s="44" t="s">
        <v>4454</v>
      </c>
      <c r="G685" s="43">
        <v>1.0</v>
      </c>
      <c r="H685" s="42"/>
      <c r="I685" s="42"/>
      <c r="J685" s="27" t="s">
        <v>111</v>
      </c>
      <c r="K685" s="42"/>
    </row>
    <row r="686" ht="39.75" customHeight="1">
      <c r="A686" s="1">
        <v>760.0</v>
      </c>
      <c r="B686" s="2" t="s">
        <v>263</v>
      </c>
      <c r="C686" s="2" t="s">
        <v>13</v>
      </c>
      <c r="D686" s="13"/>
      <c r="E686" s="13"/>
      <c r="F686" s="44"/>
      <c r="G686" s="42"/>
      <c r="H686" s="42"/>
      <c r="I686" s="42"/>
      <c r="J686" s="27" t="s">
        <v>3637</v>
      </c>
      <c r="K686" s="42"/>
    </row>
    <row r="687" ht="39.75" customHeight="1">
      <c r="A687" s="1">
        <v>761.0</v>
      </c>
      <c r="B687" s="2" t="s">
        <v>17</v>
      </c>
      <c r="C687" s="2" t="s">
        <v>13</v>
      </c>
      <c r="D687" s="13"/>
      <c r="E687" s="13"/>
      <c r="F687" s="45"/>
      <c r="G687" s="42"/>
      <c r="H687" s="42"/>
      <c r="I687" s="42"/>
      <c r="J687" s="22"/>
      <c r="K687" s="42"/>
    </row>
    <row r="688" ht="39.75" customHeight="1">
      <c r="A688" s="1">
        <v>762.0</v>
      </c>
      <c r="B688" s="2" t="s">
        <v>331</v>
      </c>
      <c r="C688" s="2" t="s">
        <v>66</v>
      </c>
      <c r="D688" s="13"/>
      <c r="E688" s="13"/>
      <c r="F688" s="45"/>
      <c r="G688" s="42"/>
      <c r="H688" s="42"/>
      <c r="I688" s="42"/>
      <c r="J688" s="27"/>
      <c r="K688" s="42"/>
    </row>
    <row r="689" ht="39.75" customHeight="1">
      <c r="A689" s="1">
        <v>763.0</v>
      </c>
      <c r="B689" s="2" t="s">
        <v>21</v>
      </c>
      <c r="C689" s="2" t="s">
        <v>44</v>
      </c>
      <c r="D689" s="13"/>
      <c r="E689" s="13"/>
      <c r="F689" s="45"/>
      <c r="G689" s="42"/>
      <c r="H689" s="42"/>
      <c r="I689" s="42"/>
      <c r="J689" s="22"/>
      <c r="K689" s="42"/>
    </row>
    <row r="690" ht="39.75" customHeight="1">
      <c r="A690" s="1">
        <v>764.0</v>
      </c>
      <c r="B690" s="2" t="s">
        <v>22</v>
      </c>
      <c r="C690" s="13"/>
      <c r="D690" s="13"/>
      <c r="E690" s="13"/>
      <c r="F690" s="44" t="s">
        <v>4455</v>
      </c>
      <c r="G690" s="43">
        <v>1.0</v>
      </c>
      <c r="H690" s="42"/>
      <c r="I690" s="42"/>
      <c r="J690" s="22"/>
      <c r="K690" s="42"/>
    </row>
    <row r="691" ht="39.75" customHeight="1">
      <c r="A691" s="1">
        <v>765.0</v>
      </c>
      <c r="B691" s="2" t="s">
        <v>261</v>
      </c>
      <c r="C691" s="2" t="s">
        <v>13</v>
      </c>
      <c r="D691" s="13"/>
      <c r="E691" s="13"/>
      <c r="F691" s="45"/>
      <c r="G691" s="42"/>
      <c r="H691" s="42"/>
      <c r="I691" s="42"/>
      <c r="J691" s="22"/>
      <c r="K691" s="42"/>
    </row>
    <row r="692" ht="39.75" customHeight="1">
      <c r="A692" s="1">
        <v>766.0</v>
      </c>
      <c r="B692" s="2" t="s">
        <v>23</v>
      </c>
      <c r="C692" s="2" t="s">
        <v>54</v>
      </c>
      <c r="D692" s="13"/>
      <c r="E692" s="13"/>
      <c r="F692" s="44" t="s">
        <v>4456</v>
      </c>
      <c r="G692" s="43">
        <v>2.0</v>
      </c>
      <c r="H692" s="42"/>
      <c r="I692" s="42"/>
      <c r="J692" s="22"/>
      <c r="K692" s="42"/>
    </row>
    <row r="693" ht="39.75" customHeight="1">
      <c r="A693" s="1">
        <v>767.0</v>
      </c>
      <c r="B693" s="2" t="s">
        <v>24</v>
      </c>
      <c r="C693" s="2" t="s">
        <v>3563</v>
      </c>
      <c r="D693" s="13"/>
      <c r="E693" s="13"/>
      <c r="F693" s="45"/>
      <c r="G693" s="42"/>
      <c r="H693" s="42"/>
      <c r="I693" s="42"/>
      <c r="J693" s="22"/>
      <c r="K693" s="42"/>
    </row>
    <row r="694" ht="39.75" customHeight="1">
      <c r="A694" s="1">
        <v>768.0</v>
      </c>
      <c r="B694" s="2" t="s">
        <v>25</v>
      </c>
      <c r="C694" s="2" t="s">
        <v>27</v>
      </c>
      <c r="D694" s="13"/>
      <c r="E694" s="13"/>
      <c r="F694" s="44" t="s">
        <v>4457</v>
      </c>
      <c r="G694" s="43">
        <v>1.0</v>
      </c>
      <c r="H694" s="42"/>
      <c r="I694" s="42"/>
      <c r="J694" s="22"/>
      <c r="K694" s="42"/>
    </row>
    <row r="695" ht="39.75" customHeight="1">
      <c r="A695" s="1">
        <v>769.0</v>
      </c>
      <c r="B695" s="2" t="s">
        <v>26</v>
      </c>
      <c r="C695" s="2"/>
      <c r="D695" s="13"/>
      <c r="E695" s="13"/>
      <c r="F695" s="44" t="s">
        <v>4458</v>
      </c>
      <c r="G695" s="43">
        <v>2.0</v>
      </c>
      <c r="H695" s="42"/>
      <c r="I695" s="43">
        <v>2.0</v>
      </c>
      <c r="J695" s="22"/>
      <c r="K695" s="42"/>
    </row>
    <row r="696" ht="39.75" customHeight="1">
      <c r="A696" s="1">
        <v>770.0</v>
      </c>
      <c r="B696" s="2" t="s">
        <v>29</v>
      </c>
      <c r="C696" s="13"/>
      <c r="D696" s="13"/>
      <c r="E696" s="13"/>
      <c r="F696" s="44" t="s">
        <v>4459</v>
      </c>
      <c r="G696" s="43">
        <v>1.0</v>
      </c>
      <c r="H696" s="42"/>
      <c r="I696" s="42"/>
      <c r="J696" s="22"/>
      <c r="K696" s="42"/>
    </row>
    <row r="697" ht="39.75" customHeight="1">
      <c r="A697" s="1">
        <v>771.0</v>
      </c>
      <c r="B697" s="2" t="s">
        <v>32</v>
      </c>
      <c r="C697" s="2" t="s">
        <v>69</v>
      </c>
      <c r="D697" s="13"/>
      <c r="E697" s="13"/>
      <c r="F697" s="44" t="s">
        <v>4460</v>
      </c>
      <c r="G697" s="43">
        <v>1.0</v>
      </c>
      <c r="H697" s="42"/>
      <c r="I697" s="42"/>
      <c r="J697" s="22"/>
      <c r="K697" s="42"/>
    </row>
    <row r="698" ht="39.75" customHeight="1">
      <c r="A698" s="1">
        <v>772.0</v>
      </c>
      <c r="B698" s="2" t="s">
        <v>67</v>
      </c>
      <c r="C698" s="2" t="s">
        <v>54</v>
      </c>
      <c r="D698" s="13"/>
      <c r="E698" s="51">
        <v>0.8125</v>
      </c>
      <c r="F698" s="44" t="s">
        <v>4461</v>
      </c>
      <c r="G698" s="43">
        <v>2.0</v>
      </c>
      <c r="H698" s="42"/>
      <c r="I698" s="42"/>
      <c r="J698" s="22"/>
      <c r="K698" s="42"/>
    </row>
    <row r="699" ht="39.75" customHeight="1">
      <c r="A699" s="1">
        <v>773.0</v>
      </c>
      <c r="B699" s="2" t="s">
        <v>35</v>
      </c>
      <c r="C699" s="2" t="s">
        <v>13</v>
      </c>
      <c r="D699" s="13"/>
      <c r="E699" s="13"/>
      <c r="F699" s="45"/>
      <c r="G699" s="42"/>
      <c r="H699" s="42"/>
      <c r="I699" s="42"/>
      <c r="J699" s="22"/>
      <c r="K699" s="42"/>
    </row>
    <row r="700" ht="39.75" customHeight="1">
      <c r="A700" s="1">
        <v>774.0</v>
      </c>
      <c r="B700" s="2" t="s">
        <v>36</v>
      </c>
      <c r="C700" s="2"/>
      <c r="D700" s="13"/>
      <c r="E700" s="13"/>
      <c r="F700" s="44" t="s">
        <v>4462</v>
      </c>
      <c r="G700" s="43">
        <v>2.0</v>
      </c>
      <c r="H700" s="42"/>
      <c r="I700" s="42"/>
      <c r="J700" s="22"/>
      <c r="K700" s="42"/>
    </row>
    <row r="701" ht="39.75" customHeight="1">
      <c r="A701" s="1">
        <v>775.0</v>
      </c>
      <c r="B701" s="2" t="s">
        <v>38</v>
      </c>
      <c r="C701" s="2" t="s">
        <v>54</v>
      </c>
      <c r="D701" s="13"/>
      <c r="E701" s="13"/>
      <c r="F701" s="44" t="s">
        <v>4463</v>
      </c>
      <c r="G701" s="43">
        <v>1.0</v>
      </c>
      <c r="H701" s="42"/>
      <c r="I701" s="42"/>
      <c r="J701" s="22"/>
      <c r="K701" s="42"/>
    </row>
    <row r="702" ht="39.75" customHeight="1">
      <c r="A702" s="1">
        <v>776.0</v>
      </c>
      <c r="B702" s="2" t="s">
        <v>41</v>
      </c>
      <c r="C702" s="2" t="s">
        <v>13</v>
      </c>
      <c r="D702" s="13"/>
      <c r="E702" s="13"/>
      <c r="F702" s="45"/>
      <c r="G702" s="42"/>
      <c r="H702" s="42"/>
      <c r="I702" s="42"/>
      <c r="J702" s="22"/>
      <c r="K702" s="42"/>
    </row>
    <row r="703" ht="39.75" customHeight="1">
      <c r="A703" s="1">
        <v>777.0</v>
      </c>
      <c r="B703" s="2" t="s">
        <v>42</v>
      </c>
      <c r="C703" s="2" t="s">
        <v>69</v>
      </c>
      <c r="D703" s="13"/>
      <c r="E703" s="13"/>
      <c r="F703" s="44" t="s">
        <v>4464</v>
      </c>
      <c r="G703" s="43">
        <v>1.0</v>
      </c>
      <c r="H703" s="42"/>
      <c r="I703" s="42"/>
      <c r="J703" s="22"/>
      <c r="K703" s="42"/>
    </row>
    <row r="704" ht="39.75" customHeight="1">
      <c r="A704" s="1">
        <v>778.0</v>
      </c>
      <c r="B704" s="2" t="s">
        <v>43</v>
      </c>
      <c r="C704" s="2" t="s">
        <v>39</v>
      </c>
      <c r="D704" s="13"/>
      <c r="E704" s="13"/>
      <c r="F704" s="44" t="s">
        <v>4465</v>
      </c>
      <c r="G704" s="43">
        <v>1.0</v>
      </c>
      <c r="H704" s="42"/>
      <c r="I704" s="42"/>
      <c r="J704" s="22"/>
      <c r="K704" s="42"/>
    </row>
    <row r="705" ht="39.75" customHeight="1">
      <c r="A705" s="1">
        <v>779.0</v>
      </c>
      <c r="B705" s="2" t="s">
        <v>267</v>
      </c>
      <c r="C705" s="2" t="s">
        <v>39</v>
      </c>
      <c r="D705" s="13"/>
      <c r="E705" s="13"/>
      <c r="F705" s="44" t="s">
        <v>4466</v>
      </c>
      <c r="G705" s="43">
        <v>1.0</v>
      </c>
      <c r="H705" s="42"/>
      <c r="I705" s="42"/>
      <c r="J705" s="22"/>
      <c r="K705" s="42"/>
    </row>
    <row r="706" ht="39.75" customHeight="1">
      <c r="A706" s="1">
        <v>780.0</v>
      </c>
      <c r="B706" s="2" t="s">
        <v>46</v>
      </c>
      <c r="C706" s="2" t="s">
        <v>66</v>
      </c>
      <c r="D706" s="13"/>
      <c r="E706" s="13"/>
      <c r="F706" s="45"/>
      <c r="G706" s="42"/>
      <c r="H706" s="42"/>
      <c r="I706" s="42"/>
      <c r="J706" s="22"/>
      <c r="K706" s="42"/>
    </row>
    <row r="707" ht="39.75" customHeight="1">
      <c r="A707" s="1">
        <v>781.0</v>
      </c>
      <c r="B707" s="2" t="s">
        <v>47</v>
      </c>
      <c r="C707" s="2" t="s">
        <v>13</v>
      </c>
      <c r="D707" s="13"/>
      <c r="E707" s="13"/>
      <c r="F707" s="45"/>
      <c r="G707" s="42"/>
      <c r="H707" s="42"/>
      <c r="I707" s="42"/>
      <c r="J707" s="22"/>
      <c r="K707" s="42"/>
    </row>
    <row r="708" ht="39.75" customHeight="1">
      <c r="A708" s="1">
        <v>782.0</v>
      </c>
      <c r="B708" s="2" t="s">
        <v>48</v>
      </c>
      <c r="C708" s="2"/>
      <c r="D708" s="13"/>
      <c r="E708" s="13"/>
      <c r="F708" s="44" t="s">
        <v>4467</v>
      </c>
      <c r="G708" s="43">
        <v>1.0</v>
      </c>
      <c r="H708" s="42"/>
      <c r="I708" s="42"/>
      <c r="J708" s="22"/>
      <c r="K708" s="42"/>
    </row>
    <row r="709" ht="39.75" customHeight="1">
      <c r="A709" s="1">
        <v>783.0</v>
      </c>
      <c r="B709" s="21"/>
      <c r="C709" s="21"/>
      <c r="D709" s="21"/>
      <c r="E709" s="21"/>
      <c r="F709" s="46"/>
      <c r="G709" s="47"/>
      <c r="H709" s="47"/>
      <c r="I709" s="47"/>
      <c r="J709" s="48"/>
      <c r="K709" s="47"/>
      <c r="L709" s="49"/>
      <c r="M709" s="49"/>
      <c r="N709" s="49"/>
    </row>
    <row r="710" ht="39.75" customHeight="1">
      <c r="A710" s="1">
        <v>784.0</v>
      </c>
      <c r="B710" s="2" t="s">
        <v>12</v>
      </c>
      <c r="C710" s="2" t="s">
        <v>13</v>
      </c>
      <c r="D710" s="13"/>
      <c r="E710" s="13"/>
      <c r="F710" s="45"/>
      <c r="G710" s="42"/>
      <c r="H710" s="42"/>
      <c r="I710" s="42"/>
      <c r="J710" s="27" t="s">
        <v>491</v>
      </c>
      <c r="K710" s="42"/>
      <c r="L710" s="15" t="s">
        <v>467</v>
      </c>
    </row>
    <row r="711" ht="39.75" customHeight="1">
      <c r="A711" s="1">
        <v>785.0</v>
      </c>
      <c r="B711" s="2" t="s">
        <v>16</v>
      </c>
      <c r="C711" s="2" t="s">
        <v>27</v>
      </c>
      <c r="D711" s="13"/>
      <c r="E711" s="13"/>
      <c r="F711" s="44" t="s">
        <v>4468</v>
      </c>
      <c r="G711" s="43">
        <v>1.0</v>
      </c>
      <c r="H711" s="42"/>
      <c r="I711" s="42"/>
      <c r="J711" s="27" t="s">
        <v>467</v>
      </c>
      <c r="K711" s="43"/>
    </row>
    <row r="712" ht="39.75" customHeight="1">
      <c r="A712" s="1">
        <v>786.0</v>
      </c>
      <c r="B712" s="2" t="s">
        <v>116</v>
      </c>
      <c r="C712" s="2"/>
      <c r="D712" s="13"/>
      <c r="E712" s="13"/>
      <c r="F712" s="44" t="s">
        <v>4469</v>
      </c>
      <c r="G712" s="43">
        <v>1.0</v>
      </c>
      <c r="H712" s="42"/>
      <c r="I712" s="42"/>
      <c r="J712" s="27" t="s">
        <v>131</v>
      </c>
      <c r="K712" s="42"/>
    </row>
    <row r="713" ht="39.75" customHeight="1">
      <c r="A713" s="1">
        <v>787.0</v>
      </c>
      <c r="B713" s="2" t="s">
        <v>263</v>
      </c>
      <c r="C713" s="2" t="s">
        <v>13</v>
      </c>
      <c r="D713" s="13"/>
      <c r="E713" s="13"/>
      <c r="F713" s="44"/>
      <c r="G713" s="42"/>
      <c r="H713" s="42"/>
      <c r="I713" s="42"/>
      <c r="J713" s="22"/>
      <c r="K713" s="42"/>
    </row>
    <row r="714" ht="39.75" customHeight="1">
      <c r="A714" s="1">
        <v>788.0</v>
      </c>
      <c r="B714" s="2" t="s">
        <v>17</v>
      </c>
      <c r="C714" s="2" t="s">
        <v>64</v>
      </c>
      <c r="D714" s="13"/>
      <c r="E714" s="13"/>
      <c r="F714" s="44" t="s">
        <v>3392</v>
      </c>
      <c r="G714" s="43">
        <v>1.0</v>
      </c>
      <c r="H714" s="42"/>
      <c r="I714" s="42"/>
      <c r="J714" s="27" t="s">
        <v>412</v>
      </c>
      <c r="K714" s="42"/>
    </row>
    <row r="715" ht="39.75" customHeight="1">
      <c r="A715" s="1">
        <v>789.0</v>
      </c>
      <c r="B715" s="2" t="s">
        <v>331</v>
      </c>
      <c r="C715" s="2" t="s">
        <v>542</v>
      </c>
      <c r="D715" s="13"/>
      <c r="E715" s="13"/>
      <c r="F715" s="44" t="s">
        <v>4470</v>
      </c>
      <c r="G715" s="43">
        <v>2.0</v>
      </c>
      <c r="H715" s="42"/>
      <c r="I715" s="42"/>
      <c r="J715" s="22"/>
      <c r="K715" s="42"/>
    </row>
    <row r="716" ht="39.75" customHeight="1">
      <c r="A716" s="1">
        <v>790.0</v>
      </c>
      <c r="B716" s="2" t="s">
        <v>21</v>
      </c>
      <c r="C716" s="2" t="s">
        <v>13</v>
      </c>
      <c r="D716" s="13"/>
      <c r="E716" s="13"/>
      <c r="F716" s="45"/>
      <c r="G716" s="42"/>
      <c r="H716" s="42"/>
      <c r="I716" s="42"/>
      <c r="J716" s="22"/>
      <c r="K716" s="42"/>
    </row>
    <row r="717" ht="39.75" customHeight="1">
      <c r="A717" s="1">
        <v>791.0</v>
      </c>
      <c r="B717" s="2" t="s">
        <v>22</v>
      </c>
      <c r="C717" s="2" t="s">
        <v>39</v>
      </c>
      <c r="D717" s="13"/>
      <c r="E717" s="13"/>
      <c r="F717" s="44" t="s">
        <v>4471</v>
      </c>
      <c r="G717" s="43">
        <v>1.0</v>
      </c>
      <c r="H717" s="42"/>
      <c r="I717" s="43">
        <v>1.0</v>
      </c>
      <c r="J717" s="22"/>
      <c r="K717" s="42"/>
    </row>
    <row r="718" ht="39.75" customHeight="1">
      <c r="A718" s="1">
        <v>792.0</v>
      </c>
      <c r="B718" s="2" t="s">
        <v>261</v>
      </c>
      <c r="C718" s="2" t="s">
        <v>13</v>
      </c>
      <c r="D718" s="13"/>
      <c r="E718" s="13"/>
      <c r="F718" s="45"/>
      <c r="G718" s="42"/>
      <c r="H718" s="42"/>
      <c r="I718" s="42"/>
      <c r="J718" s="22"/>
      <c r="K718" s="42"/>
    </row>
    <row r="719" ht="39.75" customHeight="1">
      <c r="A719" s="1">
        <v>793.0</v>
      </c>
      <c r="B719" s="2" t="s">
        <v>23</v>
      </c>
      <c r="C719" s="2" t="s">
        <v>54</v>
      </c>
      <c r="D719" s="13"/>
      <c r="E719" s="13"/>
      <c r="F719" s="44" t="s">
        <v>4472</v>
      </c>
      <c r="G719" s="43">
        <v>1.0</v>
      </c>
      <c r="H719" s="42"/>
      <c r="I719" s="42"/>
      <c r="J719" s="22"/>
      <c r="K719" s="42"/>
    </row>
    <row r="720" ht="39.75" customHeight="1">
      <c r="A720" s="1">
        <v>794.0</v>
      </c>
      <c r="B720" s="2" t="s">
        <v>24</v>
      </c>
      <c r="C720" s="2" t="s">
        <v>3563</v>
      </c>
      <c r="D720" s="13"/>
      <c r="E720" s="13"/>
      <c r="F720" s="45"/>
      <c r="G720" s="42"/>
      <c r="H720" s="42"/>
      <c r="I720" s="42"/>
      <c r="J720" s="22"/>
      <c r="K720" s="42"/>
    </row>
    <row r="721" ht="39.75" customHeight="1">
      <c r="A721" s="1">
        <v>795.0</v>
      </c>
      <c r="B721" s="2" t="s">
        <v>25</v>
      </c>
      <c r="C721" s="2" t="s">
        <v>44</v>
      </c>
      <c r="D721" s="13"/>
      <c r="E721" s="13"/>
      <c r="F721" s="45"/>
      <c r="G721" s="42"/>
      <c r="H721" s="42"/>
      <c r="I721" s="42"/>
      <c r="J721" s="22"/>
      <c r="K721" s="42"/>
    </row>
    <row r="722" ht="39.75" customHeight="1">
      <c r="A722" s="1">
        <v>796.0</v>
      </c>
      <c r="B722" s="2" t="s">
        <v>26</v>
      </c>
      <c r="C722" s="2" t="s">
        <v>69</v>
      </c>
      <c r="D722" s="13"/>
      <c r="E722" s="13"/>
      <c r="F722" s="44" t="s">
        <v>4473</v>
      </c>
      <c r="G722" s="43">
        <v>1.0</v>
      </c>
      <c r="H722" s="42"/>
      <c r="I722" s="42"/>
      <c r="J722" s="22"/>
      <c r="K722" s="42"/>
    </row>
    <row r="723" ht="39.75" customHeight="1">
      <c r="A723" s="1">
        <v>797.0</v>
      </c>
      <c r="B723" s="2" t="s">
        <v>29</v>
      </c>
      <c r="C723" s="13"/>
      <c r="D723" s="13"/>
      <c r="E723" s="13"/>
      <c r="F723" s="44" t="s">
        <v>4474</v>
      </c>
      <c r="G723" s="43">
        <v>1.0</v>
      </c>
      <c r="H723" s="42"/>
      <c r="I723" s="42"/>
      <c r="J723" s="22"/>
      <c r="K723" s="42"/>
    </row>
    <row r="724" ht="39.75" customHeight="1">
      <c r="A724" s="1">
        <v>798.0</v>
      </c>
      <c r="B724" s="2" t="s">
        <v>32</v>
      </c>
      <c r="C724" s="2" t="s">
        <v>69</v>
      </c>
      <c r="D724" s="13"/>
      <c r="E724" s="13"/>
      <c r="F724" s="44" t="s">
        <v>4475</v>
      </c>
      <c r="G724" s="43">
        <v>1.0</v>
      </c>
      <c r="H724" s="42"/>
      <c r="I724" s="42"/>
      <c r="J724" s="22"/>
      <c r="K724" s="42"/>
    </row>
    <row r="725" ht="39.75" customHeight="1">
      <c r="A725" s="1">
        <v>799.0</v>
      </c>
      <c r="B725" s="2" t="s">
        <v>67</v>
      </c>
      <c r="C725" s="2" t="s">
        <v>54</v>
      </c>
      <c r="D725" s="13"/>
      <c r="E725" s="13"/>
      <c r="F725" s="44" t="s">
        <v>4476</v>
      </c>
      <c r="G725" s="43">
        <v>1.0</v>
      </c>
      <c r="H725" s="42"/>
      <c r="I725" s="42"/>
      <c r="J725" s="22"/>
      <c r="K725" s="42"/>
    </row>
    <row r="726" ht="39.75" customHeight="1">
      <c r="A726" s="1">
        <v>800.0</v>
      </c>
      <c r="B726" s="2" t="s">
        <v>35</v>
      </c>
      <c r="C726" s="2" t="s">
        <v>66</v>
      </c>
      <c r="D726" s="13"/>
      <c r="E726" s="13"/>
      <c r="F726" s="45"/>
      <c r="G726" s="42"/>
      <c r="H726" s="42"/>
      <c r="I726" s="42"/>
      <c r="J726" s="22"/>
      <c r="K726" s="42"/>
    </row>
    <row r="727" ht="39.75" customHeight="1">
      <c r="A727" s="1">
        <v>801.0</v>
      </c>
      <c r="B727" s="2" t="s">
        <v>36</v>
      </c>
      <c r="C727" s="2" t="s">
        <v>69</v>
      </c>
      <c r="D727" s="13"/>
      <c r="E727" s="13"/>
      <c r="F727" s="44" t="s">
        <v>4477</v>
      </c>
      <c r="G727" s="43">
        <v>1.0</v>
      </c>
      <c r="H727" s="42"/>
      <c r="I727" s="42"/>
      <c r="J727" s="22"/>
      <c r="K727" s="42"/>
    </row>
    <row r="728" ht="39.75" customHeight="1">
      <c r="A728" s="1">
        <v>802.0</v>
      </c>
      <c r="B728" s="2" t="s">
        <v>38</v>
      </c>
      <c r="C728" s="2" t="s">
        <v>54</v>
      </c>
      <c r="D728" s="13"/>
      <c r="E728" s="13"/>
      <c r="F728" s="44" t="s">
        <v>4478</v>
      </c>
      <c r="G728" s="43">
        <v>1.0</v>
      </c>
      <c r="H728" s="42"/>
      <c r="I728" s="42"/>
      <c r="J728" s="22"/>
      <c r="K728" s="42"/>
    </row>
    <row r="729" ht="39.75" customHeight="1">
      <c r="A729" s="1">
        <v>803.0</v>
      </c>
      <c r="B729" s="2" t="s">
        <v>41</v>
      </c>
      <c r="C729" s="2" t="s">
        <v>13</v>
      </c>
      <c r="D729" s="13"/>
      <c r="E729" s="13"/>
      <c r="F729" s="45"/>
      <c r="G729" s="42"/>
      <c r="H729" s="42"/>
      <c r="I729" s="42"/>
      <c r="J729" s="22"/>
      <c r="K729" s="42"/>
    </row>
    <row r="730" ht="39.75" customHeight="1">
      <c r="A730" s="1">
        <v>804.0</v>
      </c>
      <c r="B730" s="2" t="s">
        <v>42</v>
      </c>
      <c r="C730" s="2"/>
      <c r="D730" s="13"/>
      <c r="E730" s="13"/>
      <c r="F730" s="44" t="s">
        <v>4479</v>
      </c>
      <c r="G730" s="43">
        <v>1.0</v>
      </c>
      <c r="H730" s="42"/>
      <c r="I730" s="42"/>
      <c r="J730" s="22"/>
      <c r="K730" s="42"/>
    </row>
    <row r="731" ht="39.75" customHeight="1">
      <c r="A731" s="1">
        <v>805.0</v>
      </c>
      <c r="B731" s="2" t="s">
        <v>43</v>
      </c>
      <c r="C731" s="2" t="s">
        <v>13</v>
      </c>
      <c r="D731" s="13"/>
      <c r="E731" s="13"/>
      <c r="F731" s="45"/>
      <c r="G731" s="42"/>
      <c r="H731" s="42"/>
      <c r="I731" s="42"/>
      <c r="J731" s="22"/>
      <c r="K731" s="42"/>
    </row>
    <row r="732" ht="39.75" customHeight="1">
      <c r="A732" s="1">
        <v>806.0</v>
      </c>
      <c r="B732" s="2" t="s">
        <v>267</v>
      </c>
      <c r="C732" s="2" t="s">
        <v>39</v>
      </c>
      <c r="D732" s="13"/>
      <c r="E732" s="13"/>
      <c r="F732" s="44" t="s">
        <v>4480</v>
      </c>
      <c r="G732" s="43">
        <v>1.0</v>
      </c>
      <c r="H732" s="42"/>
      <c r="I732" s="42"/>
      <c r="J732" s="22"/>
      <c r="K732" s="42"/>
    </row>
    <row r="733" ht="39.75" customHeight="1">
      <c r="A733" s="1">
        <v>807.0</v>
      </c>
      <c r="B733" s="2" t="s">
        <v>46</v>
      </c>
      <c r="C733" s="2" t="s">
        <v>13</v>
      </c>
      <c r="D733" s="13"/>
      <c r="E733" s="13"/>
      <c r="F733" s="45"/>
      <c r="G733" s="42"/>
      <c r="H733" s="42"/>
      <c r="I733" s="42"/>
      <c r="J733" s="22"/>
      <c r="K733" s="42"/>
    </row>
    <row r="734" ht="39.75" customHeight="1">
      <c r="A734" s="1">
        <v>808.0</v>
      </c>
      <c r="B734" s="2" t="s">
        <v>47</v>
      </c>
      <c r="C734" s="2" t="s">
        <v>13</v>
      </c>
      <c r="D734" s="13"/>
      <c r="E734" s="13"/>
      <c r="F734" s="45"/>
      <c r="G734" s="42"/>
      <c r="H734" s="42"/>
      <c r="I734" s="42"/>
      <c r="J734" s="22"/>
      <c r="K734" s="42"/>
    </row>
    <row r="735" ht="39.75" customHeight="1">
      <c r="A735" s="1">
        <v>809.0</v>
      </c>
      <c r="B735" s="2" t="s">
        <v>48</v>
      </c>
      <c r="C735" s="2" t="s">
        <v>54</v>
      </c>
      <c r="D735" s="13"/>
      <c r="E735" s="13"/>
      <c r="F735" s="44" t="s">
        <v>4477</v>
      </c>
      <c r="G735" s="43">
        <v>1.0</v>
      </c>
      <c r="H735" s="42"/>
      <c r="I735" s="42"/>
      <c r="J735" s="22"/>
      <c r="K735" s="42"/>
    </row>
    <row r="736" ht="39.75" customHeight="1">
      <c r="A736" s="1">
        <v>810.0</v>
      </c>
      <c r="B736" s="21"/>
      <c r="C736" s="21"/>
      <c r="D736" s="21"/>
      <c r="E736" s="21"/>
      <c r="F736" s="46"/>
      <c r="G736" s="47"/>
      <c r="H736" s="47"/>
      <c r="I736" s="47"/>
      <c r="J736" s="48"/>
      <c r="K736" s="47"/>
      <c r="L736" s="49"/>
      <c r="M736" s="49"/>
      <c r="N736" s="49"/>
    </row>
    <row r="737" ht="39.75" customHeight="1">
      <c r="A737" s="1">
        <v>811.0</v>
      </c>
      <c r="B737" s="2" t="s">
        <v>12</v>
      </c>
      <c r="C737" s="2" t="s">
        <v>13</v>
      </c>
      <c r="D737" s="13"/>
      <c r="E737" s="13"/>
      <c r="F737" s="45"/>
      <c r="G737" s="42"/>
      <c r="H737" s="42"/>
      <c r="I737" s="42"/>
      <c r="J737" s="27" t="s">
        <v>491</v>
      </c>
      <c r="K737" s="42"/>
      <c r="L737" s="15" t="s">
        <v>477</v>
      </c>
    </row>
    <row r="738" ht="39.75" customHeight="1">
      <c r="A738" s="1">
        <v>812.0</v>
      </c>
      <c r="B738" s="2" t="s">
        <v>16</v>
      </c>
      <c r="C738" s="2" t="s">
        <v>44</v>
      </c>
      <c r="D738" s="13"/>
      <c r="E738" s="13"/>
      <c r="F738" s="45"/>
      <c r="G738" s="42"/>
      <c r="H738" s="42"/>
      <c r="I738" s="42"/>
      <c r="J738" s="27" t="s">
        <v>477</v>
      </c>
      <c r="K738" s="43"/>
    </row>
    <row r="739" ht="39.75" customHeight="1">
      <c r="A739" s="1">
        <v>813.0</v>
      </c>
      <c r="B739" s="2" t="s">
        <v>116</v>
      </c>
      <c r="C739" s="2" t="s">
        <v>13</v>
      </c>
      <c r="D739" s="13"/>
      <c r="E739" s="13"/>
      <c r="F739" s="45"/>
      <c r="G739" s="42"/>
      <c r="H739" s="42"/>
      <c r="I739" s="42"/>
      <c r="J739" s="27" t="s">
        <v>149</v>
      </c>
      <c r="K739" s="42"/>
    </row>
    <row r="740" ht="39.75" customHeight="1">
      <c r="A740" s="1">
        <v>814.0</v>
      </c>
      <c r="B740" s="2" t="s">
        <v>263</v>
      </c>
      <c r="C740" s="2" t="s">
        <v>13</v>
      </c>
      <c r="D740" s="13"/>
      <c r="E740" s="13"/>
      <c r="F740" s="44"/>
      <c r="G740" s="42"/>
      <c r="H740" s="42"/>
      <c r="I740" s="42"/>
      <c r="J740" s="22"/>
      <c r="K740" s="42"/>
    </row>
    <row r="741" ht="39.75" customHeight="1">
      <c r="A741" s="1">
        <v>815.0</v>
      </c>
      <c r="B741" s="2" t="s">
        <v>17</v>
      </c>
      <c r="C741" s="2" t="s">
        <v>13</v>
      </c>
      <c r="D741" s="13"/>
      <c r="E741" s="13"/>
      <c r="F741" s="45"/>
      <c r="G741" s="42"/>
      <c r="H741" s="42"/>
      <c r="I741" s="42"/>
      <c r="J741" s="22"/>
      <c r="K741" s="42"/>
    </row>
    <row r="742" ht="39.75" customHeight="1">
      <c r="A742" s="1">
        <v>816.0</v>
      </c>
      <c r="B742" s="2" t="s">
        <v>331</v>
      </c>
      <c r="C742" s="2" t="s">
        <v>13</v>
      </c>
      <c r="D742" s="13"/>
      <c r="E742" s="13"/>
      <c r="F742" s="45"/>
      <c r="G742" s="42"/>
      <c r="H742" s="42"/>
      <c r="I742" s="42"/>
      <c r="J742" s="22"/>
      <c r="K742" s="42"/>
    </row>
    <row r="743" ht="39.75" customHeight="1">
      <c r="A743" s="1">
        <v>817.0</v>
      </c>
      <c r="B743" s="2" t="s">
        <v>21</v>
      </c>
      <c r="C743" s="2" t="s">
        <v>13</v>
      </c>
      <c r="D743" s="13"/>
      <c r="E743" s="13"/>
      <c r="F743" s="45"/>
      <c r="G743" s="42"/>
      <c r="H743" s="42"/>
      <c r="I743" s="42"/>
      <c r="J743" s="22"/>
      <c r="K743" s="42"/>
    </row>
    <row r="744" ht="39.75" customHeight="1">
      <c r="A744" s="1">
        <v>818.0</v>
      </c>
      <c r="B744" s="2" t="s">
        <v>22</v>
      </c>
      <c r="C744" s="2" t="s">
        <v>13</v>
      </c>
      <c r="D744" s="13"/>
      <c r="E744" s="13"/>
      <c r="F744" s="45"/>
      <c r="G744" s="42"/>
      <c r="H744" s="42"/>
      <c r="I744" s="42"/>
      <c r="J744" s="22"/>
      <c r="K744" s="42"/>
    </row>
    <row r="745" ht="39.75" customHeight="1">
      <c r="A745" s="1">
        <v>819.0</v>
      </c>
      <c r="B745" s="2" t="s">
        <v>261</v>
      </c>
      <c r="C745" s="2" t="s">
        <v>13</v>
      </c>
      <c r="D745" s="13"/>
      <c r="E745" s="13"/>
      <c r="F745" s="45"/>
      <c r="G745" s="42"/>
      <c r="H745" s="42"/>
      <c r="I745" s="42"/>
      <c r="J745" s="22"/>
      <c r="K745" s="42"/>
    </row>
    <row r="746" ht="39.75" customHeight="1">
      <c r="A746" s="1">
        <v>820.0</v>
      </c>
      <c r="B746" s="2" t="s">
        <v>23</v>
      </c>
      <c r="C746" s="2"/>
      <c r="D746" s="13"/>
      <c r="E746" s="13"/>
      <c r="F746" s="44"/>
      <c r="G746" s="43"/>
      <c r="H746" s="42"/>
      <c r="I746" s="43"/>
      <c r="J746" s="27" t="s">
        <v>149</v>
      </c>
      <c r="K746" s="42"/>
    </row>
    <row r="747" ht="39.75" customHeight="1">
      <c r="A747" s="1">
        <v>821.0</v>
      </c>
      <c r="B747" s="2" t="s">
        <v>24</v>
      </c>
      <c r="C747" s="2" t="s">
        <v>13</v>
      </c>
      <c r="D747" s="13"/>
      <c r="E747" s="13"/>
      <c r="F747" s="45"/>
      <c r="G747" s="42"/>
      <c r="H747" s="42"/>
      <c r="I747" s="42"/>
      <c r="J747" s="22"/>
      <c r="K747" s="42"/>
    </row>
    <row r="748" ht="39.75" customHeight="1">
      <c r="A748" s="1">
        <v>822.0</v>
      </c>
      <c r="B748" s="2" t="s">
        <v>25</v>
      </c>
      <c r="C748" s="2" t="s">
        <v>13</v>
      </c>
      <c r="D748" s="13"/>
      <c r="E748" s="13"/>
      <c r="F748" s="45"/>
      <c r="G748" s="42"/>
      <c r="H748" s="42"/>
      <c r="I748" s="42"/>
      <c r="J748" s="22"/>
      <c r="K748" s="42"/>
    </row>
    <row r="749" ht="39.75" customHeight="1">
      <c r="A749" s="1">
        <v>823.0</v>
      </c>
      <c r="B749" s="2" t="s">
        <v>26</v>
      </c>
      <c r="C749" s="2" t="s">
        <v>13</v>
      </c>
      <c r="D749" s="13"/>
      <c r="E749" s="13"/>
      <c r="F749" s="45"/>
      <c r="G749" s="42"/>
      <c r="H749" s="42"/>
      <c r="I749" s="42"/>
      <c r="J749" s="22"/>
      <c r="K749" s="42"/>
    </row>
    <row r="750" ht="39.75" customHeight="1">
      <c r="A750" s="1">
        <v>824.0</v>
      </c>
      <c r="B750" s="2" t="s">
        <v>29</v>
      </c>
      <c r="C750" s="2" t="s">
        <v>3600</v>
      </c>
      <c r="D750" s="13"/>
      <c r="E750" s="13"/>
      <c r="F750" s="44" t="s">
        <v>3900</v>
      </c>
      <c r="G750" s="43">
        <v>1.0</v>
      </c>
      <c r="H750" s="42"/>
      <c r="I750" s="42"/>
      <c r="J750" s="22"/>
      <c r="K750" s="42"/>
    </row>
    <row r="751" ht="39.75" customHeight="1">
      <c r="A751" s="1">
        <v>825.0</v>
      </c>
      <c r="B751" s="2" t="s">
        <v>32</v>
      </c>
      <c r="C751" s="2" t="s">
        <v>13</v>
      </c>
      <c r="D751" s="13"/>
      <c r="E751" s="13"/>
      <c r="F751" s="45"/>
      <c r="G751" s="42"/>
      <c r="H751" s="42"/>
      <c r="I751" s="42"/>
      <c r="J751" s="22"/>
      <c r="K751" s="42"/>
    </row>
    <row r="752" ht="39.75" customHeight="1">
      <c r="A752" s="1">
        <v>826.0</v>
      </c>
      <c r="B752" s="2" t="s">
        <v>67</v>
      </c>
      <c r="C752" s="2" t="s">
        <v>27</v>
      </c>
      <c r="D752" s="13"/>
      <c r="E752" s="13"/>
      <c r="F752" s="45"/>
      <c r="G752" s="42"/>
      <c r="H752" s="42"/>
      <c r="I752" s="42"/>
      <c r="J752" s="22"/>
      <c r="K752" s="42"/>
    </row>
    <row r="753" ht="39.75" customHeight="1">
      <c r="A753" s="1">
        <v>827.0</v>
      </c>
      <c r="B753" s="2" t="s">
        <v>35</v>
      </c>
      <c r="C753" s="2" t="s">
        <v>3563</v>
      </c>
      <c r="D753" s="13"/>
      <c r="E753" s="13"/>
      <c r="F753" s="45"/>
      <c r="G753" s="43"/>
      <c r="H753" s="42"/>
      <c r="I753" s="42"/>
      <c r="J753" s="22"/>
      <c r="K753" s="42"/>
    </row>
    <row r="754" ht="39.75" customHeight="1">
      <c r="A754" s="1">
        <v>828.0</v>
      </c>
      <c r="B754" s="2" t="s">
        <v>36</v>
      </c>
      <c r="C754" s="2" t="s">
        <v>13</v>
      </c>
      <c r="D754" s="13"/>
      <c r="E754" s="13"/>
      <c r="F754" s="45"/>
      <c r="G754" s="42"/>
      <c r="H754" s="42"/>
      <c r="I754" s="42"/>
      <c r="J754" s="22"/>
      <c r="K754" s="42"/>
    </row>
    <row r="755" ht="39.75" customHeight="1">
      <c r="A755" s="1">
        <v>829.0</v>
      </c>
      <c r="B755" s="2" t="s">
        <v>38</v>
      </c>
      <c r="C755" s="2" t="s">
        <v>39</v>
      </c>
      <c r="D755" s="13"/>
      <c r="E755" s="13"/>
      <c r="F755" s="45"/>
      <c r="G755" s="42"/>
      <c r="H755" s="42"/>
      <c r="I755" s="42"/>
      <c r="J755" s="22"/>
      <c r="K755" s="42"/>
    </row>
    <row r="756" ht="39.75" customHeight="1">
      <c r="A756" s="1">
        <v>830.0</v>
      </c>
      <c r="B756" s="2" t="s">
        <v>41</v>
      </c>
      <c r="C756" s="2" t="s">
        <v>13</v>
      </c>
      <c r="D756" s="13"/>
      <c r="E756" s="13"/>
      <c r="F756" s="45"/>
      <c r="G756" s="42"/>
      <c r="H756" s="42"/>
      <c r="I756" s="42"/>
      <c r="J756" s="22"/>
      <c r="K756" s="42"/>
    </row>
    <row r="757" ht="39.75" customHeight="1">
      <c r="A757" s="1">
        <v>831.0</v>
      </c>
      <c r="B757" s="2" t="s">
        <v>42</v>
      </c>
      <c r="C757" s="2" t="s">
        <v>13</v>
      </c>
      <c r="D757" s="13"/>
      <c r="E757" s="13"/>
      <c r="F757" s="45"/>
      <c r="G757" s="42"/>
      <c r="H757" s="42"/>
      <c r="I757" s="42"/>
      <c r="J757" s="22"/>
      <c r="K757" s="42"/>
    </row>
    <row r="758" ht="39.75" customHeight="1">
      <c r="A758" s="1">
        <v>832.0</v>
      </c>
      <c r="B758" s="2" t="s">
        <v>43</v>
      </c>
      <c r="C758" s="2"/>
      <c r="D758" s="13"/>
      <c r="E758" s="13"/>
      <c r="F758" s="45"/>
      <c r="G758" s="42"/>
      <c r="H758" s="42"/>
      <c r="I758" s="42"/>
      <c r="J758" s="22"/>
      <c r="K758" s="42"/>
    </row>
    <row r="759" ht="39.75" customHeight="1">
      <c r="A759" s="1">
        <v>833.0</v>
      </c>
      <c r="B759" s="2" t="s">
        <v>267</v>
      </c>
      <c r="C759" s="2"/>
      <c r="D759" s="13"/>
      <c r="E759" s="13"/>
      <c r="F759" s="45"/>
      <c r="G759" s="42"/>
      <c r="H759" s="42"/>
      <c r="I759" s="42"/>
      <c r="J759" s="22"/>
      <c r="K759" s="42"/>
    </row>
    <row r="760" ht="39.75" customHeight="1">
      <c r="A760" s="1">
        <v>834.0</v>
      </c>
      <c r="B760" s="2" t="s">
        <v>46</v>
      </c>
      <c r="C760" s="2" t="s">
        <v>13</v>
      </c>
      <c r="D760" s="13"/>
      <c r="E760" s="13"/>
      <c r="F760" s="45"/>
      <c r="G760" s="42"/>
      <c r="H760" s="42"/>
      <c r="I760" s="42"/>
      <c r="J760" s="22"/>
      <c r="K760" s="42"/>
    </row>
    <row r="761" ht="39.75" customHeight="1">
      <c r="A761" s="1">
        <v>835.0</v>
      </c>
      <c r="B761" s="2" t="s">
        <v>47</v>
      </c>
      <c r="C761" s="2" t="s">
        <v>13</v>
      </c>
      <c r="D761" s="13"/>
      <c r="E761" s="13"/>
      <c r="F761" s="45"/>
      <c r="G761" s="42"/>
      <c r="H761" s="42"/>
      <c r="I761" s="42"/>
      <c r="J761" s="22"/>
      <c r="K761" s="42"/>
    </row>
    <row r="762" ht="39.75" customHeight="1">
      <c r="A762" s="1">
        <v>836.0</v>
      </c>
      <c r="B762" s="2" t="s">
        <v>48</v>
      </c>
      <c r="C762" s="2" t="s">
        <v>13</v>
      </c>
      <c r="D762" s="13"/>
      <c r="E762" s="13"/>
      <c r="F762" s="45"/>
      <c r="G762" s="42"/>
      <c r="H762" s="42"/>
      <c r="I762" s="42"/>
      <c r="J762" s="22"/>
      <c r="K762" s="42"/>
    </row>
    <row r="763" ht="39.75" customHeight="1">
      <c r="A763" s="1">
        <v>837.0</v>
      </c>
      <c r="B763" s="21"/>
      <c r="C763" s="21"/>
      <c r="D763" s="21"/>
      <c r="E763" s="21"/>
      <c r="F763" s="46"/>
      <c r="G763" s="47"/>
      <c r="H763" s="47"/>
      <c r="I763" s="47"/>
      <c r="J763" s="48"/>
      <c r="K763" s="47"/>
      <c r="L763" s="49"/>
      <c r="M763" s="49"/>
      <c r="N763" s="49"/>
    </row>
  </sheetData>
  <mergeCells count="31">
    <mergeCell ref="L2:N27"/>
    <mergeCell ref="L29:N54"/>
    <mergeCell ref="L56:N81"/>
    <mergeCell ref="L83:N108"/>
    <mergeCell ref="L110:N135"/>
    <mergeCell ref="L137:N161"/>
    <mergeCell ref="L163:N187"/>
    <mergeCell ref="L189:N213"/>
    <mergeCell ref="L215:N239"/>
    <mergeCell ref="L241:N249"/>
    <mergeCell ref="L251:N258"/>
    <mergeCell ref="L260:N285"/>
    <mergeCell ref="L287:N312"/>
    <mergeCell ref="L314:N339"/>
    <mergeCell ref="L341:N366"/>
    <mergeCell ref="L368:N393"/>
    <mergeCell ref="L395:N402"/>
    <mergeCell ref="L404:N411"/>
    <mergeCell ref="L413:N438"/>
    <mergeCell ref="L440:N465"/>
    <mergeCell ref="L467:N492"/>
    <mergeCell ref="L683:N708"/>
    <mergeCell ref="L710:N735"/>
    <mergeCell ref="L737:N762"/>
    <mergeCell ref="L494:N519"/>
    <mergeCell ref="L521:N546"/>
    <mergeCell ref="L548:N573"/>
    <mergeCell ref="L575:N600"/>
    <mergeCell ref="L602:N627"/>
    <mergeCell ref="L629:N654"/>
    <mergeCell ref="L656:N681"/>
  </mergeCells>
  <conditionalFormatting sqref="B2:I763">
    <cfRule type="expression" dxfId="6" priority="1">
      <formula>$C2="휴가"</formula>
    </cfRule>
  </conditionalFormatting>
  <conditionalFormatting sqref="B2:I763">
    <cfRule type="expression" dxfId="6" priority="2">
      <formula>$C2="휴무"</formula>
    </cfRule>
  </conditionalFormatting>
  <conditionalFormatting sqref="B2:I763">
    <cfRule type="expression" dxfId="6" priority="3">
      <formula>$C2="제크"</formula>
    </cfRule>
  </conditionalFormatting>
  <conditionalFormatting sqref="B2:I763">
    <cfRule type="expression" dxfId="7" priority="4">
      <formula>$C2="야퇴"</formula>
    </cfRule>
  </conditionalFormatting>
  <conditionalFormatting sqref="B2:I763">
    <cfRule type="expression" dxfId="8" priority="5">
      <formula>$C2="청와대"</formula>
    </cfRule>
  </conditionalFormatting>
  <conditionalFormatting sqref="K253">
    <cfRule type="notContainsBlanks" dxfId="5" priority="6">
      <formula>LEN(TRIM(K253))&gt;0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8.25"/>
    <col customWidth="1" min="3" max="3" width="10.75"/>
    <col customWidth="1" min="4" max="5" width="8.88"/>
    <col customWidth="1" min="6" max="6" width="50.13"/>
    <col customWidth="1" min="7" max="7" width="8.88"/>
    <col customWidth="1" min="8" max="8" width="10.63"/>
    <col customWidth="1" min="9" max="9" width="11.38"/>
    <col customWidth="1" min="10" max="10" width="8.5"/>
    <col customWidth="1" min="11" max="11" width="11.38"/>
    <col customWidth="1" min="12" max="14" width="12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36"/>
      <c r="K1" s="2" t="s">
        <v>1160</v>
      </c>
      <c r="L1" s="37" t="s">
        <v>490</v>
      </c>
      <c r="M1" s="38" t="s">
        <v>10</v>
      </c>
      <c r="N1" s="39" t="s">
        <v>11</v>
      </c>
    </row>
    <row r="2" ht="39.75" customHeight="1">
      <c r="A2" s="1">
        <v>1.0</v>
      </c>
      <c r="B2" s="2" t="s">
        <v>12</v>
      </c>
      <c r="C2" s="2" t="s">
        <v>62</v>
      </c>
      <c r="D2" s="40"/>
      <c r="E2" s="40"/>
      <c r="F2" s="45"/>
      <c r="G2" s="42"/>
      <c r="H2" s="42"/>
      <c r="I2" s="42"/>
      <c r="J2" s="14" t="s">
        <v>4481</v>
      </c>
      <c r="K2" s="43"/>
      <c r="L2" s="15" t="s">
        <v>15</v>
      </c>
    </row>
    <row r="3" ht="39.75" customHeight="1">
      <c r="A3" s="1">
        <v>2.0</v>
      </c>
      <c r="B3" s="2" t="s">
        <v>16</v>
      </c>
      <c r="C3" s="2" t="s">
        <v>69</v>
      </c>
      <c r="D3" s="13"/>
      <c r="E3" s="40">
        <v>0.8611111111111112</v>
      </c>
      <c r="F3" s="44" t="s">
        <v>4482</v>
      </c>
      <c r="G3" s="43">
        <v>1.0</v>
      </c>
      <c r="H3" s="42"/>
      <c r="I3" s="42"/>
      <c r="J3" s="14" t="s">
        <v>15</v>
      </c>
      <c r="K3" s="43"/>
    </row>
    <row r="4" ht="39.75" hidden="1" customHeight="1">
      <c r="A4" s="1">
        <v>3.0</v>
      </c>
      <c r="B4" s="2" t="s">
        <v>116</v>
      </c>
      <c r="C4" s="2" t="s">
        <v>58</v>
      </c>
      <c r="D4" s="13"/>
      <c r="E4" s="13"/>
      <c r="F4" s="44"/>
      <c r="G4" s="42"/>
      <c r="H4" s="42"/>
      <c r="I4" s="42"/>
      <c r="J4" s="14" t="s">
        <v>95</v>
      </c>
      <c r="K4" s="43"/>
    </row>
    <row r="5" ht="39.75" hidden="1" customHeight="1">
      <c r="A5" s="1">
        <v>4.0</v>
      </c>
      <c r="B5" s="2" t="s">
        <v>17</v>
      </c>
      <c r="C5" s="2" t="s">
        <v>58</v>
      </c>
      <c r="D5" s="13"/>
      <c r="E5" s="13"/>
      <c r="F5" s="44"/>
      <c r="G5" s="42"/>
      <c r="H5" s="42"/>
      <c r="I5" s="42"/>
      <c r="J5" s="14"/>
      <c r="K5" s="43"/>
    </row>
    <row r="6" ht="39.75" customHeight="1">
      <c r="A6" s="1">
        <v>5.0</v>
      </c>
      <c r="B6" s="2" t="s">
        <v>331</v>
      </c>
      <c r="C6" s="2" t="s">
        <v>542</v>
      </c>
      <c r="D6" s="13"/>
      <c r="E6" s="13"/>
      <c r="F6" s="44" t="s">
        <v>4483</v>
      </c>
      <c r="G6" s="43">
        <v>1.0</v>
      </c>
      <c r="H6" s="42"/>
      <c r="I6" s="42"/>
      <c r="J6" s="14"/>
      <c r="K6" s="43"/>
    </row>
    <row r="7" ht="39.75" customHeight="1">
      <c r="A7" s="1">
        <v>6.0</v>
      </c>
      <c r="B7" s="2" t="s">
        <v>21</v>
      </c>
      <c r="C7" s="2" t="s">
        <v>63</v>
      </c>
      <c r="D7" s="13"/>
      <c r="E7" s="13"/>
      <c r="F7" s="45"/>
      <c r="G7" s="42"/>
      <c r="H7" s="42"/>
      <c r="I7" s="42"/>
      <c r="J7" s="14"/>
      <c r="K7" s="43"/>
    </row>
    <row r="8" ht="39.75" customHeight="1">
      <c r="A8" s="1">
        <v>7.0</v>
      </c>
      <c r="B8" s="2" t="s">
        <v>22</v>
      </c>
      <c r="C8" s="2" t="s">
        <v>54</v>
      </c>
      <c r="D8" s="13"/>
      <c r="E8" s="13"/>
      <c r="F8" s="44" t="s">
        <v>4484</v>
      </c>
      <c r="G8" s="43">
        <v>2.0</v>
      </c>
      <c r="H8" s="42"/>
      <c r="I8" s="43">
        <v>1.0</v>
      </c>
      <c r="J8" s="14"/>
      <c r="K8" s="43"/>
    </row>
    <row r="9" ht="39.75" customHeight="1">
      <c r="A9" s="1">
        <v>8.0</v>
      </c>
      <c r="B9" s="2" t="s">
        <v>23</v>
      </c>
      <c r="C9" s="2" t="s">
        <v>69</v>
      </c>
      <c r="D9" s="13"/>
      <c r="E9" s="40">
        <v>0.8333333333333334</v>
      </c>
      <c r="F9" s="44" t="s">
        <v>4485</v>
      </c>
      <c r="G9" s="43">
        <v>2.0</v>
      </c>
      <c r="H9" s="42"/>
      <c r="I9" s="43">
        <v>1.0</v>
      </c>
      <c r="J9" s="14"/>
      <c r="K9" s="43"/>
    </row>
    <row r="10" ht="39.75" hidden="1" customHeight="1">
      <c r="A10" s="1">
        <v>9.0</v>
      </c>
      <c r="B10" s="2" t="s">
        <v>24</v>
      </c>
      <c r="C10" s="2" t="s">
        <v>58</v>
      </c>
      <c r="D10" s="13"/>
      <c r="E10" s="13"/>
      <c r="F10" s="44"/>
      <c r="G10" s="42"/>
      <c r="H10" s="43"/>
      <c r="I10" s="43"/>
      <c r="J10" s="14"/>
      <c r="K10" s="43"/>
    </row>
    <row r="11" ht="39.75" customHeight="1">
      <c r="A11" s="1">
        <v>10.0</v>
      </c>
      <c r="B11" s="2" t="s">
        <v>25</v>
      </c>
      <c r="C11" s="2"/>
      <c r="D11" s="13"/>
      <c r="E11" s="13"/>
      <c r="F11" s="44" t="s">
        <v>1331</v>
      </c>
      <c r="G11" s="43">
        <v>1.0</v>
      </c>
      <c r="H11" s="42"/>
      <c r="I11" s="43">
        <v>1.0</v>
      </c>
      <c r="J11" s="14"/>
      <c r="K11" s="43"/>
    </row>
    <row r="12" ht="39.75" customHeight="1">
      <c r="A12" s="1">
        <v>11.0</v>
      </c>
      <c r="B12" s="2" t="s">
        <v>26</v>
      </c>
      <c r="C12" s="2"/>
      <c r="D12" s="13"/>
      <c r="E12" s="13"/>
      <c r="F12" s="44" t="s">
        <v>4486</v>
      </c>
      <c r="G12" s="43">
        <v>1.0</v>
      </c>
      <c r="H12" s="43">
        <v>1.0</v>
      </c>
      <c r="I12" s="42"/>
      <c r="J12" s="14"/>
      <c r="K12" s="43"/>
    </row>
    <row r="13" ht="39.75" customHeight="1">
      <c r="A13" s="1">
        <v>12.0</v>
      </c>
      <c r="B13" s="2" t="s">
        <v>29</v>
      </c>
      <c r="C13" s="2" t="s">
        <v>54</v>
      </c>
      <c r="D13" s="13"/>
      <c r="E13" s="51">
        <v>0.8125</v>
      </c>
      <c r="F13" s="44" t="s">
        <v>4487</v>
      </c>
      <c r="G13" s="43">
        <v>1.0</v>
      </c>
      <c r="H13" s="43">
        <v>1.0</v>
      </c>
      <c r="I13" s="42"/>
      <c r="J13" s="14"/>
      <c r="K13" s="43"/>
    </row>
    <row r="14" ht="39.75" customHeight="1">
      <c r="A14" s="1">
        <v>13.0</v>
      </c>
      <c r="B14" s="2" t="s">
        <v>30</v>
      </c>
      <c r="C14" s="2" t="s">
        <v>64</v>
      </c>
      <c r="D14" s="13"/>
      <c r="E14" s="13"/>
      <c r="F14" s="44" t="s">
        <v>2592</v>
      </c>
      <c r="G14" s="43">
        <v>1.0</v>
      </c>
      <c r="H14" s="42"/>
      <c r="I14" s="43">
        <v>1.0</v>
      </c>
      <c r="J14" s="14"/>
      <c r="K14" s="43"/>
    </row>
    <row r="15" ht="39.75" customHeight="1">
      <c r="A15" s="1">
        <v>14.0</v>
      </c>
      <c r="B15" s="2" t="s">
        <v>31</v>
      </c>
      <c r="C15" s="13"/>
      <c r="D15" s="13"/>
      <c r="E15" s="13"/>
      <c r="F15" s="44" t="s">
        <v>4488</v>
      </c>
      <c r="G15" s="43">
        <v>2.0</v>
      </c>
      <c r="H15" s="42"/>
      <c r="I15" s="42"/>
      <c r="J15" s="14"/>
      <c r="K15" s="43"/>
    </row>
    <row r="16" ht="39.75" customHeight="1">
      <c r="A16" s="1">
        <v>15.0</v>
      </c>
      <c r="B16" s="2" t="s">
        <v>32</v>
      </c>
      <c r="C16" s="2" t="s">
        <v>69</v>
      </c>
      <c r="D16" s="13"/>
      <c r="E16" s="40">
        <v>0.8541666666666666</v>
      </c>
      <c r="F16" s="44" t="s">
        <v>4489</v>
      </c>
      <c r="G16" s="43">
        <v>2.0</v>
      </c>
      <c r="H16" s="42"/>
      <c r="I16" s="42"/>
      <c r="J16" s="14"/>
      <c r="K16" s="43"/>
    </row>
    <row r="17" ht="39.75" customHeight="1">
      <c r="A17" s="1">
        <v>16.0</v>
      </c>
      <c r="B17" s="2" t="s">
        <v>67</v>
      </c>
      <c r="C17" s="2" t="s">
        <v>44</v>
      </c>
      <c r="D17" s="13"/>
      <c r="E17" s="13"/>
      <c r="F17" s="44"/>
      <c r="G17" s="42"/>
      <c r="H17" s="43"/>
      <c r="I17" s="43"/>
      <c r="J17" s="14"/>
      <c r="K17" s="43"/>
    </row>
    <row r="18" ht="39.75" customHeight="1">
      <c r="A18" s="1">
        <v>17.0</v>
      </c>
      <c r="B18" s="2" t="s">
        <v>35</v>
      </c>
      <c r="C18" s="2"/>
      <c r="D18" s="13"/>
      <c r="E18" s="13"/>
      <c r="F18" s="44" t="s">
        <v>3538</v>
      </c>
      <c r="G18" s="43">
        <v>1.0</v>
      </c>
      <c r="H18" s="43">
        <v>1.0</v>
      </c>
      <c r="I18" s="42"/>
      <c r="J18" s="14"/>
      <c r="K18" s="43"/>
    </row>
    <row r="19" ht="39.75" customHeight="1">
      <c r="A19" s="1">
        <v>18.0</v>
      </c>
      <c r="B19" s="2" t="s">
        <v>36</v>
      </c>
      <c r="C19" s="2"/>
      <c r="D19" s="13"/>
      <c r="E19" s="13"/>
      <c r="F19" s="44" t="s">
        <v>4490</v>
      </c>
      <c r="G19" s="43">
        <v>3.0</v>
      </c>
      <c r="H19" s="42"/>
      <c r="I19" s="43">
        <v>1.0</v>
      </c>
      <c r="J19" s="14"/>
      <c r="K19" s="43"/>
    </row>
    <row r="20" ht="39.75" customHeight="1">
      <c r="A20" s="1">
        <v>19.0</v>
      </c>
      <c r="B20" s="2" t="s">
        <v>38</v>
      </c>
      <c r="C20" s="2" t="s">
        <v>54</v>
      </c>
      <c r="D20" s="13"/>
      <c r="E20" s="13"/>
      <c r="F20" s="44" t="s">
        <v>4491</v>
      </c>
      <c r="G20" s="43">
        <v>2.0</v>
      </c>
      <c r="H20" s="42"/>
      <c r="I20" s="42"/>
      <c r="J20" s="14"/>
      <c r="K20" s="43"/>
    </row>
    <row r="21" ht="39.75" hidden="1" customHeight="1">
      <c r="A21" s="1">
        <v>20.0</v>
      </c>
      <c r="B21" s="2" t="s">
        <v>41</v>
      </c>
      <c r="C21" s="2" t="s">
        <v>58</v>
      </c>
      <c r="D21" s="13"/>
      <c r="E21" s="13"/>
      <c r="F21" s="44"/>
      <c r="G21" s="42"/>
      <c r="H21" s="42"/>
      <c r="I21" s="42"/>
      <c r="J21" s="14"/>
      <c r="K21" s="43"/>
    </row>
    <row r="22" ht="39.75" customHeight="1">
      <c r="A22" s="1">
        <v>21.0</v>
      </c>
      <c r="B22" s="2" t="s">
        <v>42</v>
      </c>
      <c r="C22" s="2"/>
      <c r="D22" s="13"/>
      <c r="E22" s="13"/>
      <c r="F22" s="44" t="s">
        <v>4492</v>
      </c>
      <c r="G22" s="43">
        <v>1.0</v>
      </c>
      <c r="H22" s="43">
        <v>1.0</v>
      </c>
      <c r="I22" s="42"/>
      <c r="J22" s="14"/>
      <c r="K22" s="43"/>
    </row>
    <row r="23" ht="39.75" customHeight="1">
      <c r="A23" s="1">
        <v>22.0</v>
      </c>
      <c r="B23" s="2" t="s">
        <v>43</v>
      </c>
      <c r="C23" s="2" t="s">
        <v>54</v>
      </c>
      <c r="D23" s="13"/>
      <c r="E23" s="13"/>
      <c r="F23" s="44" t="s">
        <v>4493</v>
      </c>
      <c r="G23" s="43">
        <v>2.0</v>
      </c>
      <c r="H23" s="42"/>
      <c r="I23" s="43">
        <v>1.0</v>
      </c>
      <c r="J23" s="14"/>
      <c r="K23" s="43"/>
    </row>
    <row r="24" ht="39.75" customHeight="1">
      <c r="A24" s="1">
        <v>23.0</v>
      </c>
      <c r="B24" s="2" t="s">
        <v>45</v>
      </c>
      <c r="C24" s="2" t="s">
        <v>39</v>
      </c>
      <c r="D24" s="13"/>
      <c r="E24" s="13"/>
      <c r="F24" s="44" t="s">
        <v>2691</v>
      </c>
      <c r="G24" s="43">
        <v>1.0</v>
      </c>
      <c r="H24" s="42"/>
      <c r="I24" s="43">
        <v>1.0</v>
      </c>
      <c r="J24" s="14"/>
      <c r="K24" s="43"/>
    </row>
    <row r="25" ht="39.75" hidden="1" customHeight="1">
      <c r="A25" s="1">
        <v>24.0</v>
      </c>
      <c r="B25" s="2" t="s">
        <v>46</v>
      </c>
      <c r="C25" s="2" t="s">
        <v>66</v>
      </c>
      <c r="D25" s="40"/>
      <c r="E25" s="13"/>
      <c r="F25" s="44"/>
      <c r="G25" s="42"/>
      <c r="H25" s="42"/>
      <c r="I25" s="42"/>
      <c r="J25" s="14"/>
      <c r="K25" s="43"/>
    </row>
    <row r="26" ht="39.75" customHeight="1">
      <c r="A26" s="1">
        <v>25.0</v>
      </c>
      <c r="B26" s="2" t="s">
        <v>47</v>
      </c>
      <c r="C26" s="2" t="s">
        <v>39</v>
      </c>
      <c r="D26" s="13"/>
      <c r="E26" s="13"/>
      <c r="F26" s="90" t="s">
        <v>4494</v>
      </c>
      <c r="G26" s="43">
        <v>3.0</v>
      </c>
      <c r="H26" s="42"/>
      <c r="I26" s="43">
        <v>2.0</v>
      </c>
      <c r="J26" s="14"/>
      <c r="K26" s="43"/>
    </row>
    <row r="27" ht="39.75" customHeight="1">
      <c r="A27" s="1">
        <v>26.0</v>
      </c>
      <c r="B27" s="2" t="s">
        <v>48</v>
      </c>
      <c r="C27" s="2" t="s">
        <v>27</v>
      </c>
      <c r="D27" s="13"/>
      <c r="E27" s="13"/>
      <c r="F27" s="44" t="s">
        <v>4495</v>
      </c>
      <c r="G27" s="43">
        <v>1.0</v>
      </c>
      <c r="H27" s="42"/>
      <c r="I27" s="42"/>
      <c r="J27" s="14"/>
      <c r="K27" s="43"/>
    </row>
    <row r="28" ht="39.75" customHeight="1">
      <c r="A28" s="1">
        <v>27.0</v>
      </c>
      <c r="B28" s="21"/>
      <c r="C28" s="21"/>
      <c r="D28" s="21"/>
      <c r="E28" s="21"/>
      <c r="F28" s="46"/>
      <c r="G28" s="47"/>
      <c r="H28" s="47"/>
      <c r="I28" s="47"/>
      <c r="J28" s="48"/>
      <c r="K28" s="47"/>
      <c r="L28" s="49"/>
      <c r="M28" s="49"/>
      <c r="N28" s="49"/>
    </row>
    <row r="29" ht="39.75" customHeight="1">
      <c r="A29" s="1">
        <v>28.0</v>
      </c>
      <c r="B29" s="2" t="s">
        <v>12</v>
      </c>
      <c r="C29" s="2" t="s">
        <v>62</v>
      </c>
      <c r="D29" s="13"/>
      <c r="E29" s="13"/>
      <c r="F29" s="44" t="s">
        <v>1543</v>
      </c>
      <c r="G29" s="43">
        <v>1.0</v>
      </c>
      <c r="H29" s="42"/>
      <c r="I29" s="43">
        <v>1.0</v>
      </c>
      <c r="J29" s="14" t="s">
        <v>4481</v>
      </c>
      <c r="K29" s="43"/>
      <c r="L29" s="15" t="s">
        <v>52</v>
      </c>
    </row>
    <row r="30" ht="39.75" customHeight="1">
      <c r="A30" s="1">
        <v>29.0</v>
      </c>
      <c r="B30" s="2" t="s">
        <v>16</v>
      </c>
      <c r="C30" s="2"/>
      <c r="D30" s="13"/>
      <c r="E30" s="13"/>
      <c r="F30" s="44" t="s">
        <v>4496</v>
      </c>
      <c r="G30" s="43">
        <v>2.0</v>
      </c>
      <c r="H30" s="42"/>
      <c r="I30" s="42"/>
      <c r="J30" s="14" t="s">
        <v>52</v>
      </c>
      <c r="K30" s="43"/>
    </row>
    <row r="31" ht="39.75" hidden="1" customHeight="1">
      <c r="A31" s="1">
        <v>30.0</v>
      </c>
      <c r="B31" s="2" t="s">
        <v>116</v>
      </c>
      <c r="C31" s="2" t="s">
        <v>58</v>
      </c>
      <c r="D31" s="13"/>
      <c r="E31" s="13"/>
      <c r="F31" s="45"/>
      <c r="G31" s="42"/>
      <c r="H31" s="42"/>
      <c r="I31" s="42"/>
      <c r="J31" s="14" t="s">
        <v>111</v>
      </c>
      <c r="K31" s="43"/>
    </row>
    <row r="32" ht="39.75" hidden="1" customHeight="1">
      <c r="A32" s="1">
        <v>31.0</v>
      </c>
      <c r="B32" s="2" t="s">
        <v>17</v>
      </c>
      <c r="C32" s="2" t="s">
        <v>58</v>
      </c>
      <c r="D32" s="13"/>
      <c r="E32" s="13"/>
      <c r="F32" s="45"/>
      <c r="G32" s="42"/>
      <c r="H32" s="42"/>
      <c r="I32" s="42"/>
      <c r="J32" s="14"/>
      <c r="K32" s="43"/>
    </row>
    <row r="33" ht="39.75" customHeight="1">
      <c r="A33" s="1">
        <v>32.0</v>
      </c>
      <c r="B33" s="2" t="s">
        <v>331</v>
      </c>
      <c r="C33" s="2" t="s">
        <v>542</v>
      </c>
      <c r="D33" s="13"/>
      <c r="E33" s="13"/>
      <c r="F33" s="45"/>
      <c r="G33" s="42"/>
      <c r="H33" s="42"/>
      <c r="I33" s="42"/>
      <c r="J33" s="14"/>
      <c r="K33" s="43"/>
    </row>
    <row r="34" ht="39.75" customHeight="1">
      <c r="A34" s="1">
        <v>33.0</v>
      </c>
      <c r="B34" s="2" t="s">
        <v>21</v>
      </c>
      <c r="C34" s="2" t="s">
        <v>63</v>
      </c>
      <c r="D34" s="13"/>
      <c r="E34" s="13"/>
      <c r="F34" s="45"/>
      <c r="G34" s="42"/>
      <c r="H34" s="42"/>
      <c r="I34" s="42"/>
      <c r="J34" s="14"/>
      <c r="K34" s="43"/>
    </row>
    <row r="35" ht="67.5" customHeight="1">
      <c r="A35" s="1">
        <v>34.0</v>
      </c>
      <c r="B35" s="2" t="s">
        <v>22</v>
      </c>
      <c r="C35" s="2" t="s">
        <v>69</v>
      </c>
      <c r="D35" s="13"/>
      <c r="E35" s="40">
        <v>0.8333333333333334</v>
      </c>
      <c r="F35" s="44" t="s">
        <v>4497</v>
      </c>
      <c r="G35" s="43">
        <v>2.0</v>
      </c>
      <c r="H35" s="42"/>
      <c r="I35" s="43">
        <v>2.0</v>
      </c>
      <c r="J35" s="14"/>
      <c r="K35" s="43"/>
    </row>
    <row r="36" ht="39.75" customHeight="1">
      <c r="A36" s="1">
        <v>35.0</v>
      </c>
      <c r="B36" s="2" t="s">
        <v>23</v>
      </c>
      <c r="C36" s="13"/>
      <c r="D36" s="13"/>
      <c r="E36" s="13"/>
      <c r="F36" s="44" t="s">
        <v>4498</v>
      </c>
      <c r="G36" s="43">
        <v>4.0</v>
      </c>
      <c r="H36" s="42"/>
      <c r="I36" s="43">
        <v>1.0</v>
      </c>
      <c r="J36" s="14"/>
      <c r="K36" s="43"/>
    </row>
    <row r="37" ht="39.75" customHeight="1">
      <c r="A37" s="1">
        <v>36.0</v>
      </c>
      <c r="B37" s="2" t="s">
        <v>24</v>
      </c>
      <c r="C37" s="2"/>
      <c r="D37" s="13"/>
      <c r="E37" s="13"/>
      <c r="F37" s="44" t="s">
        <v>4499</v>
      </c>
      <c r="G37" s="43">
        <v>1.0</v>
      </c>
      <c r="H37" s="42"/>
      <c r="I37" s="42"/>
      <c r="J37" s="14"/>
      <c r="K37" s="43"/>
    </row>
    <row r="38" ht="84.0" customHeight="1">
      <c r="A38" s="1">
        <v>37.0</v>
      </c>
      <c r="B38" s="2" t="s">
        <v>25</v>
      </c>
      <c r="C38" s="2" t="s">
        <v>54</v>
      </c>
      <c r="D38" s="53">
        <v>0.3541666666666667</v>
      </c>
      <c r="E38" s="13"/>
      <c r="F38" s="44" t="s">
        <v>4500</v>
      </c>
      <c r="G38" s="43">
        <v>1.0</v>
      </c>
      <c r="H38" s="42"/>
      <c r="I38" s="42"/>
      <c r="J38" s="14"/>
      <c r="K38" s="43"/>
    </row>
    <row r="39" ht="39.75" customHeight="1">
      <c r="A39" s="1">
        <v>38.0</v>
      </c>
      <c r="B39" s="2" t="s">
        <v>26</v>
      </c>
      <c r="C39" s="2"/>
      <c r="D39" s="13"/>
      <c r="E39" s="13"/>
      <c r="F39" s="44" t="s">
        <v>3490</v>
      </c>
      <c r="G39" s="43">
        <v>1.0</v>
      </c>
      <c r="H39" s="43">
        <v>1.0</v>
      </c>
      <c r="I39" s="42"/>
      <c r="J39" s="14"/>
      <c r="K39" s="43"/>
    </row>
    <row r="40" ht="39.75" customHeight="1">
      <c r="A40" s="1">
        <v>39.0</v>
      </c>
      <c r="B40" s="2" t="s">
        <v>29</v>
      </c>
      <c r="C40" s="2" t="s">
        <v>54</v>
      </c>
      <c r="D40" s="13"/>
      <c r="E40" s="13"/>
      <c r="F40" s="44" t="s">
        <v>4501</v>
      </c>
      <c r="G40" s="43">
        <v>3.0</v>
      </c>
      <c r="H40" s="42"/>
      <c r="I40" s="42"/>
      <c r="J40" s="14"/>
      <c r="K40" s="43"/>
    </row>
    <row r="41" ht="39.75" customHeight="1">
      <c r="A41" s="1">
        <v>40.0</v>
      </c>
      <c r="B41" s="2" t="s">
        <v>30</v>
      </c>
      <c r="C41" s="2" t="s">
        <v>64</v>
      </c>
      <c r="D41" s="13"/>
      <c r="E41" s="13"/>
      <c r="F41" s="44" t="s">
        <v>2592</v>
      </c>
      <c r="G41" s="43">
        <v>1.0</v>
      </c>
      <c r="H41" s="42"/>
      <c r="I41" s="43">
        <v>1.0</v>
      </c>
      <c r="J41" s="14"/>
      <c r="K41" s="43"/>
    </row>
    <row r="42" ht="39.75" customHeight="1">
      <c r="A42" s="1">
        <v>41.0</v>
      </c>
      <c r="B42" s="2" t="s">
        <v>31</v>
      </c>
      <c r="C42" s="2" t="s">
        <v>39</v>
      </c>
      <c r="D42" s="13"/>
      <c r="E42" s="13"/>
      <c r="F42" s="44" t="s">
        <v>4502</v>
      </c>
      <c r="G42" s="43">
        <v>1.0</v>
      </c>
      <c r="H42" s="42"/>
      <c r="I42" s="42"/>
      <c r="J42" s="14"/>
      <c r="K42" s="43"/>
    </row>
    <row r="43" ht="39.75" customHeight="1">
      <c r="A43" s="1">
        <v>42.0</v>
      </c>
      <c r="B43" s="2" t="s">
        <v>32</v>
      </c>
      <c r="C43" s="2" t="s">
        <v>39</v>
      </c>
      <c r="D43" s="13"/>
      <c r="E43" s="13"/>
      <c r="F43" s="44" t="s">
        <v>2691</v>
      </c>
      <c r="G43" s="43">
        <v>1.0</v>
      </c>
      <c r="H43" s="42"/>
      <c r="I43" s="43">
        <v>1.0</v>
      </c>
      <c r="J43" s="14"/>
      <c r="K43" s="43"/>
    </row>
    <row r="44" ht="39.75" hidden="1" customHeight="1">
      <c r="A44" s="1">
        <v>43.0</v>
      </c>
      <c r="B44" s="2" t="s">
        <v>67</v>
      </c>
      <c r="C44" s="2" t="s">
        <v>58</v>
      </c>
      <c r="D44" s="13"/>
      <c r="E44" s="13"/>
      <c r="F44" s="45"/>
      <c r="G44" s="42"/>
      <c r="H44" s="42"/>
      <c r="I44" s="42"/>
      <c r="J44" s="14"/>
      <c r="K44" s="43"/>
    </row>
    <row r="45" ht="39.75" customHeight="1">
      <c r="A45" s="1">
        <v>44.0</v>
      </c>
      <c r="B45" s="2" t="s">
        <v>35</v>
      </c>
      <c r="C45" s="2"/>
      <c r="D45" s="13"/>
      <c r="E45" s="13"/>
      <c r="F45" s="44" t="s">
        <v>3538</v>
      </c>
      <c r="G45" s="43">
        <v>1.0</v>
      </c>
      <c r="H45" s="43">
        <v>1.0</v>
      </c>
      <c r="I45" s="42"/>
      <c r="J45" s="14"/>
      <c r="K45" s="43"/>
    </row>
    <row r="46" ht="39.75" customHeight="1">
      <c r="A46" s="1">
        <v>45.0</v>
      </c>
      <c r="B46" s="2" t="s">
        <v>36</v>
      </c>
      <c r="C46" s="2" t="s">
        <v>69</v>
      </c>
      <c r="D46" s="13"/>
      <c r="E46" s="13"/>
      <c r="F46" s="44" t="s">
        <v>4503</v>
      </c>
      <c r="G46" s="43">
        <v>1.0</v>
      </c>
      <c r="H46" s="42"/>
      <c r="I46" s="42"/>
      <c r="J46" s="14"/>
      <c r="K46" s="43"/>
    </row>
    <row r="47" ht="39.75" customHeight="1">
      <c r="A47" s="1">
        <v>46.0</v>
      </c>
      <c r="B47" s="2" t="s">
        <v>38</v>
      </c>
      <c r="C47" s="2" t="s">
        <v>54</v>
      </c>
      <c r="D47" s="13"/>
      <c r="E47" s="13"/>
      <c r="F47" s="44" t="s">
        <v>4504</v>
      </c>
      <c r="G47" s="43">
        <v>2.0</v>
      </c>
      <c r="H47" s="42"/>
      <c r="I47" s="42"/>
      <c r="J47" s="14"/>
      <c r="K47" s="43"/>
    </row>
    <row r="48" ht="39.75" hidden="1" customHeight="1">
      <c r="A48" s="1">
        <v>47.0</v>
      </c>
      <c r="B48" s="2" t="s">
        <v>41</v>
      </c>
      <c r="C48" s="2" t="s">
        <v>58</v>
      </c>
      <c r="D48" s="13"/>
      <c r="E48" s="13"/>
      <c r="F48" s="45"/>
      <c r="G48" s="42"/>
      <c r="H48" s="42"/>
      <c r="I48" s="42"/>
      <c r="J48" s="14"/>
      <c r="K48" s="43"/>
    </row>
    <row r="49" ht="39.75" hidden="1" customHeight="1">
      <c r="A49" s="1">
        <v>48.0</v>
      </c>
      <c r="B49" s="2" t="s">
        <v>42</v>
      </c>
      <c r="C49" s="2" t="s">
        <v>66</v>
      </c>
      <c r="D49" s="13"/>
      <c r="E49" s="13"/>
      <c r="F49" s="45"/>
      <c r="G49" s="42"/>
      <c r="H49" s="42"/>
      <c r="I49" s="42"/>
      <c r="J49" s="14"/>
      <c r="K49" s="43"/>
    </row>
    <row r="50" ht="39.75" customHeight="1">
      <c r="A50" s="1">
        <v>49.0</v>
      </c>
      <c r="B50" s="2" t="s">
        <v>43</v>
      </c>
      <c r="C50" s="2" t="s">
        <v>54</v>
      </c>
      <c r="D50" s="13"/>
      <c r="E50" s="13"/>
      <c r="F50" s="44" t="s">
        <v>4505</v>
      </c>
      <c r="G50" s="43">
        <v>1.0</v>
      </c>
      <c r="H50" s="42"/>
      <c r="I50" s="42"/>
      <c r="J50" s="14"/>
      <c r="K50" s="43"/>
    </row>
    <row r="51" ht="39.75" customHeight="1">
      <c r="A51" s="1">
        <v>50.0</v>
      </c>
      <c r="B51" s="2" t="s">
        <v>45</v>
      </c>
      <c r="C51" s="2" t="s">
        <v>69</v>
      </c>
      <c r="D51" s="13"/>
      <c r="E51" s="40">
        <v>0.8402777777777778</v>
      </c>
      <c r="F51" s="44" t="s">
        <v>4506</v>
      </c>
      <c r="G51" s="43">
        <v>2.0</v>
      </c>
      <c r="H51" s="42"/>
      <c r="I51" s="42"/>
      <c r="J51" s="14"/>
      <c r="K51" s="43"/>
    </row>
    <row r="52" ht="39.75" hidden="1" customHeight="1">
      <c r="A52" s="1">
        <v>51.0</v>
      </c>
      <c r="B52" s="2" t="s">
        <v>46</v>
      </c>
      <c r="C52" s="2" t="s">
        <v>58</v>
      </c>
      <c r="D52" s="13"/>
      <c r="E52" s="13"/>
      <c r="F52" s="45"/>
      <c r="G52" s="42"/>
      <c r="H52" s="42"/>
      <c r="I52" s="42"/>
      <c r="J52" s="14"/>
      <c r="K52" s="43"/>
    </row>
    <row r="53" ht="39.75" customHeight="1">
      <c r="A53" s="1">
        <v>52.0</v>
      </c>
      <c r="B53" s="2" t="s">
        <v>47</v>
      </c>
      <c r="C53" s="2" t="s">
        <v>27</v>
      </c>
      <c r="D53" s="13"/>
      <c r="E53" s="13"/>
      <c r="F53" s="44" t="s">
        <v>4507</v>
      </c>
      <c r="G53" s="43">
        <v>2.0</v>
      </c>
      <c r="H53" s="42"/>
      <c r="I53" s="42"/>
      <c r="J53" s="14"/>
      <c r="K53" s="43"/>
    </row>
    <row r="54" ht="39.75" customHeight="1">
      <c r="A54" s="1">
        <v>53.0</v>
      </c>
      <c r="B54" s="2" t="s">
        <v>48</v>
      </c>
      <c r="C54" s="2" t="s">
        <v>44</v>
      </c>
      <c r="D54" s="13"/>
      <c r="E54" s="13"/>
      <c r="F54" s="45"/>
      <c r="G54" s="42"/>
      <c r="H54" s="42"/>
      <c r="I54" s="42"/>
      <c r="J54" s="14"/>
      <c r="K54" s="43"/>
    </row>
    <row r="55" ht="39.75" customHeight="1">
      <c r="A55" s="1">
        <v>54.0</v>
      </c>
      <c r="B55" s="21"/>
      <c r="C55" s="21"/>
      <c r="D55" s="21"/>
      <c r="E55" s="21"/>
      <c r="F55" s="46"/>
      <c r="G55" s="47"/>
      <c r="H55" s="47"/>
      <c r="I55" s="47"/>
      <c r="J55" s="48"/>
      <c r="K55" s="47"/>
      <c r="L55" s="49"/>
      <c r="M55" s="49"/>
      <c r="N55" s="49"/>
    </row>
    <row r="56" ht="39.75" customHeight="1">
      <c r="A56" s="1">
        <v>55.0</v>
      </c>
      <c r="B56" s="2" t="s">
        <v>268</v>
      </c>
      <c r="C56" s="2" t="s">
        <v>63</v>
      </c>
      <c r="D56" s="13"/>
      <c r="E56" s="13"/>
      <c r="F56" s="45"/>
      <c r="G56" s="42"/>
      <c r="H56" s="42"/>
      <c r="I56" s="42"/>
      <c r="J56" s="14" t="s">
        <v>4481</v>
      </c>
      <c r="K56" s="43"/>
      <c r="L56" s="15" t="s">
        <v>74</v>
      </c>
    </row>
    <row r="57" ht="39.75" hidden="1" customHeight="1">
      <c r="A57" s="1">
        <v>56.0</v>
      </c>
      <c r="B57" s="2" t="s">
        <v>16</v>
      </c>
      <c r="C57" s="2" t="s">
        <v>13</v>
      </c>
      <c r="D57" s="13"/>
      <c r="E57" s="13"/>
      <c r="F57" s="45"/>
      <c r="G57" s="42"/>
      <c r="H57" s="42"/>
      <c r="I57" s="42"/>
      <c r="J57" s="14" t="s">
        <v>74</v>
      </c>
      <c r="K57" s="43"/>
    </row>
    <row r="58" ht="39.75" customHeight="1">
      <c r="A58" s="1">
        <v>57.0</v>
      </c>
      <c r="B58" s="2" t="s">
        <v>20</v>
      </c>
      <c r="C58" s="2" t="s">
        <v>271</v>
      </c>
      <c r="D58" s="13"/>
      <c r="E58" s="13"/>
      <c r="F58" s="44" t="s">
        <v>3521</v>
      </c>
      <c r="G58" s="43">
        <v>1.0</v>
      </c>
      <c r="H58" s="42"/>
      <c r="I58" s="43">
        <v>1.0</v>
      </c>
      <c r="J58" s="14" t="s">
        <v>131</v>
      </c>
      <c r="K58" s="43"/>
    </row>
    <row r="59" ht="39.75" customHeight="1">
      <c r="A59" s="1">
        <v>58.0</v>
      </c>
      <c r="B59" s="2" t="s">
        <v>263</v>
      </c>
      <c r="C59" s="2" t="s">
        <v>272</v>
      </c>
      <c r="D59" s="13"/>
      <c r="E59" s="13"/>
      <c r="F59" s="44" t="s">
        <v>1186</v>
      </c>
      <c r="G59" s="43">
        <v>1.0</v>
      </c>
      <c r="H59" s="42"/>
      <c r="I59" s="43">
        <v>1.0</v>
      </c>
      <c r="J59" s="14" t="s">
        <v>165</v>
      </c>
      <c r="K59" s="43"/>
    </row>
    <row r="60" ht="39.75" hidden="1" customHeight="1">
      <c r="A60" s="1">
        <v>59.0</v>
      </c>
      <c r="B60" s="2" t="s">
        <v>331</v>
      </c>
      <c r="C60" s="2" t="s">
        <v>13</v>
      </c>
      <c r="D60" s="13"/>
      <c r="E60" s="13"/>
      <c r="F60" s="45"/>
      <c r="G60" s="42"/>
      <c r="H60" s="42"/>
      <c r="I60" s="42"/>
      <c r="J60" s="14" t="s">
        <v>2637</v>
      </c>
      <c r="K60" s="43"/>
    </row>
    <row r="61" ht="39.75" hidden="1" customHeight="1">
      <c r="A61" s="1">
        <v>60.0</v>
      </c>
      <c r="B61" s="2" t="s">
        <v>21</v>
      </c>
      <c r="C61" s="2" t="s">
        <v>13</v>
      </c>
      <c r="D61" s="13"/>
      <c r="E61" s="13"/>
      <c r="F61" s="45"/>
      <c r="G61" s="42"/>
      <c r="H61" s="42"/>
      <c r="I61" s="42"/>
      <c r="J61" s="14" t="s">
        <v>2638</v>
      </c>
      <c r="K61" s="43"/>
    </row>
    <row r="62" ht="74.25" customHeight="1">
      <c r="A62" s="1">
        <v>61.0</v>
      </c>
      <c r="B62" s="2" t="s">
        <v>22</v>
      </c>
      <c r="C62" s="2" t="s">
        <v>69</v>
      </c>
      <c r="D62" s="40">
        <v>0.4583333333333333</v>
      </c>
      <c r="E62" s="13"/>
      <c r="F62" s="44" t="s">
        <v>4508</v>
      </c>
      <c r="G62" s="43">
        <v>1.0</v>
      </c>
      <c r="H62" s="42"/>
      <c r="I62" s="43">
        <v>1.0</v>
      </c>
      <c r="J62" s="14"/>
      <c r="K62" s="43"/>
    </row>
    <row r="63" ht="39.75" customHeight="1">
      <c r="A63" s="1">
        <v>62.0</v>
      </c>
      <c r="B63" s="2" t="s">
        <v>23</v>
      </c>
      <c r="C63" s="2" t="s">
        <v>39</v>
      </c>
      <c r="D63" s="40">
        <v>0.3333333333333333</v>
      </c>
      <c r="E63" s="13"/>
      <c r="F63" s="44" t="s">
        <v>4509</v>
      </c>
      <c r="G63" s="43">
        <v>1.0</v>
      </c>
      <c r="H63" s="42"/>
      <c r="I63" s="42"/>
      <c r="J63" s="14"/>
      <c r="K63" s="43"/>
    </row>
    <row r="64" ht="39.75" hidden="1" customHeight="1">
      <c r="A64" s="1">
        <v>63.0</v>
      </c>
      <c r="B64" s="2" t="s">
        <v>24</v>
      </c>
      <c r="C64" s="2" t="s">
        <v>13</v>
      </c>
      <c r="D64" s="13"/>
      <c r="E64" s="13"/>
      <c r="F64" s="45"/>
      <c r="G64" s="42"/>
      <c r="H64" s="42"/>
      <c r="I64" s="42"/>
      <c r="J64" s="14"/>
      <c r="K64" s="43"/>
    </row>
    <row r="65" ht="39.75" customHeight="1">
      <c r="A65" s="1">
        <v>64.0</v>
      </c>
      <c r="B65" s="2" t="s">
        <v>25</v>
      </c>
      <c r="C65" s="2"/>
      <c r="D65" s="40">
        <v>0.375</v>
      </c>
      <c r="E65" s="13"/>
      <c r="F65" s="44" t="s">
        <v>4510</v>
      </c>
      <c r="G65" s="43">
        <v>1.0</v>
      </c>
      <c r="H65" s="42"/>
      <c r="I65" s="43">
        <v>1.0</v>
      </c>
      <c r="J65" s="14"/>
      <c r="K65" s="43"/>
    </row>
    <row r="66" ht="39.75" customHeight="1">
      <c r="A66" s="1">
        <v>65.0</v>
      </c>
      <c r="B66" s="2" t="s">
        <v>26</v>
      </c>
      <c r="C66" s="2"/>
      <c r="D66" s="13"/>
      <c r="E66" s="13"/>
      <c r="F66" s="44" t="s">
        <v>4511</v>
      </c>
      <c r="G66" s="43">
        <v>1.0</v>
      </c>
      <c r="H66" s="43">
        <v>1.0</v>
      </c>
      <c r="I66" s="42"/>
      <c r="J66" s="14"/>
      <c r="K66" s="43"/>
    </row>
    <row r="67" ht="39.75" customHeight="1">
      <c r="A67" s="1">
        <v>66.0</v>
      </c>
      <c r="B67" s="2" t="s">
        <v>29</v>
      </c>
      <c r="C67" s="2"/>
      <c r="D67" s="40">
        <v>0.375</v>
      </c>
      <c r="E67" s="13"/>
      <c r="F67" s="44" t="s">
        <v>4512</v>
      </c>
      <c r="G67" s="43">
        <v>1.0</v>
      </c>
      <c r="H67" s="42"/>
      <c r="I67" s="43">
        <v>1.0</v>
      </c>
      <c r="J67" s="14"/>
      <c r="K67" s="43"/>
    </row>
    <row r="68" ht="39.75" hidden="1" customHeight="1">
      <c r="A68" s="1">
        <v>67.0</v>
      </c>
      <c r="B68" s="2" t="s">
        <v>30</v>
      </c>
      <c r="C68" s="2" t="s">
        <v>13</v>
      </c>
      <c r="D68" s="13"/>
      <c r="E68" s="13"/>
      <c r="F68" s="45"/>
      <c r="G68" s="42"/>
      <c r="H68" s="42"/>
      <c r="I68" s="42"/>
      <c r="J68" s="14"/>
      <c r="K68" s="43"/>
    </row>
    <row r="69" ht="39.75" hidden="1" customHeight="1">
      <c r="A69" s="1">
        <v>68.0</v>
      </c>
      <c r="B69" s="2" t="s">
        <v>31</v>
      </c>
      <c r="C69" s="2" t="s">
        <v>13</v>
      </c>
      <c r="D69" s="13"/>
      <c r="E69" s="13"/>
      <c r="F69" s="45"/>
      <c r="G69" s="42"/>
      <c r="H69" s="42"/>
      <c r="I69" s="42"/>
      <c r="J69" s="14"/>
      <c r="K69" s="43"/>
    </row>
    <row r="70" ht="39.75" customHeight="1">
      <c r="A70" s="1">
        <v>69.0</v>
      </c>
      <c r="B70" s="2" t="s">
        <v>32</v>
      </c>
      <c r="C70" s="2"/>
      <c r="D70" s="40">
        <v>0.375</v>
      </c>
      <c r="E70" s="2"/>
      <c r="F70" s="44" t="s">
        <v>4513</v>
      </c>
      <c r="G70" s="43">
        <v>1.0</v>
      </c>
      <c r="H70" s="42"/>
      <c r="I70" s="43">
        <v>1.0</v>
      </c>
      <c r="J70" s="14"/>
      <c r="K70" s="43"/>
    </row>
    <row r="71" ht="39.75" hidden="1" customHeight="1">
      <c r="A71" s="1">
        <v>70.0</v>
      </c>
      <c r="B71" s="2" t="s">
        <v>67</v>
      </c>
      <c r="C71" s="2" t="s">
        <v>13</v>
      </c>
      <c r="D71" s="13"/>
      <c r="E71" s="13"/>
      <c r="F71" s="45"/>
      <c r="G71" s="42"/>
      <c r="H71" s="42"/>
      <c r="I71" s="42"/>
      <c r="J71" s="14"/>
      <c r="K71" s="43"/>
    </row>
    <row r="72" ht="39.75" customHeight="1">
      <c r="A72" s="1">
        <v>71.0</v>
      </c>
      <c r="B72" s="2" t="s">
        <v>35</v>
      </c>
      <c r="C72" s="2"/>
      <c r="D72" s="13"/>
      <c r="E72" s="51">
        <v>0.875</v>
      </c>
      <c r="F72" s="44" t="s">
        <v>4514</v>
      </c>
      <c r="G72" s="43">
        <v>1.0</v>
      </c>
      <c r="H72" s="43">
        <v>1.0</v>
      </c>
      <c r="I72" s="42"/>
      <c r="J72" s="14"/>
      <c r="K72" s="43"/>
    </row>
    <row r="73" ht="39.75" hidden="1" customHeight="1">
      <c r="A73" s="1">
        <v>72.0</v>
      </c>
      <c r="B73" s="2" t="s">
        <v>36</v>
      </c>
      <c r="C73" s="2" t="s">
        <v>13</v>
      </c>
      <c r="D73" s="13"/>
      <c r="E73" s="13"/>
      <c r="F73" s="45"/>
      <c r="G73" s="42"/>
      <c r="H73" s="42"/>
      <c r="I73" s="42"/>
      <c r="J73" s="14"/>
      <c r="K73" s="43"/>
    </row>
    <row r="74" ht="39.75" customHeight="1">
      <c r="A74" s="1">
        <v>73.0</v>
      </c>
      <c r="B74" s="2" t="s">
        <v>38</v>
      </c>
      <c r="C74" s="2" t="s">
        <v>69</v>
      </c>
      <c r="D74" s="40">
        <v>0.4583333333333333</v>
      </c>
      <c r="E74" s="13"/>
      <c r="F74" s="44" t="s">
        <v>4515</v>
      </c>
      <c r="G74" s="43">
        <v>1.0</v>
      </c>
      <c r="H74" s="43"/>
      <c r="I74" s="42"/>
      <c r="J74" s="14"/>
      <c r="K74" s="43"/>
    </row>
    <row r="75" ht="39.75" hidden="1" customHeight="1">
      <c r="A75" s="1">
        <v>74.0</v>
      </c>
      <c r="B75" s="2" t="s">
        <v>41</v>
      </c>
      <c r="C75" s="2" t="s">
        <v>13</v>
      </c>
      <c r="D75" s="13"/>
      <c r="E75" s="13"/>
      <c r="F75" s="45"/>
      <c r="G75" s="42"/>
      <c r="H75" s="42"/>
      <c r="I75" s="42"/>
      <c r="J75" s="14"/>
      <c r="K75" s="43"/>
    </row>
    <row r="76" ht="39.75" hidden="1" customHeight="1">
      <c r="A76" s="1">
        <v>75.0</v>
      </c>
      <c r="B76" s="2" t="s">
        <v>42</v>
      </c>
      <c r="C76" s="2" t="s">
        <v>13</v>
      </c>
      <c r="D76" s="13"/>
      <c r="E76" s="13"/>
      <c r="F76" s="45"/>
      <c r="G76" s="42"/>
      <c r="H76" s="42"/>
      <c r="I76" s="42"/>
      <c r="J76" s="14"/>
      <c r="K76" s="43"/>
    </row>
    <row r="77" ht="39.75" customHeight="1">
      <c r="A77" s="1">
        <v>76.0</v>
      </c>
      <c r="B77" s="2" t="s">
        <v>43</v>
      </c>
      <c r="C77" s="2" t="s">
        <v>27</v>
      </c>
      <c r="D77" s="13"/>
      <c r="E77" s="13"/>
      <c r="F77" s="44" t="s">
        <v>4516</v>
      </c>
      <c r="G77" s="43">
        <v>1.0</v>
      </c>
      <c r="H77" s="43"/>
      <c r="I77" s="42"/>
      <c r="J77" s="14"/>
      <c r="K77" s="43"/>
    </row>
    <row r="78" ht="39.75" customHeight="1">
      <c r="A78" s="1">
        <v>77.0</v>
      </c>
      <c r="B78" s="2" t="s">
        <v>45</v>
      </c>
      <c r="C78" s="2"/>
      <c r="D78" s="40">
        <v>0.375</v>
      </c>
      <c r="E78" s="13"/>
      <c r="F78" s="44" t="s">
        <v>4517</v>
      </c>
      <c r="G78" s="43">
        <v>1.0</v>
      </c>
      <c r="H78" s="42"/>
      <c r="I78" s="43">
        <v>1.0</v>
      </c>
      <c r="J78" s="14"/>
      <c r="K78" s="43"/>
    </row>
    <row r="79" ht="39.75" hidden="1" customHeight="1">
      <c r="A79" s="1">
        <v>78.0</v>
      </c>
      <c r="B79" s="2" t="s">
        <v>46</v>
      </c>
      <c r="C79" s="2" t="s">
        <v>13</v>
      </c>
      <c r="D79" s="13"/>
      <c r="E79" s="13"/>
      <c r="F79" s="45"/>
      <c r="G79" s="42"/>
      <c r="H79" s="42"/>
      <c r="I79" s="42"/>
      <c r="J79" s="14"/>
      <c r="K79" s="43"/>
    </row>
    <row r="80" ht="39.75" customHeight="1">
      <c r="A80" s="1">
        <v>79.0</v>
      </c>
      <c r="B80" s="2" t="s">
        <v>47</v>
      </c>
      <c r="C80" s="2" t="s">
        <v>44</v>
      </c>
      <c r="D80" s="13"/>
      <c r="E80" s="13"/>
      <c r="F80" s="45"/>
      <c r="G80" s="42"/>
      <c r="H80" s="42"/>
      <c r="I80" s="42"/>
      <c r="J80" s="14"/>
      <c r="K80" s="43"/>
    </row>
    <row r="81" ht="39.75" hidden="1" customHeight="1">
      <c r="A81" s="1">
        <v>80.0</v>
      </c>
      <c r="B81" s="2" t="s">
        <v>48</v>
      </c>
      <c r="C81" s="2" t="s">
        <v>13</v>
      </c>
      <c r="D81" s="13"/>
      <c r="E81" s="13"/>
      <c r="F81" s="45"/>
      <c r="G81" s="42"/>
      <c r="H81" s="42"/>
      <c r="I81" s="42"/>
      <c r="J81" s="14"/>
      <c r="K81" s="43"/>
    </row>
    <row r="82" ht="39.75" customHeight="1">
      <c r="A82" s="1">
        <v>81.0</v>
      </c>
      <c r="B82" s="21"/>
      <c r="C82" s="21"/>
      <c r="D82" s="21"/>
      <c r="E82" s="21"/>
      <c r="F82" s="46"/>
      <c r="G82" s="47"/>
      <c r="H82" s="47"/>
      <c r="I82" s="47"/>
      <c r="J82" s="48"/>
      <c r="K82" s="47"/>
      <c r="L82" s="49"/>
      <c r="M82" s="49"/>
      <c r="N82" s="49"/>
    </row>
    <row r="83" ht="39.75" customHeight="1">
      <c r="A83" s="1">
        <v>82.0</v>
      </c>
      <c r="B83" s="2" t="s">
        <v>12</v>
      </c>
      <c r="C83" s="2"/>
      <c r="D83" s="40">
        <v>0.375</v>
      </c>
      <c r="E83" s="13"/>
      <c r="F83" s="44" t="s">
        <v>4518</v>
      </c>
      <c r="G83" s="43">
        <v>1.0</v>
      </c>
      <c r="H83" s="42"/>
      <c r="I83" s="43">
        <v>1.0</v>
      </c>
      <c r="J83" s="14" t="s">
        <v>4481</v>
      </c>
      <c r="K83" s="43"/>
      <c r="L83" s="15" t="s">
        <v>94</v>
      </c>
    </row>
    <row r="84" ht="39.75" customHeight="1">
      <c r="A84" s="1">
        <v>83.0</v>
      </c>
      <c r="B84" s="2" t="s">
        <v>16</v>
      </c>
      <c r="C84" s="2" t="s">
        <v>27</v>
      </c>
      <c r="D84" s="13"/>
      <c r="E84" s="13"/>
      <c r="F84" s="44" t="s">
        <v>4519</v>
      </c>
      <c r="G84" s="43">
        <v>1.0</v>
      </c>
      <c r="H84" s="42"/>
      <c r="I84" s="42"/>
      <c r="J84" s="14" t="s">
        <v>94</v>
      </c>
      <c r="K84" s="43"/>
    </row>
    <row r="85" ht="39.75" hidden="1" customHeight="1">
      <c r="A85" s="1">
        <v>84.0</v>
      </c>
      <c r="B85" s="2" t="s">
        <v>116</v>
      </c>
      <c r="C85" s="2" t="s">
        <v>13</v>
      </c>
      <c r="D85" s="13"/>
      <c r="E85" s="13"/>
      <c r="F85" s="44"/>
      <c r="G85" s="42"/>
      <c r="H85" s="42"/>
      <c r="I85" s="42"/>
      <c r="J85" s="14" t="s">
        <v>149</v>
      </c>
      <c r="K85" s="43"/>
    </row>
    <row r="86" ht="39.75" customHeight="1">
      <c r="A86" s="1">
        <v>85.0</v>
      </c>
      <c r="B86" s="2" t="s">
        <v>4520</v>
      </c>
      <c r="C86" s="2" t="s">
        <v>272</v>
      </c>
      <c r="D86" s="13"/>
      <c r="E86" s="13"/>
      <c r="F86" s="44" t="s">
        <v>1186</v>
      </c>
      <c r="G86" s="43">
        <v>1.0</v>
      </c>
      <c r="H86" s="42"/>
      <c r="I86" s="43">
        <v>1.0</v>
      </c>
      <c r="J86" s="14" t="s">
        <v>165</v>
      </c>
      <c r="K86" s="43"/>
    </row>
    <row r="87" ht="39.75" hidden="1" customHeight="1">
      <c r="A87" s="1">
        <v>86.0</v>
      </c>
      <c r="B87" s="2" t="s">
        <v>331</v>
      </c>
      <c r="C87" s="2" t="s">
        <v>13</v>
      </c>
      <c r="D87" s="13"/>
      <c r="E87" s="13"/>
      <c r="F87" s="45"/>
      <c r="G87" s="42"/>
      <c r="H87" s="42"/>
      <c r="I87" s="42"/>
      <c r="J87" s="14" t="s">
        <v>2637</v>
      </c>
      <c r="K87" s="43"/>
    </row>
    <row r="88" ht="39.75" hidden="1" customHeight="1">
      <c r="A88" s="1">
        <v>87.0</v>
      </c>
      <c r="B88" s="2" t="s">
        <v>21</v>
      </c>
      <c r="C88" s="2" t="s">
        <v>13</v>
      </c>
      <c r="D88" s="13"/>
      <c r="E88" s="13"/>
      <c r="F88" s="45"/>
      <c r="G88" s="42"/>
      <c r="H88" s="42"/>
      <c r="I88" s="42"/>
      <c r="J88" s="14" t="s">
        <v>2638</v>
      </c>
      <c r="K88" s="43"/>
    </row>
    <row r="89" ht="39.75" hidden="1" customHeight="1">
      <c r="A89" s="1">
        <v>88.0</v>
      </c>
      <c r="B89" s="2" t="s">
        <v>22</v>
      </c>
      <c r="C89" s="2" t="s">
        <v>13</v>
      </c>
      <c r="D89" s="13"/>
      <c r="E89" s="13"/>
      <c r="F89" s="45"/>
      <c r="G89" s="42"/>
      <c r="H89" s="42"/>
      <c r="I89" s="42"/>
      <c r="J89" s="14"/>
      <c r="K89" s="43"/>
    </row>
    <row r="90" ht="39.75" customHeight="1">
      <c r="A90" s="1">
        <v>89.0</v>
      </c>
      <c r="B90" s="2" t="s">
        <v>23</v>
      </c>
      <c r="C90" s="2" t="s">
        <v>39</v>
      </c>
      <c r="D90" s="13"/>
      <c r="E90" s="13"/>
      <c r="F90" s="44" t="s">
        <v>4521</v>
      </c>
      <c r="G90" s="43">
        <v>1.0</v>
      </c>
      <c r="H90" s="42"/>
      <c r="I90" s="43">
        <v>1.0</v>
      </c>
      <c r="J90" s="14"/>
      <c r="K90" s="43"/>
    </row>
    <row r="91" ht="39.75" customHeight="1">
      <c r="A91" s="1">
        <v>90.0</v>
      </c>
      <c r="B91" s="2" t="s">
        <v>24</v>
      </c>
      <c r="C91" s="2" t="s">
        <v>63</v>
      </c>
      <c r="D91" s="13"/>
      <c r="E91" s="13"/>
      <c r="F91" s="45"/>
      <c r="G91" s="42"/>
      <c r="H91" s="42"/>
      <c r="I91" s="42"/>
      <c r="J91" s="14"/>
      <c r="K91" s="43"/>
    </row>
    <row r="92" ht="39.75" hidden="1" customHeight="1">
      <c r="A92" s="1">
        <v>91.0</v>
      </c>
      <c r="B92" s="2" t="s">
        <v>25</v>
      </c>
      <c r="C92" s="2" t="s">
        <v>13</v>
      </c>
      <c r="D92" s="13"/>
      <c r="E92" s="13"/>
      <c r="F92" s="45"/>
      <c r="G92" s="42"/>
      <c r="H92" s="42"/>
      <c r="I92" s="42"/>
      <c r="J92" s="14"/>
      <c r="K92" s="43"/>
    </row>
    <row r="93" ht="39.75" customHeight="1">
      <c r="A93" s="1">
        <v>92.0</v>
      </c>
      <c r="B93" s="2" t="s">
        <v>26</v>
      </c>
      <c r="C93" s="2"/>
      <c r="D93" s="13"/>
      <c r="E93" s="13"/>
      <c r="F93" s="44" t="s">
        <v>4522</v>
      </c>
      <c r="G93" s="43">
        <v>1.0</v>
      </c>
      <c r="H93" s="43">
        <v>1.0</v>
      </c>
      <c r="I93" s="42"/>
      <c r="J93" s="14"/>
      <c r="K93" s="43"/>
    </row>
    <row r="94" ht="39.75" hidden="1" customHeight="1">
      <c r="A94" s="1">
        <v>93.0</v>
      </c>
      <c r="B94" s="2" t="s">
        <v>29</v>
      </c>
      <c r="C94" s="2" t="s">
        <v>13</v>
      </c>
      <c r="D94" s="13"/>
      <c r="E94" s="13"/>
      <c r="F94" s="45"/>
      <c r="G94" s="42"/>
      <c r="H94" s="42"/>
      <c r="I94" s="42"/>
      <c r="J94" s="14"/>
      <c r="K94" s="43"/>
    </row>
    <row r="95" ht="39.75" hidden="1" customHeight="1">
      <c r="A95" s="1">
        <v>94.0</v>
      </c>
      <c r="B95" s="2" t="s">
        <v>30</v>
      </c>
      <c r="C95" s="2" t="s">
        <v>13</v>
      </c>
      <c r="D95" s="13"/>
      <c r="E95" s="13"/>
      <c r="F95" s="45"/>
      <c r="G95" s="42"/>
      <c r="H95" s="42"/>
      <c r="I95" s="42"/>
      <c r="J95" s="14"/>
      <c r="K95" s="43"/>
    </row>
    <row r="96" ht="39.75" hidden="1" customHeight="1">
      <c r="A96" s="1">
        <v>95.0</v>
      </c>
      <c r="B96" s="2" t="s">
        <v>31</v>
      </c>
      <c r="C96" s="2" t="s">
        <v>13</v>
      </c>
      <c r="D96" s="13"/>
      <c r="E96" s="13"/>
      <c r="F96" s="45"/>
      <c r="G96" s="42"/>
      <c r="H96" s="42"/>
      <c r="I96" s="42"/>
      <c r="J96" s="14"/>
      <c r="K96" s="43"/>
    </row>
    <row r="97" ht="39.75" hidden="1" customHeight="1">
      <c r="A97" s="1">
        <v>96.0</v>
      </c>
      <c r="B97" s="2" t="s">
        <v>32</v>
      </c>
      <c r="C97" s="2" t="s">
        <v>13</v>
      </c>
      <c r="D97" s="13"/>
      <c r="E97" s="13"/>
      <c r="F97" s="45"/>
      <c r="G97" s="42"/>
      <c r="H97" s="42"/>
      <c r="I97" s="42"/>
      <c r="J97" s="14"/>
      <c r="K97" s="43"/>
    </row>
    <row r="98" ht="39.75" hidden="1" customHeight="1">
      <c r="A98" s="1">
        <v>97.0</v>
      </c>
      <c r="B98" s="2" t="s">
        <v>67</v>
      </c>
      <c r="C98" s="2" t="s">
        <v>13</v>
      </c>
      <c r="D98" s="13"/>
      <c r="E98" s="13"/>
      <c r="F98" s="45"/>
      <c r="G98" s="42"/>
      <c r="H98" s="42"/>
      <c r="I98" s="42"/>
      <c r="J98" s="14"/>
      <c r="K98" s="43"/>
    </row>
    <row r="99" ht="39.75" customHeight="1">
      <c r="A99" s="1">
        <v>98.0</v>
      </c>
      <c r="B99" s="2" t="s">
        <v>35</v>
      </c>
      <c r="C99" s="2"/>
      <c r="D99" s="40">
        <v>0.375</v>
      </c>
      <c r="E99" s="13"/>
      <c r="F99" s="44" t="s">
        <v>4523</v>
      </c>
      <c r="G99" s="43">
        <v>1.0</v>
      </c>
      <c r="H99" s="42"/>
      <c r="I99" s="43">
        <v>1.0</v>
      </c>
      <c r="J99" s="14"/>
      <c r="K99" s="43"/>
    </row>
    <row r="100" ht="39.75" hidden="1" customHeight="1">
      <c r="A100" s="1">
        <v>99.0</v>
      </c>
      <c r="B100" s="2" t="s">
        <v>36</v>
      </c>
      <c r="C100" s="2" t="s">
        <v>13</v>
      </c>
      <c r="D100" s="13"/>
      <c r="E100" s="13"/>
      <c r="F100" s="45"/>
      <c r="G100" s="42"/>
      <c r="H100" s="42"/>
      <c r="I100" s="42"/>
      <c r="J100" s="14"/>
      <c r="K100" s="43"/>
    </row>
    <row r="101" ht="39.75" hidden="1" customHeight="1">
      <c r="A101" s="1">
        <v>100.0</v>
      </c>
      <c r="B101" s="2" t="s">
        <v>38</v>
      </c>
      <c r="C101" s="2" t="s">
        <v>13</v>
      </c>
      <c r="D101" s="13"/>
      <c r="E101" s="13"/>
      <c r="F101" s="45"/>
      <c r="G101" s="42"/>
      <c r="H101" s="42"/>
      <c r="I101" s="42"/>
      <c r="J101" s="14"/>
      <c r="K101" s="43"/>
    </row>
    <row r="102" ht="39.75" hidden="1" customHeight="1">
      <c r="A102" s="1">
        <v>101.0</v>
      </c>
      <c r="B102" s="2" t="s">
        <v>41</v>
      </c>
      <c r="C102" s="2" t="s">
        <v>13</v>
      </c>
      <c r="D102" s="13"/>
      <c r="E102" s="13"/>
      <c r="F102" s="45"/>
      <c r="G102" s="42"/>
      <c r="H102" s="42"/>
      <c r="I102" s="42"/>
      <c r="J102" s="14"/>
      <c r="K102" s="43"/>
    </row>
    <row r="103" ht="39.75" customHeight="1">
      <c r="A103" s="1">
        <v>102.0</v>
      </c>
      <c r="B103" s="2" t="s">
        <v>42</v>
      </c>
      <c r="C103" s="2" t="s">
        <v>49</v>
      </c>
      <c r="D103" s="13"/>
      <c r="E103" s="13"/>
      <c r="F103" s="44" t="s">
        <v>4524</v>
      </c>
      <c r="G103" s="43">
        <v>1.0</v>
      </c>
      <c r="H103" s="42"/>
      <c r="I103" s="43">
        <v>1.0</v>
      </c>
      <c r="J103" s="14"/>
      <c r="K103" s="43"/>
    </row>
    <row r="104" ht="39.75" customHeight="1">
      <c r="A104" s="1">
        <v>103.0</v>
      </c>
      <c r="B104" s="2" t="s">
        <v>43</v>
      </c>
      <c r="C104" s="2" t="s">
        <v>44</v>
      </c>
      <c r="D104" s="13"/>
      <c r="E104" s="13"/>
      <c r="F104" s="45"/>
      <c r="G104" s="42"/>
      <c r="H104" s="42"/>
      <c r="I104" s="42"/>
      <c r="J104" s="14"/>
      <c r="K104" s="43"/>
    </row>
    <row r="105" ht="39.75" hidden="1" customHeight="1">
      <c r="A105" s="1">
        <v>104.0</v>
      </c>
      <c r="B105" s="2" t="s">
        <v>45</v>
      </c>
      <c r="C105" s="2" t="s">
        <v>13</v>
      </c>
      <c r="D105" s="13"/>
      <c r="E105" s="13"/>
      <c r="F105" s="45"/>
      <c r="G105" s="42"/>
      <c r="H105" s="42"/>
      <c r="I105" s="42"/>
      <c r="J105" s="14"/>
      <c r="K105" s="43"/>
    </row>
    <row r="106" ht="39.75" hidden="1" customHeight="1">
      <c r="A106" s="1">
        <v>105.0</v>
      </c>
      <c r="B106" s="2" t="s">
        <v>46</v>
      </c>
      <c r="C106" s="2" t="s">
        <v>13</v>
      </c>
      <c r="D106" s="13"/>
      <c r="E106" s="13"/>
      <c r="F106" s="45"/>
      <c r="G106" s="42"/>
      <c r="H106" s="42"/>
      <c r="I106" s="42"/>
      <c r="J106" s="14"/>
      <c r="K106" s="43"/>
    </row>
    <row r="107" ht="39.75" hidden="1" customHeight="1">
      <c r="A107" s="1">
        <v>106.0</v>
      </c>
      <c r="B107" s="2" t="s">
        <v>47</v>
      </c>
      <c r="C107" s="2" t="s">
        <v>13</v>
      </c>
      <c r="D107" s="13"/>
      <c r="E107" s="13"/>
      <c r="F107" s="45"/>
      <c r="G107" s="42"/>
      <c r="H107" s="42"/>
      <c r="I107" s="42"/>
      <c r="J107" s="14"/>
      <c r="K107" s="43"/>
    </row>
    <row r="108" ht="39.75" hidden="1" customHeight="1">
      <c r="A108" s="1">
        <v>107.0</v>
      </c>
      <c r="B108" s="2" t="s">
        <v>48</v>
      </c>
      <c r="C108" s="2" t="s">
        <v>13</v>
      </c>
      <c r="D108" s="13"/>
      <c r="E108" s="13"/>
      <c r="F108" s="45"/>
      <c r="G108" s="42"/>
      <c r="H108" s="42"/>
      <c r="I108" s="42"/>
      <c r="J108" s="14"/>
      <c r="K108" s="43"/>
    </row>
    <row r="109" ht="39.75" customHeight="1">
      <c r="A109" s="1">
        <v>108.0</v>
      </c>
      <c r="B109" s="21"/>
      <c r="C109" s="21"/>
      <c r="D109" s="21"/>
      <c r="E109" s="21"/>
      <c r="F109" s="46"/>
      <c r="G109" s="47"/>
      <c r="H109" s="47"/>
      <c r="I109" s="47"/>
      <c r="J109" s="54"/>
      <c r="K109" s="72"/>
      <c r="L109" s="49"/>
      <c r="M109" s="49"/>
      <c r="N109" s="49"/>
    </row>
    <row r="110" ht="39.75" hidden="1" customHeight="1">
      <c r="A110" s="1">
        <v>109.0</v>
      </c>
      <c r="B110" s="2" t="s">
        <v>12</v>
      </c>
      <c r="C110" s="2" t="s">
        <v>13</v>
      </c>
      <c r="D110" s="13"/>
      <c r="E110" s="13"/>
      <c r="F110" s="45"/>
      <c r="G110" s="42"/>
      <c r="H110" s="42"/>
      <c r="I110" s="42"/>
      <c r="J110" s="27" t="s">
        <v>4481</v>
      </c>
      <c r="K110" s="43"/>
      <c r="L110" s="15" t="s">
        <v>109</v>
      </c>
    </row>
    <row r="111" ht="39.75" customHeight="1">
      <c r="A111" s="1">
        <v>110.0</v>
      </c>
      <c r="B111" s="2" t="s">
        <v>16</v>
      </c>
      <c r="C111" s="2" t="s">
        <v>44</v>
      </c>
      <c r="D111" s="13"/>
      <c r="E111" s="13"/>
      <c r="F111" s="45"/>
      <c r="G111" s="42"/>
      <c r="H111" s="42"/>
      <c r="I111" s="42"/>
      <c r="J111" s="27" t="s">
        <v>109</v>
      </c>
      <c r="K111" s="43"/>
    </row>
    <row r="112" ht="39.75" hidden="1" customHeight="1">
      <c r="A112" s="1">
        <v>111.0</v>
      </c>
      <c r="B112" s="2" t="s">
        <v>116</v>
      </c>
      <c r="C112" s="2" t="s">
        <v>13</v>
      </c>
      <c r="D112" s="13"/>
      <c r="E112" s="13"/>
      <c r="F112" s="45"/>
      <c r="G112" s="42"/>
      <c r="H112" s="42"/>
      <c r="I112" s="42"/>
      <c r="J112" s="27" t="s">
        <v>19</v>
      </c>
      <c r="K112" s="43"/>
    </row>
    <row r="113" ht="39.75" hidden="1" customHeight="1">
      <c r="A113" s="1">
        <v>112.0</v>
      </c>
      <c r="B113" s="2" t="s">
        <v>17</v>
      </c>
      <c r="C113" s="2" t="s">
        <v>13</v>
      </c>
      <c r="D113" s="13"/>
      <c r="E113" s="13"/>
      <c r="F113" s="44"/>
      <c r="G113" s="42"/>
      <c r="H113" s="42"/>
      <c r="I113" s="42"/>
      <c r="J113" s="27" t="s">
        <v>410</v>
      </c>
      <c r="K113" s="42"/>
    </row>
    <row r="114" ht="39.75" hidden="1" customHeight="1">
      <c r="A114" s="1">
        <v>113.0</v>
      </c>
      <c r="B114" s="2" t="s">
        <v>331</v>
      </c>
      <c r="C114" s="2" t="s">
        <v>13</v>
      </c>
      <c r="D114" s="13"/>
      <c r="E114" s="13"/>
      <c r="F114" s="45"/>
      <c r="G114" s="42"/>
      <c r="H114" s="42"/>
      <c r="I114" s="42"/>
      <c r="J114" s="27" t="s">
        <v>412</v>
      </c>
      <c r="K114" s="42"/>
    </row>
    <row r="115" ht="39.75" customHeight="1">
      <c r="A115" s="1">
        <v>114.0</v>
      </c>
      <c r="B115" s="2" t="s">
        <v>21</v>
      </c>
      <c r="C115" s="2" t="s">
        <v>63</v>
      </c>
      <c r="D115" s="13"/>
      <c r="E115" s="13"/>
      <c r="F115" s="45"/>
      <c r="G115" s="42"/>
      <c r="H115" s="42"/>
      <c r="I115" s="42"/>
      <c r="J115" s="27" t="s">
        <v>413</v>
      </c>
      <c r="K115" s="42"/>
    </row>
    <row r="116" ht="39.75" hidden="1" customHeight="1">
      <c r="A116" s="1">
        <v>115.0</v>
      </c>
      <c r="B116" s="2" t="s">
        <v>22</v>
      </c>
      <c r="C116" s="2" t="s">
        <v>13</v>
      </c>
      <c r="D116" s="13"/>
      <c r="E116" s="13"/>
      <c r="F116" s="45"/>
      <c r="G116" s="42"/>
      <c r="H116" s="42"/>
      <c r="I116" s="42"/>
      <c r="J116" s="22"/>
      <c r="K116" s="42"/>
    </row>
    <row r="117" ht="39.75" hidden="1" customHeight="1">
      <c r="A117" s="1">
        <v>116.0</v>
      </c>
      <c r="B117" s="2" t="s">
        <v>23</v>
      </c>
      <c r="C117" s="2" t="s">
        <v>13</v>
      </c>
      <c r="D117" s="13"/>
      <c r="E117" s="13"/>
      <c r="F117" s="45"/>
      <c r="G117" s="42"/>
      <c r="H117" s="42"/>
      <c r="I117" s="42"/>
      <c r="J117" s="22"/>
      <c r="K117" s="42"/>
    </row>
    <row r="118" ht="39.75" hidden="1" customHeight="1">
      <c r="A118" s="1">
        <v>117.0</v>
      </c>
      <c r="B118" s="2" t="s">
        <v>24</v>
      </c>
      <c r="C118" s="2" t="s">
        <v>13</v>
      </c>
      <c r="D118" s="13"/>
      <c r="E118" s="13"/>
      <c r="F118" s="45"/>
      <c r="G118" s="42"/>
      <c r="H118" s="42"/>
      <c r="I118" s="42"/>
      <c r="J118" s="22"/>
      <c r="K118" s="42"/>
    </row>
    <row r="119" ht="39.75" hidden="1" customHeight="1">
      <c r="A119" s="1">
        <v>118.0</v>
      </c>
      <c r="B119" s="2" t="s">
        <v>25</v>
      </c>
      <c r="C119" s="2" t="s">
        <v>13</v>
      </c>
      <c r="D119" s="13"/>
      <c r="E119" s="13"/>
      <c r="F119" s="45"/>
      <c r="G119" s="42"/>
      <c r="H119" s="42"/>
      <c r="I119" s="42"/>
      <c r="J119" s="22"/>
      <c r="K119" s="42"/>
    </row>
    <row r="120" ht="39.75" customHeight="1">
      <c r="A120" s="1">
        <v>119.0</v>
      </c>
      <c r="B120" s="2" t="s">
        <v>26</v>
      </c>
      <c r="C120" s="2"/>
      <c r="D120" s="13"/>
      <c r="E120" s="13"/>
      <c r="F120" s="44" t="s">
        <v>4522</v>
      </c>
      <c r="G120" s="43">
        <v>1.0</v>
      </c>
      <c r="H120" s="43">
        <v>1.0</v>
      </c>
      <c r="I120" s="42"/>
      <c r="J120" s="22"/>
      <c r="K120" s="42"/>
    </row>
    <row r="121" ht="39.75" hidden="1" customHeight="1">
      <c r="A121" s="1">
        <v>120.0</v>
      </c>
      <c r="B121" s="2" t="s">
        <v>29</v>
      </c>
      <c r="C121" s="2" t="s">
        <v>13</v>
      </c>
      <c r="D121" s="13"/>
      <c r="E121" s="13"/>
      <c r="F121" s="45"/>
      <c r="G121" s="42"/>
      <c r="H121" s="42"/>
      <c r="I121" s="42"/>
      <c r="J121" s="22"/>
      <c r="K121" s="42"/>
    </row>
    <row r="122" ht="39.75" hidden="1" customHeight="1">
      <c r="A122" s="1">
        <v>121.0</v>
      </c>
      <c r="B122" s="2" t="s">
        <v>30</v>
      </c>
      <c r="C122" s="2" t="s">
        <v>13</v>
      </c>
      <c r="D122" s="13"/>
      <c r="E122" s="13"/>
      <c r="F122" s="45"/>
      <c r="G122" s="42"/>
      <c r="H122" s="42"/>
      <c r="I122" s="42"/>
      <c r="J122" s="22"/>
      <c r="K122" s="42"/>
    </row>
    <row r="123" ht="39.75" customHeight="1">
      <c r="A123" s="1">
        <v>122.0</v>
      </c>
      <c r="B123" s="2" t="s">
        <v>31</v>
      </c>
      <c r="C123" s="2" t="s">
        <v>49</v>
      </c>
      <c r="D123" s="13"/>
      <c r="E123" s="51">
        <v>0.8125</v>
      </c>
      <c r="F123" s="44" t="s">
        <v>4525</v>
      </c>
      <c r="G123" s="43">
        <v>1.0</v>
      </c>
      <c r="H123" s="42"/>
      <c r="I123" s="42"/>
      <c r="J123" s="22"/>
      <c r="K123" s="42"/>
    </row>
    <row r="124" ht="39.75" customHeight="1">
      <c r="A124" s="1">
        <v>123.0</v>
      </c>
      <c r="B124" s="2" t="s">
        <v>32</v>
      </c>
      <c r="C124" s="2" t="s">
        <v>27</v>
      </c>
      <c r="D124" s="13"/>
      <c r="E124" s="13"/>
      <c r="F124" s="44" t="s">
        <v>4526</v>
      </c>
      <c r="G124" s="43">
        <v>1.0</v>
      </c>
      <c r="H124" s="42"/>
      <c r="I124" s="43">
        <v>1.0</v>
      </c>
      <c r="J124" s="22"/>
      <c r="K124" s="42"/>
    </row>
    <row r="125" ht="39.75" hidden="1" customHeight="1">
      <c r="A125" s="1">
        <v>124.0</v>
      </c>
      <c r="B125" s="2" t="s">
        <v>67</v>
      </c>
      <c r="C125" s="2" t="s">
        <v>13</v>
      </c>
      <c r="D125" s="13"/>
      <c r="E125" s="13"/>
      <c r="F125" s="45"/>
      <c r="G125" s="42"/>
      <c r="H125" s="42"/>
      <c r="I125" s="42"/>
      <c r="J125" s="22"/>
      <c r="K125" s="42"/>
    </row>
    <row r="126" ht="39.75" customHeight="1">
      <c r="A126" s="1">
        <v>125.0</v>
      </c>
      <c r="B126" s="2" t="s">
        <v>35</v>
      </c>
      <c r="C126" s="2" t="s">
        <v>39</v>
      </c>
      <c r="D126" s="53">
        <v>0.2916666666666667</v>
      </c>
      <c r="E126" s="51">
        <v>0.75</v>
      </c>
      <c r="F126" s="44" t="s">
        <v>4527</v>
      </c>
      <c r="G126" s="43">
        <v>1.0</v>
      </c>
      <c r="H126" s="43">
        <v>1.0</v>
      </c>
      <c r="I126" s="42"/>
      <c r="J126" s="22"/>
      <c r="K126" s="42"/>
    </row>
    <row r="127" ht="39.75" hidden="1" customHeight="1">
      <c r="A127" s="1">
        <v>126.0</v>
      </c>
      <c r="B127" s="2" t="s">
        <v>36</v>
      </c>
      <c r="C127" s="2" t="s">
        <v>13</v>
      </c>
      <c r="D127" s="13"/>
      <c r="E127" s="13"/>
      <c r="F127" s="45"/>
      <c r="G127" s="42"/>
      <c r="H127" s="42"/>
      <c r="I127" s="42"/>
      <c r="J127" s="22"/>
      <c r="K127" s="42"/>
    </row>
    <row r="128" ht="39.75" customHeight="1">
      <c r="A128" s="1">
        <v>127.0</v>
      </c>
      <c r="B128" s="2" t="s">
        <v>38</v>
      </c>
      <c r="C128" s="2"/>
      <c r="D128" s="40">
        <v>0.375</v>
      </c>
      <c r="E128" s="13"/>
      <c r="F128" s="44" t="s">
        <v>4528</v>
      </c>
      <c r="G128" s="43">
        <v>1.0</v>
      </c>
      <c r="H128" s="42"/>
      <c r="I128" s="42"/>
      <c r="J128" s="22"/>
      <c r="K128" s="42"/>
    </row>
    <row r="129" ht="39.75" hidden="1" customHeight="1">
      <c r="A129" s="1">
        <v>128.0</v>
      </c>
      <c r="B129" s="2" t="s">
        <v>41</v>
      </c>
      <c r="C129" s="2" t="s">
        <v>13</v>
      </c>
      <c r="D129" s="13"/>
      <c r="E129" s="13"/>
      <c r="F129" s="45"/>
      <c r="G129" s="42"/>
      <c r="H129" s="42"/>
      <c r="I129" s="42"/>
      <c r="J129" s="22"/>
      <c r="K129" s="42"/>
    </row>
    <row r="130" ht="39.75" hidden="1" customHeight="1">
      <c r="A130" s="1">
        <v>129.0</v>
      </c>
      <c r="B130" s="2" t="s">
        <v>42</v>
      </c>
      <c r="C130" s="2" t="s">
        <v>13</v>
      </c>
      <c r="D130" s="13"/>
      <c r="E130" s="13"/>
      <c r="F130" s="45"/>
      <c r="G130" s="42"/>
      <c r="H130" s="42"/>
      <c r="I130" s="42"/>
      <c r="J130" s="22"/>
      <c r="K130" s="42"/>
    </row>
    <row r="131" ht="39.75" customHeight="1">
      <c r="A131" s="1">
        <v>130.0</v>
      </c>
      <c r="B131" s="2" t="s">
        <v>267</v>
      </c>
      <c r="C131" s="2" t="s">
        <v>272</v>
      </c>
      <c r="D131" s="13"/>
      <c r="E131" s="13"/>
      <c r="F131" s="44" t="s">
        <v>1186</v>
      </c>
      <c r="G131" s="43">
        <v>1.0</v>
      </c>
      <c r="H131" s="42"/>
      <c r="I131" s="43">
        <v>1.0</v>
      </c>
      <c r="J131" s="22"/>
      <c r="K131" s="42"/>
    </row>
    <row r="132" ht="39.75" customHeight="1">
      <c r="A132" s="1">
        <v>131.0</v>
      </c>
      <c r="B132" s="2" t="s">
        <v>45</v>
      </c>
      <c r="C132" s="2"/>
      <c r="D132" s="40">
        <v>0.375</v>
      </c>
      <c r="E132" s="13"/>
      <c r="F132" s="44" t="s">
        <v>4529</v>
      </c>
      <c r="G132" s="43">
        <v>2.0</v>
      </c>
      <c r="H132" s="42"/>
      <c r="I132" s="43">
        <v>2.0</v>
      </c>
      <c r="J132" s="22"/>
      <c r="K132" s="42"/>
    </row>
    <row r="133" ht="39.75" hidden="1" customHeight="1">
      <c r="A133" s="1">
        <v>132.0</v>
      </c>
      <c r="B133" s="2" t="s">
        <v>46</v>
      </c>
      <c r="C133" s="2" t="s">
        <v>13</v>
      </c>
      <c r="D133" s="13"/>
      <c r="E133" s="13"/>
      <c r="F133" s="45"/>
      <c r="G133" s="42"/>
      <c r="H133" s="42"/>
      <c r="I133" s="42"/>
      <c r="J133" s="22"/>
      <c r="K133" s="42"/>
    </row>
    <row r="134" ht="39.75" hidden="1" customHeight="1">
      <c r="A134" s="1">
        <v>133.0</v>
      </c>
      <c r="B134" s="2" t="s">
        <v>47</v>
      </c>
      <c r="C134" s="2" t="s">
        <v>13</v>
      </c>
      <c r="D134" s="13"/>
      <c r="E134" s="13"/>
      <c r="F134" s="45"/>
      <c r="G134" s="42"/>
      <c r="H134" s="42"/>
      <c r="I134" s="42"/>
      <c r="J134" s="22"/>
      <c r="K134" s="42"/>
    </row>
    <row r="135" ht="39.75" hidden="1" customHeight="1">
      <c r="A135" s="1">
        <v>134.0</v>
      </c>
      <c r="B135" s="2" t="s">
        <v>48</v>
      </c>
      <c r="C135" s="2" t="s">
        <v>13</v>
      </c>
      <c r="D135" s="13"/>
      <c r="E135" s="13"/>
      <c r="F135" s="45"/>
      <c r="G135" s="42"/>
      <c r="H135" s="42"/>
      <c r="I135" s="42"/>
      <c r="J135" s="22"/>
      <c r="K135" s="42"/>
    </row>
    <row r="136" ht="39.75" customHeight="1">
      <c r="A136" s="1">
        <v>135.0</v>
      </c>
      <c r="B136" s="21"/>
      <c r="C136" s="21"/>
      <c r="D136" s="21"/>
      <c r="E136" s="21"/>
      <c r="F136" s="46"/>
      <c r="G136" s="47"/>
      <c r="H136" s="47"/>
      <c r="I136" s="47"/>
      <c r="J136" s="48"/>
      <c r="K136" s="47"/>
      <c r="L136" s="49"/>
      <c r="M136" s="49"/>
      <c r="N136" s="49"/>
    </row>
    <row r="137" ht="39.75" customHeight="1">
      <c r="A137" s="1">
        <v>136.0</v>
      </c>
      <c r="B137" s="2" t="s">
        <v>12</v>
      </c>
      <c r="C137" s="2" t="s">
        <v>27</v>
      </c>
      <c r="D137" s="13"/>
      <c r="E137" s="13"/>
      <c r="F137" s="45"/>
      <c r="G137" s="42"/>
      <c r="H137" s="42"/>
      <c r="I137" s="42"/>
      <c r="J137" s="27" t="s">
        <v>4481</v>
      </c>
      <c r="K137" s="43"/>
      <c r="L137" s="15" t="s">
        <v>128</v>
      </c>
    </row>
    <row r="138" ht="39.75" hidden="1" customHeight="1">
      <c r="A138" s="1">
        <v>137.0</v>
      </c>
      <c r="B138" s="2" t="s">
        <v>16</v>
      </c>
      <c r="C138" s="2" t="s">
        <v>13</v>
      </c>
      <c r="D138" s="13"/>
      <c r="E138" s="13"/>
      <c r="F138" s="45"/>
      <c r="G138" s="42"/>
      <c r="H138" s="42"/>
      <c r="I138" s="42"/>
      <c r="J138" s="27" t="s">
        <v>128</v>
      </c>
      <c r="K138" s="43"/>
    </row>
    <row r="139" ht="39.75" hidden="1" customHeight="1">
      <c r="A139" s="1">
        <v>138.0</v>
      </c>
      <c r="B139" s="2" t="s">
        <v>116</v>
      </c>
      <c r="C139" s="2" t="s">
        <v>13</v>
      </c>
      <c r="D139" s="13"/>
      <c r="E139" s="13"/>
      <c r="F139" s="45"/>
      <c r="G139" s="42"/>
      <c r="H139" s="42"/>
      <c r="I139" s="42"/>
      <c r="J139" s="27" t="s">
        <v>56</v>
      </c>
      <c r="K139" s="43"/>
    </row>
    <row r="140" ht="39.75" hidden="1" customHeight="1">
      <c r="A140" s="1">
        <v>139.0</v>
      </c>
      <c r="B140" s="2" t="s">
        <v>17</v>
      </c>
      <c r="C140" s="2" t="s">
        <v>13</v>
      </c>
      <c r="D140" s="13"/>
      <c r="E140" s="13"/>
      <c r="F140" s="44"/>
      <c r="G140" s="42"/>
      <c r="H140" s="42"/>
      <c r="I140" s="42"/>
      <c r="J140" s="27" t="s">
        <v>410</v>
      </c>
      <c r="K140" s="43"/>
    </row>
    <row r="141" ht="39.75" hidden="1" customHeight="1">
      <c r="A141" s="1">
        <v>140.0</v>
      </c>
      <c r="B141" s="2" t="s">
        <v>331</v>
      </c>
      <c r="C141" s="2" t="s">
        <v>13</v>
      </c>
      <c r="D141" s="13"/>
      <c r="E141" s="13"/>
      <c r="F141" s="45"/>
      <c r="G141" s="42"/>
      <c r="H141" s="42"/>
      <c r="I141" s="42"/>
      <c r="J141" s="27" t="s">
        <v>412</v>
      </c>
      <c r="K141" s="43"/>
    </row>
    <row r="142" ht="39.75" customHeight="1">
      <c r="A142" s="1">
        <v>141.0</v>
      </c>
      <c r="B142" s="2" t="s">
        <v>21</v>
      </c>
      <c r="C142" s="2" t="s">
        <v>63</v>
      </c>
      <c r="D142" s="13"/>
      <c r="E142" s="13"/>
      <c r="F142" s="45"/>
      <c r="G142" s="42"/>
      <c r="H142" s="42"/>
      <c r="I142" s="42"/>
      <c r="J142" s="27" t="s">
        <v>413</v>
      </c>
      <c r="K142" s="43"/>
    </row>
    <row r="143" ht="39.75" hidden="1" customHeight="1">
      <c r="A143" s="1">
        <v>142.0</v>
      </c>
      <c r="B143" s="2" t="s">
        <v>22</v>
      </c>
      <c r="C143" s="2" t="s">
        <v>13</v>
      </c>
      <c r="D143" s="13"/>
      <c r="E143" s="13"/>
      <c r="F143" s="45"/>
      <c r="G143" s="42"/>
      <c r="H143" s="42"/>
      <c r="I143" s="42"/>
      <c r="J143" s="22"/>
      <c r="K143" s="42"/>
    </row>
    <row r="144" ht="39.75" hidden="1" customHeight="1">
      <c r="A144" s="1">
        <v>143.0</v>
      </c>
      <c r="B144" s="2" t="s">
        <v>23</v>
      </c>
      <c r="C144" s="2" t="s">
        <v>13</v>
      </c>
      <c r="D144" s="13"/>
      <c r="E144" s="13"/>
      <c r="F144" s="45"/>
      <c r="G144" s="42"/>
      <c r="H144" s="42"/>
      <c r="I144" s="42"/>
      <c r="J144" s="22"/>
      <c r="K144" s="42"/>
    </row>
    <row r="145" ht="39.75" hidden="1" customHeight="1">
      <c r="A145" s="1">
        <v>144.0</v>
      </c>
      <c r="B145" s="2" t="s">
        <v>24</v>
      </c>
      <c r="C145" s="2" t="s">
        <v>13</v>
      </c>
      <c r="D145" s="13"/>
      <c r="E145" s="13"/>
      <c r="F145" s="45"/>
      <c r="G145" s="42"/>
      <c r="H145" s="42"/>
      <c r="I145" s="42"/>
      <c r="J145" s="22"/>
      <c r="K145" s="42"/>
    </row>
    <row r="146" ht="39.75" hidden="1" customHeight="1">
      <c r="A146" s="1">
        <v>145.0</v>
      </c>
      <c r="B146" s="2" t="s">
        <v>25</v>
      </c>
      <c r="C146" s="2" t="s">
        <v>13</v>
      </c>
      <c r="D146" s="13"/>
      <c r="E146" s="13"/>
      <c r="F146" s="45"/>
      <c r="G146" s="42"/>
      <c r="H146" s="42"/>
      <c r="I146" s="42"/>
      <c r="J146" s="22"/>
      <c r="K146" s="42"/>
    </row>
    <row r="147" ht="39.75" customHeight="1">
      <c r="A147" s="1">
        <v>146.0</v>
      </c>
      <c r="B147" s="2" t="s">
        <v>26</v>
      </c>
      <c r="C147" s="2"/>
      <c r="D147" s="13"/>
      <c r="E147" s="13"/>
      <c r="F147" s="44" t="s">
        <v>4522</v>
      </c>
      <c r="G147" s="43">
        <v>1.0</v>
      </c>
      <c r="H147" s="43">
        <v>1.0</v>
      </c>
      <c r="I147" s="42"/>
      <c r="J147" s="22"/>
      <c r="K147" s="42"/>
    </row>
    <row r="148" ht="39.75" hidden="1" customHeight="1">
      <c r="A148" s="1">
        <v>147.0</v>
      </c>
      <c r="B148" s="2" t="s">
        <v>29</v>
      </c>
      <c r="C148" s="2" t="s">
        <v>13</v>
      </c>
      <c r="D148" s="13"/>
      <c r="E148" s="13"/>
      <c r="F148" s="45"/>
      <c r="G148" s="42"/>
      <c r="H148" s="42"/>
      <c r="I148" s="42"/>
      <c r="J148" s="22"/>
      <c r="K148" s="42"/>
    </row>
    <row r="149" ht="39.75" customHeight="1">
      <c r="A149" s="1">
        <v>148.0</v>
      </c>
      <c r="B149" s="2" t="s">
        <v>33</v>
      </c>
      <c r="C149" s="2" t="s">
        <v>272</v>
      </c>
      <c r="D149" s="13"/>
      <c r="E149" s="13"/>
      <c r="F149" s="44" t="s">
        <v>1186</v>
      </c>
      <c r="G149" s="43">
        <v>1.0</v>
      </c>
      <c r="H149" s="42"/>
      <c r="I149" s="43">
        <v>1.0</v>
      </c>
      <c r="J149" s="22"/>
      <c r="K149" s="42"/>
    </row>
    <row r="150" ht="39.75" customHeight="1">
      <c r="A150" s="1">
        <v>149.0</v>
      </c>
      <c r="B150" s="2" t="s">
        <v>31</v>
      </c>
      <c r="C150" s="2" t="s">
        <v>39</v>
      </c>
      <c r="D150" s="40">
        <v>0.3333333333333333</v>
      </c>
      <c r="E150" s="13"/>
      <c r="F150" s="44" t="s">
        <v>4530</v>
      </c>
      <c r="G150" s="43">
        <v>2.0</v>
      </c>
      <c r="H150" s="42"/>
      <c r="I150" s="43">
        <v>2.0</v>
      </c>
      <c r="J150" s="22"/>
      <c r="K150" s="42"/>
    </row>
    <row r="151" ht="39.75" customHeight="1">
      <c r="A151" s="1">
        <v>150.0</v>
      </c>
      <c r="B151" s="2" t="s">
        <v>32</v>
      </c>
      <c r="C151" s="2" t="s">
        <v>44</v>
      </c>
      <c r="D151" s="13"/>
      <c r="E151" s="13"/>
      <c r="F151" s="52" t="s">
        <v>4531</v>
      </c>
      <c r="G151" s="43">
        <v>1.0</v>
      </c>
      <c r="H151" s="42"/>
      <c r="I151" s="43">
        <v>1.0</v>
      </c>
      <c r="J151" s="22"/>
      <c r="K151" s="42"/>
    </row>
    <row r="152" ht="39.75" customHeight="1">
      <c r="A152" s="1">
        <v>151.0</v>
      </c>
      <c r="B152" s="2" t="s">
        <v>67</v>
      </c>
      <c r="C152" s="2"/>
      <c r="D152" s="40">
        <v>0.375</v>
      </c>
      <c r="E152" s="13"/>
      <c r="F152" s="44" t="s">
        <v>4532</v>
      </c>
      <c r="G152" s="43">
        <v>1.0</v>
      </c>
      <c r="H152" s="42"/>
      <c r="I152" s="42"/>
      <c r="J152" s="22"/>
      <c r="K152" s="42"/>
    </row>
    <row r="153" ht="39.75" customHeight="1">
      <c r="A153" s="1">
        <v>152.0</v>
      </c>
      <c r="B153" s="2" t="s">
        <v>35</v>
      </c>
      <c r="C153" s="2"/>
      <c r="D153" s="40">
        <v>0.375</v>
      </c>
      <c r="E153" s="13"/>
      <c r="F153" s="44" t="s">
        <v>4533</v>
      </c>
      <c r="G153" s="43">
        <v>1.0</v>
      </c>
      <c r="H153" s="42"/>
      <c r="I153" s="42"/>
      <c r="J153" s="22"/>
      <c r="K153" s="42"/>
    </row>
    <row r="154" ht="39.75" hidden="1" customHeight="1">
      <c r="A154" s="1">
        <v>153.0</v>
      </c>
      <c r="B154" s="2" t="s">
        <v>36</v>
      </c>
      <c r="C154" s="2" t="s">
        <v>13</v>
      </c>
      <c r="D154" s="13"/>
      <c r="E154" s="13"/>
      <c r="F154" s="45"/>
      <c r="G154" s="42"/>
      <c r="H154" s="42"/>
      <c r="I154" s="42"/>
      <c r="J154" s="22"/>
      <c r="K154" s="42"/>
    </row>
    <row r="155" ht="39.75" hidden="1" customHeight="1">
      <c r="A155" s="1">
        <v>154.0</v>
      </c>
      <c r="B155" s="2" t="s">
        <v>38</v>
      </c>
      <c r="C155" s="2" t="s">
        <v>13</v>
      </c>
      <c r="D155" s="13"/>
      <c r="E155" s="13"/>
      <c r="F155" s="45"/>
      <c r="G155" s="42"/>
      <c r="H155" s="42"/>
      <c r="I155" s="42"/>
      <c r="J155" s="22"/>
      <c r="K155" s="42"/>
    </row>
    <row r="156" ht="39.75" hidden="1" customHeight="1">
      <c r="A156" s="1">
        <v>155.0</v>
      </c>
      <c r="B156" s="2" t="s">
        <v>41</v>
      </c>
      <c r="C156" s="2" t="s">
        <v>13</v>
      </c>
      <c r="D156" s="13"/>
      <c r="E156" s="13"/>
      <c r="F156" s="45"/>
      <c r="G156" s="42"/>
      <c r="H156" s="42"/>
      <c r="I156" s="42"/>
      <c r="J156" s="22"/>
      <c r="K156" s="42"/>
    </row>
    <row r="157" ht="39.75" hidden="1" customHeight="1">
      <c r="A157" s="1">
        <v>156.0</v>
      </c>
      <c r="B157" s="2" t="s">
        <v>42</v>
      </c>
      <c r="C157" s="2" t="s">
        <v>13</v>
      </c>
      <c r="D157" s="13"/>
      <c r="E157" s="13"/>
      <c r="F157" s="45"/>
      <c r="G157" s="42"/>
      <c r="H157" s="42"/>
      <c r="I157" s="42"/>
      <c r="J157" s="22"/>
      <c r="K157" s="42"/>
    </row>
    <row r="158" ht="39.75" hidden="1" customHeight="1">
      <c r="A158" s="1">
        <v>157.0</v>
      </c>
      <c r="B158" s="2" t="s">
        <v>43</v>
      </c>
      <c r="C158" s="2" t="s">
        <v>13</v>
      </c>
      <c r="D158" s="13"/>
      <c r="E158" s="13"/>
      <c r="F158" s="45"/>
      <c r="G158" s="42"/>
      <c r="H158" s="42"/>
      <c r="I158" s="42"/>
      <c r="J158" s="22"/>
      <c r="K158" s="42"/>
    </row>
    <row r="159" ht="39.75" hidden="1" customHeight="1">
      <c r="A159" s="1">
        <v>158.0</v>
      </c>
      <c r="B159" s="2" t="s">
        <v>45</v>
      </c>
      <c r="C159" s="2" t="s">
        <v>13</v>
      </c>
      <c r="D159" s="13"/>
      <c r="E159" s="13"/>
      <c r="F159" s="45"/>
      <c r="G159" s="42"/>
      <c r="H159" s="42"/>
      <c r="I159" s="42"/>
      <c r="J159" s="22"/>
      <c r="K159" s="42"/>
    </row>
    <row r="160" ht="39.75" hidden="1" customHeight="1">
      <c r="A160" s="1">
        <v>159.0</v>
      </c>
      <c r="B160" s="2" t="s">
        <v>46</v>
      </c>
      <c r="C160" s="2" t="s">
        <v>13</v>
      </c>
      <c r="D160" s="13"/>
      <c r="E160" s="13"/>
      <c r="F160" s="45"/>
      <c r="G160" s="42"/>
      <c r="H160" s="42"/>
      <c r="I160" s="42"/>
      <c r="J160" s="22"/>
      <c r="K160" s="42"/>
    </row>
    <row r="161" ht="39.75" customHeight="1">
      <c r="A161" s="1">
        <v>160.0</v>
      </c>
      <c r="B161" s="2" t="s">
        <v>47</v>
      </c>
      <c r="C161" s="2" t="s">
        <v>69</v>
      </c>
      <c r="D161" s="40">
        <v>0.4583333333333333</v>
      </c>
      <c r="E161" s="13"/>
      <c r="F161" s="44" t="s">
        <v>4534</v>
      </c>
      <c r="G161" s="43">
        <v>1.0</v>
      </c>
      <c r="H161" s="42"/>
      <c r="I161" s="43">
        <v>1.0</v>
      </c>
      <c r="J161" s="22"/>
      <c r="K161" s="42"/>
    </row>
    <row r="162" ht="39.75" customHeight="1">
      <c r="A162" s="1">
        <v>161.0</v>
      </c>
      <c r="B162" s="2" t="s">
        <v>48</v>
      </c>
      <c r="C162" s="2" t="s">
        <v>69</v>
      </c>
      <c r="D162" s="40">
        <v>0.4583333333333333</v>
      </c>
      <c r="E162" s="40">
        <v>0.8333333333333334</v>
      </c>
      <c r="F162" s="44" t="s">
        <v>4535</v>
      </c>
      <c r="G162" s="43">
        <v>1.0</v>
      </c>
      <c r="H162" s="42"/>
      <c r="I162" s="42"/>
      <c r="J162" s="22"/>
      <c r="K162" s="42"/>
    </row>
    <row r="163" ht="39.75" customHeight="1">
      <c r="A163" s="1">
        <v>162.0</v>
      </c>
      <c r="B163" s="21"/>
      <c r="C163" s="21"/>
      <c r="D163" s="21"/>
      <c r="E163" s="21"/>
      <c r="F163" s="46"/>
      <c r="G163" s="47"/>
      <c r="H163" s="47"/>
      <c r="I163" s="47"/>
      <c r="J163" s="48"/>
      <c r="K163" s="47"/>
      <c r="L163" s="49"/>
      <c r="M163" s="49"/>
      <c r="N163" s="49"/>
    </row>
    <row r="164" ht="39.75" customHeight="1">
      <c r="A164" s="1">
        <v>163.0</v>
      </c>
      <c r="B164" s="2" t="s">
        <v>12</v>
      </c>
      <c r="C164" s="2" t="s">
        <v>44</v>
      </c>
      <c r="D164" s="13"/>
      <c r="E164" s="13"/>
      <c r="F164" s="45"/>
      <c r="G164" s="42"/>
      <c r="H164" s="42"/>
      <c r="I164" s="42"/>
      <c r="J164" s="27" t="s">
        <v>4481</v>
      </c>
      <c r="K164" s="43"/>
      <c r="L164" s="15" t="s">
        <v>147</v>
      </c>
    </row>
    <row r="165" ht="39.75" hidden="1" customHeight="1">
      <c r="A165" s="1">
        <v>164.0</v>
      </c>
      <c r="B165" s="2" t="s">
        <v>16</v>
      </c>
      <c r="C165" s="2" t="s">
        <v>13</v>
      </c>
      <c r="D165" s="13"/>
      <c r="E165" s="13"/>
      <c r="F165" s="45"/>
      <c r="G165" s="42"/>
      <c r="H165" s="42"/>
      <c r="I165" s="42"/>
      <c r="J165" s="27" t="s">
        <v>147</v>
      </c>
      <c r="K165" s="43"/>
    </row>
    <row r="166" ht="39.75" hidden="1" customHeight="1">
      <c r="A166" s="1">
        <v>165.0</v>
      </c>
      <c r="B166" s="2" t="s">
        <v>116</v>
      </c>
      <c r="C166" s="2" t="s">
        <v>13</v>
      </c>
      <c r="D166" s="13"/>
      <c r="E166" s="13"/>
      <c r="F166" s="45"/>
      <c r="G166" s="42"/>
      <c r="H166" s="42"/>
      <c r="I166" s="42"/>
      <c r="J166" s="27" t="s">
        <v>77</v>
      </c>
      <c r="K166" s="43"/>
    </row>
    <row r="167" ht="39.75" customHeight="1">
      <c r="A167" s="1">
        <v>166.0</v>
      </c>
      <c r="B167" s="2" t="s">
        <v>17</v>
      </c>
      <c r="C167" s="2" t="s">
        <v>69</v>
      </c>
      <c r="D167" s="40">
        <v>0.4583333333333333</v>
      </c>
      <c r="E167" s="40">
        <v>0.7916666666666666</v>
      </c>
      <c r="F167" s="44" t="s">
        <v>4536</v>
      </c>
      <c r="G167" s="43">
        <v>1.0</v>
      </c>
      <c r="H167" s="42"/>
      <c r="I167" s="42"/>
      <c r="J167" s="27" t="s">
        <v>165</v>
      </c>
      <c r="K167" s="43"/>
    </row>
    <row r="168" ht="39.75" hidden="1" customHeight="1">
      <c r="A168" s="1">
        <v>167.0</v>
      </c>
      <c r="B168" s="2" t="s">
        <v>331</v>
      </c>
      <c r="C168" s="2" t="s">
        <v>13</v>
      </c>
      <c r="D168" s="13"/>
      <c r="E168" s="13"/>
      <c r="F168" s="45"/>
      <c r="G168" s="42"/>
      <c r="H168" s="42"/>
      <c r="I168" s="42"/>
      <c r="J168" s="27" t="s">
        <v>166</v>
      </c>
      <c r="K168" s="43"/>
    </row>
    <row r="169" ht="39.75" hidden="1" customHeight="1">
      <c r="A169" s="1">
        <v>168.0</v>
      </c>
      <c r="B169" s="2" t="s">
        <v>21</v>
      </c>
      <c r="C169" s="2" t="s">
        <v>13</v>
      </c>
      <c r="D169" s="13"/>
      <c r="E169" s="13"/>
      <c r="F169" s="45"/>
      <c r="G169" s="42"/>
      <c r="H169" s="42"/>
      <c r="I169" s="42"/>
      <c r="J169" s="27" t="s">
        <v>167</v>
      </c>
      <c r="K169" s="43"/>
    </row>
    <row r="170" ht="39.75" hidden="1" customHeight="1">
      <c r="A170" s="1">
        <v>169.0</v>
      </c>
      <c r="B170" s="2" t="s">
        <v>22</v>
      </c>
      <c r="C170" s="2" t="s">
        <v>13</v>
      </c>
      <c r="D170" s="13"/>
      <c r="E170" s="13"/>
      <c r="F170" s="45"/>
      <c r="G170" s="42"/>
      <c r="H170" s="42"/>
      <c r="I170" s="42"/>
      <c r="J170" s="22"/>
      <c r="K170" s="42"/>
    </row>
    <row r="171" ht="39.75" hidden="1" customHeight="1">
      <c r="A171" s="1">
        <v>170.0</v>
      </c>
      <c r="B171" s="2" t="s">
        <v>23</v>
      </c>
      <c r="C171" s="2" t="s">
        <v>13</v>
      </c>
      <c r="D171" s="13"/>
      <c r="E171" s="13"/>
      <c r="F171" s="45"/>
      <c r="G171" s="42"/>
      <c r="H171" s="42"/>
      <c r="I171" s="42"/>
      <c r="J171" s="22"/>
      <c r="K171" s="42"/>
    </row>
    <row r="172" ht="39.75" customHeight="1">
      <c r="A172" s="1">
        <v>171.0</v>
      </c>
      <c r="B172" s="2" t="s">
        <v>24</v>
      </c>
      <c r="C172" s="2" t="s">
        <v>63</v>
      </c>
      <c r="D172" s="13"/>
      <c r="E172" s="13"/>
      <c r="F172" s="45"/>
      <c r="G172" s="42"/>
      <c r="H172" s="42"/>
      <c r="I172" s="42"/>
      <c r="J172" s="22"/>
      <c r="K172" s="42"/>
    </row>
    <row r="173" ht="39.75" hidden="1" customHeight="1">
      <c r="A173" s="1">
        <v>172.0</v>
      </c>
      <c r="B173" s="2" t="s">
        <v>25</v>
      </c>
      <c r="C173" s="2" t="s">
        <v>13</v>
      </c>
      <c r="D173" s="13"/>
      <c r="E173" s="13"/>
      <c r="F173" s="45"/>
      <c r="G173" s="42"/>
      <c r="H173" s="42"/>
      <c r="I173" s="42"/>
      <c r="J173" s="22"/>
      <c r="K173" s="42"/>
    </row>
    <row r="174" ht="39.75" customHeight="1">
      <c r="A174" s="1">
        <v>173.0</v>
      </c>
      <c r="B174" s="2" t="s">
        <v>26</v>
      </c>
      <c r="C174" s="2"/>
      <c r="D174" s="13"/>
      <c r="E174" s="13"/>
      <c r="F174" s="44" t="s">
        <v>4522</v>
      </c>
      <c r="G174" s="43">
        <v>1.0</v>
      </c>
      <c r="H174" s="43">
        <v>1.0</v>
      </c>
      <c r="I174" s="42"/>
      <c r="J174" s="22"/>
      <c r="K174" s="42"/>
    </row>
    <row r="175" ht="39.75" hidden="1" customHeight="1">
      <c r="A175" s="1">
        <v>174.0</v>
      </c>
      <c r="B175" s="2" t="s">
        <v>29</v>
      </c>
      <c r="C175" s="2" t="s">
        <v>13</v>
      </c>
      <c r="D175" s="13"/>
      <c r="E175" s="13"/>
      <c r="F175" s="45"/>
      <c r="G175" s="42"/>
      <c r="H175" s="42"/>
      <c r="I175" s="42"/>
      <c r="J175" s="22"/>
      <c r="K175" s="42"/>
    </row>
    <row r="176" ht="39.75" hidden="1" customHeight="1">
      <c r="A176" s="1">
        <v>175.0</v>
      </c>
      <c r="B176" s="2" t="s">
        <v>30</v>
      </c>
      <c r="C176" s="2" t="s">
        <v>13</v>
      </c>
      <c r="D176" s="13"/>
      <c r="E176" s="13"/>
      <c r="F176" s="45"/>
      <c r="G176" s="42"/>
      <c r="H176" s="42"/>
      <c r="I176" s="42"/>
      <c r="J176" s="22"/>
      <c r="K176" s="42"/>
    </row>
    <row r="177" ht="39.75" customHeight="1">
      <c r="A177" s="1">
        <v>176.0</v>
      </c>
      <c r="B177" s="2" t="s">
        <v>31</v>
      </c>
      <c r="C177" s="13"/>
      <c r="D177" s="40">
        <v>0.375</v>
      </c>
      <c r="E177" s="13"/>
      <c r="F177" s="156" t="s">
        <v>4537</v>
      </c>
      <c r="G177" s="43">
        <v>1.0</v>
      </c>
      <c r="H177" s="42"/>
      <c r="I177" s="42"/>
      <c r="J177" s="22"/>
      <c r="K177" s="42"/>
    </row>
    <row r="178" ht="39.75" hidden="1" customHeight="1">
      <c r="A178" s="1">
        <v>177.0</v>
      </c>
      <c r="B178" s="2" t="s">
        <v>32</v>
      </c>
      <c r="C178" s="2" t="s">
        <v>13</v>
      </c>
      <c r="D178" s="13"/>
      <c r="E178" s="13"/>
      <c r="F178" s="45"/>
      <c r="G178" s="42"/>
      <c r="H178" s="42"/>
      <c r="I178" s="42"/>
      <c r="J178" s="22"/>
      <c r="K178" s="42"/>
    </row>
    <row r="179" ht="39.75" customHeight="1">
      <c r="A179" s="1">
        <v>178.0</v>
      </c>
      <c r="B179" s="2" t="s">
        <v>67</v>
      </c>
      <c r="C179" s="2" t="s">
        <v>69</v>
      </c>
      <c r="D179" s="40">
        <v>0.4583333333333333</v>
      </c>
      <c r="E179" s="40">
        <v>0.8125</v>
      </c>
      <c r="F179" s="44" t="s">
        <v>4538</v>
      </c>
      <c r="G179" s="43">
        <v>1.0</v>
      </c>
      <c r="H179" s="42"/>
      <c r="I179" s="42"/>
      <c r="J179" s="22"/>
      <c r="K179" s="42"/>
    </row>
    <row r="180" ht="39.75" hidden="1" customHeight="1">
      <c r="A180" s="1">
        <v>179.0</v>
      </c>
      <c r="B180" s="2" t="s">
        <v>35</v>
      </c>
      <c r="C180" s="2" t="s">
        <v>13</v>
      </c>
      <c r="D180" s="13"/>
      <c r="E180" s="13"/>
      <c r="F180" s="45"/>
      <c r="G180" s="42"/>
      <c r="H180" s="42"/>
      <c r="I180" s="42"/>
      <c r="J180" s="22"/>
      <c r="K180" s="42"/>
    </row>
    <row r="181" ht="39.75" customHeight="1">
      <c r="A181" s="1">
        <v>180.0</v>
      </c>
      <c r="B181" s="2" t="s">
        <v>36</v>
      </c>
      <c r="C181" s="2"/>
      <c r="D181" s="40">
        <v>0.375</v>
      </c>
      <c r="E181" s="13"/>
      <c r="F181" s="45"/>
      <c r="G181" s="42"/>
      <c r="H181" s="42"/>
      <c r="I181" s="42"/>
      <c r="J181" s="22"/>
      <c r="K181" s="42"/>
    </row>
    <row r="182" ht="39.75" hidden="1" customHeight="1">
      <c r="A182" s="1">
        <v>181.0</v>
      </c>
      <c r="B182" s="2" t="s">
        <v>38</v>
      </c>
      <c r="C182" s="2" t="s">
        <v>13</v>
      </c>
      <c r="D182" s="13"/>
      <c r="E182" s="13"/>
      <c r="F182" s="45"/>
      <c r="G182" s="42"/>
      <c r="H182" s="42"/>
      <c r="I182" s="42"/>
      <c r="J182" s="22"/>
      <c r="K182" s="42"/>
    </row>
    <row r="183" ht="39.75" hidden="1" customHeight="1">
      <c r="A183" s="1">
        <v>182.0</v>
      </c>
      <c r="B183" s="2" t="s">
        <v>41</v>
      </c>
      <c r="C183" s="2" t="s">
        <v>13</v>
      </c>
      <c r="D183" s="13"/>
      <c r="E183" s="13"/>
      <c r="F183" s="45"/>
      <c r="G183" s="42"/>
      <c r="H183" s="42"/>
      <c r="I183" s="42"/>
      <c r="J183" s="22"/>
      <c r="K183" s="42"/>
    </row>
    <row r="184" ht="39.75" customHeight="1">
      <c r="A184" s="1">
        <v>183.0</v>
      </c>
      <c r="B184" s="2" t="s">
        <v>267</v>
      </c>
      <c r="C184" s="2" t="s">
        <v>272</v>
      </c>
      <c r="D184" s="13"/>
      <c r="E184" s="13"/>
      <c r="F184" s="44" t="s">
        <v>1186</v>
      </c>
      <c r="G184" s="43">
        <v>1.0</v>
      </c>
      <c r="H184" s="42"/>
      <c r="I184" s="43">
        <v>1.0</v>
      </c>
      <c r="J184" s="22"/>
      <c r="K184" s="42"/>
    </row>
    <row r="185" ht="39.75" customHeight="1">
      <c r="A185" s="1">
        <v>184.0</v>
      </c>
      <c r="B185" s="2" t="s">
        <v>43</v>
      </c>
      <c r="C185" s="2" t="s">
        <v>39</v>
      </c>
      <c r="D185" s="40">
        <v>0.3333333333333333</v>
      </c>
      <c r="E185" s="13"/>
      <c r="F185" s="44" t="s">
        <v>4539</v>
      </c>
      <c r="G185" s="43">
        <v>1.0</v>
      </c>
      <c r="H185" s="42"/>
      <c r="I185" s="43">
        <v>1.0</v>
      </c>
      <c r="J185" s="22"/>
      <c r="K185" s="42"/>
    </row>
    <row r="186" ht="39.75" customHeight="1">
      <c r="A186" s="1">
        <v>185.0</v>
      </c>
      <c r="B186" s="2" t="s">
        <v>45</v>
      </c>
      <c r="C186" s="2" t="s">
        <v>27</v>
      </c>
      <c r="D186" s="13"/>
      <c r="E186" s="13"/>
      <c r="F186" s="45"/>
      <c r="G186" s="42"/>
      <c r="H186" s="42"/>
      <c r="I186" s="42"/>
      <c r="J186" s="22"/>
      <c r="K186" s="42"/>
    </row>
    <row r="187" ht="39.75" hidden="1" customHeight="1">
      <c r="A187" s="1">
        <v>186.0</v>
      </c>
      <c r="B187" s="2" t="s">
        <v>46</v>
      </c>
      <c r="C187" s="2" t="s">
        <v>13</v>
      </c>
      <c r="D187" s="13"/>
      <c r="E187" s="13"/>
      <c r="F187" s="45"/>
      <c r="G187" s="42"/>
      <c r="H187" s="42"/>
      <c r="I187" s="42"/>
      <c r="J187" s="22"/>
      <c r="K187" s="42"/>
    </row>
    <row r="188" ht="39.75" hidden="1" customHeight="1">
      <c r="A188" s="1">
        <v>187.0</v>
      </c>
      <c r="B188" s="2" t="s">
        <v>47</v>
      </c>
      <c r="C188" s="2" t="s">
        <v>13</v>
      </c>
      <c r="D188" s="13"/>
      <c r="E188" s="13"/>
      <c r="F188" s="45"/>
      <c r="G188" s="42"/>
      <c r="H188" s="42"/>
      <c r="I188" s="42"/>
      <c r="J188" s="22"/>
      <c r="K188" s="42"/>
    </row>
    <row r="189" ht="39.75" hidden="1" customHeight="1">
      <c r="A189" s="1">
        <v>188.0</v>
      </c>
      <c r="B189" s="2" t="s">
        <v>48</v>
      </c>
      <c r="C189" s="2" t="s">
        <v>13</v>
      </c>
      <c r="D189" s="13"/>
      <c r="E189" s="13"/>
      <c r="F189" s="45"/>
      <c r="G189" s="42"/>
      <c r="H189" s="42"/>
      <c r="I189" s="42"/>
      <c r="J189" s="22"/>
      <c r="K189" s="42"/>
    </row>
    <row r="190" ht="39.75" customHeight="1">
      <c r="A190" s="1">
        <v>189.0</v>
      </c>
      <c r="B190" s="21"/>
      <c r="C190" s="21"/>
      <c r="D190" s="21"/>
      <c r="E190" s="21"/>
      <c r="F190" s="46"/>
      <c r="G190" s="47"/>
      <c r="H190" s="47"/>
      <c r="I190" s="47"/>
      <c r="J190" s="48"/>
      <c r="K190" s="47"/>
      <c r="L190" s="49"/>
      <c r="M190" s="49"/>
      <c r="N190" s="49"/>
    </row>
    <row r="191" ht="39.75" customHeight="1">
      <c r="A191" s="1">
        <v>190.0</v>
      </c>
      <c r="B191" s="2" t="s">
        <v>268</v>
      </c>
      <c r="C191" s="2" t="s">
        <v>63</v>
      </c>
      <c r="D191" s="13"/>
      <c r="E191" s="13"/>
      <c r="F191" s="44" t="s">
        <v>4540</v>
      </c>
      <c r="G191" s="42"/>
      <c r="H191" s="42"/>
      <c r="I191" s="42"/>
      <c r="J191" s="27" t="s">
        <v>4481</v>
      </c>
      <c r="K191" s="42"/>
      <c r="L191" s="15" t="s">
        <v>163</v>
      </c>
    </row>
    <row r="192" ht="39.75" customHeight="1">
      <c r="A192" s="1">
        <v>191.0</v>
      </c>
      <c r="B192" s="2" t="s">
        <v>16</v>
      </c>
      <c r="C192" s="2" t="s">
        <v>39</v>
      </c>
      <c r="D192" s="40">
        <v>0.3333333333333333</v>
      </c>
      <c r="E192" s="13"/>
      <c r="F192" s="44" t="s">
        <v>4541</v>
      </c>
      <c r="G192" s="43">
        <v>1.0</v>
      </c>
      <c r="H192" s="42"/>
      <c r="I192" s="43">
        <v>1.0</v>
      </c>
      <c r="J192" s="27" t="s">
        <v>163</v>
      </c>
      <c r="K192" s="43"/>
    </row>
    <row r="193" ht="39.75" customHeight="1">
      <c r="A193" s="1">
        <v>192.0</v>
      </c>
      <c r="B193" s="2" t="s">
        <v>116</v>
      </c>
      <c r="C193" s="2"/>
      <c r="D193" s="40">
        <v>0.375</v>
      </c>
      <c r="E193" s="13"/>
      <c r="F193" s="44" t="s">
        <v>4542</v>
      </c>
      <c r="G193" s="43">
        <v>1.0</v>
      </c>
      <c r="H193" s="42"/>
      <c r="I193" s="42"/>
      <c r="J193" s="27" t="s">
        <v>95</v>
      </c>
      <c r="K193" s="42"/>
    </row>
    <row r="194" ht="39.75" customHeight="1">
      <c r="A194" s="1">
        <v>193.0</v>
      </c>
      <c r="B194" s="2" t="s">
        <v>17</v>
      </c>
      <c r="C194" s="2"/>
      <c r="D194" s="53">
        <v>0.2916666666666667</v>
      </c>
      <c r="E194" s="13"/>
      <c r="F194" s="44" t="s">
        <v>4543</v>
      </c>
      <c r="G194" s="43">
        <v>1.0</v>
      </c>
      <c r="H194" s="43">
        <v>1.0</v>
      </c>
      <c r="I194" s="42"/>
      <c r="J194" s="27" t="s">
        <v>151</v>
      </c>
      <c r="K194" s="42"/>
    </row>
    <row r="195" ht="39.75" customHeight="1">
      <c r="A195" s="1">
        <v>194.0</v>
      </c>
      <c r="B195" s="2" t="s">
        <v>263</v>
      </c>
      <c r="C195" s="2" t="s">
        <v>272</v>
      </c>
      <c r="D195" s="13"/>
      <c r="E195" s="13"/>
      <c r="F195" s="44" t="s">
        <v>1186</v>
      </c>
      <c r="G195" s="43">
        <v>1.0</v>
      </c>
      <c r="H195" s="42"/>
      <c r="I195" s="43">
        <v>1.0</v>
      </c>
      <c r="J195" s="27" t="s">
        <v>152</v>
      </c>
      <c r="K195" s="42"/>
    </row>
    <row r="196" ht="39.75" customHeight="1">
      <c r="A196" s="1">
        <v>195.0</v>
      </c>
      <c r="B196" s="2" t="s">
        <v>20</v>
      </c>
      <c r="C196" s="2" t="s">
        <v>271</v>
      </c>
      <c r="D196" s="13"/>
      <c r="E196" s="13"/>
      <c r="F196" s="44" t="s">
        <v>3521</v>
      </c>
      <c r="G196" s="43">
        <v>1.0</v>
      </c>
      <c r="H196" s="42"/>
      <c r="I196" s="43">
        <v>1.0</v>
      </c>
      <c r="J196" s="27" t="s">
        <v>154</v>
      </c>
      <c r="K196" s="42"/>
    </row>
    <row r="197" ht="67.5" customHeight="1">
      <c r="A197" s="1">
        <v>196.0</v>
      </c>
      <c r="B197" s="2" t="s">
        <v>22</v>
      </c>
      <c r="C197" s="2" t="s">
        <v>69</v>
      </c>
      <c r="D197" s="40">
        <v>0.4583333333333333</v>
      </c>
      <c r="E197" s="51">
        <v>0.8611111111111112</v>
      </c>
      <c r="F197" s="44" t="s">
        <v>4544</v>
      </c>
      <c r="G197" s="43">
        <v>1.0</v>
      </c>
      <c r="H197" s="42"/>
      <c r="I197" s="42"/>
      <c r="J197" s="22"/>
      <c r="K197" s="42"/>
    </row>
    <row r="198" ht="39.75" hidden="1" customHeight="1">
      <c r="A198" s="1">
        <v>197.0</v>
      </c>
      <c r="B198" s="2" t="s">
        <v>23</v>
      </c>
      <c r="C198" s="2" t="s">
        <v>13</v>
      </c>
      <c r="D198" s="13"/>
      <c r="E198" s="13"/>
      <c r="F198" s="45"/>
      <c r="G198" s="42"/>
      <c r="H198" s="42"/>
      <c r="I198" s="42"/>
      <c r="J198" s="22"/>
      <c r="K198" s="42"/>
    </row>
    <row r="199" ht="39.75" hidden="1" customHeight="1">
      <c r="A199" s="1">
        <v>198.0</v>
      </c>
      <c r="B199" s="2" t="s">
        <v>24</v>
      </c>
      <c r="C199" s="2" t="s">
        <v>13</v>
      </c>
      <c r="D199" s="13"/>
      <c r="E199" s="13"/>
      <c r="F199" s="45"/>
      <c r="G199" s="42"/>
      <c r="H199" s="42"/>
      <c r="I199" s="42"/>
      <c r="J199" s="22"/>
      <c r="K199" s="42"/>
    </row>
    <row r="200" ht="39.75" hidden="1" customHeight="1">
      <c r="A200" s="1">
        <v>199.0</v>
      </c>
      <c r="B200" s="2" t="s">
        <v>25</v>
      </c>
      <c r="C200" s="2" t="s">
        <v>13</v>
      </c>
      <c r="D200" s="13"/>
      <c r="E200" s="13"/>
      <c r="F200" s="45"/>
      <c r="G200" s="42"/>
      <c r="H200" s="42"/>
      <c r="I200" s="42"/>
      <c r="J200" s="22"/>
      <c r="K200" s="42"/>
    </row>
    <row r="201" ht="39.75" customHeight="1">
      <c r="A201" s="1">
        <v>200.0</v>
      </c>
      <c r="B201" s="2" t="s">
        <v>26</v>
      </c>
      <c r="C201" s="2"/>
      <c r="D201" s="13"/>
      <c r="E201" s="13"/>
      <c r="F201" s="44" t="s">
        <v>4522</v>
      </c>
      <c r="G201" s="43">
        <v>1.0</v>
      </c>
      <c r="H201" s="43">
        <v>1.0</v>
      </c>
      <c r="I201" s="42"/>
      <c r="J201" s="22"/>
      <c r="K201" s="42"/>
    </row>
    <row r="202" ht="81.0" customHeight="1">
      <c r="A202" s="1">
        <v>201.0</v>
      </c>
      <c r="B202" s="2" t="s">
        <v>29</v>
      </c>
      <c r="C202" s="2" t="s">
        <v>69</v>
      </c>
      <c r="D202" s="40">
        <v>0.4583333333333333</v>
      </c>
      <c r="E202" s="13"/>
      <c r="F202" s="44" t="s">
        <v>4545</v>
      </c>
      <c r="G202" s="43">
        <v>2.0</v>
      </c>
      <c r="H202" s="42"/>
      <c r="I202" s="43">
        <v>1.0</v>
      </c>
      <c r="J202" s="22"/>
      <c r="K202" s="42"/>
    </row>
    <row r="203" ht="39.75" hidden="1" customHeight="1">
      <c r="A203" s="1">
        <v>202.0</v>
      </c>
      <c r="B203" s="2" t="s">
        <v>30</v>
      </c>
      <c r="C203" s="2" t="s">
        <v>13</v>
      </c>
      <c r="D203" s="13"/>
      <c r="E203" s="13"/>
      <c r="F203" s="45"/>
      <c r="G203" s="42"/>
      <c r="H203" s="42"/>
      <c r="I203" s="42"/>
      <c r="J203" s="22"/>
      <c r="K203" s="42"/>
    </row>
    <row r="204" ht="39.75" hidden="1" customHeight="1">
      <c r="A204" s="1">
        <v>203.0</v>
      </c>
      <c r="B204" s="2" t="s">
        <v>31</v>
      </c>
      <c r="C204" s="2" t="s">
        <v>13</v>
      </c>
      <c r="D204" s="13"/>
      <c r="E204" s="13"/>
      <c r="F204" s="45"/>
      <c r="G204" s="42"/>
      <c r="H204" s="42"/>
      <c r="I204" s="42"/>
      <c r="J204" s="22"/>
      <c r="K204" s="42"/>
    </row>
    <row r="205" ht="39.75" hidden="1" customHeight="1">
      <c r="A205" s="1">
        <v>204.0</v>
      </c>
      <c r="B205" s="2" t="s">
        <v>32</v>
      </c>
      <c r="C205" s="2" t="s">
        <v>13</v>
      </c>
      <c r="D205" s="13"/>
      <c r="E205" s="13"/>
      <c r="F205" s="45"/>
      <c r="G205" s="42"/>
      <c r="H205" s="42"/>
      <c r="I205" s="42"/>
      <c r="J205" s="22"/>
      <c r="K205" s="42"/>
    </row>
    <row r="206" ht="39.75" hidden="1" customHeight="1">
      <c r="A206" s="1">
        <v>205.0</v>
      </c>
      <c r="B206" s="2" t="s">
        <v>67</v>
      </c>
      <c r="C206" s="2" t="s">
        <v>13</v>
      </c>
      <c r="D206" s="13"/>
      <c r="E206" s="13"/>
      <c r="F206" s="45"/>
      <c r="G206" s="42"/>
      <c r="H206" s="42"/>
      <c r="I206" s="42"/>
      <c r="J206" s="22"/>
      <c r="K206" s="42"/>
    </row>
    <row r="207" ht="39.75" hidden="1" customHeight="1">
      <c r="A207" s="1">
        <v>206.0</v>
      </c>
      <c r="B207" s="2" t="s">
        <v>35</v>
      </c>
      <c r="C207" s="2" t="s">
        <v>13</v>
      </c>
      <c r="D207" s="13"/>
      <c r="E207" s="13"/>
      <c r="F207" s="45"/>
      <c r="G207" s="42"/>
      <c r="H207" s="42"/>
      <c r="I207" s="42"/>
      <c r="J207" s="22"/>
      <c r="K207" s="42"/>
    </row>
    <row r="208" ht="39.75" hidden="1" customHeight="1">
      <c r="A208" s="1">
        <v>207.0</v>
      </c>
      <c r="B208" s="2" t="s">
        <v>36</v>
      </c>
      <c r="C208" s="2" t="s">
        <v>13</v>
      </c>
      <c r="D208" s="13"/>
      <c r="E208" s="13"/>
      <c r="F208" s="45"/>
      <c r="G208" s="42"/>
      <c r="H208" s="42"/>
      <c r="I208" s="42"/>
      <c r="J208" s="22"/>
      <c r="K208" s="42"/>
    </row>
    <row r="209" ht="39.75" hidden="1" customHeight="1">
      <c r="A209" s="1">
        <v>208.0</v>
      </c>
      <c r="B209" s="2" t="s">
        <v>38</v>
      </c>
      <c r="C209" s="2" t="s">
        <v>13</v>
      </c>
      <c r="D209" s="13"/>
      <c r="E209" s="13"/>
      <c r="F209" s="45"/>
      <c r="G209" s="42"/>
      <c r="H209" s="42"/>
      <c r="I209" s="42"/>
      <c r="J209" s="22"/>
      <c r="K209" s="42"/>
    </row>
    <row r="210" ht="39.75" hidden="1" customHeight="1">
      <c r="A210" s="1">
        <v>209.0</v>
      </c>
      <c r="B210" s="2" t="s">
        <v>41</v>
      </c>
      <c r="C210" s="2" t="s">
        <v>13</v>
      </c>
      <c r="D210" s="13"/>
      <c r="E210" s="13"/>
      <c r="F210" s="45"/>
      <c r="G210" s="42"/>
      <c r="H210" s="42"/>
      <c r="I210" s="42"/>
      <c r="J210" s="22"/>
      <c r="K210" s="42"/>
    </row>
    <row r="211" ht="39.75" customHeight="1">
      <c r="A211" s="1">
        <v>210.0</v>
      </c>
      <c r="B211" s="2" t="s">
        <v>42</v>
      </c>
      <c r="C211" s="2"/>
      <c r="D211" s="40">
        <v>0.375</v>
      </c>
      <c r="E211" s="13"/>
      <c r="F211" s="44" t="s">
        <v>4546</v>
      </c>
      <c r="G211" s="43">
        <v>2.0</v>
      </c>
      <c r="H211" s="42"/>
      <c r="I211" s="43">
        <v>1.0</v>
      </c>
      <c r="J211" s="22"/>
      <c r="K211" s="42"/>
    </row>
    <row r="212" ht="39.75" hidden="1" customHeight="1">
      <c r="A212" s="1">
        <v>211.0</v>
      </c>
      <c r="B212" s="2" t="s">
        <v>43</v>
      </c>
      <c r="C212" s="2" t="s">
        <v>13</v>
      </c>
      <c r="D212" s="13"/>
      <c r="E212" s="13"/>
      <c r="F212" s="45"/>
      <c r="G212" s="42"/>
      <c r="H212" s="42"/>
      <c r="I212" s="42"/>
      <c r="J212" s="22"/>
      <c r="K212" s="42"/>
    </row>
    <row r="213" ht="39.75" customHeight="1">
      <c r="A213" s="1">
        <v>212.0</v>
      </c>
      <c r="B213" s="2" t="s">
        <v>45</v>
      </c>
      <c r="C213" s="2" t="s">
        <v>44</v>
      </c>
      <c r="D213" s="13"/>
      <c r="E213" s="13"/>
      <c r="F213" s="45"/>
      <c r="G213" s="42"/>
      <c r="H213" s="42"/>
      <c r="I213" s="42"/>
      <c r="J213" s="22"/>
      <c r="K213" s="42"/>
    </row>
    <row r="214" ht="39.75" hidden="1" customHeight="1">
      <c r="A214" s="1">
        <v>213.0</v>
      </c>
      <c r="B214" s="2" t="s">
        <v>46</v>
      </c>
      <c r="C214" s="2" t="s">
        <v>13</v>
      </c>
      <c r="D214" s="13"/>
      <c r="E214" s="13"/>
      <c r="F214" s="45"/>
      <c r="G214" s="42"/>
      <c r="H214" s="42"/>
      <c r="I214" s="42"/>
      <c r="J214" s="22"/>
      <c r="K214" s="42"/>
    </row>
    <row r="215" ht="39.75" hidden="1" customHeight="1">
      <c r="A215" s="1">
        <v>214.0</v>
      </c>
      <c r="B215" s="2" t="s">
        <v>47</v>
      </c>
      <c r="C215" s="2" t="s">
        <v>13</v>
      </c>
      <c r="D215" s="13"/>
      <c r="E215" s="13"/>
      <c r="F215" s="45"/>
      <c r="G215" s="42"/>
      <c r="H215" s="42"/>
      <c r="I215" s="42"/>
      <c r="J215" s="22"/>
      <c r="K215" s="42"/>
    </row>
    <row r="216" ht="39.75" customHeight="1">
      <c r="A216" s="1">
        <v>215.0</v>
      </c>
      <c r="B216" s="2" t="s">
        <v>48</v>
      </c>
      <c r="C216" s="2" t="s">
        <v>27</v>
      </c>
      <c r="D216" s="13"/>
      <c r="E216" s="13"/>
      <c r="F216" s="44" t="s">
        <v>4547</v>
      </c>
      <c r="G216" s="43">
        <v>2.0</v>
      </c>
      <c r="H216" s="42"/>
      <c r="I216" s="42"/>
      <c r="J216" s="22"/>
      <c r="K216" s="42"/>
    </row>
    <row r="217" ht="39.75" customHeight="1">
      <c r="A217" s="1">
        <v>216.0</v>
      </c>
      <c r="B217" s="21"/>
      <c r="C217" s="21"/>
      <c r="D217" s="21"/>
      <c r="E217" s="21"/>
      <c r="F217" s="46"/>
      <c r="G217" s="47"/>
      <c r="H217" s="47"/>
      <c r="I217" s="47"/>
      <c r="J217" s="48"/>
      <c r="K217" s="47"/>
      <c r="L217" s="49"/>
      <c r="M217" s="49"/>
      <c r="N217" s="49"/>
    </row>
    <row r="218" ht="39.75" customHeight="1">
      <c r="A218" s="1">
        <v>217.0</v>
      </c>
      <c r="B218" s="2" t="s">
        <v>12</v>
      </c>
      <c r="C218" s="2" t="s">
        <v>39</v>
      </c>
      <c r="D218" s="13"/>
      <c r="E218" s="13"/>
      <c r="F218" s="44" t="s">
        <v>4548</v>
      </c>
      <c r="G218" s="43">
        <v>2.0</v>
      </c>
      <c r="H218" s="42"/>
      <c r="I218" s="43">
        <v>1.0</v>
      </c>
      <c r="J218" s="27" t="s">
        <v>4481</v>
      </c>
      <c r="K218" s="42"/>
      <c r="L218" s="15" t="s">
        <v>175</v>
      </c>
    </row>
    <row r="219" ht="39.75" hidden="1" customHeight="1">
      <c r="A219" s="1">
        <v>218.0</v>
      </c>
      <c r="B219" s="2" t="s">
        <v>16</v>
      </c>
      <c r="C219" s="2" t="s">
        <v>13</v>
      </c>
      <c r="D219" s="13"/>
      <c r="E219" s="13"/>
      <c r="F219" s="45"/>
      <c r="G219" s="42"/>
      <c r="H219" s="42"/>
      <c r="I219" s="42"/>
      <c r="J219" s="27" t="s">
        <v>175</v>
      </c>
      <c r="K219" s="43"/>
    </row>
    <row r="220" ht="39.75" customHeight="1">
      <c r="A220" s="1">
        <v>219.0</v>
      </c>
      <c r="B220" s="2" t="s">
        <v>116</v>
      </c>
      <c r="C220" s="2" t="s">
        <v>69</v>
      </c>
      <c r="D220" s="40">
        <v>0.4583333333333333</v>
      </c>
      <c r="E220" s="13"/>
      <c r="F220" s="44" t="s">
        <v>4549</v>
      </c>
      <c r="G220" s="43">
        <v>1.0</v>
      </c>
      <c r="H220" s="42"/>
      <c r="I220" s="42"/>
      <c r="J220" s="27" t="s">
        <v>111</v>
      </c>
      <c r="K220" s="42"/>
    </row>
    <row r="221" ht="39.75" customHeight="1">
      <c r="A221" s="1">
        <v>220.0</v>
      </c>
      <c r="B221" s="2" t="s">
        <v>17</v>
      </c>
      <c r="C221" s="2" t="s">
        <v>69</v>
      </c>
      <c r="D221" s="13"/>
      <c r="E221" s="13"/>
      <c r="F221" s="44" t="s">
        <v>4543</v>
      </c>
      <c r="G221" s="43">
        <v>1.0</v>
      </c>
      <c r="H221" s="43">
        <v>1.0</v>
      </c>
      <c r="I221" s="42"/>
      <c r="J221" s="27" t="s">
        <v>165</v>
      </c>
      <c r="K221" s="42"/>
    </row>
    <row r="222" ht="39.75" hidden="1" customHeight="1">
      <c r="A222" s="1">
        <v>221.0</v>
      </c>
      <c r="B222" s="2" t="s">
        <v>331</v>
      </c>
      <c r="C222" s="2" t="s">
        <v>13</v>
      </c>
      <c r="D222" s="13"/>
      <c r="E222" s="13"/>
      <c r="F222" s="45"/>
      <c r="G222" s="42"/>
      <c r="H222" s="42"/>
      <c r="I222" s="42"/>
      <c r="J222" s="27" t="s">
        <v>2637</v>
      </c>
      <c r="K222" s="42"/>
    </row>
    <row r="223" ht="39.75" customHeight="1">
      <c r="A223" s="1">
        <v>222.0</v>
      </c>
      <c r="B223" s="2" t="s">
        <v>21</v>
      </c>
      <c r="C223" s="2" t="s">
        <v>63</v>
      </c>
      <c r="D223" s="13"/>
      <c r="E223" s="13"/>
      <c r="F223" s="44" t="s">
        <v>2811</v>
      </c>
      <c r="G223" s="43">
        <v>1.0</v>
      </c>
      <c r="H223" s="42"/>
      <c r="I223" s="43">
        <v>1.0</v>
      </c>
      <c r="J223" s="27" t="s">
        <v>2638</v>
      </c>
      <c r="K223" s="42"/>
    </row>
    <row r="224" ht="65.25" customHeight="1">
      <c r="A224" s="1">
        <v>223.0</v>
      </c>
      <c r="B224" s="2" t="s">
        <v>22</v>
      </c>
      <c r="C224" s="2"/>
      <c r="D224" s="40">
        <v>0.375</v>
      </c>
      <c r="E224" s="13"/>
      <c r="F224" s="44" t="s">
        <v>4550</v>
      </c>
      <c r="G224" s="43">
        <v>1.0</v>
      </c>
      <c r="H224" s="42"/>
      <c r="I224" s="42"/>
      <c r="J224" s="22"/>
      <c r="K224" s="42"/>
    </row>
    <row r="225" ht="39.75" hidden="1" customHeight="1">
      <c r="A225" s="1">
        <v>224.0</v>
      </c>
      <c r="B225" s="2" t="s">
        <v>23</v>
      </c>
      <c r="C225" s="2" t="s">
        <v>13</v>
      </c>
      <c r="D225" s="13"/>
      <c r="E225" s="13"/>
      <c r="F225" s="45"/>
      <c r="G225" s="42"/>
      <c r="H225" s="42"/>
      <c r="I225" s="42"/>
      <c r="J225" s="22"/>
      <c r="K225" s="42"/>
    </row>
    <row r="226" ht="39.75" hidden="1" customHeight="1">
      <c r="A226" s="1">
        <v>225.0</v>
      </c>
      <c r="B226" s="2" t="s">
        <v>24</v>
      </c>
      <c r="C226" s="2" t="s">
        <v>13</v>
      </c>
      <c r="D226" s="13"/>
      <c r="E226" s="13"/>
      <c r="F226" s="45"/>
      <c r="G226" s="42"/>
      <c r="H226" s="42"/>
      <c r="I226" s="42"/>
      <c r="J226" s="22"/>
      <c r="K226" s="42"/>
    </row>
    <row r="227" ht="65.25" customHeight="1">
      <c r="A227" s="1">
        <v>226.0</v>
      </c>
      <c r="B227" s="2" t="s">
        <v>25</v>
      </c>
      <c r="C227" s="2"/>
      <c r="D227" s="40">
        <v>0.375</v>
      </c>
      <c r="E227" s="13"/>
      <c r="F227" s="44" t="s">
        <v>4551</v>
      </c>
      <c r="G227" s="43">
        <v>2.0</v>
      </c>
      <c r="H227" s="42"/>
      <c r="I227" s="42"/>
      <c r="J227" s="22"/>
      <c r="K227" s="42"/>
    </row>
    <row r="228" ht="39.75" customHeight="1">
      <c r="A228" s="1">
        <v>227.0</v>
      </c>
      <c r="B228" s="2" t="s">
        <v>26</v>
      </c>
      <c r="C228" s="2"/>
      <c r="D228" s="13"/>
      <c r="E228" s="13"/>
      <c r="F228" s="44" t="s">
        <v>4522</v>
      </c>
      <c r="G228" s="43">
        <v>1.0</v>
      </c>
      <c r="H228" s="43">
        <v>1.0</v>
      </c>
      <c r="I228" s="42"/>
      <c r="J228" s="22"/>
      <c r="K228" s="42"/>
    </row>
    <row r="229" ht="39.75" hidden="1" customHeight="1">
      <c r="A229" s="1">
        <v>228.0</v>
      </c>
      <c r="B229" s="2" t="s">
        <v>29</v>
      </c>
      <c r="C229" s="2" t="s">
        <v>13</v>
      </c>
      <c r="D229" s="13"/>
      <c r="E229" s="13"/>
      <c r="F229" s="45"/>
      <c r="G229" s="42"/>
      <c r="H229" s="42"/>
      <c r="I229" s="42"/>
      <c r="J229" s="22"/>
      <c r="K229" s="42"/>
    </row>
    <row r="230" ht="39.75" hidden="1" customHeight="1">
      <c r="A230" s="1">
        <v>229.0</v>
      </c>
      <c r="B230" s="2" t="s">
        <v>30</v>
      </c>
      <c r="C230" s="2" t="s">
        <v>13</v>
      </c>
      <c r="D230" s="13"/>
      <c r="E230" s="13"/>
      <c r="F230" s="45"/>
      <c r="G230" s="42"/>
      <c r="H230" s="42"/>
      <c r="I230" s="42"/>
      <c r="J230" s="22"/>
      <c r="K230" s="42"/>
    </row>
    <row r="231" ht="39.75" hidden="1" customHeight="1">
      <c r="A231" s="1">
        <v>230.0</v>
      </c>
      <c r="B231" s="2" t="s">
        <v>31</v>
      </c>
      <c r="C231" s="2" t="s">
        <v>13</v>
      </c>
      <c r="D231" s="13"/>
      <c r="E231" s="13"/>
      <c r="F231" s="45"/>
      <c r="G231" s="42"/>
      <c r="H231" s="42"/>
      <c r="I231" s="42"/>
      <c r="J231" s="22"/>
      <c r="K231" s="42"/>
    </row>
    <row r="232" ht="39.75" customHeight="1">
      <c r="A232" s="1">
        <v>231.0</v>
      </c>
      <c r="B232" s="2" t="s">
        <v>32</v>
      </c>
      <c r="C232" s="2"/>
      <c r="D232" s="40">
        <v>0.375</v>
      </c>
      <c r="E232" s="13"/>
      <c r="F232" s="44" t="s">
        <v>4552</v>
      </c>
      <c r="G232" s="43">
        <v>1.0</v>
      </c>
      <c r="H232" s="42"/>
      <c r="I232" s="42"/>
      <c r="J232" s="22"/>
      <c r="K232" s="42"/>
    </row>
    <row r="233" ht="39.75" customHeight="1">
      <c r="A233" s="1">
        <v>232.0</v>
      </c>
      <c r="B233" s="2" t="s">
        <v>34</v>
      </c>
      <c r="C233" s="2" t="s">
        <v>272</v>
      </c>
      <c r="D233" s="13"/>
      <c r="E233" s="13"/>
      <c r="F233" s="44" t="s">
        <v>1186</v>
      </c>
      <c r="G233" s="43">
        <v>1.0</v>
      </c>
      <c r="H233" s="42"/>
      <c r="I233" s="43">
        <v>1.0</v>
      </c>
      <c r="J233" s="22"/>
      <c r="K233" s="42"/>
    </row>
    <row r="234" ht="39.75" hidden="1" customHeight="1">
      <c r="A234" s="1">
        <v>233.0</v>
      </c>
      <c r="B234" s="2" t="s">
        <v>35</v>
      </c>
      <c r="C234" s="2" t="s">
        <v>13</v>
      </c>
      <c r="D234" s="13"/>
      <c r="E234" s="13"/>
      <c r="F234" s="45"/>
      <c r="G234" s="42"/>
      <c r="H234" s="42"/>
      <c r="I234" s="42"/>
      <c r="J234" s="22"/>
      <c r="K234" s="42"/>
    </row>
    <row r="235" ht="39.75" customHeight="1">
      <c r="A235" s="1">
        <v>234.0</v>
      </c>
      <c r="B235" s="2" t="s">
        <v>36</v>
      </c>
      <c r="C235" s="2"/>
      <c r="D235" s="40">
        <v>0.375</v>
      </c>
      <c r="E235" s="13"/>
      <c r="F235" s="44" t="s">
        <v>4553</v>
      </c>
      <c r="G235" s="43">
        <v>1.0</v>
      </c>
      <c r="H235" s="42"/>
      <c r="I235" s="42"/>
      <c r="J235" s="22"/>
      <c r="K235" s="42"/>
    </row>
    <row r="236" ht="39.75" hidden="1" customHeight="1">
      <c r="A236" s="1">
        <v>235.0</v>
      </c>
      <c r="B236" s="2" t="s">
        <v>38</v>
      </c>
      <c r="C236" s="2" t="s">
        <v>13</v>
      </c>
      <c r="D236" s="13"/>
      <c r="E236" s="13"/>
      <c r="F236" s="45"/>
      <c r="G236" s="42"/>
      <c r="H236" s="42"/>
      <c r="I236" s="42"/>
      <c r="J236" s="22"/>
      <c r="K236" s="42"/>
    </row>
    <row r="237" ht="39.75" hidden="1" customHeight="1">
      <c r="A237" s="1">
        <v>236.0</v>
      </c>
      <c r="B237" s="2" t="s">
        <v>41</v>
      </c>
      <c r="C237" s="2" t="s">
        <v>13</v>
      </c>
      <c r="D237" s="13"/>
      <c r="E237" s="13"/>
      <c r="F237" s="45"/>
      <c r="G237" s="42"/>
      <c r="H237" s="42"/>
      <c r="I237" s="42"/>
      <c r="J237" s="22"/>
      <c r="K237" s="42"/>
    </row>
    <row r="238" ht="39.75" customHeight="1">
      <c r="A238" s="1">
        <v>237.0</v>
      </c>
      <c r="B238" s="2" t="s">
        <v>42</v>
      </c>
      <c r="C238" s="2" t="s">
        <v>27</v>
      </c>
      <c r="D238" s="13"/>
      <c r="E238" s="13"/>
      <c r="F238" s="44" t="s">
        <v>4554</v>
      </c>
      <c r="G238" s="43">
        <v>1.0</v>
      </c>
      <c r="H238" s="42"/>
      <c r="I238" s="42"/>
      <c r="J238" s="22"/>
      <c r="K238" s="42"/>
    </row>
    <row r="239" ht="39.75" hidden="1" customHeight="1">
      <c r="A239" s="1">
        <v>238.0</v>
      </c>
      <c r="B239" s="2" t="s">
        <v>43</v>
      </c>
      <c r="C239" s="2" t="s">
        <v>13</v>
      </c>
      <c r="D239" s="13"/>
      <c r="E239" s="13"/>
      <c r="F239" s="45"/>
      <c r="G239" s="42"/>
      <c r="H239" s="42"/>
      <c r="I239" s="42"/>
      <c r="J239" s="22"/>
      <c r="K239" s="42"/>
    </row>
    <row r="240" ht="39.75" hidden="1" customHeight="1">
      <c r="A240" s="1">
        <v>239.0</v>
      </c>
      <c r="B240" s="2" t="s">
        <v>45</v>
      </c>
      <c r="C240" s="2" t="s">
        <v>13</v>
      </c>
      <c r="D240" s="13"/>
      <c r="E240" s="13"/>
      <c r="F240" s="45"/>
      <c r="G240" s="42"/>
      <c r="H240" s="42"/>
      <c r="I240" s="42"/>
      <c r="J240" s="22"/>
      <c r="K240" s="42"/>
    </row>
    <row r="241" ht="39.75" hidden="1" customHeight="1">
      <c r="A241" s="1">
        <v>240.0</v>
      </c>
      <c r="B241" s="2" t="s">
        <v>46</v>
      </c>
      <c r="C241" s="2" t="s">
        <v>13</v>
      </c>
      <c r="D241" s="13"/>
      <c r="E241" s="13"/>
      <c r="F241" s="45"/>
      <c r="G241" s="42"/>
      <c r="H241" s="42"/>
      <c r="I241" s="42"/>
      <c r="J241" s="22"/>
      <c r="K241" s="42"/>
    </row>
    <row r="242" ht="39.75" hidden="1" customHeight="1">
      <c r="A242" s="1">
        <v>241.0</v>
      </c>
      <c r="B242" s="2" t="s">
        <v>47</v>
      </c>
      <c r="C242" s="2" t="s">
        <v>13</v>
      </c>
      <c r="D242" s="13"/>
      <c r="E242" s="13"/>
      <c r="F242" s="45"/>
      <c r="G242" s="42"/>
      <c r="H242" s="42"/>
      <c r="I242" s="42"/>
      <c r="J242" s="22"/>
      <c r="K242" s="42"/>
    </row>
    <row r="243" ht="39.75" customHeight="1">
      <c r="A243" s="1">
        <v>242.0</v>
      </c>
      <c r="B243" s="2" t="s">
        <v>48</v>
      </c>
      <c r="C243" s="2" t="s">
        <v>44</v>
      </c>
      <c r="D243" s="13"/>
      <c r="E243" s="13"/>
      <c r="F243" s="45"/>
      <c r="G243" s="42"/>
      <c r="H243" s="42"/>
      <c r="I243" s="42"/>
      <c r="J243" s="22"/>
      <c r="K243" s="42"/>
    </row>
    <row r="244" ht="39.75" customHeight="1">
      <c r="A244" s="1">
        <v>243.0</v>
      </c>
      <c r="B244" s="21"/>
      <c r="C244" s="21"/>
      <c r="D244" s="21"/>
      <c r="E244" s="21"/>
      <c r="F244" s="46"/>
      <c r="G244" s="47"/>
      <c r="H244" s="47"/>
      <c r="I244" s="47"/>
      <c r="J244" s="48"/>
      <c r="K244" s="47"/>
      <c r="L244" s="49"/>
      <c r="M244" s="49"/>
      <c r="N244" s="49"/>
    </row>
    <row r="245" ht="39.75" customHeight="1">
      <c r="A245" s="1">
        <v>244.0</v>
      </c>
      <c r="B245" s="2" t="s">
        <v>12</v>
      </c>
      <c r="C245" s="2" t="s">
        <v>62</v>
      </c>
      <c r="D245" s="13"/>
      <c r="E245" s="13"/>
      <c r="F245" s="45"/>
      <c r="G245" s="42"/>
      <c r="H245" s="42"/>
      <c r="I245" s="42"/>
      <c r="J245" s="27" t="s">
        <v>4481</v>
      </c>
      <c r="K245" s="42"/>
      <c r="L245" s="15" t="s">
        <v>192</v>
      </c>
    </row>
    <row r="246" ht="39.75" customHeight="1">
      <c r="A246" s="1">
        <v>245.0</v>
      </c>
      <c r="B246" s="2" t="s">
        <v>16</v>
      </c>
      <c r="C246" s="2" t="s">
        <v>54</v>
      </c>
      <c r="D246" s="13"/>
      <c r="E246" s="13"/>
      <c r="F246" s="44" t="s">
        <v>4555</v>
      </c>
      <c r="G246" s="43">
        <v>1.0</v>
      </c>
      <c r="H246" s="42"/>
      <c r="I246" s="42"/>
      <c r="J246" s="27" t="s">
        <v>192</v>
      </c>
      <c r="K246" s="43"/>
    </row>
    <row r="247" ht="39.75" hidden="1" customHeight="1">
      <c r="A247" s="1">
        <v>246.0</v>
      </c>
      <c r="B247" s="2" t="s">
        <v>116</v>
      </c>
      <c r="C247" s="2" t="s">
        <v>58</v>
      </c>
      <c r="D247" s="13"/>
      <c r="E247" s="13"/>
      <c r="F247" s="45"/>
      <c r="G247" s="42"/>
      <c r="H247" s="42"/>
      <c r="I247" s="42"/>
      <c r="J247" s="27" t="s">
        <v>131</v>
      </c>
      <c r="K247" s="42"/>
    </row>
    <row r="248" ht="39.75" customHeight="1">
      <c r="A248" s="1">
        <v>247.0</v>
      </c>
      <c r="B248" s="2" t="s">
        <v>17</v>
      </c>
      <c r="C248" s="2" t="s">
        <v>54</v>
      </c>
      <c r="D248" s="13"/>
      <c r="E248" s="13"/>
      <c r="F248" s="44" t="s">
        <v>4556</v>
      </c>
      <c r="G248" s="43">
        <v>1.0</v>
      </c>
      <c r="H248" s="43">
        <v>1.0</v>
      </c>
      <c r="I248" s="42"/>
      <c r="J248" s="22"/>
      <c r="K248" s="42"/>
    </row>
    <row r="249" ht="39.75" customHeight="1">
      <c r="A249" s="1">
        <v>248.0</v>
      </c>
      <c r="B249" s="2" t="s">
        <v>331</v>
      </c>
      <c r="C249" s="2" t="s">
        <v>542</v>
      </c>
      <c r="D249" s="13"/>
      <c r="E249" s="13"/>
      <c r="F249" s="45"/>
      <c r="G249" s="42"/>
      <c r="H249" s="42"/>
      <c r="I249" s="42"/>
      <c r="J249" s="22"/>
      <c r="K249" s="42"/>
    </row>
    <row r="250" ht="39.75" customHeight="1">
      <c r="A250" s="1">
        <v>249.0</v>
      </c>
      <c r="B250" s="2" t="s">
        <v>21</v>
      </c>
      <c r="C250" s="2"/>
      <c r="D250" s="13"/>
      <c r="E250" s="13"/>
      <c r="F250" s="44" t="s">
        <v>4557</v>
      </c>
      <c r="G250" s="43">
        <v>1.0</v>
      </c>
      <c r="H250" s="42"/>
      <c r="I250" s="42"/>
      <c r="J250" s="22"/>
      <c r="K250" s="42"/>
    </row>
    <row r="251" ht="63.0" customHeight="1">
      <c r="A251" s="1">
        <v>250.0</v>
      </c>
      <c r="B251" s="2" t="s">
        <v>22</v>
      </c>
      <c r="C251" s="2"/>
      <c r="D251" s="13"/>
      <c r="E251" s="13"/>
      <c r="F251" s="44" t="s">
        <v>4558</v>
      </c>
      <c r="G251" s="43">
        <v>1.0</v>
      </c>
      <c r="H251" s="42"/>
      <c r="I251" s="42"/>
      <c r="J251" s="22"/>
      <c r="K251" s="42"/>
    </row>
    <row r="252" ht="39.75" hidden="1" customHeight="1">
      <c r="A252" s="1">
        <v>251.0</v>
      </c>
      <c r="B252" s="2" t="s">
        <v>23</v>
      </c>
      <c r="C252" s="2" t="s">
        <v>58</v>
      </c>
      <c r="D252" s="13"/>
      <c r="E252" s="13"/>
      <c r="F252" s="65" t="s">
        <v>4559</v>
      </c>
      <c r="G252" s="42"/>
      <c r="H252" s="42"/>
      <c r="I252" s="42"/>
      <c r="J252" s="22"/>
      <c r="K252" s="42"/>
    </row>
    <row r="253" ht="39.75" customHeight="1">
      <c r="A253" s="1">
        <v>252.0</v>
      </c>
      <c r="B253" s="2" t="s">
        <v>24</v>
      </c>
      <c r="C253" s="2" t="s">
        <v>63</v>
      </c>
      <c r="D253" s="13"/>
      <c r="E253" s="13"/>
      <c r="F253" s="45"/>
      <c r="G253" s="42"/>
      <c r="H253" s="42"/>
      <c r="I253" s="42"/>
      <c r="J253" s="22"/>
      <c r="K253" s="42"/>
    </row>
    <row r="254" ht="53.25" customHeight="1">
      <c r="A254" s="1">
        <v>253.0</v>
      </c>
      <c r="B254" s="2" t="s">
        <v>25</v>
      </c>
      <c r="C254" s="2" t="s">
        <v>39</v>
      </c>
      <c r="D254" s="13"/>
      <c r="E254" s="13"/>
      <c r="F254" s="44" t="s">
        <v>2691</v>
      </c>
      <c r="G254" s="43">
        <v>1.0</v>
      </c>
      <c r="H254" s="42"/>
      <c r="I254" s="43">
        <v>1.0</v>
      </c>
      <c r="J254" s="22"/>
      <c r="K254" s="42"/>
    </row>
    <row r="255" ht="39.75" customHeight="1">
      <c r="A255" s="1">
        <v>254.0</v>
      </c>
      <c r="B255" s="2" t="s">
        <v>26</v>
      </c>
      <c r="C255" s="2"/>
      <c r="D255" s="13"/>
      <c r="E255" s="13"/>
      <c r="F255" s="44" t="s">
        <v>4560</v>
      </c>
      <c r="G255" s="43">
        <v>1.0</v>
      </c>
      <c r="H255" s="43">
        <v>1.0</v>
      </c>
      <c r="I255" s="42"/>
      <c r="J255" s="22"/>
      <c r="K255" s="42"/>
    </row>
    <row r="256" ht="39.75" hidden="1" customHeight="1">
      <c r="A256" s="1">
        <v>255.0</v>
      </c>
      <c r="B256" s="2" t="s">
        <v>29</v>
      </c>
      <c r="C256" s="2" t="s">
        <v>58</v>
      </c>
      <c r="D256" s="13"/>
      <c r="E256" s="13"/>
      <c r="F256" s="45"/>
      <c r="G256" s="42"/>
      <c r="H256" s="42"/>
      <c r="I256" s="42"/>
      <c r="J256" s="22"/>
      <c r="K256" s="42"/>
    </row>
    <row r="257" ht="39.75" hidden="1" customHeight="1">
      <c r="A257" s="1">
        <v>256.0</v>
      </c>
      <c r="B257" s="2" t="s">
        <v>30</v>
      </c>
      <c r="C257" s="2" t="s">
        <v>66</v>
      </c>
      <c r="D257" s="13"/>
      <c r="E257" s="13"/>
      <c r="F257" s="45"/>
      <c r="G257" s="42"/>
      <c r="H257" s="42"/>
      <c r="I257" s="42"/>
      <c r="J257" s="22"/>
      <c r="K257" s="42"/>
    </row>
    <row r="258" ht="39.75" customHeight="1">
      <c r="A258" s="1">
        <v>257.0</v>
      </c>
      <c r="B258" s="2" t="s">
        <v>31</v>
      </c>
      <c r="C258" s="2" t="s">
        <v>54</v>
      </c>
      <c r="D258" s="13"/>
      <c r="E258" s="13"/>
      <c r="F258" s="44" t="s">
        <v>472</v>
      </c>
      <c r="G258" s="42"/>
      <c r="H258" s="42"/>
      <c r="I258" s="42"/>
      <c r="J258" s="22"/>
      <c r="K258" s="42"/>
    </row>
    <row r="259" ht="39.75" customHeight="1">
      <c r="A259" s="1">
        <v>258.0</v>
      </c>
      <c r="B259" s="2" t="s">
        <v>32</v>
      </c>
      <c r="C259" s="2" t="s">
        <v>27</v>
      </c>
      <c r="D259" s="13"/>
      <c r="E259" s="13"/>
      <c r="F259" s="44" t="s">
        <v>4561</v>
      </c>
      <c r="G259" s="43">
        <v>2.0</v>
      </c>
      <c r="H259" s="42"/>
      <c r="I259" s="43">
        <v>2.0</v>
      </c>
      <c r="J259" s="22"/>
      <c r="K259" s="42"/>
    </row>
    <row r="260" ht="39.75" customHeight="1">
      <c r="A260" s="1">
        <v>259.0</v>
      </c>
      <c r="B260" s="2" t="s">
        <v>67</v>
      </c>
      <c r="C260" s="2" t="s">
        <v>69</v>
      </c>
      <c r="D260" s="13"/>
      <c r="E260" s="40">
        <v>0.8125</v>
      </c>
      <c r="F260" s="44" t="s">
        <v>2741</v>
      </c>
      <c r="G260" s="43">
        <v>1.0</v>
      </c>
      <c r="H260" s="42"/>
      <c r="I260" s="43">
        <v>1.0</v>
      </c>
      <c r="J260" s="22"/>
      <c r="K260" s="42"/>
    </row>
    <row r="261" ht="39.75" customHeight="1">
      <c r="A261" s="1">
        <v>260.0</v>
      </c>
      <c r="B261" s="2" t="s">
        <v>35</v>
      </c>
      <c r="C261" s="2" t="s">
        <v>39</v>
      </c>
      <c r="D261" s="13"/>
      <c r="E261" s="13"/>
      <c r="F261" s="44" t="s">
        <v>4562</v>
      </c>
      <c r="G261" s="43">
        <v>2.0</v>
      </c>
      <c r="H261" s="42"/>
      <c r="I261" s="43">
        <v>1.0</v>
      </c>
      <c r="J261" s="22"/>
      <c r="K261" s="42"/>
    </row>
    <row r="262" ht="39.75" hidden="1" customHeight="1">
      <c r="A262" s="1">
        <v>261.0</v>
      </c>
      <c r="B262" s="2" t="s">
        <v>36</v>
      </c>
      <c r="C262" s="2" t="s">
        <v>58</v>
      </c>
      <c r="D262" s="13"/>
      <c r="E262" s="13"/>
      <c r="F262" s="45"/>
      <c r="G262" s="42"/>
      <c r="H262" s="42"/>
      <c r="I262" s="42"/>
      <c r="J262" s="22"/>
      <c r="K262" s="42"/>
    </row>
    <row r="263" ht="39.75" customHeight="1">
      <c r="A263" s="1">
        <v>262.0</v>
      </c>
      <c r="B263" s="2" t="s">
        <v>38</v>
      </c>
      <c r="C263" s="2"/>
      <c r="D263" s="13"/>
      <c r="E263" s="13"/>
      <c r="F263" s="44" t="s">
        <v>4563</v>
      </c>
      <c r="G263" s="43">
        <v>1.0</v>
      </c>
      <c r="H263" s="42"/>
      <c r="I263" s="42"/>
      <c r="J263" s="22"/>
      <c r="K263" s="42"/>
    </row>
    <row r="264" ht="39.75" hidden="1" customHeight="1">
      <c r="A264" s="1">
        <v>263.0</v>
      </c>
      <c r="B264" s="2" t="s">
        <v>41</v>
      </c>
      <c r="C264" s="2" t="s">
        <v>58</v>
      </c>
      <c r="D264" s="13"/>
      <c r="E264" s="13"/>
      <c r="F264" s="45"/>
      <c r="G264" s="42"/>
      <c r="H264" s="42"/>
      <c r="I264" s="42"/>
      <c r="J264" s="22"/>
      <c r="K264" s="42"/>
    </row>
    <row r="265" ht="39.75" customHeight="1">
      <c r="A265" s="1">
        <v>264.0</v>
      </c>
      <c r="B265" s="2" t="s">
        <v>42</v>
      </c>
      <c r="C265" s="2" t="s">
        <v>44</v>
      </c>
      <c r="D265" s="13"/>
      <c r="E265" s="55">
        <v>0.3472222222222222</v>
      </c>
      <c r="F265" s="52" t="s">
        <v>4564</v>
      </c>
      <c r="G265" s="56">
        <v>1.0</v>
      </c>
      <c r="H265" s="42"/>
      <c r="I265" s="42"/>
      <c r="J265" s="22"/>
      <c r="K265" s="42"/>
    </row>
    <row r="266" ht="39.75" customHeight="1">
      <c r="A266" s="1">
        <v>265.0</v>
      </c>
      <c r="B266" s="2" t="s">
        <v>43</v>
      </c>
      <c r="C266" s="2"/>
      <c r="D266" s="13"/>
      <c r="E266" s="13"/>
      <c r="F266" s="44" t="s">
        <v>2941</v>
      </c>
      <c r="G266" s="43">
        <v>1.0</v>
      </c>
      <c r="H266" s="43"/>
      <c r="I266" s="43">
        <v>1.0</v>
      </c>
      <c r="J266" s="22"/>
      <c r="K266" s="42"/>
    </row>
    <row r="267" ht="39.75" customHeight="1">
      <c r="A267" s="1">
        <v>266.0</v>
      </c>
      <c r="B267" s="2" t="s">
        <v>45</v>
      </c>
      <c r="C267" s="2"/>
      <c r="D267" s="13"/>
      <c r="E267" s="13"/>
      <c r="F267" s="44" t="s">
        <v>4565</v>
      </c>
      <c r="G267" s="43">
        <v>2.0</v>
      </c>
      <c r="H267" s="42"/>
      <c r="I267" s="43">
        <v>1.0</v>
      </c>
      <c r="J267" s="22"/>
      <c r="K267" s="42"/>
    </row>
    <row r="268" ht="39.75" customHeight="1">
      <c r="A268" s="1">
        <v>267.0</v>
      </c>
      <c r="B268" s="2" t="s">
        <v>46</v>
      </c>
      <c r="C268" s="2" t="s">
        <v>69</v>
      </c>
      <c r="D268" s="13"/>
      <c r="E268" s="13"/>
      <c r="F268" s="44" t="s">
        <v>4566</v>
      </c>
      <c r="G268" s="43">
        <v>1.0</v>
      </c>
      <c r="H268" s="42"/>
      <c r="I268" s="42"/>
      <c r="J268" s="22"/>
      <c r="K268" s="42"/>
    </row>
    <row r="269" ht="39.75" hidden="1" customHeight="1">
      <c r="A269" s="1">
        <v>268.0</v>
      </c>
      <c r="B269" s="2" t="s">
        <v>47</v>
      </c>
      <c r="C269" s="2" t="s">
        <v>66</v>
      </c>
      <c r="D269" s="13"/>
      <c r="E269" s="13"/>
      <c r="F269" s="45"/>
      <c r="G269" s="42"/>
      <c r="H269" s="42"/>
      <c r="I269" s="42"/>
      <c r="J269" s="22"/>
      <c r="K269" s="42"/>
    </row>
    <row r="270" ht="39.75" customHeight="1">
      <c r="A270" s="1">
        <v>269.0</v>
      </c>
      <c r="B270" s="2" t="s">
        <v>48</v>
      </c>
      <c r="C270" s="2" t="s">
        <v>54</v>
      </c>
      <c r="D270" s="53">
        <v>0.3333333333333333</v>
      </c>
      <c r="E270" s="13"/>
      <c r="F270" s="44" t="s">
        <v>4567</v>
      </c>
      <c r="G270" s="43">
        <v>1.0</v>
      </c>
      <c r="H270" s="42"/>
      <c r="I270" s="42"/>
      <c r="J270" s="22"/>
      <c r="K270" s="42"/>
    </row>
    <row r="271" ht="39.75" customHeight="1">
      <c r="A271" s="1">
        <v>270.0</v>
      </c>
      <c r="B271" s="21"/>
      <c r="C271" s="21"/>
      <c r="D271" s="21"/>
      <c r="E271" s="21"/>
      <c r="F271" s="46"/>
      <c r="G271" s="47"/>
      <c r="H271" s="47"/>
      <c r="I271" s="47"/>
      <c r="J271" s="48"/>
      <c r="K271" s="47"/>
      <c r="L271" s="49"/>
      <c r="M271" s="49"/>
      <c r="N271" s="49"/>
    </row>
    <row r="272" ht="39.75" hidden="1" customHeight="1">
      <c r="A272" s="1">
        <v>271.0</v>
      </c>
      <c r="B272" s="2" t="s">
        <v>12</v>
      </c>
      <c r="C272" s="2" t="s">
        <v>13</v>
      </c>
      <c r="D272" s="13"/>
      <c r="E272" s="13"/>
      <c r="F272" s="45"/>
      <c r="G272" s="42"/>
      <c r="H272" s="42"/>
      <c r="I272" s="42"/>
      <c r="J272" s="27" t="s">
        <v>4481</v>
      </c>
      <c r="K272" s="42"/>
      <c r="L272" s="15" t="s">
        <v>209</v>
      </c>
    </row>
    <row r="273" ht="39.75" hidden="1" customHeight="1">
      <c r="A273" s="1">
        <v>272.0</v>
      </c>
      <c r="B273" s="2" t="s">
        <v>16</v>
      </c>
      <c r="C273" s="2" t="s">
        <v>13</v>
      </c>
      <c r="D273" s="13"/>
      <c r="E273" s="13"/>
      <c r="F273" s="45"/>
      <c r="G273" s="42"/>
      <c r="H273" s="42"/>
      <c r="I273" s="42"/>
      <c r="J273" s="27" t="s">
        <v>209</v>
      </c>
      <c r="K273" s="43"/>
    </row>
    <row r="274" ht="39.75" customHeight="1">
      <c r="A274" s="1">
        <v>273.0</v>
      </c>
      <c r="B274" s="2" t="s">
        <v>263</v>
      </c>
      <c r="C274" s="2" t="s">
        <v>272</v>
      </c>
      <c r="D274" s="13"/>
      <c r="E274" s="13"/>
      <c r="F274" s="44" t="s">
        <v>1186</v>
      </c>
      <c r="G274" s="43">
        <v>1.0</v>
      </c>
      <c r="H274" s="42"/>
      <c r="I274" s="43">
        <v>1.0</v>
      </c>
      <c r="J274" s="27" t="s">
        <v>149</v>
      </c>
      <c r="K274" s="42"/>
    </row>
    <row r="275" ht="39.75" customHeight="1">
      <c r="A275" s="1">
        <v>274.0</v>
      </c>
      <c r="B275" s="2" t="s">
        <v>17</v>
      </c>
      <c r="C275" s="2"/>
      <c r="D275" s="40">
        <v>0.375</v>
      </c>
      <c r="E275" s="13"/>
      <c r="F275" s="44"/>
      <c r="G275" s="42"/>
      <c r="H275" s="42"/>
      <c r="I275" s="42"/>
      <c r="J275" s="27" t="s">
        <v>410</v>
      </c>
      <c r="K275" s="42"/>
    </row>
    <row r="276" ht="39.75" hidden="1" customHeight="1">
      <c r="A276" s="1">
        <v>275.0</v>
      </c>
      <c r="B276" s="2" t="s">
        <v>331</v>
      </c>
      <c r="C276" s="2" t="s">
        <v>13</v>
      </c>
      <c r="D276" s="13"/>
      <c r="E276" s="13"/>
      <c r="F276" s="45"/>
      <c r="G276" s="42"/>
      <c r="H276" s="42"/>
      <c r="I276" s="42"/>
      <c r="J276" s="27" t="s">
        <v>412</v>
      </c>
      <c r="K276" s="42"/>
    </row>
    <row r="277" ht="39.75" hidden="1" customHeight="1">
      <c r="A277" s="1">
        <v>276.0</v>
      </c>
      <c r="B277" s="2" t="s">
        <v>21</v>
      </c>
      <c r="C277" s="2" t="s">
        <v>13</v>
      </c>
      <c r="D277" s="13"/>
      <c r="E277" s="13"/>
      <c r="F277" s="45"/>
      <c r="G277" s="42"/>
      <c r="H277" s="42"/>
      <c r="I277" s="42"/>
      <c r="J277" s="27" t="s">
        <v>413</v>
      </c>
      <c r="K277" s="42"/>
    </row>
    <row r="278" ht="39.75" hidden="1" customHeight="1">
      <c r="A278" s="1">
        <v>277.0</v>
      </c>
      <c r="B278" s="2" t="s">
        <v>22</v>
      </c>
      <c r="C278" s="2" t="s">
        <v>13</v>
      </c>
      <c r="D278" s="13"/>
      <c r="E278" s="13"/>
      <c r="F278" s="45"/>
      <c r="G278" s="42"/>
      <c r="H278" s="42"/>
      <c r="I278" s="42"/>
      <c r="J278" s="22"/>
      <c r="K278" s="42"/>
    </row>
    <row r="279" ht="39.75" customHeight="1">
      <c r="A279" s="1">
        <v>278.0</v>
      </c>
      <c r="B279" s="2" t="s">
        <v>23</v>
      </c>
      <c r="C279" s="13"/>
      <c r="D279" s="40">
        <v>0.375</v>
      </c>
      <c r="E279" s="13"/>
      <c r="F279" s="45"/>
      <c r="G279" s="42"/>
      <c r="H279" s="42"/>
      <c r="I279" s="42"/>
      <c r="J279" s="22"/>
      <c r="K279" s="42"/>
    </row>
    <row r="280" ht="39.75" customHeight="1">
      <c r="A280" s="1">
        <v>279.0</v>
      </c>
      <c r="B280" s="2" t="s">
        <v>24</v>
      </c>
      <c r="C280" s="2" t="s">
        <v>63</v>
      </c>
      <c r="D280" s="13"/>
      <c r="E280" s="13"/>
      <c r="F280" s="45"/>
      <c r="G280" s="42"/>
      <c r="H280" s="42"/>
      <c r="I280" s="42"/>
      <c r="J280" s="22"/>
      <c r="K280" s="42"/>
    </row>
    <row r="281" ht="39.75" hidden="1" customHeight="1">
      <c r="A281" s="1">
        <v>280.0</v>
      </c>
      <c r="B281" s="2" t="s">
        <v>25</v>
      </c>
      <c r="C281" s="2" t="s">
        <v>13</v>
      </c>
      <c r="D281" s="13"/>
      <c r="E281" s="13"/>
      <c r="F281" s="45"/>
      <c r="G281" s="42"/>
      <c r="H281" s="42"/>
      <c r="I281" s="42"/>
      <c r="J281" s="22"/>
      <c r="K281" s="42"/>
    </row>
    <row r="282" ht="39.75" customHeight="1">
      <c r="A282" s="1">
        <v>281.0</v>
      </c>
      <c r="B282" s="2" t="s">
        <v>26</v>
      </c>
      <c r="C282" s="2"/>
      <c r="D282" s="13"/>
      <c r="E282" s="13"/>
      <c r="F282" s="44" t="s">
        <v>4568</v>
      </c>
      <c r="G282" s="43">
        <v>1.0</v>
      </c>
      <c r="H282" s="43">
        <v>1.0</v>
      </c>
      <c r="I282" s="42"/>
      <c r="J282" s="22"/>
      <c r="K282" s="42"/>
    </row>
    <row r="283" ht="39.75" hidden="1" customHeight="1">
      <c r="A283" s="1">
        <v>282.0</v>
      </c>
      <c r="B283" s="2" t="s">
        <v>29</v>
      </c>
      <c r="C283" s="2" t="s">
        <v>13</v>
      </c>
      <c r="D283" s="13"/>
      <c r="E283" s="13"/>
      <c r="F283" s="45"/>
      <c r="G283" s="42"/>
      <c r="H283" s="42"/>
      <c r="I283" s="42"/>
      <c r="J283" s="22"/>
      <c r="K283" s="42"/>
    </row>
    <row r="284" ht="39.75" hidden="1" customHeight="1">
      <c r="A284" s="1">
        <v>283.0</v>
      </c>
      <c r="B284" s="2" t="s">
        <v>30</v>
      </c>
      <c r="C284" s="2" t="s">
        <v>13</v>
      </c>
      <c r="D284" s="13"/>
      <c r="E284" s="13"/>
      <c r="F284" s="45"/>
      <c r="G284" s="42"/>
      <c r="H284" s="42"/>
      <c r="I284" s="42"/>
      <c r="J284" s="22"/>
      <c r="K284" s="42"/>
    </row>
    <row r="285" ht="39.75" customHeight="1">
      <c r="A285" s="1">
        <v>284.0</v>
      </c>
      <c r="B285" s="2" t="s">
        <v>31</v>
      </c>
      <c r="C285" s="2" t="s">
        <v>27</v>
      </c>
      <c r="D285" s="13"/>
      <c r="E285" s="13"/>
      <c r="F285" s="45"/>
      <c r="G285" s="42"/>
      <c r="H285" s="42"/>
      <c r="I285" s="42"/>
      <c r="J285" s="22"/>
      <c r="K285" s="42"/>
    </row>
    <row r="286" ht="39.75" customHeight="1">
      <c r="A286" s="1">
        <v>285.0</v>
      </c>
      <c r="B286" s="2" t="s">
        <v>32</v>
      </c>
      <c r="C286" s="2" t="s">
        <v>44</v>
      </c>
      <c r="D286" s="13"/>
      <c r="E286" s="13"/>
      <c r="F286" s="45"/>
      <c r="G286" s="42"/>
      <c r="H286" s="42"/>
      <c r="I286" s="42"/>
      <c r="J286" s="22"/>
      <c r="K286" s="42"/>
    </row>
    <row r="287" ht="39.75" hidden="1" customHeight="1">
      <c r="A287" s="1">
        <v>286.0</v>
      </c>
      <c r="B287" s="2" t="s">
        <v>67</v>
      </c>
      <c r="C287" s="2" t="s">
        <v>13</v>
      </c>
      <c r="D287" s="13"/>
      <c r="E287" s="13"/>
      <c r="F287" s="45"/>
      <c r="G287" s="42"/>
      <c r="H287" s="42"/>
      <c r="I287" s="42"/>
      <c r="J287" s="22"/>
      <c r="K287" s="42"/>
    </row>
    <row r="288" ht="39.75" hidden="1" customHeight="1">
      <c r="A288" s="1">
        <v>287.0</v>
      </c>
      <c r="B288" s="2" t="s">
        <v>35</v>
      </c>
      <c r="C288" s="2" t="s">
        <v>13</v>
      </c>
      <c r="D288" s="13"/>
      <c r="E288" s="13"/>
      <c r="F288" s="45"/>
      <c r="G288" s="42"/>
      <c r="H288" s="42"/>
      <c r="I288" s="42"/>
      <c r="J288" s="22"/>
      <c r="K288" s="42"/>
    </row>
    <row r="289" ht="39.75" hidden="1" customHeight="1">
      <c r="A289" s="1">
        <v>288.0</v>
      </c>
      <c r="B289" s="2" t="s">
        <v>36</v>
      </c>
      <c r="C289" s="2" t="s">
        <v>13</v>
      </c>
      <c r="D289" s="13"/>
      <c r="E289" s="13"/>
      <c r="F289" s="45"/>
      <c r="G289" s="42"/>
      <c r="H289" s="42"/>
      <c r="I289" s="42"/>
      <c r="J289" s="22"/>
      <c r="K289" s="42"/>
    </row>
    <row r="290" ht="39.75" hidden="1" customHeight="1">
      <c r="A290" s="1">
        <v>289.0</v>
      </c>
      <c r="B290" s="2" t="s">
        <v>38</v>
      </c>
      <c r="C290" s="2" t="s">
        <v>13</v>
      </c>
      <c r="D290" s="13"/>
      <c r="E290" s="13"/>
      <c r="F290" s="45"/>
      <c r="G290" s="42"/>
      <c r="H290" s="42"/>
      <c r="I290" s="42"/>
      <c r="J290" s="22"/>
      <c r="K290" s="42"/>
    </row>
    <row r="291" ht="39.75" hidden="1" customHeight="1">
      <c r="A291" s="1">
        <v>290.0</v>
      </c>
      <c r="B291" s="2" t="s">
        <v>41</v>
      </c>
      <c r="C291" s="2" t="s">
        <v>13</v>
      </c>
      <c r="D291" s="13"/>
      <c r="E291" s="13"/>
      <c r="F291" s="45"/>
      <c r="G291" s="42"/>
      <c r="H291" s="42"/>
      <c r="I291" s="42"/>
      <c r="J291" s="22"/>
      <c r="K291" s="42"/>
    </row>
    <row r="292" ht="39.75" hidden="1" customHeight="1">
      <c r="A292" s="1">
        <v>291.0</v>
      </c>
      <c r="B292" s="2" t="s">
        <v>42</v>
      </c>
      <c r="C292" s="2" t="s">
        <v>13</v>
      </c>
      <c r="D292" s="13"/>
      <c r="E292" s="13"/>
      <c r="F292" s="45"/>
      <c r="G292" s="42"/>
      <c r="H292" s="42"/>
      <c r="I292" s="42"/>
      <c r="J292" s="22"/>
      <c r="K292" s="42"/>
    </row>
    <row r="293" ht="39.75" customHeight="1">
      <c r="A293" s="1">
        <v>292.0</v>
      </c>
      <c r="B293" s="2" t="s">
        <v>43</v>
      </c>
      <c r="C293" s="2" t="s">
        <v>39</v>
      </c>
      <c r="D293" s="53">
        <v>0.3541666666666667</v>
      </c>
      <c r="E293" s="13"/>
      <c r="F293" s="44" t="s">
        <v>4569</v>
      </c>
      <c r="G293" s="43">
        <v>2.0</v>
      </c>
      <c r="H293" s="42"/>
      <c r="I293" s="43">
        <v>2.0</v>
      </c>
      <c r="J293" s="22"/>
      <c r="K293" s="42"/>
    </row>
    <row r="294" ht="39.75" hidden="1" customHeight="1">
      <c r="A294" s="1">
        <v>293.0</v>
      </c>
      <c r="B294" s="2" t="s">
        <v>45</v>
      </c>
      <c r="C294" s="2" t="s">
        <v>13</v>
      </c>
      <c r="D294" s="13"/>
      <c r="E294" s="13"/>
      <c r="F294" s="45"/>
      <c r="G294" s="42"/>
      <c r="H294" s="42"/>
      <c r="I294" s="42"/>
      <c r="J294" s="22"/>
      <c r="K294" s="42"/>
    </row>
    <row r="295" ht="39.75" customHeight="1">
      <c r="A295" s="1">
        <v>294.0</v>
      </c>
      <c r="B295" s="2" t="s">
        <v>46</v>
      </c>
      <c r="C295" s="2" t="s">
        <v>49</v>
      </c>
      <c r="D295" s="13"/>
      <c r="E295" s="13"/>
      <c r="F295" s="44" t="s">
        <v>4570</v>
      </c>
      <c r="G295" s="43">
        <v>1.0</v>
      </c>
      <c r="H295" s="42"/>
      <c r="I295" s="43">
        <v>1.0</v>
      </c>
      <c r="J295" s="22"/>
      <c r="K295" s="42"/>
    </row>
    <row r="296" ht="39.75" hidden="1" customHeight="1">
      <c r="A296" s="1">
        <v>295.0</v>
      </c>
      <c r="B296" s="2" t="s">
        <v>47</v>
      </c>
      <c r="C296" s="2" t="s">
        <v>13</v>
      </c>
      <c r="D296" s="13"/>
      <c r="E296" s="13"/>
      <c r="F296" s="45"/>
      <c r="G296" s="42"/>
      <c r="H296" s="42"/>
      <c r="I296" s="42"/>
      <c r="J296" s="22"/>
      <c r="K296" s="42"/>
    </row>
    <row r="297" ht="39.75" hidden="1" customHeight="1">
      <c r="A297" s="1">
        <v>296.0</v>
      </c>
      <c r="B297" s="2" t="s">
        <v>48</v>
      </c>
      <c r="C297" s="2" t="s">
        <v>13</v>
      </c>
      <c r="D297" s="13"/>
      <c r="E297" s="13"/>
      <c r="F297" s="45"/>
      <c r="G297" s="42"/>
      <c r="H297" s="42"/>
      <c r="I297" s="42"/>
      <c r="J297" s="22"/>
      <c r="K297" s="42"/>
    </row>
    <row r="298" ht="39.75" customHeight="1">
      <c r="A298" s="1">
        <v>297.0</v>
      </c>
      <c r="B298" s="21"/>
      <c r="C298" s="21"/>
      <c r="D298" s="21"/>
      <c r="E298" s="21"/>
      <c r="F298" s="46"/>
      <c r="G298" s="47"/>
      <c r="H298" s="47"/>
      <c r="I298" s="47"/>
      <c r="J298" s="48"/>
      <c r="K298" s="47"/>
      <c r="L298" s="49"/>
      <c r="M298" s="49"/>
      <c r="N298" s="49"/>
    </row>
    <row r="299" ht="39.75" hidden="1" customHeight="1">
      <c r="A299" s="1">
        <v>298.0</v>
      </c>
      <c r="B299" s="2" t="s">
        <v>12</v>
      </c>
      <c r="C299" s="2" t="s">
        <v>13</v>
      </c>
      <c r="D299" s="13"/>
      <c r="E299" s="13"/>
      <c r="F299" s="45"/>
      <c r="G299" s="42"/>
      <c r="H299" s="42"/>
      <c r="I299" s="42"/>
      <c r="J299" s="27" t="s">
        <v>4481</v>
      </c>
      <c r="K299" s="42"/>
      <c r="L299" s="15" t="s">
        <v>228</v>
      </c>
    </row>
    <row r="300" ht="39.75" hidden="1" customHeight="1">
      <c r="A300" s="1">
        <v>299.0</v>
      </c>
      <c r="B300" s="2" t="s">
        <v>16</v>
      </c>
      <c r="C300" s="2" t="s">
        <v>13</v>
      </c>
      <c r="D300" s="13"/>
      <c r="E300" s="13"/>
      <c r="F300" s="45"/>
      <c r="G300" s="42"/>
      <c r="H300" s="42"/>
      <c r="I300" s="42"/>
      <c r="J300" s="27" t="s">
        <v>228</v>
      </c>
      <c r="K300" s="43"/>
    </row>
    <row r="301" ht="39.75" customHeight="1">
      <c r="A301" s="1">
        <v>300.0</v>
      </c>
      <c r="B301" s="2" t="s">
        <v>116</v>
      </c>
      <c r="C301" s="2" t="s">
        <v>49</v>
      </c>
      <c r="D301" s="13"/>
      <c r="E301" s="13"/>
      <c r="F301" s="44" t="s">
        <v>4571</v>
      </c>
      <c r="G301" s="43">
        <v>1.0</v>
      </c>
      <c r="H301" s="42"/>
      <c r="I301" s="43"/>
      <c r="J301" s="27" t="s">
        <v>19</v>
      </c>
      <c r="K301" s="42"/>
    </row>
    <row r="302" ht="39.75" customHeight="1">
      <c r="A302" s="1">
        <v>301.0</v>
      </c>
      <c r="B302" s="2" t="s">
        <v>17</v>
      </c>
      <c r="C302" s="2" t="s">
        <v>27</v>
      </c>
      <c r="D302" s="13"/>
      <c r="E302" s="13"/>
      <c r="F302" s="44" t="s">
        <v>4572</v>
      </c>
      <c r="G302" s="43">
        <v>1.0</v>
      </c>
      <c r="H302" s="42"/>
      <c r="I302" s="42"/>
      <c r="J302" s="27" t="s">
        <v>151</v>
      </c>
      <c r="K302" s="42"/>
    </row>
    <row r="303" ht="39.75" hidden="1" customHeight="1">
      <c r="A303" s="1">
        <v>302.0</v>
      </c>
      <c r="B303" s="2" t="s">
        <v>331</v>
      </c>
      <c r="C303" s="2" t="s">
        <v>13</v>
      </c>
      <c r="D303" s="13"/>
      <c r="E303" s="13"/>
      <c r="F303" s="45"/>
      <c r="G303" s="42"/>
      <c r="H303" s="42"/>
      <c r="I303" s="42"/>
      <c r="J303" s="27" t="s">
        <v>152</v>
      </c>
      <c r="K303" s="42"/>
    </row>
    <row r="304" ht="39.75" customHeight="1">
      <c r="A304" s="1">
        <v>303.0</v>
      </c>
      <c r="B304" s="2" t="s">
        <v>21</v>
      </c>
      <c r="C304" s="2" t="s">
        <v>63</v>
      </c>
      <c r="D304" s="13"/>
      <c r="E304" s="13"/>
      <c r="F304" s="44" t="s">
        <v>4540</v>
      </c>
      <c r="G304" s="42"/>
      <c r="H304" s="42"/>
      <c r="I304" s="42"/>
      <c r="J304" s="27" t="s">
        <v>154</v>
      </c>
      <c r="K304" s="42"/>
    </row>
    <row r="305" ht="80.25" customHeight="1">
      <c r="A305" s="1">
        <v>304.0</v>
      </c>
      <c r="B305" s="2" t="s">
        <v>22</v>
      </c>
      <c r="C305" s="2"/>
      <c r="D305" s="40">
        <v>0.375</v>
      </c>
      <c r="E305" s="13"/>
      <c r="F305" s="44" t="s">
        <v>4573</v>
      </c>
      <c r="G305" s="43">
        <v>1.0</v>
      </c>
      <c r="H305" s="42"/>
      <c r="I305" s="43">
        <v>1.0</v>
      </c>
      <c r="J305" s="22"/>
      <c r="K305" s="42"/>
    </row>
    <row r="306" ht="39.75" hidden="1" customHeight="1">
      <c r="A306" s="1">
        <v>305.0</v>
      </c>
      <c r="B306" s="2" t="s">
        <v>23</v>
      </c>
      <c r="C306" s="2" t="s">
        <v>13</v>
      </c>
      <c r="D306" s="13"/>
      <c r="E306" s="13"/>
      <c r="F306" s="45"/>
      <c r="G306" s="42"/>
      <c r="H306" s="42"/>
      <c r="I306" s="42"/>
      <c r="J306" s="22"/>
      <c r="K306" s="42"/>
    </row>
    <row r="307" ht="39.75" hidden="1" customHeight="1">
      <c r="A307" s="1">
        <v>306.0</v>
      </c>
      <c r="B307" s="2" t="s">
        <v>24</v>
      </c>
      <c r="C307" s="2" t="s">
        <v>13</v>
      </c>
      <c r="D307" s="13"/>
      <c r="E307" s="13"/>
      <c r="F307" s="45"/>
      <c r="G307" s="42"/>
      <c r="H307" s="42"/>
      <c r="I307" s="42"/>
      <c r="J307" s="22"/>
      <c r="K307" s="42"/>
    </row>
    <row r="308" ht="60.75" customHeight="1">
      <c r="A308" s="1">
        <v>307.0</v>
      </c>
      <c r="B308" s="2" t="s">
        <v>25</v>
      </c>
      <c r="C308" s="2" t="s">
        <v>39</v>
      </c>
      <c r="D308" s="13"/>
      <c r="E308" s="13"/>
      <c r="F308" s="44" t="s">
        <v>4574</v>
      </c>
      <c r="G308" s="43">
        <v>1.0</v>
      </c>
      <c r="H308" s="42"/>
      <c r="I308" s="43">
        <v>1.0</v>
      </c>
      <c r="J308" s="22"/>
      <c r="K308" s="42"/>
    </row>
    <row r="309" ht="39.75" customHeight="1">
      <c r="A309" s="1">
        <v>308.0</v>
      </c>
      <c r="B309" s="2" t="s">
        <v>26</v>
      </c>
      <c r="C309" s="2"/>
      <c r="D309" s="13"/>
      <c r="E309" s="13"/>
      <c r="F309" s="44" t="s">
        <v>4568</v>
      </c>
      <c r="G309" s="43">
        <v>1.0</v>
      </c>
      <c r="H309" s="43">
        <v>1.0</v>
      </c>
      <c r="I309" s="42"/>
      <c r="J309" s="22"/>
      <c r="K309" s="42"/>
    </row>
    <row r="310" ht="39.75" hidden="1" customHeight="1">
      <c r="A310" s="1">
        <v>309.0</v>
      </c>
      <c r="B310" s="2" t="s">
        <v>29</v>
      </c>
      <c r="C310" s="2" t="s">
        <v>13</v>
      </c>
      <c r="D310" s="13"/>
      <c r="E310" s="13"/>
      <c r="F310" s="45"/>
      <c r="G310" s="42"/>
      <c r="H310" s="42"/>
      <c r="I310" s="42"/>
      <c r="J310" s="22"/>
      <c r="K310" s="42"/>
    </row>
    <row r="311" ht="39.75" hidden="1" customHeight="1">
      <c r="A311" s="1">
        <v>310.0</v>
      </c>
      <c r="B311" s="2" t="s">
        <v>30</v>
      </c>
      <c r="C311" s="2" t="s">
        <v>13</v>
      </c>
      <c r="D311" s="13"/>
      <c r="E311" s="13"/>
      <c r="F311" s="45"/>
      <c r="G311" s="42"/>
      <c r="H311" s="42"/>
      <c r="I311" s="42"/>
      <c r="J311" s="22"/>
      <c r="K311" s="42"/>
    </row>
    <row r="312" ht="39.75" customHeight="1">
      <c r="A312" s="1">
        <v>311.0</v>
      </c>
      <c r="B312" s="2" t="s">
        <v>31</v>
      </c>
      <c r="C312" s="2" t="s">
        <v>44</v>
      </c>
      <c r="D312" s="13"/>
      <c r="E312" s="13"/>
      <c r="F312" s="45"/>
      <c r="G312" s="42"/>
      <c r="H312" s="42"/>
      <c r="I312" s="42"/>
      <c r="J312" s="22"/>
      <c r="K312" s="42"/>
    </row>
    <row r="313" ht="39.75" hidden="1" customHeight="1">
      <c r="A313" s="1">
        <v>312.0</v>
      </c>
      <c r="B313" s="2" t="s">
        <v>32</v>
      </c>
      <c r="C313" s="2" t="s">
        <v>13</v>
      </c>
      <c r="D313" s="13"/>
      <c r="E313" s="13"/>
      <c r="F313" s="45"/>
      <c r="G313" s="42"/>
      <c r="H313" s="42"/>
      <c r="I313" s="42"/>
      <c r="J313" s="22"/>
      <c r="K313" s="42"/>
    </row>
    <row r="314" ht="39.75" customHeight="1">
      <c r="A314" s="1">
        <v>313.0</v>
      </c>
      <c r="B314" s="2" t="s">
        <v>67</v>
      </c>
      <c r="C314" s="40"/>
      <c r="D314" s="40">
        <v>0.375</v>
      </c>
      <c r="E314" s="13"/>
      <c r="F314" s="44" t="s">
        <v>4575</v>
      </c>
      <c r="G314" s="43">
        <v>1.0</v>
      </c>
      <c r="H314" s="42"/>
      <c r="I314" s="42"/>
      <c r="J314" s="22"/>
      <c r="K314" s="42"/>
    </row>
    <row r="315" ht="39.75" hidden="1" customHeight="1">
      <c r="A315" s="1">
        <v>314.0</v>
      </c>
      <c r="B315" s="2" t="s">
        <v>35</v>
      </c>
      <c r="C315" s="2" t="s">
        <v>13</v>
      </c>
      <c r="D315" s="13"/>
      <c r="E315" s="13"/>
      <c r="F315" s="45"/>
      <c r="G315" s="42"/>
      <c r="H315" s="42"/>
      <c r="I315" s="42"/>
      <c r="J315" s="22"/>
      <c r="K315" s="42"/>
    </row>
    <row r="316" ht="39.75" hidden="1" customHeight="1">
      <c r="A316" s="1">
        <v>315.0</v>
      </c>
      <c r="B316" s="2" t="s">
        <v>36</v>
      </c>
      <c r="C316" s="2" t="s">
        <v>13</v>
      </c>
      <c r="D316" s="13"/>
      <c r="E316" s="13"/>
      <c r="F316" s="45"/>
      <c r="G316" s="42"/>
      <c r="H316" s="42"/>
      <c r="I316" s="42"/>
      <c r="J316" s="22"/>
      <c r="K316" s="42"/>
    </row>
    <row r="317" ht="39.75" hidden="1" customHeight="1">
      <c r="A317" s="1">
        <v>316.0</v>
      </c>
      <c r="B317" s="2" t="s">
        <v>38</v>
      </c>
      <c r="C317" s="2" t="s">
        <v>13</v>
      </c>
      <c r="D317" s="13"/>
      <c r="E317" s="13"/>
      <c r="F317" s="45"/>
      <c r="G317" s="42"/>
      <c r="H317" s="42"/>
      <c r="I317" s="42"/>
      <c r="J317" s="22"/>
      <c r="K317" s="42"/>
    </row>
    <row r="318" ht="39.75" hidden="1" customHeight="1">
      <c r="A318" s="1">
        <v>317.0</v>
      </c>
      <c r="B318" s="2" t="s">
        <v>41</v>
      </c>
      <c r="C318" s="2" t="s">
        <v>13</v>
      </c>
      <c r="D318" s="13"/>
      <c r="E318" s="13"/>
      <c r="F318" s="45"/>
      <c r="G318" s="42"/>
      <c r="H318" s="42"/>
      <c r="I318" s="42"/>
      <c r="J318" s="22"/>
      <c r="K318" s="42"/>
    </row>
    <row r="319" ht="39.75" hidden="1" customHeight="1">
      <c r="A319" s="1">
        <v>318.0</v>
      </c>
      <c r="B319" s="2" t="s">
        <v>42</v>
      </c>
      <c r="C319" s="2" t="s">
        <v>13</v>
      </c>
      <c r="D319" s="13"/>
      <c r="E319" s="13"/>
      <c r="F319" s="45"/>
      <c r="G319" s="42"/>
      <c r="H319" s="42"/>
      <c r="I319" s="42"/>
      <c r="J319" s="22"/>
      <c r="K319" s="42"/>
    </row>
    <row r="320" ht="39.75" customHeight="1">
      <c r="A320" s="1">
        <v>319.0</v>
      </c>
      <c r="B320" s="2" t="s">
        <v>267</v>
      </c>
      <c r="C320" s="2" t="s">
        <v>272</v>
      </c>
      <c r="D320" s="13"/>
      <c r="E320" s="13"/>
      <c r="F320" s="44" t="s">
        <v>1186</v>
      </c>
      <c r="G320" s="43">
        <v>1.0</v>
      </c>
      <c r="H320" s="42"/>
      <c r="I320" s="43">
        <v>1.0</v>
      </c>
      <c r="J320" s="22"/>
      <c r="K320" s="42"/>
    </row>
    <row r="321" ht="39.75" hidden="1" customHeight="1">
      <c r="A321" s="1">
        <v>320.0</v>
      </c>
      <c r="B321" s="2" t="s">
        <v>45</v>
      </c>
      <c r="C321" s="2" t="s">
        <v>13</v>
      </c>
      <c r="D321" s="13"/>
      <c r="E321" s="13"/>
      <c r="F321" s="45"/>
      <c r="G321" s="42"/>
      <c r="H321" s="42"/>
      <c r="I321" s="42"/>
      <c r="J321" s="22"/>
      <c r="K321" s="42"/>
    </row>
    <row r="322" ht="39.75" hidden="1" customHeight="1">
      <c r="A322" s="1">
        <v>321.0</v>
      </c>
      <c r="B322" s="2" t="s">
        <v>46</v>
      </c>
      <c r="C322" s="2" t="s">
        <v>13</v>
      </c>
      <c r="D322" s="13"/>
      <c r="E322" s="13"/>
      <c r="F322" s="45"/>
      <c r="G322" s="42"/>
      <c r="H322" s="42"/>
      <c r="I322" s="42"/>
      <c r="J322" s="22"/>
      <c r="K322" s="42"/>
    </row>
    <row r="323" ht="39.75" hidden="1" customHeight="1">
      <c r="A323" s="1">
        <v>322.0</v>
      </c>
      <c r="B323" s="2" t="s">
        <v>47</v>
      </c>
      <c r="C323" s="2" t="s">
        <v>13</v>
      </c>
      <c r="D323" s="13"/>
      <c r="E323" s="13"/>
      <c r="F323" s="45"/>
      <c r="G323" s="42"/>
      <c r="H323" s="42"/>
      <c r="I323" s="42"/>
      <c r="J323" s="22"/>
      <c r="K323" s="42"/>
    </row>
    <row r="324" ht="39.75" hidden="1" customHeight="1">
      <c r="A324" s="1">
        <v>323.0</v>
      </c>
      <c r="B324" s="2" t="s">
        <v>48</v>
      </c>
      <c r="C324" s="2" t="s">
        <v>13</v>
      </c>
      <c r="D324" s="13"/>
      <c r="E324" s="13"/>
      <c r="F324" s="45"/>
      <c r="G324" s="42"/>
      <c r="H324" s="42"/>
      <c r="I324" s="42"/>
      <c r="J324" s="22"/>
      <c r="K324" s="42"/>
    </row>
    <row r="325" ht="39.75" customHeight="1">
      <c r="A325" s="1">
        <v>324.0</v>
      </c>
      <c r="B325" s="21"/>
      <c r="C325" s="21"/>
      <c r="D325" s="21"/>
      <c r="E325" s="21"/>
      <c r="F325" s="46"/>
      <c r="G325" s="47"/>
      <c r="H325" s="47"/>
      <c r="I325" s="47"/>
      <c r="J325" s="48"/>
      <c r="K325" s="47"/>
      <c r="L325" s="49"/>
      <c r="M325" s="49"/>
      <c r="N325" s="49"/>
    </row>
    <row r="326" ht="39.75" customHeight="1">
      <c r="A326" s="1">
        <v>325.0</v>
      </c>
      <c r="B326" s="2" t="s">
        <v>12</v>
      </c>
      <c r="C326" s="2" t="s">
        <v>62</v>
      </c>
      <c r="D326" s="13"/>
      <c r="E326" s="13"/>
      <c r="F326" s="44" t="s">
        <v>1543</v>
      </c>
      <c r="G326" s="43">
        <v>1.0</v>
      </c>
      <c r="H326" s="42"/>
      <c r="I326" s="43">
        <v>1.0</v>
      </c>
      <c r="J326" s="27" t="s">
        <v>4481</v>
      </c>
      <c r="K326" s="42"/>
      <c r="L326" s="15" t="s">
        <v>244</v>
      </c>
    </row>
    <row r="327" ht="39.75" hidden="1" customHeight="1">
      <c r="A327" s="1">
        <v>326.0</v>
      </c>
      <c r="B327" s="2" t="s">
        <v>16</v>
      </c>
      <c r="C327" s="2" t="s">
        <v>58</v>
      </c>
      <c r="D327" s="13"/>
      <c r="E327" s="13"/>
      <c r="F327" s="45"/>
      <c r="G327" s="42"/>
      <c r="H327" s="42"/>
      <c r="I327" s="42"/>
      <c r="J327" s="27" t="s">
        <v>244</v>
      </c>
      <c r="K327" s="43"/>
    </row>
    <row r="328" ht="39.75" customHeight="1">
      <c r="A328" s="1">
        <v>327.0</v>
      </c>
      <c r="B328" s="2" t="s">
        <v>116</v>
      </c>
      <c r="C328" s="2" t="s">
        <v>69</v>
      </c>
      <c r="D328" s="13"/>
      <c r="E328" s="13"/>
      <c r="F328" s="44" t="s">
        <v>4576</v>
      </c>
      <c r="G328" s="43">
        <v>2.0</v>
      </c>
      <c r="H328" s="42"/>
      <c r="I328" s="42"/>
      <c r="J328" s="27" t="s">
        <v>56</v>
      </c>
      <c r="K328" s="42"/>
    </row>
    <row r="329" ht="39.75" customHeight="1">
      <c r="A329" s="1">
        <v>328.0</v>
      </c>
      <c r="B329" s="2" t="s">
        <v>17</v>
      </c>
      <c r="C329" s="2" t="s">
        <v>44</v>
      </c>
      <c r="D329" s="13"/>
      <c r="E329" s="13"/>
      <c r="F329" s="44"/>
      <c r="G329" s="42"/>
      <c r="H329" s="42"/>
      <c r="I329" s="42"/>
      <c r="J329" s="22"/>
      <c r="K329" s="42"/>
    </row>
    <row r="330" ht="39.75" customHeight="1">
      <c r="A330" s="1">
        <v>329.0</v>
      </c>
      <c r="B330" s="2" t="s">
        <v>331</v>
      </c>
      <c r="C330" s="2" t="s">
        <v>542</v>
      </c>
      <c r="D330" s="13"/>
      <c r="E330" s="13"/>
      <c r="F330" s="45"/>
      <c r="G330" s="42"/>
      <c r="H330" s="42"/>
      <c r="I330" s="42"/>
      <c r="J330" s="22"/>
      <c r="K330" s="42"/>
    </row>
    <row r="331" ht="39.75" customHeight="1">
      <c r="A331" s="1">
        <v>330.0</v>
      </c>
      <c r="B331" s="2" t="s">
        <v>21</v>
      </c>
      <c r="C331" s="2" t="s">
        <v>63</v>
      </c>
      <c r="D331" s="13"/>
      <c r="E331" s="13"/>
      <c r="F331" s="44" t="s">
        <v>4273</v>
      </c>
      <c r="G331" s="42"/>
      <c r="H331" s="42"/>
      <c r="I331" s="42"/>
      <c r="J331" s="22"/>
      <c r="K331" s="42"/>
    </row>
    <row r="332" ht="66.75" customHeight="1">
      <c r="A332" s="1">
        <v>331.0</v>
      </c>
      <c r="B332" s="2" t="s">
        <v>22</v>
      </c>
      <c r="C332" s="2"/>
      <c r="D332" s="13"/>
      <c r="E332" s="13"/>
      <c r="F332" s="44" t="s">
        <v>4577</v>
      </c>
      <c r="G332" s="43">
        <v>1.0</v>
      </c>
      <c r="H332" s="42"/>
      <c r="I332" s="42"/>
      <c r="J332" s="22"/>
      <c r="K332" s="42"/>
    </row>
    <row r="333" ht="67.5" customHeight="1">
      <c r="A333" s="1">
        <v>332.0</v>
      </c>
      <c r="B333" s="2" t="s">
        <v>23</v>
      </c>
      <c r="C333" s="2" t="s">
        <v>54</v>
      </c>
      <c r="D333" s="13"/>
      <c r="E333" s="13"/>
      <c r="F333" s="44" t="s">
        <v>4578</v>
      </c>
      <c r="G333" s="43">
        <v>1.0</v>
      </c>
      <c r="H333" s="42"/>
      <c r="I333" s="43">
        <v>1.0</v>
      </c>
      <c r="J333" s="22"/>
      <c r="K333" s="42"/>
    </row>
    <row r="334" ht="39.75" hidden="1" customHeight="1">
      <c r="A334" s="1">
        <v>333.0</v>
      </c>
      <c r="B334" s="2" t="s">
        <v>24</v>
      </c>
      <c r="C334" s="2" t="s">
        <v>58</v>
      </c>
      <c r="D334" s="13"/>
      <c r="E334" s="13"/>
      <c r="F334" s="45"/>
      <c r="G334" s="42"/>
      <c r="H334" s="42"/>
      <c r="I334" s="42"/>
      <c r="J334" s="22"/>
      <c r="K334" s="42"/>
    </row>
    <row r="335" ht="39.75" customHeight="1">
      <c r="A335" s="1">
        <v>334.0</v>
      </c>
      <c r="B335" s="2" t="s">
        <v>25</v>
      </c>
      <c r="C335" s="2" t="s">
        <v>54</v>
      </c>
      <c r="D335" s="13"/>
      <c r="E335" s="13"/>
      <c r="F335" s="44" t="s">
        <v>4579</v>
      </c>
      <c r="G335" s="42"/>
      <c r="H335" s="42"/>
      <c r="I335" s="42"/>
      <c r="J335" s="22"/>
      <c r="K335" s="42"/>
    </row>
    <row r="336" ht="39.75" customHeight="1">
      <c r="A336" s="1">
        <v>335.0</v>
      </c>
      <c r="B336" s="2" t="s">
        <v>26</v>
      </c>
      <c r="C336" s="2"/>
      <c r="D336" s="13"/>
      <c r="E336" s="13"/>
      <c r="F336" s="44" t="s">
        <v>4568</v>
      </c>
      <c r="G336" s="43">
        <v>1.0</v>
      </c>
      <c r="H336" s="43">
        <v>1.0</v>
      </c>
      <c r="I336" s="42"/>
      <c r="J336" s="22"/>
      <c r="K336" s="42"/>
    </row>
    <row r="337" ht="39.75" hidden="1" customHeight="1">
      <c r="A337" s="1">
        <v>336.0</v>
      </c>
      <c r="B337" s="2" t="s">
        <v>29</v>
      </c>
      <c r="C337" s="2" t="s">
        <v>66</v>
      </c>
      <c r="D337" s="13"/>
      <c r="E337" s="13"/>
      <c r="F337" s="45"/>
      <c r="G337" s="42"/>
      <c r="H337" s="42"/>
      <c r="I337" s="42"/>
      <c r="J337" s="22"/>
      <c r="K337" s="42"/>
    </row>
    <row r="338" ht="39.75" customHeight="1">
      <c r="A338" s="1">
        <v>337.0</v>
      </c>
      <c r="B338" s="2" t="s">
        <v>30</v>
      </c>
      <c r="C338" s="2" t="s">
        <v>64</v>
      </c>
      <c r="D338" s="13"/>
      <c r="E338" s="13"/>
      <c r="F338" s="44" t="s">
        <v>2592</v>
      </c>
      <c r="G338" s="43">
        <v>1.0</v>
      </c>
      <c r="H338" s="42"/>
      <c r="I338" s="43">
        <v>1.0</v>
      </c>
      <c r="J338" s="22"/>
      <c r="K338" s="42"/>
    </row>
    <row r="339" ht="39.75" customHeight="1">
      <c r="A339" s="1">
        <v>338.0</v>
      </c>
      <c r="B339" s="2" t="s">
        <v>31</v>
      </c>
      <c r="C339" s="2" t="s">
        <v>69</v>
      </c>
      <c r="D339" s="13"/>
      <c r="E339" s="13"/>
      <c r="F339" s="44" t="s">
        <v>4580</v>
      </c>
      <c r="G339" s="43">
        <v>1.0</v>
      </c>
      <c r="H339" s="42"/>
      <c r="I339" s="42"/>
      <c r="J339" s="22"/>
      <c r="K339" s="42"/>
    </row>
    <row r="340" ht="39.75" customHeight="1">
      <c r="A340" s="1">
        <v>339.0</v>
      </c>
      <c r="B340" s="2" t="s">
        <v>32</v>
      </c>
      <c r="C340" s="2"/>
      <c r="D340" s="13"/>
      <c r="E340" s="13"/>
      <c r="F340" s="44" t="s">
        <v>4581</v>
      </c>
      <c r="G340" s="43">
        <v>1.0</v>
      </c>
      <c r="H340" s="42"/>
      <c r="I340" s="42"/>
      <c r="J340" s="22"/>
      <c r="K340" s="42"/>
    </row>
    <row r="341" ht="39.75" customHeight="1">
      <c r="A341" s="1">
        <v>340.0</v>
      </c>
      <c r="B341" s="2" t="s">
        <v>67</v>
      </c>
      <c r="C341" s="2"/>
      <c r="D341" s="13"/>
      <c r="E341" s="13"/>
      <c r="F341" s="44" t="s">
        <v>4582</v>
      </c>
      <c r="G341" s="43">
        <v>2.0</v>
      </c>
      <c r="H341" s="42"/>
      <c r="I341" s="43">
        <v>1.0</v>
      </c>
      <c r="J341" s="22"/>
      <c r="K341" s="42"/>
    </row>
    <row r="342" ht="39.75" customHeight="1">
      <c r="A342" s="1">
        <v>341.0</v>
      </c>
      <c r="B342" s="2" t="s">
        <v>35</v>
      </c>
      <c r="C342" s="2" t="s">
        <v>39</v>
      </c>
      <c r="D342" s="13"/>
      <c r="E342" s="13"/>
      <c r="F342" s="44" t="s">
        <v>2691</v>
      </c>
      <c r="G342" s="43">
        <v>1.0</v>
      </c>
      <c r="H342" s="42"/>
      <c r="I342" s="43">
        <v>1.0</v>
      </c>
      <c r="J342" s="22"/>
      <c r="K342" s="42"/>
    </row>
    <row r="343" ht="39.75" hidden="1" customHeight="1">
      <c r="A343" s="1">
        <v>342.0</v>
      </c>
      <c r="B343" s="2" t="s">
        <v>36</v>
      </c>
      <c r="C343" s="2" t="s">
        <v>66</v>
      </c>
      <c r="D343" s="13"/>
      <c r="E343" s="13"/>
      <c r="F343" s="45"/>
      <c r="G343" s="42"/>
      <c r="H343" s="42"/>
      <c r="I343" s="42"/>
      <c r="J343" s="22"/>
      <c r="K343" s="42"/>
    </row>
    <row r="344" ht="39.75" hidden="1" customHeight="1">
      <c r="A344" s="1">
        <v>343.0</v>
      </c>
      <c r="B344" s="2" t="s">
        <v>38</v>
      </c>
      <c r="C344" s="2" t="s">
        <v>58</v>
      </c>
      <c r="D344" s="13"/>
      <c r="E344" s="13"/>
      <c r="F344" s="45"/>
      <c r="G344" s="42"/>
      <c r="H344" s="42"/>
      <c r="I344" s="42"/>
      <c r="J344" s="22"/>
      <c r="K344" s="42"/>
    </row>
    <row r="345" ht="39.75" hidden="1" customHeight="1">
      <c r="A345" s="1">
        <v>344.0</v>
      </c>
      <c r="B345" s="2" t="s">
        <v>41</v>
      </c>
      <c r="C345" s="2" t="s">
        <v>58</v>
      </c>
      <c r="D345" s="13"/>
      <c r="E345" s="13"/>
      <c r="F345" s="45"/>
      <c r="G345" s="42"/>
      <c r="H345" s="42"/>
      <c r="I345" s="42"/>
      <c r="J345" s="22"/>
      <c r="K345" s="42"/>
    </row>
    <row r="346" ht="39.75" hidden="1" customHeight="1">
      <c r="A346" s="1">
        <v>345.0</v>
      </c>
      <c r="B346" s="2" t="s">
        <v>42</v>
      </c>
      <c r="C346" s="2" t="s">
        <v>58</v>
      </c>
      <c r="D346" s="13"/>
      <c r="E346" s="13"/>
      <c r="F346" s="45"/>
      <c r="G346" s="42"/>
      <c r="H346" s="42"/>
      <c r="I346" s="42"/>
      <c r="J346" s="22"/>
      <c r="K346" s="42"/>
    </row>
    <row r="347" ht="39.75" customHeight="1">
      <c r="A347" s="1">
        <v>346.0</v>
      </c>
      <c r="B347" s="2" t="s">
        <v>43</v>
      </c>
      <c r="C347" s="2" t="s">
        <v>27</v>
      </c>
      <c r="D347" s="13"/>
      <c r="E347" s="13"/>
      <c r="F347" s="44" t="s">
        <v>4583</v>
      </c>
      <c r="G347" s="43">
        <v>1.0</v>
      </c>
      <c r="H347" s="42"/>
      <c r="I347" s="42"/>
      <c r="J347" s="22"/>
      <c r="K347" s="42"/>
    </row>
    <row r="348" ht="39.75" customHeight="1">
      <c r="A348" s="1">
        <v>347.0</v>
      </c>
      <c r="B348" s="2" t="s">
        <v>45</v>
      </c>
      <c r="C348" s="2" t="s">
        <v>69</v>
      </c>
      <c r="D348" s="13"/>
      <c r="E348" s="13"/>
      <c r="F348" s="44" t="s">
        <v>4584</v>
      </c>
      <c r="G348" s="43">
        <v>2.0</v>
      </c>
      <c r="H348" s="43">
        <v>1.0</v>
      </c>
      <c r="I348" s="43">
        <v>1.0</v>
      </c>
      <c r="J348" s="22"/>
      <c r="K348" s="42"/>
    </row>
    <row r="349" ht="39.75" customHeight="1">
      <c r="A349" s="1">
        <v>348.0</v>
      </c>
      <c r="B349" s="2" t="s">
        <v>46</v>
      </c>
      <c r="C349" s="2" t="s">
        <v>54</v>
      </c>
      <c r="D349" s="13"/>
      <c r="E349" s="51">
        <v>0.8194444444444444</v>
      </c>
      <c r="F349" s="44" t="s">
        <v>4585</v>
      </c>
      <c r="G349" s="43">
        <v>2.0</v>
      </c>
      <c r="H349" s="42"/>
      <c r="I349" s="42"/>
      <c r="J349" s="22"/>
      <c r="K349" s="42"/>
    </row>
    <row r="350" ht="39.75" customHeight="1">
      <c r="A350" s="1">
        <v>349.0</v>
      </c>
      <c r="B350" s="2" t="s">
        <v>47</v>
      </c>
      <c r="C350" s="2" t="s">
        <v>54</v>
      </c>
      <c r="D350" s="13"/>
      <c r="E350" s="13"/>
      <c r="F350" s="44" t="s">
        <v>4586</v>
      </c>
      <c r="G350" s="43">
        <v>3.0</v>
      </c>
      <c r="H350" s="42"/>
      <c r="I350" s="43">
        <v>2.0</v>
      </c>
      <c r="J350" s="22"/>
      <c r="K350" s="42"/>
    </row>
    <row r="351" ht="39.75" customHeight="1">
      <c r="A351" s="1">
        <v>350.0</v>
      </c>
      <c r="B351" s="2" t="s">
        <v>48</v>
      </c>
      <c r="C351" s="2" t="s">
        <v>39</v>
      </c>
      <c r="D351" s="13"/>
      <c r="E351" s="13"/>
      <c r="F351" s="44" t="s">
        <v>4587</v>
      </c>
      <c r="G351" s="43">
        <v>1.0</v>
      </c>
      <c r="H351" s="42"/>
      <c r="I351" s="43">
        <v>1.0</v>
      </c>
      <c r="J351" s="22"/>
      <c r="K351" s="42"/>
    </row>
    <row r="352" ht="39.75" customHeight="1">
      <c r="A352" s="1">
        <v>351.0</v>
      </c>
      <c r="B352" s="21"/>
      <c r="C352" s="21"/>
      <c r="D352" s="21"/>
      <c r="E352" s="21"/>
      <c r="F352" s="46"/>
      <c r="G352" s="47"/>
      <c r="H352" s="47"/>
      <c r="I352" s="47"/>
      <c r="J352" s="48"/>
      <c r="K352" s="47"/>
      <c r="L352" s="49"/>
      <c r="M352" s="49"/>
      <c r="N352" s="49"/>
    </row>
    <row r="353" ht="39.75" customHeight="1">
      <c r="A353" s="1">
        <v>352.0</v>
      </c>
      <c r="B353" s="2" t="s">
        <v>12</v>
      </c>
      <c r="C353" s="2" t="s">
        <v>62</v>
      </c>
      <c r="D353" s="13"/>
      <c r="E353" s="13"/>
      <c r="F353" s="44" t="s">
        <v>1543</v>
      </c>
      <c r="G353" s="43">
        <v>1.0</v>
      </c>
      <c r="H353" s="42"/>
      <c r="I353" s="43">
        <v>1.0</v>
      </c>
      <c r="J353" s="27" t="s">
        <v>4481</v>
      </c>
      <c r="K353" s="42"/>
      <c r="L353" s="15" t="s">
        <v>260</v>
      </c>
    </row>
    <row r="354" ht="39.75" customHeight="1">
      <c r="A354" s="1">
        <v>353.0</v>
      </c>
      <c r="B354" s="2" t="s">
        <v>16</v>
      </c>
      <c r="C354" s="2" t="s">
        <v>69</v>
      </c>
      <c r="D354" s="13"/>
      <c r="E354" s="51">
        <v>0.9861111111111112</v>
      </c>
      <c r="F354" s="44" t="s">
        <v>4588</v>
      </c>
      <c r="G354" s="43">
        <v>1.0</v>
      </c>
      <c r="H354" s="42"/>
      <c r="I354" s="43">
        <v>1.0</v>
      </c>
      <c r="J354" s="27" t="s">
        <v>260</v>
      </c>
      <c r="K354" s="43"/>
    </row>
    <row r="355" ht="39.75" customHeight="1">
      <c r="A355" s="1">
        <v>354.0</v>
      </c>
      <c r="B355" s="2" t="s">
        <v>116</v>
      </c>
      <c r="C355" s="2"/>
      <c r="D355" s="13"/>
      <c r="E355" s="40">
        <v>0.75</v>
      </c>
      <c r="F355" s="44" t="s">
        <v>4589</v>
      </c>
      <c r="G355" s="43">
        <v>1.0</v>
      </c>
      <c r="H355" s="42"/>
      <c r="I355" s="42"/>
      <c r="J355" s="27" t="s">
        <v>77</v>
      </c>
      <c r="K355" s="42"/>
    </row>
    <row r="356" ht="39.75" customHeight="1">
      <c r="A356" s="1">
        <v>355.0</v>
      </c>
      <c r="B356" s="2" t="s">
        <v>17</v>
      </c>
      <c r="C356" s="2" t="s">
        <v>39</v>
      </c>
      <c r="D356" s="13"/>
      <c r="E356" s="13"/>
      <c r="F356" s="44" t="s">
        <v>2691</v>
      </c>
      <c r="G356" s="43">
        <v>1.0</v>
      </c>
      <c r="H356" s="42"/>
      <c r="I356" s="43">
        <v>1.0</v>
      </c>
      <c r="J356" s="22"/>
      <c r="K356" s="42"/>
    </row>
    <row r="357" ht="39.75" customHeight="1">
      <c r="A357" s="1">
        <v>356.0</v>
      </c>
      <c r="B357" s="2" t="s">
        <v>331</v>
      </c>
      <c r="C357" s="2" t="s">
        <v>542</v>
      </c>
      <c r="D357" s="13"/>
      <c r="E357" s="13"/>
      <c r="F357" s="44" t="s">
        <v>4590</v>
      </c>
      <c r="G357" s="43">
        <v>1.0</v>
      </c>
      <c r="H357" s="42"/>
      <c r="I357" s="43">
        <v>1.0</v>
      </c>
      <c r="J357" s="22"/>
      <c r="K357" s="42"/>
    </row>
    <row r="358" ht="39.75" hidden="1" customHeight="1">
      <c r="A358" s="1">
        <v>357.0</v>
      </c>
      <c r="B358" s="2" t="s">
        <v>21</v>
      </c>
      <c r="C358" s="2" t="s">
        <v>58</v>
      </c>
      <c r="D358" s="13"/>
      <c r="E358" s="13"/>
      <c r="F358" s="45"/>
      <c r="G358" s="42"/>
      <c r="H358" s="42"/>
      <c r="I358" s="42"/>
      <c r="J358" s="22"/>
      <c r="K358" s="42"/>
    </row>
    <row r="359" ht="39.75" customHeight="1">
      <c r="A359" s="1">
        <v>358.0</v>
      </c>
      <c r="B359" s="2" t="s">
        <v>22</v>
      </c>
      <c r="C359" s="2" t="s">
        <v>69</v>
      </c>
      <c r="D359" s="13"/>
      <c r="E359" s="13"/>
      <c r="F359" s="44" t="s">
        <v>4591</v>
      </c>
      <c r="G359" s="43">
        <v>2.0</v>
      </c>
      <c r="H359" s="42"/>
      <c r="I359" s="43">
        <v>2.0</v>
      </c>
      <c r="J359" s="22"/>
      <c r="K359" s="42"/>
    </row>
    <row r="360" ht="39.75" customHeight="1">
      <c r="A360" s="1">
        <v>359.0</v>
      </c>
      <c r="B360" s="2" t="s">
        <v>23</v>
      </c>
      <c r="C360" s="2" t="s">
        <v>54</v>
      </c>
      <c r="D360" s="13"/>
      <c r="E360" s="13"/>
      <c r="F360" s="44" t="s">
        <v>4592</v>
      </c>
      <c r="G360" s="43">
        <v>1.0</v>
      </c>
      <c r="H360" s="42"/>
      <c r="I360" s="42"/>
      <c r="J360" s="22"/>
      <c r="K360" s="42"/>
    </row>
    <row r="361" ht="39.75" customHeight="1">
      <c r="A361" s="1">
        <v>360.0</v>
      </c>
      <c r="B361" s="2" t="s">
        <v>24</v>
      </c>
      <c r="C361" s="2" t="s">
        <v>63</v>
      </c>
      <c r="D361" s="13"/>
      <c r="E361" s="13"/>
      <c r="F361" s="44"/>
      <c r="G361" s="43"/>
      <c r="H361" s="42"/>
      <c r="I361" s="43"/>
      <c r="J361" s="22"/>
      <c r="K361" s="42"/>
    </row>
    <row r="362" ht="39.75" hidden="1" customHeight="1">
      <c r="A362" s="1">
        <v>361.0</v>
      </c>
      <c r="B362" s="2" t="s">
        <v>25</v>
      </c>
      <c r="C362" s="2" t="s">
        <v>58</v>
      </c>
      <c r="D362" s="13"/>
      <c r="E362" s="13"/>
      <c r="F362" s="45"/>
      <c r="G362" s="42"/>
      <c r="H362" s="42"/>
      <c r="I362" s="42"/>
      <c r="J362" s="22"/>
      <c r="K362" s="42"/>
    </row>
    <row r="363" ht="39.75" customHeight="1">
      <c r="A363" s="1">
        <v>362.0</v>
      </c>
      <c r="B363" s="2" t="s">
        <v>26</v>
      </c>
      <c r="C363" s="2"/>
      <c r="D363" s="13"/>
      <c r="E363" s="13"/>
      <c r="F363" s="44" t="s">
        <v>4568</v>
      </c>
      <c r="G363" s="43">
        <v>1.0</v>
      </c>
      <c r="H363" s="43">
        <v>1.0</v>
      </c>
      <c r="I363" s="42"/>
      <c r="J363" s="22"/>
      <c r="K363" s="42"/>
    </row>
    <row r="364" ht="39.75" hidden="1" customHeight="1">
      <c r="A364" s="1">
        <v>363.0</v>
      </c>
      <c r="B364" s="2" t="s">
        <v>29</v>
      </c>
      <c r="C364" s="2" t="s">
        <v>58</v>
      </c>
      <c r="D364" s="13"/>
      <c r="E364" s="13"/>
      <c r="F364" s="45"/>
      <c r="G364" s="42"/>
      <c r="H364" s="42"/>
      <c r="I364" s="42"/>
      <c r="J364" s="22"/>
      <c r="K364" s="42"/>
    </row>
    <row r="365" ht="39.75" customHeight="1">
      <c r="A365" s="1">
        <v>364.0</v>
      </c>
      <c r="B365" s="2" t="s">
        <v>30</v>
      </c>
      <c r="C365" s="2" t="s">
        <v>64</v>
      </c>
      <c r="D365" s="13"/>
      <c r="E365" s="13"/>
      <c r="F365" s="44" t="s">
        <v>2592</v>
      </c>
      <c r="G365" s="43">
        <v>1.0</v>
      </c>
      <c r="H365" s="42"/>
      <c r="I365" s="43">
        <v>1.0</v>
      </c>
      <c r="J365" s="22"/>
      <c r="K365" s="42"/>
    </row>
    <row r="366" ht="39.75" hidden="1" customHeight="1">
      <c r="A366" s="1">
        <v>365.0</v>
      </c>
      <c r="B366" s="2" t="s">
        <v>31</v>
      </c>
      <c r="C366" s="2" t="s">
        <v>66</v>
      </c>
      <c r="D366" s="13"/>
      <c r="E366" s="13"/>
      <c r="F366" s="45"/>
      <c r="G366" s="42"/>
      <c r="H366" s="42"/>
      <c r="I366" s="42"/>
      <c r="J366" s="22"/>
      <c r="K366" s="42"/>
    </row>
    <row r="367" ht="39.75" customHeight="1">
      <c r="A367" s="1">
        <v>366.0</v>
      </c>
      <c r="B367" s="2" t="s">
        <v>32</v>
      </c>
      <c r="C367" s="2" t="s">
        <v>54</v>
      </c>
      <c r="D367" s="13"/>
      <c r="E367" s="13"/>
      <c r="F367" s="44" t="s">
        <v>4593</v>
      </c>
      <c r="G367" s="43">
        <v>1.0</v>
      </c>
      <c r="H367" s="42"/>
      <c r="I367" s="42"/>
      <c r="J367" s="22"/>
      <c r="K367" s="42"/>
    </row>
    <row r="368" ht="39.75" customHeight="1">
      <c r="A368" s="1">
        <v>367.0</v>
      </c>
      <c r="B368" s="2" t="s">
        <v>67</v>
      </c>
      <c r="C368" s="2" t="s">
        <v>69</v>
      </c>
      <c r="D368" s="13"/>
      <c r="E368" s="40">
        <v>0.8472222222222222</v>
      </c>
      <c r="F368" s="44" t="s">
        <v>4594</v>
      </c>
      <c r="G368" s="43">
        <v>2.0</v>
      </c>
      <c r="H368" s="42"/>
      <c r="I368" s="43">
        <v>1.0</v>
      </c>
      <c r="J368" s="22"/>
      <c r="K368" s="42"/>
    </row>
    <row r="369" ht="39.75" customHeight="1">
      <c r="A369" s="1">
        <v>368.0</v>
      </c>
      <c r="B369" s="2" t="s">
        <v>35</v>
      </c>
      <c r="C369" s="2" t="s">
        <v>27</v>
      </c>
      <c r="D369" s="13"/>
      <c r="E369" s="13"/>
      <c r="F369" s="44" t="s">
        <v>4595</v>
      </c>
      <c r="G369" s="43">
        <v>1.0</v>
      </c>
      <c r="H369" s="42"/>
      <c r="I369" s="43">
        <v>1.0</v>
      </c>
      <c r="J369" s="22"/>
      <c r="K369" s="42"/>
    </row>
    <row r="370" ht="39.75" customHeight="1">
      <c r="A370" s="1">
        <v>369.0</v>
      </c>
      <c r="B370" s="2" t="s">
        <v>36</v>
      </c>
      <c r="C370" s="2"/>
      <c r="D370" s="13"/>
      <c r="E370" s="51">
        <v>0.7847222222222222</v>
      </c>
      <c r="F370" s="44" t="s">
        <v>4596</v>
      </c>
      <c r="G370" s="43">
        <v>1.0</v>
      </c>
      <c r="H370" s="42"/>
      <c r="I370" s="42"/>
      <c r="J370" s="22"/>
      <c r="K370" s="42"/>
    </row>
    <row r="371" ht="39.75" customHeight="1">
      <c r="A371" s="1">
        <v>370.0</v>
      </c>
      <c r="B371" s="2" t="s">
        <v>38</v>
      </c>
      <c r="C371" s="2" t="s">
        <v>39</v>
      </c>
      <c r="D371" s="13"/>
      <c r="E371" s="13"/>
      <c r="F371" s="44" t="s">
        <v>4597</v>
      </c>
      <c r="G371" s="43">
        <v>2.0</v>
      </c>
      <c r="H371" s="42"/>
      <c r="I371" s="43">
        <v>1.0</v>
      </c>
      <c r="J371" s="22"/>
      <c r="K371" s="42"/>
    </row>
    <row r="372" ht="39.75" hidden="1" customHeight="1">
      <c r="A372" s="1">
        <v>371.0</v>
      </c>
      <c r="B372" s="2" t="s">
        <v>41</v>
      </c>
      <c r="C372" s="2" t="s">
        <v>58</v>
      </c>
      <c r="D372" s="13"/>
      <c r="E372" s="13"/>
      <c r="F372" s="45"/>
      <c r="G372" s="42"/>
      <c r="H372" s="42"/>
      <c r="I372" s="42"/>
      <c r="J372" s="22"/>
      <c r="K372" s="42"/>
    </row>
    <row r="373" ht="39.75" hidden="1" customHeight="1">
      <c r="A373" s="1">
        <v>372.0</v>
      </c>
      <c r="B373" s="2" t="s">
        <v>42</v>
      </c>
      <c r="C373" s="2" t="s">
        <v>58</v>
      </c>
      <c r="D373" s="13"/>
      <c r="E373" s="13"/>
      <c r="F373" s="45"/>
      <c r="G373" s="42"/>
      <c r="H373" s="42"/>
      <c r="I373" s="42"/>
      <c r="J373" s="22"/>
      <c r="K373" s="42"/>
    </row>
    <row r="374" ht="39.75" customHeight="1">
      <c r="A374" s="1">
        <v>373.0</v>
      </c>
      <c r="B374" s="2" t="s">
        <v>43</v>
      </c>
      <c r="C374" s="2" t="s">
        <v>44</v>
      </c>
      <c r="D374" s="13"/>
      <c r="E374" s="13"/>
      <c r="F374" s="45"/>
      <c r="G374" s="42"/>
      <c r="H374" s="42"/>
      <c r="I374" s="42"/>
      <c r="J374" s="22"/>
      <c r="K374" s="42"/>
    </row>
    <row r="375" ht="39.75" customHeight="1">
      <c r="A375" s="1">
        <v>374.0</v>
      </c>
      <c r="B375" s="2" t="s">
        <v>45</v>
      </c>
      <c r="C375" s="2"/>
      <c r="D375" s="13"/>
      <c r="E375" s="13"/>
      <c r="F375" s="44" t="s">
        <v>4598</v>
      </c>
      <c r="G375" s="43">
        <v>1.0</v>
      </c>
      <c r="H375" s="43">
        <v>1.0</v>
      </c>
      <c r="I375" s="42"/>
      <c r="J375" s="22"/>
      <c r="K375" s="42"/>
    </row>
    <row r="376" ht="39.75" customHeight="1">
      <c r="A376" s="1">
        <v>375.0</v>
      </c>
      <c r="B376" s="2" t="s">
        <v>46</v>
      </c>
      <c r="C376" s="2" t="s">
        <v>54</v>
      </c>
      <c r="D376" s="13"/>
      <c r="E376" s="13"/>
      <c r="F376" s="44" t="s">
        <v>4599</v>
      </c>
      <c r="G376" s="43">
        <v>1.0</v>
      </c>
      <c r="H376" s="42"/>
      <c r="I376" s="43">
        <v>1.0</v>
      </c>
      <c r="J376" s="22"/>
      <c r="K376" s="42"/>
    </row>
    <row r="377" ht="39.75" customHeight="1">
      <c r="A377" s="1">
        <v>376.0</v>
      </c>
      <c r="B377" s="2" t="s">
        <v>47</v>
      </c>
      <c r="C377" s="2" t="s">
        <v>54</v>
      </c>
      <c r="D377" s="13"/>
      <c r="E377" s="13"/>
      <c r="F377" s="44" t="s">
        <v>4600</v>
      </c>
      <c r="G377" s="43">
        <v>1.0</v>
      </c>
      <c r="H377" s="42"/>
      <c r="I377" s="42"/>
      <c r="J377" s="22"/>
      <c r="K377" s="42"/>
    </row>
    <row r="378" ht="39.75" customHeight="1">
      <c r="A378" s="1">
        <v>377.0</v>
      </c>
      <c r="B378" s="2" t="s">
        <v>48</v>
      </c>
      <c r="C378" s="2"/>
      <c r="D378" s="13"/>
      <c r="E378" s="13"/>
      <c r="F378" s="44" t="s">
        <v>4601</v>
      </c>
      <c r="G378" s="43">
        <v>1.0</v>
      </c>
      <c r="H378" s="42"/>
      <c r="I378" s="43">
        <v>1.0</v>
      </c>
      <c r="J378" s="22"/>
      <c r="K378" s="42"/>
    </row>
    <row r="379" ht="39.75" customHeight="1">
      <c r="A379" s="1">
        <v>378.0</v>
      </c>
      <c r="B379" s="21"/>
      <c r="C379" s="21"/>
      <c r="D379" s="21"/>
      <c r="E379" s="21"/>
      <c r="F379" s="46"/>
      <c r="G379" s="47"/>
      <c r="H379" s="47"/>
      <c r="I379" s="47"/>
      <c r="J379" s="48"/>
      <c r="K379" s="47"/>
      <c r="L379" s="49"/>
      <c r="M379" s="49"/>
      <c r="N379" s="49"/>
    </row>
    <row r="380" ht="39.75" customHeight="1">
      <c r="A380" s="1">
        <v>379.0</v>
      </c>
      <c r="B380" s="2" t="s">
        <v>12</v>
      </c>
      <c r="C380" s="2" t="s">
        <v>62</v>
      </c>
      <c r="D380" s="13"/>
      <c r="E380" s="13"/>
      <c r="F380" s="45"/>
      <c r="G380" s="42"/>
      <c r="H380" s="42"/>
      <c r="I380" s="42"/>
      <c r="J380" s="27" t="s">
        <v>4481</v>
      </c>
      <c r="K380" s="42"/>
      <c r="L380" s="15" t="s">
        <v>269</v>
      </c>
    </row>
    <row r="381" ht="39.75" customHeight="1">
      <c r="A381" s="1">
        <v>380.0</v>
      </c>
      <c r="B381" s="2" t="s">
        <v>16</v>
      </c>
      <c r="C381" s="2"/>
      <c r="D381" s="13"/>
      <c r="E381" s="13"/>
      <c r="F381" s="44" t="s">
        <v>4602</v>
      </c>
      <c r="G381" s="43">
        <v>1.0</v>
      </c>
      <c r="H381" s="42"/>
      <c r="I381" s="42"/>
      <c r="J381" s="27" t="s">
        <v>269</v>
      </c>
      <c r="K381" s="43"/>
    </row>
    <row r="382" ht="39.75" customHeight="1">
      <c r="A382" s="1">
        <v>381.0</v>
      </c>
      <c r="B382" s="2" t="s">
        <v>116</v>
      </c>
      <c r="C382" s="2" t="s">
        <v>39</v>
      </c>
      <c r="D382" s="13"/>
      <c r="E382" s="13"/>
      <c r="F382" s="44" t="s">
        <v>4603</v>
      </c>
      <c r="G382" s="43">
        <v>3.0</v>
      </c>
      <c r="H382" s="42"/>
      <c r="I382" s="43">
        <v>1.0</v>
      </c>
      <c r="J382" s="27" t="s">
        <v>95</v>
      </c>
      <c r="K382" s="42"/>
    </row>
    <row r="383" ht="39.75" customHeight="1">
      <c r="A383" s="1">
        <v>382.0</v>
      </c>
      <c r="B383" s="2" t="s">
        <v>17</v>
      </c>
      <c r="C383" s="2"/>
      <c r="D383" s="13"/>
      <c r="E383" s="13"/>
      <c r="F383" s="44" t="s">
        <v>4604</v>
      </c>
      <c r="G383" s="43">
        <v>1.0</v>
      </c>
      <c r="H383" s="42"/>
      <c r="I383" s="43">
        <v>1.0</v>
      </c>
      <c r="J383" s="22"/>
      <c r="K383" s="42"/>
    </row>
    <row r="384" ht="39.75" customHeight="1">
      <c r="A384" s="1">
        <v>383.0</v>
      </c>
      <c r="B384" s="2" t="s">
        <v>331</v>
      </c>
      <c r="C384" s="2" t="s">
        <v>542</v>
      </c>
      <c r="D384" s="13"/>
      <c r="E384" s="13"/>
      <c r="F384" s="44" t="s">
        <v>4605</v>
      </c>
      <c r="G384" s="43">
        <v>2.0</v>
      </c>
      <c r="H384" s="42"/>
      <c r="I384" s="42"/>
      <c r="J384" s="22"/>
      <c r="K384" s="42"/>
    </row>
    <row r="385" ht="39.75" hidden="1" customHeight="1">
      <c r="A385" s="1">
        <v>384.0</v>
      </c>
      <c r="B385" s="2" t="s">
        <v>21</v>
      </c>
      <c r="C385" s="2" t="s">
        <v>58</v>
      </c>
      <c r="D385" s="13"/>
      <c r="E385" s="13"/>
      <c r="F385" s="45"/>
      <c r="G385" s="42"/>
      <c r="H385" s="42"/>
      <c r="I385" s="42"/>
      <c r="J385" s="22"/>
      <c r="K385" s="42"/>
    </row>
    <row r="386" ht="39.75" customHeight="1">
      <c r="A386" s="1">
        <v>385.0</v>
      </c>
      <c r="B386" s="2" t="s">
        <v>22</v>
      </c>
      <c r="C386" s="2"/>
      <c r="D386" s="13"/>
      <c r="E386" s="13"/>
      <c r="F386" s="44" t="s">
        <v>4606</v>
      </c>
      <c r="G386" s="43">
        <v>1.0</v>
      </c>
      <c r="H386" s="42"/>
      <c r="I386" s="42"/>
      <c r="J386" s="22"/>
      <c r="K386" s="42"/>
    </row>
    <row r="387" ht="39.75" customHeight="1">
      <c r="A387" s="1">
        <v>386.0</v>
      </c>
      <c r="B387" s="2" t="s">
        <v>23</v>
      </c>
      <c r="C387" s="2" t="s">
        <v>54</v>
      </c>
      <c r="D387" s="13"/>
      <c r="E387" s="13"/>
      <c r="F387" s="44" t="s">
        <v>4607</v>
      </c>
      <c r="G387" s="43">
        <v>1.0</v>
      </c>
      <c r="H387" s="42"/>
      <c r="I387" s="42"/>
      <c r="J387" s="22"/>
      <c r="K387" s="42"/>
    </row>
    <row r="388" ht="39.75" customHeight="1">
      <c r="A388" s="1">
        <v>387.0</v>
      </c>
      <c r="B388" s="2" t="s">
        <v>24</v>
      </c>
      <c r="C388" s="2" t="s">
        <v>63</v>
      </c>
      <c r="D388" s="13"/>
      <c r="E388" s="13"/>
      <c r="F388" s="45"/>
      <c r="G388" s="42"/>
      <c r="H388" s="42"/>
      <c r="I388" s="42"/>
      <c r="J388" s="22"/>
      <c r="K388" s="42"/>
    </row>
    <row r="389" ht="39.75" customHeight="1">
      <c r="A389" s="1">
        <v>388.0</v>
      </c>
      <c r="B389" s="2" t="s">
        <v>25</v>
      </c>
      <c r="C389" s="2" t="s">
        <v>54</v>
      </c>
      <c r="D389" s="13"/>
      <c r="E389" s="13"/>
      <c r="F389" s="44" t="s">
        <v>4608</v>
      </c>
      <c r="G389" s="43">
        <v>2.0</v>
      </c>
      <c r="H389" s="42"/>
      <c r="I389" s="43">
        <v>2.0</v>
      </c>
      <c r="J389" s="22"/>
      <c r="K389" s="42"/>
    </row>
    <row r="390" ht="39.75" hidden="1" customHeight="1">
      <c r="A390" s="1">
        <v>389.0</v>
      </c>
      <c r="B390" s="2" t="s">
        <v>26</v>
      </c>
      <c r="C390" s="2" t="s">
        <v>58</v>
      </c>
      <c r="D390" s="13"/>
      <c r="E390" s="13"/>
      <c r="F390" s="45"/>
      <c r="G390" s="42"/>
      <c r="H390" s="42"/>
      <c r="I390" s="42"/>
      <c r="J390" s="22"/>
      <c r="K390" s="42"/>
    </row>
    <row r="391" ht="39.75" customHeight="1">
      <c r="A391" s="1">
        <v>390.0</v>
      </c>
      <c r="B391" s="2" t="s">
        <v>29</v>
      </c>
      <c r="C391" s="2" t="s">
        <v>69</v>
      </c>
      <c r="D391" s="13"/>
      <c r="E391" s="40">
        <v>0.9166666666666666</v>
      </c>
      <c r="F391" s="44" t="s">
        <v>4609</v>
      </c>
      <c r="G391" s="43">
        <v>1.0</v>
      </c>
      <c r="H391" s="42"/>
      <c r="I391" s="42"/>
      <c r="J391" s="22"/>
      <c r="K391" s="42"/>
    </row>
    <row r="392" ht="39.75" customHeight="1">
      <c r="A392" s="1">
        <v>391.0</v>
      </c>
      <c r="B392" s="2" t="s">
        <v>30</v>
      </c>
      <c r="C392" s="2" t="s">
        <v>64</v>
      </c>
      <c r="D392" s="13"/>
      <c r="E392" s="13"/>
      <c r="F392" s="44" t="s">
        <v>2592</v>
      </c>
      <c r="G392" s="43">
        <v>1.0</v>
      </c>
      <c r="H392" s="42"/>
      <c r="I392" s="43">
        <v>1.0</v>
      </c>
      <c r="J392" s="22"/>
      <c r="K392" s="42"/>
    </row>
    <row r="393" ht="39.75" customHeight="1">
      <c r="A393" s="1">
        <v>392.0</v>
      </c>
      <c r="B393" s="2" t="s">
        <v>31</v>
      </c>
      <c r="C393" s="2" t="s">
        <v>39</v>
      </c>
      <c r="D393" s="13"/>
      <c r="E393" s="13"/>
      <c r="F393" s="44" t="s">
        <v>4610</v>
      </c>
      <c r="G393" s="43">
        <v>2.0</v>
      </c>
      <c r="H393" s="42"/>
      <c r="I393" s="43">
        <v>2.0</v>
      </c>
      <c r="J393" s="22"/>
      <c r="K393" s="42"/>
    </row>
    <row r="394" ht="39.75" customHeight="1">
      <c r="A394" s="1">
        <v>393.0</v>
      </c>
      <c r="B394" s="2" t="s">
        <v>32</v>
      </c>
      <c r="C394" s="2" t="s">
        <v>69</v>
      </c>
      <c r="D394" s="13"/>
      <c r="E394" s="40">
        <v>0.875</v>
      </c>
      <c r="F394" s="44" t="s">
        <v>4611</v>
      </c>
      <c r="G394" s="43">
        <v>2.0</v>
      </c>
      <c r="H394" s="42"/>
      <c r="I394" s="42"/>
      <c r="J394" s="22"/>
      <c r="K394" s="42"/>
    </row>
    <row r="395" ht="39.75" customHeight="1">
      <c r="A395" s="1">
        <v>394.0</v>
      </c>
      <c r="B395" s="2" t="s">
        <v>67</v>
      </c>
      <c r="C395" s="2"/>
      <c r="D395" s="13"/>
      <c r="E395" s="13"/>
      <c r="F395" s="44" t="s">
        <v>4612</v>
      </c>
      <c r="G395" s="43">
        <v>2.0</v>
      </c>
      <c r="H395" s="42"/>
      <c r="I395" s="42"/>
      <c r="J395" s="22"/>
      <c r="K395" s="42"/>
    </row>
    <row r="396" ht="39.75" customHeight="1">
      <c r="A396" s="1">
        <v>395.0</v>
      </c>
      <c r="B396" s="2" t="s">
        <v>35</v>
      </c>
      <c r="C396" s="2" t="s">
        <v>44</v>
      </c>
      <c r="D396" s="13"/>
      <c r="E396" s="13"/>
      <c r="F396" s="45"/>
      <c r="G396" s="42"/>
      <c r="H396" s="42"/>
      <c r="I396" s="42"/>
      <c r="J396" s="22"/>
      <c r="K396" s="42"/>
    </row>
    <row r="397" ht="39.75" hidden="1" customHeight="1">
      <c r="A397" s="1">
        <v>396.0</v>
      </c>
      <c r="B397" s="2" t="s">
        <v>36</v>
      </c>
      <c r="C397" s="2" t="s">
        <v>58</v>
      </c>
      <c r="D397" s="13"/>
      <c r="E397" s="13"/>
      <c r="F397" s="45"/>
      <c r="G397" s="42"/>
      <c r="H397" s="42"/>
      <c r="I397" s="42"/>
      <c r="J397" s="22"/>
      <c r="K397" s="42"/>
    </row>
    <row r="398" ht="39.75" customHeight="1">
      <c r="A398" s="1">
        <v>397.0</v>
      </c>
      <c r="B398" s="2" t="s">
        <v>38</v>
      </c>
      <c r="C398" s="2" t="s">
        <v>27</v>
      </c>
      <c r="D398" s="13"/>
      <c r="E398" s="13"/>
      <c r="F398" s="44" t="s">
        <v>4613</v>
      </c>
      <c r="G398" s="43">
        <v>1.0</v>
      </c>
      <c r="H398" s="42"/>
      <c r="I398" s="43">
        <v>1.0</v>
      </c>
      <c r="J398" s="22"/>
      <c r="K398" s="42"/>
    </row>
    <row r="399" ht="39.75" hidden="1" customHeight="1">
      <c r="A399" s="1">
        <v>398.0</v>
      </c>
      <c r="B399" s="2" t="s">
        <v>41</v>
      </c>
      <c r="C399" s="2" t="s">
        <v>58</v>
      </c>
      <c r="D399" s="13"/>
      <c r="E399" s="13"/>
      <c r="F399" s="45"/>
      <c r="G399" s="42"/>
      <c r="H399" s="42"/>
      <c r="I399" s="42"/>
      <c r="J399" s="22"/>
      <c r="K399" s="42"/>
    </row>
    <row r="400" ht="39.75" hidden="1" customHeight="1">
      <c r="A400" s="1">
        <v>399.0</v>
      </c>
      <c r="B400" s="2" t="s">
        <v>42</v>
      </c>
      <c r="C400" s="2" t="s">
        <v>58</v>
      </c>
      <c r="D400" s="13"/>
      <c r="E400" s="13"/>
      <c r="F400" s="45"/>
      <c r="G400" s="42"/>
      <c r="H400" s="42"/>
      <c r="I400" s="42"/>
      <c r="J400" s="22"/>
      <c r="K400" s="42"/>
    </row>
    <row r="401" ht="39.75" hidden="1" customHeight="1">
      <c r="A401" s="1">
        <v>400.0</v>
      </c>
      <c r="B401" s="2" t="s">
        <v>43</v>
      </c>
      <c r="C401" s="2" t="s">
        <v>66</v>
      </c>
      <c r="D401" s="13"/>
      <c r="E401" s="13"/>
      <c r="F401" s="44"/>
      <c r="G401" s="42"/>
      <c r="H401" s="42"/>
      <c r="I401" s="42"/>
      <c r="J401" s="22"/>
      <c r="K401" s="42"/>
    </row>
    <row r="402" ht="39.75" customHeight="1">
      <c r="A402" s="1">
        <v>401.0</v>
      </c>
      <c r="B402" s="2" t="s">
        <v>45</v>
      </c>
      <c r="C402" s="2"/>
      <c r="D402" s="13"/>
      <c r="E402" s="13"/>
      <c r="F402" s="44" t="s">
        <v>4598</v>
      </c>
      <c r="G402" s="43">
        <v>1.0</v>
      </c>
      <c r="H402" s="43">
        <v>1.0</v>
      </c>
      <c r="I402" s="42"/>
      <c r="J402" s="22"/>
      <c r="K402" s="42"/>
    </row>
    <row r="403" ht="39.75" customHeight="1">
      <c r="A403" s="1">
        <v>402.0</v>
      </c>
      <c r="B403" s="2" t="s">
        <v>46</v>
      </c>
      <c r="C403" s="2" t="s">
        <v>54</v>
      </c>
      <c r="D403" s="13"/>
      <c r="E403" s="51">
        <v>0.875</v>
      </c>
      <c r="F403" s="44" t="s">
        <v>4614</v>
      </c>
      <c r="G403" s="43">
        <v>1.0</v>
      </c>
      <c r="H403" s="42"/>
      <c r="I403" s="42"/>
      <c r="J403" s="22"/>
      <c r="K403" s="42"/>
    </row>
    <row r="404" ht="39.75" customHeight="1">
      <c r="A404" s="1">
        <v>403.0</v>
      </c>
      <c r="B404" s="2" t="s">
        <v>47</v>
      </c>
      <c r="C404" s="2" t="s">
        <v>54</v>
      </c>
      <c r="D404" s="13"/>
      <c r="E404" s="13"/>
      <c r="F404" s="44" t="s">
        <v>4615</v>
      </c>
      <c r="G404" s="43">
        <v>1.0</v>
      </c>
      <c r="H404" s="42"/>
      <c r="I404" s="43">
        <v>1.0</v>
      </c>
      <c r="J404" s="22"/>
      <c r="K404" s="42"/>
    </row>
    <row r="405" ht="39.75" customHeight="1">
      <c r="A405" s="1">
        <v>404.0</v>
      </c>
      <c r="B405" s="2" t="s">
        <v>48</v>
      </c>
      <c r="C405" s="2" t="s">
        <v>69</v>
      </c>
      <c r="D405" s="13"/>
      <c r="E405" s="13"/>
      <c r="F405" s="44" t="s">
        <v>4616</v>
      </c>
      <c r="G405" s="43">
        <v>2.0</v>
      </c>
      <c r="H405" s="42"/>
      <c r="I405" s="43">
        <v>2.0</v>
      </c>
      <c r="J405" s="22"/>
      <c r="K405" s="42"/>
    </row>
    <row r="406" ht="39.75" customHeight="1">
      <c r="A406" s="1">
        <v>405.0</v>
      </c>
      <c r="B406" s="21"/>
      <c r="C406" s="21"/>
      <c r="D406" s="21"/>
      <c r="E406" s="21"/>
      <c r="F406" s="46"/>
      <c r="G406" s="47"/>
      <c r="H406" s="47"/>
      <c r="I406" s="47"/>
      <c r="J406" s="48"/>
      <c r="K406" s="47"/>
      <c r="L406" s="49"/>
      <c r="M406" s="49"/>
      <c r="N406" s="49"/>
    </row>
    <row r="407" ht="39.75" hidden="1" customHeight="1">
      <c r="A407" s="1">
        <v>406.0</v>
      </c>
      <c r="B407" s="2" t="s">
        <v>12</v>
      </c>
      <c r="C407" s="2" t="s">
        <v>66</v>
      </c>
      <c r="D407" s="40"/>
      <c r="E407" s="40"/>
      <c r="F407" s="44"/>
      <c r="G407" s="43"/>
      <c r="H407" s="42"/>
      <c r="I407" s="43"/>
      <c r="J407" s="27" t="s">
        <v>4481</v>
      </c>
      <c r="K407" s="42"/>
      <c r="L407" s="15" t="s">
        <v>274</v>
      </c>
    </row>
    <row r="408" ht="39.75" customHeight="1">
      <c r="A408" s="1">
        <v>407.0</v>
      </c>
      <c r="B408" s="2" t="s">
        <v>16</v>
      </c>
      <c r="C408" s="2"/>
      <c r="D408" s="13"/>
      <c r="E408" s="13"/>
      <c r="F408" s="44" t="s">
        <v>4617</v>
      </c>
      <c r="G408" s="43">
        <v>2.0</v>
      </c>
      <c r="H408" s="42"/>
      <c r="I408" s="43">
        <v>2.0</v>
      </c>
      <c r="J408" s="27" t="s">
        <v>274</v>
      </c>
      <c r="K408" s="43"/>
    </row>
    <row r="409" ht="39.75" customHeight="1">
      <c r="A409" s="1">
        <v>408.0</v>
      </c>
      <c r="B409" s="2" t="s">
        <v>116</v>
      </c>
      <c r="C409" s="2" t="s">
        <v>27</v>
      </c>
      <c r="D409" s="13"/>
      <c r="E409" s="13"/>
      <c r="F409" s="44" t="s">
        <v>4618</v>
      </c>
      <c r="G409" s="43">
        <v>1.0</v>
      </c>
      <c r="H409" s="42"/>
      <c r="I409" s="42"/>
      <c r="J409" s="27" t="s">
        <v>111</v>
      </c>
      <c r="K409" s="42"/>
    </row>
    <row r="410" ht="39.75" customHeight="1">
      <c r="A410" s="1">
        <v>409.0</v>
      </c>
      <c r="B410" s="2" t="s">
        <v>17</v>
      </c>
      <c r="C410" s="2"/>
      <c r="D410" s="13"/>
      <c r="E410" s="13"/>
      <c r="F410" s="44" t="s">
        <v>4619</v>
      </c>
      <c r="G410" s="43">
        <v>1.0</v>
      </c>
      <c r="H410" s="42"/>
      <c r="I410" s="42"/>
      <c r="J410" s="22"/>
      <c r="K410" s="42"/>
    </row>
    <row r="411" ht="39.75" hidden="1" customHeight="1">
      <c r="A411" s="1">
        <v>410.0</v>
      </c>
      <c r="B411" s="2" t="s">
        <v>331</v>
      </c>
      <c r="C411" s="2" t="s">
        <v>58</v>
      </c>
      <c r="D411" s="13"/>
      <c r="E411" s="13"/>
      <c r="F411" s="45"/>
      <c r="G411" s="42"/>
      <c r="H411" s="42"/>
      <c r="I411" s="42"/>
      <c r="J411" s="22"/>
      <c r="K411" s="42"/>
    </row>
    <row r="412" ht="39.75" customHeight="1">
      <c r="A412" s="1">
        <v>411.0</v>
      </c>
      <c r="B412" s="2" t="s">
        <v>21</v>
      </c>
      <c r="C412" s="2" t="s">
        <v>63</v>
      </c>
      <c r="D412" s="13"/>
      <c r="E412" s="13"/>
      <c r="F412" s="45"/>
      <c r="G412" s="42"/>
      <c r="H412" s="42"/>
      <c r="I412" s="42"/>
      <c r="J412" s="22"/>
      <c r="K412" s="42"/>
    </row>
    <row r="413" ht="39.75" customHeight="1">
      <c r="A413" s="1">
        <v>412.0</v>
      </c>
      <c r="B413" s="2" t="s">
        <v>22</v>
      </c>
      <c r="C413" s="2" t="s">
        <v>69</v>
      </c>
      <c r="D413" s="13"/>
      <c r="E413" s="13"/>
      <c r="F413" s="44" t="s">
        <v>4620</v>
      </c>
      <c r="G413" s="43">
        <v>1.0</v>
      </c>
      <c r="H413" s="42"/>
      <c r="I413" s="42"/>
      <c r="J413" s="22"/>
      <c r="K413" s="42"/>
    </row>
    <row r="414" ht="39.75" customHeight="1">
      <c r="A414" s="1">
        <v>413.0</v>
      </c>
      <c r="B414" s="2" t="s">
        <v>23</v>
      </c>
      <c r="C414" s="2" t="s">
        <v>54</v>
      </c>
      <c r="D414" s="13"/>
      <c r="E414" s="13"/>
      <c r="F414" s="44" t="s">
        <v>4607</v>
      </c>
      <c r="G414" s="43">
        <v>1.0</v>
      </c>
      <c r="H414" s="42"/>
      <c r="I414" s="42"/>
      <c r="J414" s="22"/>
      <c r="K414" s="42"/>
    </row>
    <row r="415" ht="39.75" hidden="1" customHeight="1">
      <c r="A415" s="1">
        <v>414.0</v>
      </c>
      <c r="B415" s="2" t="s">
        <v>24</v>
      </c>
      <c r="C415" s="2" t="s">
        <v>66</v>
      </c>
      <c r="D415" s="13"/>
      <c r="E415" s="13"/>
      <c r="F415" s="44"/>
      <c r="G415" s="42"/>
      <c r="H415" s="43"/>
      <c r="I415" s="43"/>
      <c r="J415" s="22"/>
      <c r="K415" s="42"/>
    </row>
    <row r="416" ht="39.75" customHeight="1">
      <c r="A416" s="1">
        <v>415.0</v>
      </c>
      <c r="B416" s="2" t="s">
        <v>25</v>
      </c>
      <c r="C416" s="2" t="s">
        <v>54</v>
      </c>
      <c r="D416" s="13"/>
      <c r="E416" s="13"/>
      <c r="F416" s="44" t="s">
        <v>4621</v>
      </c>
      <c r="G416" s="43">
        <v>2.0</v>
      </c>
      <c r="H416" s="42"/>
      <c r="I416" s="43">
        <v>1.0</v>
      </c>
      <c r="J416" s="22"/>
      <c r="K416" s="42"/>
    </row>
    <row r="417" ht="39.75" hidden="1" customHeight="1">
      <c r="A417" s="1">
        <v>416.0</v>
      </c>
      <c r="B417" s="2" t="s">
        <v>26</v>
      </c>
      <c r="C417" s="2" t="s">
        <v>58</v>
      </c>
      <c r="D417" s="13"/>
      <c r="E417" s="13"/>
      <c r="F417" s="44"/>
      <c r="G417" s="42"/>
      <c r="H417" s="42"/>
      <c r="I417" s="42"/>
      <c r="J417" s="22"/>
      <c r="K417" s="42"/>
    </row>
    <row r="418" ht="39.75" customHeight="1">
      <c r="A418" s="1">
        <v>417.0</v>
      </c>
      <c r="B418" s="2" t="s">
        <v>29</v>
      </c>
      <c r="C418" s="2"/>
      <c r="D418" s="13"/>
      <c r="E418" s="13"/>
      <c r="F418" s="44" t="s">
        <v>4622</v>
      </c>
      <c r="G418" s="43">
        <v>1.0</v>
      </c>
      <c r="H418" s="42"/>
      <c r="I418" s="43">
        <v>1.0</v>
      </c>
      <c r="J418" s="22"/>
      <c r="K418" s="42"/>
    </row>
    <row r="419" ht="39.75" customHeight="1">
      <c r="A419" s="1">
        <v>418.0</v>
      </c>
      <c r="B419" s="2" t="s">
        <v>30</v>
      </c>
      <c r="C419" s="2" t="s">
        <v>64</v>
      </c>
      <c r="D419" s="13"/>
      <c r="E419" s="13"/>
      <c r="F419" s="44" t="s">
        <v>2592</v>
      </c>
      <c r="G419" s="43">
        <v>1.0</v>
      </c>
      <c r="H419" s="42"/>
      <c r="I419" s="43">
        <v>1.0</v>
      </c>
      <c r="J419" s="22"/>
      <c r="K419" s="42"/>
    </row>
    <row r="420" ht="39.75" customHeight="1">
      <c r="A420" s="1">
        <v>419.0</v>
      </c>
      <c r="B420" s="2" t="s">
        <v>31</v>
      </c>
      <c r="C420" s="2" t="s">
        <v>39</v>
      </c>
      <c r="D420" s="13"/>
      <c r="E420" s="13"/>
      <c r="F420" s="44" t="s">
        <v>4623</v>
      </c>
      <c r="G420" s="43">
        <v>2.0</v>
      </c>
      <c r="H420" s="42"/>
      <c r="I420" s="43">
        <v>1.0</v>
      </c>
      <c r="J420" s="22"/>
      <c r="K420" s="42"/>
    </row>
    <row r="421" ht="39.75" customHeight="1">
      <c r="A421" s="1">
        <v>420.0</v>
      </c>
      <c r="B421" s="2" t="s">
        <v>32</v>
      </c>
      <c r="C421" s="2" t="s">
        <v>69</v>
      </c>
      <c r="D421" s="13"/>
      <c r="E421" s="13"/>
      <c r="F421" s="44" t="s">
        <v>4624</v>
      </c>
      <c r="G421" s="43">
        <v>1.0</v>
      </c>
      <c r="H421" s="42"/>
      <c r="I421" s="43">
        <v>1.0</v>
      </c>
      <c r="J421" s="22"/>
      <c r="K421" s="42"/>
    </row>
    <row r="422" ht="39.75" customHeight="1">
      <c r="A422" s="1">
        <v>421.0</v>
      </c>
      <c r="B422" s="2" t="s">
        <v>67</v>
      </c>
      <c r="C422" s="2" t="s">
        <v>69</v>
      </c>
      <c r="D422" s="13"/>
      <c r="E422" s="13"/>
      <c r="F422" s="44" t="s">
        <v>2770</v>
      </c>
      <c r="G422" s="43">
        <v>1.0</v>
      </c>
      <c r="H422" s="43"/>
      <c r="I422" s="43">
        <v>1.0</v>
      </c>
      <c r="J422" s="22"/>
      <c r="K422" s="42"/>
    </row>
    <row r="423" ht="39.75" hidden="1" customHeight="1">
      <c r="A423" s="1">
        <v>422.0</v>
      </c>
      <c r="B423" s="2" t="s">
        <v>35</v>
      </c>
      <c r="C423" s="2" t="s">
        <v>58</v>
      </c>
      <c r="D423" s="13"/>
      <c r="E423" s="13"/>
      <c r="F423" s="45"/>
      <c r="G423" s="42"/>
      <c r="H423" s="42"/>
      <c r="I423" s="42"/>
      <c r="J423" s="22"/>
      <c r="K423" s="42"/>
    </row>
    <row r="424" ht="39.75" customHeight="1">
      <c r="A424" s="1">
        <v>423.0</v>
      </c>
      <c r="B424" s="2" t="s">
        <v>36</v>
      </c>
      <c r="C424" s="2" t="s">
        <v>39</v>
      </c>
      <c r="D424" s="13"/>
      <c r="E424" s="13"/>
      <c r="F424" s="44" t="s">
        <v>4625</v>
      </c>
      <c r="G424" s="43">
        <v>1.0</v>
      </c>
      <c r="H424" s="42"/>
      <c r="I424" s="43">
        <v>1.0</v>
      </c>
      <c r="J424" s="22"/>
      <c r="K424" s="42"/>
    </row>
    <row r="425" ht="39.75" customHeight="1">
      <c r="A425" s="1">
        <v>424.0</v>
      </c>
      <c r="B425" s="2" t="s">
        <v>38</v>
      </c>
      <c r="C425" s="2" t="s">
        <v>44</v>
      </c>
      <c r="D425" s="13"/>
      <c r="E425" s="13"/>
      <c r="F425" s="44"/>
      <c r="G425" s="42"/>
      <c r="H425" s="42"/>
      <c r="I425" s="42"/>
      <c r="J425" s="22"/>
      <c r="K425" s="42"/>
    </row>
    <row r="426" ht="39.75" hidden="1" customHeight="1">
      <c r="A426" s="1">
        <v>425.0</v>
      </c>
      <c r="B426" s="2" t="s">
        <v>41</v>
      </c>
      <c r="C426" s="2" t="s">
        <v>58</v>
      </c>
      <c r="D426" s="13"/>
      <c r="E426" s="13"/>
      <c r="F426" s="44"/>
      <c r="G426" s="42"/>
      <c r="H426" s="42"/>
      <c r="I426" s="42"/>
      <c r="J426" s="22"/>
      <c r="K426" s="42"/>
    </row>
    <row r="427" ht="39.75" hidden="1" customHeight="1">
      <c r="A427" s="1">
        <v>426.0</v>
      </c>
      <c r="B427" s="2" t="s">
        <v>42</v>
      </c>
      <c r="C427" s="2" t="s">
        <v>58</v>
      </c>
      <c r="D427" s="13"/>
      <c r="E427" s="13"/>
      <c r="F427" s="45"/>
      <c r="G427" s="42"/>
      <c r="H427" s="42"/>
      <c r="I427" s="42"/>
      <c r="J427" s="22"/>
      <c r="K427" s="42"/>
    </row>
    <row r="428" ht="39.75" hidden="1" customHeight="1">
      <c r="A428" s="1">
        <v>427.0</v>
      </c>
      <c r="B428" s="2" t="s">
        <v>43</v>
      </c>
      <c r="C428" s="2" t="s">
        <v>58</v>
      </c>
      <c r="D428" s="13"/>
      <c r="E428" s="13"/>
      <c r="F428" s="45"/>
      <c r="G428" s="42"/>
      <c r="H428" s="42"/>
      <c r="I428" s="42"/>
      <c r="J428" s="22"/>
      <c r="K428" s="42"/>
    </row>
    <row r="429" ht="39.75" customHeight="1">
      <c r="A429" s="1">
        <v>428.0</v>
      </c>
      <c r="B429" s="2" t="s">
        <v>45</v>
      </c>
      <c r="C429" s="2"/>
      <c r="D429" s="13"/>
      <c r="E429" s="13"/>
      <c r="F429" s="44" t="s">
        <v>4598</v>
      </c>
      <c r="G429" s="43">
        <v>1.0</v>
      </c>
      <c r="H429" s="43">
        <v>1.0</v>
      </c>
      <c r="I429" s="42"/>
      <c r="J429" s="22"/>
      <c r="K429" s="42"/>
    </row>
    <row r="430" ht="39.75" customHeight="1">
      <c r="A430" s="1">
        <v>429.0</v>
      </c>
      <c r="B430" s="2" t="s">
        <v>46</v>
      </c>
      <c r="C430" s="2" t="s">
        <v>54</v>
      </c>
      <c r="D430" s="40"/>
      <c r="E430" s="13"/>
      <c r="F430" s="44" t="s">
        <v>4626</v>
      </c>
      <c r="G430" s="43">
        <v>1.0</v>
      </c>
      <c r="H430" s="42"/>
      <c r="I430" s="43">
        <v>1.0</v>
      </c>
      <c r="J430" s="22"/>
      <c r="K430" s="42"/>
    </row>
    <row r="431" ht="39.75" customHeight="1">
      <c r="A431" s="1">
        <v>430.0</v>
      </c>
      <c r="B431" s="2" t="s">
        <v>47</v>
      </c>
      <c r="C431" s="2" t="s">
        <v>54</v>
      </c>
      <c r="D431" s="53">
        <v>0.3333333333333333</v>
      </c>
      <c r="E431" s="13"/>
      <c r="F431" s="44" t="s">
        <v>4627</v>
      </c>
      <c r="G431" s="43">
        <v>3.0</v>
      </c>
      <c r="H431" s="42"/>
      <c r="I431" s="43">
        <v>2.0</v>
      </c>
      <c r="J431" s="22"/>
      <c r="K431" s="42"/>
    </row>
    <row r="432" ht="39.75" customHeight="1">
      <c r="A432" s="1">
        <v>431.0</v>
      </c>
      <c r="B432" s="2" t="s">
        <v>48</v>
      </c>
      <c r="C432" s="2"/>
      <c r="D432" s="13"/>
      <c r="E432" s="13"/>
      <c r="F432" s="44" t="s">
        <v>4628</v>
      </c>
      <c r="G432" s="43">
        <v>1.0</v>
      </c>
      <c r="H432" s="42"/>
      <c r="I432" s="42"/>
      <c r="J432" s="22"/>
      <c r="K432" s="42"/>
    </row>
    <row r="433" ht="39.75" customHeight="1">
      <c r="A433" s="1">
        <v>432.0</v>
      </c>
      <c r="B433" s="21"/>
      <c r="C433" s="21"/>
      <c r="D433" s="21"/>
      <c r="E433" s="21"/>
      <c r="F433" s="46"/>
      <c r="G433" s="47"/>
      <c r="H433" s="47"/>
      <c r="I433" s="47"/>
      <c r="J433" s="48"/>
      <c r="K433" s="47"/>
      <c r="L433" s="49"/>
      <c r="M433" s="49"/>
      <c r="N433" s="49"/>
    </row>
    <row r="434" ht="39.75" customHeight="1">
      <c r="A434" s="1">
        <v>433.0</v>
      </c>
      <c r="B434" s="2" t="s">
        <v>12</v>
      </c>
      <c r="C434" s="2" t="s">
        <v>62</v>
      </c>
      <c r="D434" s="13"/>
      <c r="E434" s="13"/>
      <c r="F434" s="157" t="s">
        <v>4629</v>
      </c>
      <c r="G434" s="43">
        <v>1.0</v>
      </c>
      <c r="H434" s="42"/>
      <c r="I434" s="42"/>
      <c r="J434" s="27" t="s">
        <v>4481</v>
      </c>
      <c r="K434" s="42"/>
      <c r="L434" s="15" t="s">
        <v>294</v>
      </c>
    </row>
    <row r="435" ht="39.75" customHeight="1">
      <c r="A435" s="1">
        <v>434.0</v>
      </c>
      <c r="B435" s="2" t="s">
        <v>16</v>
      </c>
      <c r="C435" s="2"/>
      <c r="D435" s="13"/>
      <c r="E435" s="13"/>
      <c r="F435" s="157" t="s">
        <v>4630</v>
      </c>
      <c r="G435" s="43">
        <v>2.0</v>
      </c>
      <c r="H435" s="42"/>
      <c r="I435" s="42"/>
      <c r="J435" s="27" t="s">
        <v>294</v>
      </c>
      <c r="K435" s="43"/>
    </row>
    <row r="436" ht="39.75" customHeight="1">
      <c r="A436" s="1">
        <v>435.0</v>
      </c>
      <c r="B436" s="2" t="s">
        <v>116</v>
      </c>
      <c r="C436" s="2" t="s">
        <v>44</v>
      </c>
      <c r="D436" s="13"/>
      <c r="E436" s="13"/>
      <c r="F436" s="45"/>
      <c r="G436" s="42"/>
      <c r="H436" s="42"/>
      <c r="I436" s="42"/>
      <c r="J436" s="27" t="s">
        <v>131</v>
      </c>
      <c r="K436" s="42"/>
    </row>
    <row r="437" ht="39.75" customHeight="1">
      <c r="A437" s="1">
        <v>436.0</v>
      </c>
      <c r="B437" s="2" t="s">
        <v>17</v>
      </c>
      <c r="C437" s="2" t="s">
        <v>39</v>
      </c>
      <c r="D437" s="13"/>
      <c r="E437" s="13"/>
      <c r="F437" s="44" t="s">
        <v>4631</v>
      </c>
      <c r="G437" s="43">
        <v>1.0</v>
      </c>
      <c r="H437" s="42"/>
      <c r="I437" s="43">
        <v>1.0</v>
      </c>
      <c r="J437" s="22"/>
      <c r="K437" s="42"/>
    </row>
    <row r="438" ht="39.75" customHeight="1">
      <c r="A438" s="1">
        <v>437.0</v>
      </c>
      <c r="B438" s="2" t="s">
        <v>331</v>
      </c>
      <c r="C438" s="2" t="s">
        <v>542</v>
      </c>
      <c r="D438" s="13"/>
      <c r="E438" s="13"/>
      <c r="F438" s="44" t="s">
        <v>4632</v>
      </c>
      <c r="G438" s="42"/>
      <c r="H438" s="42"/>
      <c r="I438" s="42"/>
      <c r="J438" s="22"/>
      <c r="K438" s="42"/>
    </row>
    <row r="439" ht="39.75" hidden="1" customHeight="1">
      <c r="A439" s="1">
        <v>438.0</v>
      </c>
      <c r="B439" s="2" t="s">
        <v>21</v>
      </c>
      <c r="C439" s="2" t="s">
        <v>58</v>
      </c>
      <c r="D439" s="13"/>
      <c r="E439" s="13"/>
      <c r="F439" s="45"/>
      <c r="G439" s="42"/>
      <c r="H439" s="42"/>
      <c r="I439" s="42"/>
      <c r="J439" s="22"/>
      <c r="K439" s="42"/>
    </row>
    <row r="440" ht="39.75" customHeight="1">
      <c r="A440" s="1">
        <v>439.0</v>
      </c>
      <c r="B440" s="2" t="s">
        <v>22</v>
      </c>
      <c r="C440" s="2" t="s">
        <v>39</v>
      </c>
      <c r="D440" s="13"/>
      <c r="E440" s="13"/>
      <c r="F440" s="44" t="s">
        <v>4633</v>
      </c>
      <c r="G440" s="43">
        <v>2.0</v>
      </c>
      <c r="H440" s="42"/>
      <c r="I440" s="42"/>
      <c r="J440" s="22"/>
      <c r="K440" s="42"/>
    </row>
    <row r="441" ht="39.75" customHeight="1">
      <c r="A441" s="1">
        <v>440.0</v>
      </c>
      <c r="B441" s="2" t="s">
        <v>23</v>
      </c>
      <c r="C441" s="2" t="s">
        <v>54</v>
      </c>
      <c r="D441" s="13"/>
      <c r="E441" s="13"/>
      <c r="F441" s="44" t="s">
        <v>4634</v>
      </c>
      <c r="G441" s="43">
        <v>2.0</v>
      </c>
      <c r="H441" s="42"/>
      <c r="I441" s="43">
        <v>1.0</v>
      </c>
      <c r="J441" s="22"/>
      <c r="K441" s="42"/>
    </row>
    <row r="442" ht="39.75" customHeight="1">
      <c r="A442" s="1">
        <v>441.0</v>
      </c>
      <c r="B442" s="2" t="s">
        <v>24</v>
      </c>
      <c r="C442" s="2" t="s">
        <v>63</v>
      </c>
      <c r="D442" s="13"/>
      <c r="E442" s="13"/>
      <c r="F442" s="45"/>
      <c r="G442" s="42"/>
      <c r="H442" s="42"/>
      <c r="I442" s="42"/>
      <c r="J442" s="22"/>
      <c r="K442" s="42"/>
    </row>
    <row r="443" ht="39.75" hidden="1" customHeight="1">
      <c r="A443" s="1">
        <v>442.0</v>
      </c>
      <c r="B443" s="2" t="s">
        <v>25</v>
      </c>
      <c r="C443" s="2" t="s">
        <v>58</v>
      </c>
      <c r="D443" s="13"/>
      <c r="E443" s="13"/>
      <c r="F443" s="45"/>
      <c r="G443" s="42"/>
      <c r="H443" s="42"/>
      <c r="I443" s="42"/>
      <c r="J443" s="22"/>
      <c r="K443" s="42"/>
    </row>
    <row r="444" ht="39.75" hidden="1" customHeight="1">
      <c r="A444" s="1">
        <v>443.0</v>
      </c>
      <c r="B444" s="2" t="s">
        <v>26</v>
      </c>
      <c r="C444" s="2" t="s">
        <v>58</v>
      </c>
      <c r="D444" s="13"/>
      <c r="E444" s="13"/>
      <c r="F444" s="45"/>
      <c r="G444" s="42"/>
      <c r="H444" s="42"/>
      <c r="I444" s="42"/>
      <c r="J444" s="22"/>
      <c r="K444" s="42"/>
    </row>
    <row r="445" ht="39.75" customHeight="1">
      <c r="A445" s="1">
        <v>444.0</v>
      </c>
      <c r="B445" s="2" t="s">
        <v>29</v>
      </c>
      <c r="C445" s="2" t="s">
        <v>69</v>
      </c>
      <c r="D445" s="13"/>
      <c r="E445" s="40">
        <v>0.8472222222222222</v>
      </c>
      <c r="F445" s="44" t="s">
        <v>4635</v>
      </c>
      <c r="G445" s="43">
        <v>1.0</v>
      </c>
      <c r="H445" s="42"/>
      <c r="I445" s="42"/>
      <c r="J445" s="22"/>
      <c r="K445" s="42"/>
    </row>
    <row r="446" ht="39.75" customHeight="1">
      <c r="A446" s="1">
        <v>445.0</v>
      </c>
      <c r="B446" s="2" t="s">
        <v>30</v>
      </c>
      <c r="C446" s="2" t="s">
        <v>64</v>
      </c>
      <c r="D446" s="13"/>
      <c r="E446" s="13"/>
      <c r="F446" s="44" t="s">
        <v>2592</v>
      </c>
      <c r="G446" s="43">
        <v>1.0</v>
      </c>
      <c r="H446" s="42"/>
      <c r="I446" s="43">
        <v>1.0</v>
      </c>
      <c r="J446" s="22"/>
      <c r="K446" s="42"/>
    </row>
    <row r="447" ht="39.75" customHeight="1">
      <c r="A447" s="1">
        <v>446.0</v>
      </c>
      <c r="B447" s="2" t="s">
        <v>31</v>
      </c>
      <c r="C447" s="13"/>
      <c r="D447" s="13"/>
      <c r="E447" s="13"/>
      <c r="F447" s="44" t="s">
        <v>4636</v>
      </c>
      <c r="G447" s="43">
        <v>2.0</v>
      </c>
      <c r="H447" s="42"/>
      <c r="I447" s="43">
        <v>2.0</v>
      </c>
      <c r="J447" s="22"/>
      <c r="K447" s="42"/>
    </row>
    <row r="448" ht="39.75" customHeight="1">
      <c r="A448" s="1">
        <v>447.0</v>
      </c>
      <c r="B448" s="2" t="s">
        <v>32</v>
      </c>
      <c r="C448" s="2" t="s">
        <v>54</v>
      </c>
      <c r="D448" s="13"/>
      <c r="E448" s="13"/>
      <c r="F448" s="44" t="s">
        <v>4637</v>
      </c>
      <c r="G448" s="43">
        <v>1.0</v>
      </c>
      <c r="H448" s="42"/>
      <c r="I448" s="42"/>
      <c r="J448" s="22"/>
      <c r="K448" s="42"/>
    </row>
    <row r="449" ht="39.75" customHeight="1">
      <c r="A449" s="1">
        <v>448.0</v>
      </c>
      <c r="B449" s="2" t="s">
        <v>67</v>
      </c>
      <c r="C449" s="2"/>
      <c r="D449" s="13"/>
      <c r="E449" s="13"/>
      <c r="F449" s="44" t="s">
        <v>4638</v>
      </c>
      <c r="G449" s="43">
        <v>1.0</v>
      </c>
      <c r="H449" s="42"/>
      <c r="I449" s="42"/>
      <c r="J449" s="22"/>
      <c r="K449" s="42"/>
    </row>
    <row r="450" ht="39.75" customHeight="1">
      <c r="A450" s="1">
        <v>449.0</v>
      </c>
      <c r="B450" s="2" t="s">
        <v>35</v>
      </c>
      <c r="C450" s="2" t="s">
        <v>69</v>
      </c>
      <c r="D450" s="13"/>
      <c r="E450" s="40">
        <v>0.8333333333333334</v>
      </c>
      <c r="F450" s="44" t="s">
        <v>4639</v>
      </c>
      <c r="G450" s="43">
        <v>1.0</v>
      </c>
      <c r="H450" s="42"/>
      <c r="I450" s="42"/>
      <c r="J450" s="22"/>
      <c r="K450" s="42"/>
    </row>
    <row r="451" ht="39.75" customHeight="1">
      <c r="A451" s="1">
        <v>450.0</v>
      </c>
      <c r="B451" s="2" t="s">
        <v>36</v>
      </c>
      <c r="C451" s="2" t="s">
        <v>69</v>
      </c>
      <c r="D451" s="13"/>
      <c r="E451" s="13"/>
      <c r="F451" s="44" t="s">
        <v>4640</v>
      </c>
      <c r="G451" s="43">
        <v>1.0</v>
      </c>
      <c r="H451" s="42"/>
      <c r="I451" s="42"/>
      <c r="J451" s="22"/>
      <c r="K451" s="42"/>
    </row>
    <row r="452" ht="39.75" customHeight="1">
      <c r="A452" s="1">
        <v>451.0</v>
      </c>
      <c r="B452" s="2" t="s">
        <v>38</v>
      </c>
      <c r="C452" s="2" t="s">
        <v>27</v>
      </c>
      <c r="D452" s="13"/>
      <c r="E452" s="13"/>
      <c r="F452" s="45"/>
      <c r="G452" s="42"/>
      <c r="H452" s="42"/>
      <c r="I452" s="42"/>
      <c r="J452" s="22"/>
      <c r="K452" s="42"/>
    </row>
    <row r="453" ht="39.75" hidden="1" customHeight="1">
      <c r="A453" s="1">
        <v>452.0</v>
      </c>
      <c r="B453" s="2" t="s">
        <v>41</v>
      </c>
      <c r="C453" s="2" t="s">
        <v>58</v>
      </c>
      <c r="D453" s="13"/>
      <c r="E453" s="13"/>
      <c r="F453" s="45"/>
      <c r="G453" s="42"/>
      <c r="H453" s="42"/>
      <c r="I453" s="42"/>
      <c r="J453" s="22"/>
      <c r="K453" s="42"/>
    </row>
    <row r="454" ht="39.75" hidden="1" customHeight="1">
      <c r="A454" s="1">
        <v>453.0</v>
      </c>
      <c r="B454" s="2" t="s">
        <v>42</v>
      </c>
      <c r="C454" s="2" t="s">
        <v>58</v>
      </c>
      <c r="D454" s="13"/>
      <c r="E454" s="13"/>
      <c r="F454" s="45"/>
      <c r="G454" s="42"/>
      <c r="H454" s="42"/>
      <c r="I454" s="42"/>
      <c r="J454" s="22"/>
      <c r="K454" s="42"/>
    </row>
    <row r="455" ht="39.75" hidden="1" customHeight="1">
      <c r="A455" s="1">
        <v>454.0</v>
      </c>
      <c r="B455" s="2" t="s">
        <v>43</v>
      </c>
      <c r="C455" s="2" t="s">
        <v>58</v>
      </c>
      <c r="D455" s="13"/>
      <c r="E455" s="13"/>
      <c r="F455" s="45"/>
      <c r="G455" s="42"/>
      <c r="H455" s="42"/>
      <c r="I455" s="42"/>
      <c r="J455" s="22"/>
      <c r="K455" s="42"/>
    </row>
    <row r="456" ht="39.75" customHeight="1">
      <c r="A456" s="1">
        <v>455.0</v>
      </c>
      <c r="B456" s="2" t="s">
        <v>45</v>
      </c>
      <c r="C456" s="2"/>
      <c r="D456" s="13"/>
      <c r="E456" s="13"/>
      <c r="F456" s="44" t="s">
        <v>4641</v>
      </c>
      <c r="G456" s="43">
        <v>1.0</v>
      </c>
      <c r="H456" s="43">
        <v>1.0</v>
      </c>
      <c r="I456" s="42"/>
      <c r="J456" s="22"/>
      <c r="K456" s="42"/>
    </row>
    <row r="457" ht="39.75" customHeight="1">
      <c r="A457" s="1">
        <v>456.0</v>
      </c>
      <c r="B457" s="2" t="s">
        <v>46</v>
      </c>
      <c r="C457" s="2" t="s">
        <v>54</v>
      </c>
      <c r="D457" s="53">
        <v>0.375</v>
      </c>
      <c r="E457" s="51">
        <v>0.8958333333333334</v>
      </c>
      <c r="F457" s="44" t="s">
        <v>4642</v>
      </c>
      <c r="G457" s="43">
        <v>1.0</v>
      </c>
      <c r="H457" s="43">
        <v>1.0</v>
      </c>
      <c r="I457" s="42"/>
      <c r="J457" s="22"/>
      <c r="K457" s="42"/>
    </row>
    <row r="458" ht="39.75" hidden="1" customHeight="1">
      <c r="A458" s="1">
        <v>457.0</v>
      </c>
      <c r="B458" s="2" t="s">
        <v>47</v>
      </c>
      <c r="C458" s="2" t="s">
        <v>58</v>
      </c>
      <c r="D458" s="13"/>
      <c r="E458" s="13"/>
      <c r="F458" s="45"/>
      <c r="G458" s="42"/>
      <c r="H458" s="42"/>
      <c r="I458" s="42"/>
      <c r="J458" s="22"/>
      <c r="K458" s="42"/>
    </row>
    <row r="459" ht="39.75" hidden="1" customHeight="1">
      <c r="A459" s="1">
        <v>458.0</v>
      </c>
      <c r="B459" s="2" t="s">
        <v>48</v>
      </c>
      <c r="C459" s="2" t="s">
        <v>66</v>
      </c>
      <c r="D459" s="13"/>
      <c r="E459" s="13"/>
      <c r="F459" s="45"/>
      <c r="G459" s="42"/>
      <c r="H459" s="42"/>
      <c r="I459" s="42"/>
      <c r="J459" s="22"/>
      <c r="K459" s="42"/>
    </row>
    <row r="460" ht="39.75" customHeight="1">
      <c r="A460" s="1">
        <v>459.0</v>
      </c>
      <c r="B460" s="21"/>
      <c r="C460" s="21"/>
      <c r="D460" s="21"/>
      <c r="E460" s="21"/>
      <c r="F460" s="46"/>
      <c r="G460" s="47"/>
      <c r="H460" s="47"/>
      <c r="I460" s="47"/>
      <c r="J460" s="48"/>
      <c r="K460" s="47"/>
      <c r="L460" s="49"/>
      <c r="M460" s="49"/>
      <c r="N460" s="49"/>
    </row>
    <row r="461" ht="39.75" customHeight="1">
      <c r="A461" s="1">
        <v>460.0</v>
      </c>
      <c r="B461" s="2" t="s">
        <v>268</v>
      </c>
      <c r="C461" s="2" t="s">
        <v>63</v>
      </c>
      <c r="D461" s="13"/>
      <c r="E461" s="13"/>
      <c r="F461" s="45"/>
      <c r="G461" s="42"/>
      <c r="H461" s="42"/>
      <c r="I461" s="42"/>
      <c r="J461" s="27" t="s">
        <v>4481</v>
      </c>
      <c r="K461" s="42"/>
      <c r="L461" s="15" t="s">
        <v>309</v>
      </c>
    </row>
    <row r="462" ht="39.75" customHeight="1">
      <c r="A462" s="1">
        <v>461.0</v>
      </c>
      <c r="B462" s="2" t="s">
        <v>16</v>
      </c>
      <c r="C462" s="2"/>
      <c r="D462" s="40">
        <v>0.3333333333333333</v>
      </c>
      <c r="E462" s="13"/>
      <c r="F462" s="44" t="s">
        <v>4643</v>
      </c>
      <c r="G462" s="43">
        <v>1.0</v>
      </c>
      <c r="H462" s="42"/>
      <c r="I462" s="43">
        <v>1.0</v>
      </c>
      <c r="J462" s="27" t="s">
        <v>309</v>
      </c>
      <c r="K462" s="43"/>
    </row>
    <row r="463" ht="39.75" customHeight="1">
      <c r="A463" s="1">
        <v>462.0</v>
      </c>
      <c r="B463" s="2" t="s">
        <v>116</v>
      </c>
      <c r="C463" s="2" t="s">
        <v>39</v>
      </c>
      <c r="D463" s="40">
        <v>0.25</v>
      </c>
      <c r="E463" s="13"/>
      <c r="F463" s="44" t="s">
        <v>4644</v>
      </c>
      <c r="G463" s="43">
        <v>1.0</v>
      </c>
      <c r="H463" s="42"/>
      <c r="I463" s="43">
        <v>1.0</v>
      </c>
      <c r="J463" s="27" t="s">
        <v>149</v>
      </c>
      <c r="K463" s="42"/>
    </row>
    <row r="464" ht="39.75" hidden="1" customHeight="1">
      <c r="A464" s="1">
        <v>463.0</v>
      </c>
      <c r="B464" s="2" t="s">
        <v>17</v>
      </c>
      <c r="C464" s="2" t="s">
        <v>13</v>
      </c>
      <c r="D464" s="13"/>
      <c r="E464" s="13"/>
      <c r="F464" s="45"/>
      <c r="G464" s="42"/>
      <c r="H464" s="42"/>
      <c r="I464" s="42"/>
      <c r="J464" s="27" t="s">
        <v>151</v>
      </c>
      <c r="K464" s="42"/>
    </row>
    <row r="465" ht="39.75" hidden="1" customHeight="1">
      <c r="A465" s="1">
        <v>464.0</v>
      </c>
      <c r="B465" s="2" t="s">
        <v>331</v>
      </c>
      <c r="C465" s="2" t="s">
        <v>13</v>
      </c>
      <c r="D465" s="13"/>
      <c r="E465" s="13"/>
      <c r="F465" s="44" t="s">
        <v>3562</v>
      </c>
      <c r="G465" s="42"/>
      <c r="H465" s="42"/>
      <c r="I465" s="42"/>
      <c r="J465" s="27" t="s">
        <v>152</v>
      </c>
      <c r="K465" s="42"/>
    </row>
    <row r="466" ht="39.75" hidden="1" customHeight="1">
      <c r="A466" s="1">
        <v>465.0</v>
      </c>
      <c r="B466" s="2" t="s">
        <v>21</v>
      </c>
      <c r="C466" s="2" t="s">
        <v>13</v>
      </c>
      <c r="D466" s="13"/>
      <c r="E466" s="13"/>
      <c r="F466" s="45"/>
      <c r="G466" s="42"/>
      <c r="H466" s="42"/>
      <c r="I466" s="42"/>
      <c r="J466" s="27" t="s">
        <v>154</v>
      </c>
      <c r="K466" s="42"/>
    </row>
    <row r="467" ht="39.75" hidden="1" customHeight="1">
      <c r="A467" s="1">
        <v>466.0</v>
      </c>
      <c r="B467" s="2" t="s">
        <v>22</v>
      </c>
      <c r="C467" s="2" t="s">
        <v>13</v>
      </c>
      <c r="D467" s="13"/>
      <c r="E467" s="13"/>
      <c r="F467" s="45"/>
      <c r="G467" s="42"/>
      <c r="H467" s="42"/>
      <c r="I467" s="42"/>
      <c r="J467" s="22"/>
      <c r="K467" s="42"/>
    </row>
    <row r="468" ht="39.75" hidden="1" customHeight="1">
      <c r="A468" s="1">
        <v>467.0</v>
      </c>
      <c r="B468" s="2" t="s">
        <v>23</v>
      </c>
      <c r="C468" s="2" t="s">
        <v>13</v>
      </c>
      <c r="D468" s="13"/>
      <c r="E468" s="13"/>
      <c r="F468" s="45"/>
      <c r="G468" s="42"/>
      <c r="H468" s="42"/>
      <c r="I468" s="42"/>
      <c r="J468" s="22"/>
      <c r="K468" s="42"/>
    </row>
    <row r="469" ht="39.75" hidden="1" customHeight="1">
      <c r="A469" s="1">
        <v>468.0</v>
      </c>
      <c r="B469" s="2" t="s">
        <v>24</v>
      </c>
      <c r="C469" s="2" t="s">
        <v>13</v>
      </c>
      <c r="D469" s="13"/>
      <c r="E469" s="13"/>
      <c r="F469" s="45"/>
      <c r="G469" s="42"/>
      <c r="H469" s="42"/>
      <c r="I469" s="42"/>
      <c r="J469" s="22"/>
      <c r="K469" s="42"/>
    </row>
    <row r="470" ht="39.75" hidden="1" customHeight="1">
      <c r="A470" s="1">
        <v>469.0</v>
      </c>
      <c r="B470" s="2" t="s">
        <v>25</v>
      </c>
      <c r="C470" s="2" t="s">
        <v>13</v>
      </c>
      <c r="D470" s="13"/>
      <c r="E470" s="13"/>
      <c r="F470" s="45"/>
      <c r="G470" s="42"/>
      <c r="H470" s="42"/>
      <c r="I470" s="42"/>
      <c r="J470" s="22"/>
      <c r="K470" s="42"/>
    </row>
    <row r="471" ht="39.75" hidden="1" customHeight="1">
      <c r="A471" s="1">
        <v>470.0</v>
      </c>
      <c r="B471" s="2" t="s">
        <v>26</v>
      </c>
      <c r="C471" s="2" t="s">
        <v>13</v>
      </c>
      <c r="D471" s="13"/>
      <c r="E471" s="13"/>
      <c r="F471" s="45"/>
      <c r="G471" s="42"/>
      <c r="H471" s="42"/>
      <c r="I471" s="42"/>
      <c r="J471" s="22"/>
      <c r="K471" s="42"/>
    </row>
    <row r="472" ht="39.75" hidden="1" customHeight="1">
      <c r="A472" s="1">
        <v>471.0</v>
      </c>
      <c r="B472" s="2" t="s">
        <v>29</v>
      </c>
      <c r="C472" s="2" t="s">
        <v>13</v>
      </c>
      <c r="D472" s="13"/>
      <c r="E472" s="13"/>
      <c r="F472" s="45"/>
      <c r="G472" s="42"/>
      <c r="H472" s="42"/>
      <c r="I472" s="42"/>
      <c r="J472" s="22"/>
      <c r="K472" s="42"/>
    </row>
    <row r="473" ht="39.75" hidden="1" customHeight="1">
      <c r="A473" s="1">
        <v>472.0</v>
      </c>
      <c r="B473" s="2" t="s">
        <v>30</v>
      </c>
      <c r="C473" s="2" t="s">
        <v>13</v>
      </c>
      <c r="D473" s="13"/>
      <c r="E473" s="13"/>
      <c r="F473" s="45"/>
      <c r="G473" s="42"/>
      <c r="H473" s="42"/>
      <c r="I473" s="42"/>
      <c r="J473" s="22"/>
      <c r="K473" s="42"/>
    </row>
    <row r="474" ht="39.75" customHeight="1">
      <c r="A474" s="1">
        <v>473.0</v>
      </c>
      <c r="B474" s="2" t="s">
        <v>34</v>
      </c>
      <c r="C474" s="2" t="s">
        <v>272</v>
      </c>
      <c r="D474" s="40">
        <v>0.25</v>
      </c>
      <c r="E474" s="13"/>
      <c r="F474" s="44" t="s">
        <v>4645</v>
      </c>
      <c r="G474" s="42"/>
      <c r="H474" s="42"/>
      <c r="I474" s="42"/>
      <c r="J474" s="22"/>
      <c r="K474" s="42"/>
    </row>
    <row r="475" ht="39.75" hidden="1" customHeight="1">
      <c r="A475" s="1">
        <v>474.0</v>
      </c>
      <c r="B475" s="2" t="s">
        <v>32</v>
      </c>
      <c r="C475" s="2" t="s">
        <v>13</v>
      </c>
      <c r="D475" s="13"/>
      <c r="E475" s="13"/>
      <c r="F475" s="45"/>
      <c r="G475" s="42"/>
      <c r="H475" s="42"/>
      <c r="I475" s="42"/>
      <c r="J475" s="22"/>
      <c r="K475" s="42"/>
    </row>
    <row r="476" ht="39.75" hidden="1" customHeight="1">
      <c r="A476" s="1">
        <v>475.0</v>
      </c>
      <c r="B476" s="2" t="s">
        <v>67</v>
      </c>
      <c r="C476" s="2" t="s">
        <v>13</v>
      </c>
      <c r="D476" s="13"/>
      <c r="E476" s="13"/>
      <c r="F476" s="45"/>
      <c r="G476" s="42"/>
      <c r="H476" s="42"/>
      <c r="I476" s="42"/>
      <c r="J476" s="22"/>
      <c r="K476" s="42"/>
    </row>
    <row r="477" ht="39.75" hidden="1" customHeight="1">
      <c r="A477" s="1">
        <v>476.0</v>
      </c>
      <c r="B477" s="2" t="s">
        <v>35</v>
      </c>
      <c r="C477" s="2" t="s">
        <v>13</v>
      </c>
      <c r="D477" s="13"/>
      <c r="E477" s="13"/>
      <c r="F477" s="45"/>
      <c r="G477" s="42"/>
      <c r="H477" s="42"/>
      <c r="I477" s="42"/>
      <c r="J477" s="22"/>
      <c r="K477" s="42"/>
    </row>
    <row r="478" ht="39.75" customHeight="1">
      <c r="A478" s="1">
        <v>477.0</v>
      </c>
      <c r="B478" s="2" t="s">
        <v>36</v>
      </c>
      <c r="C478" s="2"/>
      <c r="D478" s="40">
        <v>0.375</v>
      </c>
      <c r="E478" s="13"/>
      <c r="F478" s="44" t="s">
        <v>4646</v>
      </c>
      <c r="G478" s="43">
        <v>1.0</v>
      </c>
      <c r="H478" s="42"/>
      <c r="I478" s="42"/>
      <c r="J478" s="22"/>
      <c r="K478" s="42"/>
    </row>
    <row r="479" ht="39.75" customHeight="1">
      <c r="A479" s="1">
        <v>478.0</v>
      </c>
      <c r="B479" s="2" t="s">
        <v>38</v>
      </c>
      <c r="C479" s="2" t="s">
        <v>44</v>
      </c>
      <c r="D479" s="13"/>
      <c r="E479" s="13"/>
      <c r="F479" s="52" t="s">
        <v>4647</v>
      </c>
      <c r="G479" s="56">
        <v>1.0</v>
      </c>
      <c r="H479" s="42"/>
      <c r="I479" s="56">
        <v>1.0</v>
      </c>
      <c r="J479" s="22"/>
      <c r="K479" s="42"/>
    </row>
    <row r="480" ht="39.75" hidden="1" customHeight="1">
      <c r="A480" s="1">
        <v>479.0</v>
      </c>
      <c r="B480" s="2" t="s">
        <v>41</v>
      </c>
      <c r="C480" s="2" t="s">
        <v>13</v>
      </c>
      <c r="D480" s="13"/>
      <c r="E480" s="13"/>
      <c r="F480" s="45"/>
      <c r="G480" s="42"/>
      <c r="H480" s="42"/>
      <c r="I480" s="42"/>
      <c r="J480" s="22"/>
      <c r="K480" s="42"/>
    </row>
    <row r="481" ht="39.75" customHeight="1">
      <c r="A481" s="1">
        <v>480.0</v>
      </c>
      <c r="B481" s="2" t="s">
        <v>42</v>
      </c>
      <c r="C481" s="2" t="s">
        <v>49</v>
      </c>
      <c r="D481" s="13"/>
      <c r="E481" s="13"/>
      <c r="F481" s="44" t="s">
        <v>4648</v>
      </c>
      <c r="G481" s="43">
        <v>1.0</v>
      </c>
      <c r="H481" s="42"/>
      <c r="I481" s="42"/>
      <c r="J481" s="22"/>
      <c r="K481" s="42"/>
    </row>
    <row r="482" ht="39.75" hidden="1" customHeight="1">
      <c r="A482" s="1">
        <v>481.0</v>
      </c>
      <c r="B482" s="2" t="s">
        <v>43</v>
      </c>
      <c r="C482" s="2" t="s">
        <v>13</v>
      </c>
      <c r="D482" s="13"/>
      <c r="E482" s="13"/>
      <c r="F482" s="45"/>
      <c r="G482" s="42"/>
      <c r="H482" s="42"/>
      <c r="I482" s="42"/>
      <c r="J482" s="22"/>
      <c r="K482" s="42"/>
    </row>
    <row r="483" ht="39.75" customHeight="1">
      <c r="A483" s="1">
        <v>482.0</v>
      </c>
      <c r="B483" s="2" t="s">
        <v>45</v>
      </c>
      <c r="C483" s="2"/>
      <c r="D483" s="13"/>
      <c r="E483" s="13"/>
      <c r="F483" s="44" t="s">
        <v>4641</v>
      </c>
      <c r="G483" s="43">
        <v>1.0</v>
      </c>
      <c r="H483" s="43">
        <v>1.0</v>
      </c>
      <c r="I483" s="42"/>
      <c r="J483" s="22"/>
      <c r="K483" s="42"/>
    </row>
    <row r="484" ht="39.75" customHeight="1">
      <c r="A484" s="1">
        <v>483.0</v>
      </c>
      <c r="B484" s="2" t="s">
        <v>46</v>
      </c>
      <c r="C484" s="2" t="s">
        <v>27</v>
      </c>
      <c r="D484" s="13"/>
      <c r="E484" s="13"/>
      <c r="F484" s="45"/>
      <c r="G484" s="42"/>
      <c r="H484" s="42"/>
      <c r="I484" s="42"/>
      <c r="J484" s="22"/>
      <c r="K484" s="42"/>
    </row>
    <row r="485" ht="39.75" hidden="1" customHeight="1">
      <c r="A485" s="1">
        <v>484.0</v>
      </c>
      <c r="B485" s="2" t="s">
        <v>47</v>
      </c>
      <c r="C485" s="2" t="s">
        <v>13</v>
      </c>
      <c r="D485" s="13"/>
      <c r="E485" s="13"/>
      <c r="F485" s="45"/>
      <c r="G485" s="42"/>
      <c r="H485" s="42"/>
      <c r="I485" s="42"/>
      <c r="J485" s="22"/>
      <c r="K485" s="42"/>
    </row>
    <row r="486" ht="39.75" hidden="1" customHeight="1">
      <c r="A486" s="1">
        <v>485.0</v>
      </c>
      <c r="B486" s="2" t="s">
        <v>48</v>
      </c>
      <c r="C486" s="2" t="s">
        <v>13</v>
      </c>
      <c r="D486" s="13"/>
      <c r="E486" s="13"/>
      <c r="F486" s="45"/>
      <c r="G486" s="42"/>
      <c r="H486" s="42"/>
      <c r="I486" s="42"/>
      <c r="J486" s="22"/>
      <c r="K486" s="42"/>
    </row>
    <row r="487" ht="39.75" customHeight="1">
      <c r="A487" s="1">
        <v>486.0</v>
      </c>
      <c r="B487" s="21"/>
      <c r="C487" s="21"/>
      <c r="D487" s="21"/>
      <c r="E487" s="21"/>
      <c r="F487" s="46"/>
      <c r="G487" s="47"/>
      <c r="H487" s="47"/>
      <c r="I487" s="47"/>
      <c r="J487" s="48"/>
      <c r="K487" s="47"/>
      <c r="L487" s="49"/>
      <c r="M487" s="49"/>
      <c r="N487" s="49"/>
    </row>
    <row r="488" ht="39.75" customHeight="1">
      <c r="A488" s="1">
        <v>487.0</v>
      </c>
      <c r="B488" s="2" t="s">
        <v>268</v>
      </c>
      <c r="C488" s="2" t="s">
        <v>63</v>
      </c>
      <c r="D488" s="13"/>
      <c r="E488" s="13"/>
      <c r="F488" s="45"/>
      <c r="G488" s="42"/>
      <c r="H488" s="42"/>
      <c r="I488" s="42"/>
      <c r="J488" s="27" t="s">
        <v>4481</v>
      </c>
      <c r="K488" s="42"/>
      <c r="L488" s="15" t="s">
        <v>328</v>
      </c>
    </row>
    <row r="489" ht="39.75" hidden="1" customHeight="1">
      <c r="A489" s="1">
        <v>488.0</v>
      </c>
      <c r="B489" s="2" t="s">
        <v>16</v>
      </c>
      <c r="C489" s="2" t="s">
        <v>13</v>
      </c>
      <c r="D489" s="13"/>
      <c r="E489" s="13"/>
      <c r="F489" s="45"/>
      <c r="G489" s="42"/>
      <c r="H489" s="42"/>
      <c r="I489" s="42"/>
      <c r="J489" s="27" t="s">
        <v>328</v>
      </c>
      <c r="K489" s="43"/>
    </row>
    <row r="490" ht="39.75" hidden="1" customHeight="1">
      <c r="A490" s="1">
        <v>489.0</v>
      </c>
      <c r="B490" s="2" t="s">
        <v>116</v>
      </c>
      <c r="C490" s="2" t="s">
        <v>13</v>
      </c>
      <c r="D490" s="13"/>
      <c r="E490" s="13"/>
      <c r="F490" s="44"/>
      <c r="G490" s="42"/>
      <c r="H490" s="42"/>
      <c r="I490" s="42"/>
      <c r="J490" s="27" t="s">
        <v>19</v>
      </c>
      <c r="K490" s="42"/>
    </row>
    <row r="491" ht="39.75" hidden="1" customHeight="1">
      <c r="A491" s="1">
        <v>490.0</v>
      </c>
      <c r="B491" s="2" t="s">
        <v>17</v>
      </c>
      <c r="C491" s="2" t="s">
        <v>13</v>
      </c>
      <c r="D491" s="13"/>
      <c r="E491" s="13"/>
      <c r="F491" s="45"/>
      <c r="G491" s="42"/>
      <c r="H491" s="42"/>
      <c r="I491" s="42"/>
      <c r="J491" s="27" t="s">
        <v>165</v>
      </c>
      <c r="K491" s="42"/>
    </row>
    <row r="492" ht="39.75" hidden="1" customHeight="1">
      <c r="A492" s="1">
        <v>491.0</v>
      </c>
      <c r="B492" s="2" t="s">
        <v>331</v>
      </c>
      <c r="C492" s="2" t="s">
        <v>13</v>
      </c>
      <c r="D492" s="13"/>
      <c r="E492" s="13"/>
      <c r="F492" s="45"/>
      <c r="G492" s="42"/>
      <c r="H492" s="42"/>
      <c r="I492" s="42"/>
      <c r="J492" s="27" t="s">
        <v>166</v>
      </c>
      <c r="K492" s="42"/>
    </row>
    <row r="493" ht="39.75" hidden="1" customHeight="1">
      <c r="A493" s="1">
        <v>492.0</v>
      </c>
      <c r="B493" s="2" t="s">
        <v>21</v>
      </c>
      <c r="C493" s="2" t="s">
        <v>13</v>
      </c>
      <c r="D493" s="13"/>
      <c r="E493" s="13"/>
      <c r="F493" s="45"/>
      <c r="G493" s="42"/>
      <c r="H493" s="42"/>
      <c r="I493" s="42"/>
      <c r="J493" s="27" t="s">
        <v>167</v>
      </c>
      <c r="K493" s="42"/>
    </row>
    <row r="494" ht="39.75" hidden="1" customHeight="1">
      <c r="A494" s="1">
        <v>493.0</v>
      </c>
      <c r="B494" s="2" t="s">
        <v>22</v>
      </c>
      <c r="C494" s="2" t="s">
        <v>13</v>
      </c>
      <c r="D494" s="13"/>
      <c r="E494" s="13"/>
      <c r="F494" s="45"/>
      <c r="G494" s="42"/>
      <c r="H494" s="42"/>
      <c r="I494" s="42"/>
      <c r="J494" s="22"/>
      <c r="K494" s="42"/>
    </row>
    <row r="495" ht="39.75" hidden="1" customHeight="1">
      <c r="A495" s="1">
        <v>494.0</v>
      </c>
      <c r="B495" s="2" t="s">
        <v>23</v>
      </c>
      <c r="C495" s="2" t="s">
        <v>13</v>
      </c>
      <c r="D495" s="13"/>
      <c r="E495" s="13"/>
      <c r="F495" s="45"/>
      <c r="G495" s="42"/>
      <c r="H495" s="42"/>
      <c r="I495" s="42"/>
      <c r="J495" s="22"/>
      <c r="K495" s="42"/>
    </row>
    <row r="496" ht="39.75" hidden="1" customHeight="1">
      <c r="A496" s="1">
        <v>495.0</v>
      </c>
      <c r="B496" s="2" t="s">
        <v>24</v>
      </c>
      <c r="C496" s="2" t="s">
        <v>13</v>
      </c>
      <c r="D496" s="13"/>
      <c r="E496" s="13"/>
      <c r="F496" s="45"/>
      <c r="G496" s="42"/>
      <c r="H496" s="42"/>
      <c r="I496" s="42"/>
      <c r="J496" s="22"/>
      <c r="K496" s="42"/>
    </row>
    <row r="497" ht="39.75" hidden="1" customHeight="1">
      <c r="A497" s="1">
        <v>496.0</v>
      </c>
      <c r="B497" s="2" t="s">
        <v>25</v>
      </c>
      <c r="C497" s="2" t="s">
        <v>13</v>
      </c>
      <c r="D497" s="13"/>
      <c r="E497" s="13"/>
      <c r="F497" s="45"/>
      <c r="G497" s="42"/>
      <c r="H497" s="42"/>
      <c r="I497" s="42"/>
      <c r="J497" s="22"/>
      <c r="K497" s="42"/>
    </row>
    <row r="498" ht="39.75" hidden="1" customHeight="1">
      <c r="A498" s="1">
        <v>497.0</v>
      </c>
      <c r="B498" s="2" t="s">
        <v>26</v>
      </c>
      <c r="C498" s="2" t="s">
        <v>13</v>
      </c>
      <c r="D498" s="13"/>
      <c r="E498" s="13"/>
      <c r="F498" s="45"/>
      <c r="G498" s="42"/>
      <c r="H498" s="42"/>
      <c r="I498" s="42"/>
      <c r="J498" s="22"/>
      <c r="K498" s="42"/>
    </row>
    <row r="499" ht="82.5" customHeight="1">
      <c r="A499" s="1">
        <v>498.0</v>
      </c>
      <c r="B499" s="2" t="s">
        <v>29</v>
      </c>
      <c r="C499" s="2" t="s">
        <v>27</v>
      </c>
      <c r="D499" s="13"/>
      <c r="E499" s="13"/>
      <c r="F499" s="44" t="s">
        <v>4649</v>
      </c>
      <c r="G499" s="43">
        <v>1.0</v>
      </c>
      <c r="H499" s="42"/>
      <c r="I499" s="42"/>
      <c r="J499" s="22"/>
      <c r="K499" s="42"/>
    </row>
    <row r="500" ht="39.75" customHeight="1">
      <c r="A500" s="1">
        <v>499.0</v>
      </c>
      <c r="B500" s="2" t="s">
        <v>30</v>
      </c>
      <c r="C500" s="2"/>
      <c r="D500" s="40">
        <v>0.375</v>
      </c>
      <c r="E500" s="13"/>
      <c r="F500" s="44" t="s">
        <v>4650</v>
      </c>
      <c r="G500" s="43">
        <v>1.0</v>
      </c>
      <c r="H500" s="42"/>
      <c r="I500" s="42"/>
      <c r="J500" s="22"/>
      <c r="K500" s="42"/>
    </row>
    <row r="501" ht="39.75" customHeight="1">
      <c r="A501" s="1">
        <v>500.0</v>
      </c>
      <c r="B501" s="2" t="s">
        <v>31</v>
      </c>
      <c r="C501" s="2" t="s">
        <v>39</v>
      </c>
      <c r="D501" s="13"/>
      <c r="E501" s="13"/>
      <c r="F501" s="44" t="s">
        <v>4651</v>
      </c>
      <c r="G501" s="43">
        <v>2.0</v>
      </c>
      <c r="H501" s="42"/>
      <c r="I501" s="43">
        <v>2.0</v>
      </c>
      <c r="J501" s="22"/>
      <c r="K501" s="42"/>
    </row>
    <row r="502" ht="39.75" customHeight="1">
      <c r="A502" s="1">
        <v>501.0</v>
      </c>
      <c r="B502" s="2" t="s">
        <v>32</v>
      </c>
      <c r="C502" s="2" t="s">
        <v>49</v>
      </c>
      <c r="D502" s="13"/>
      <c r="E502" s="13"/>
      <c r="F502" s="44" t="s">
        <v>4652</v>
      </c>
      <c r="G502" s="43">
        <v>1.0</v>
      </c>
      <c r="H502" s="42"/>
      <c r="I502" s="43">
        <v>1.0</v>
      </c>
      <c r="J502" s="22"/>
      <c r="K502" s="42"/>
    </row>
    <row r="503" ht="39.75" customHeight="1">
      <c r="A503" s="1">
        <v>502.0</v>
      </c>
      <c r="B503" s="2" t="s">
        <v>33</v>
      </c>
      <c r="C503" s="2" t="s">
        <v>272</v>
      </c>
      <c r="D503" s="13"/>
      <c r="E503" s="13"/>
      <c r="F503" s="45"/>
      <c r="G503" s="42"/>
      <c r="H503" s="42"/>
      <c r="I503" s="42"/>
      <c r="J503" s="22"/>
      <c r="K503" s="42"/>
    </row>
    <row r="504" ht="39.75" hidden="1" customHeight="1">
      <c r="A504" s="1">
        <v>503.0</v>
      </c>
      <c r="B504" s="2" t="s">
        <v>35</v>
      </c>
      <c r="C504" s="2" t="s">
        <v>13</v>
      </c>
      <c r="D504" s="13"/>
      <c r="E504" s="13"/>
      <c r="F504" s="45"/>
      <c r="G504" s="42"/>
      <c r="H504" s="42"/>
      <c r="I504" s="42"/>
      <c r="J504" s="22"/>
      <c r="K504" s="42"/>
    </row>
    <row r="505" ht="39.75" hidden="1" customHeight="1">
      <c r="A505" s="1">
        <v>504.0</v>
      </c>
      <c r="B505" s="2" t="s">
        <v>36</v>
      </c>
      <c r="C505" s="2" t="s">
        <v>13</v>
      </c>
      <c r="D505" s="13"/>
      <c r="E505" s="13"/>
      <c r="F505" s="45"/>
      <c r="G505" s="42"/>
      <c r="H505" s="42"/>
      <c r="I505" s="42"/>
      <c r="J505" s="22"/>
      <c r="K505" s="42"/>
    </row>
    <row r="506" ht="39.75" hidden="1" customHeight="1">
      <c r="A506" s="1">
        <v>505.0</v>
      </c>
      <c r="B506" s="2" t="s">
        <v>38</v>
      </c>
      <c r="C506" s="2" t="s">
        <v>13</v>
      </c>
      <c r="D506" s="13"/>
      <c r="E506" s="13"/>
      <c r="F506" s="45"/>
      <c r="G506" s="42"/>
      <c r="H506" s="42"/>
      <c r="I506" s="42"/>
      <c r="J506" s="22"/>
      <c r="K506" s="42"/>
    </row>
    <row r="507" ht="39.75" hidden="1" customHeight="1">
      <c r="A507" s="1">
        <v>506.0</v>
      </c>
      <c r="B507" s="2" t="s">
        <v>41</v>
      </c>
      <c r="C507" s="2" t="s">
        <v>13</v>
      </c>
      <c r="D507" s="13"/>
      <c r="E507" s="13"/>
      <c r="F507" s="45"/>
      <c r="G507" s="42"/>
      <c r="H507" s="42"/>
      <c r="I507" s="42"/>
      <c r="J507" s="22"/>
      <c r="K507" s="42"/>
    </row>
    <row r="508" ht="39.75" hidden="1" customHeight="1">
      <c r="A508" s="1">
        <v>507.0</v>
      </c>
      <c r="B508" s="2" t="s">
        <v>42</v>
      </c>
      <c r="C508" s="2" t="s">
        <v>13</v>
      </c>
      <c r="D508" s="13"/>
      <c r="E508" s="13"/>
      <c r="F508" s="45"/>
      <c r="G508" s="42"/>
      <c r="H508" s="42"/>
      <c r="I508" s="42"/>
      <c r="J508" s="22"/>
      <c r="K508" s="42"/>
    </row>
    <row r="509" ht="39.75" hidden="1" customHeight="1">
      <c r="A509" s="1">
        <v>508.0</v>
      </c>
      <c r="B509" s="2" t="s">
        <v>43</v>
      </c>
      <c r="C509" s="2" t="s">
        <v>13</v>
      </c>
      <c r="D509" s="13"/>
      <c r="E509" s="13"/>
      <c r="F509" s="45"/>
      <c r="G509" s="42"/>
      <c r="H509" s="42"/>
      <c r="I509" s="42"/>
      <c r="J509" s="22"/>
      <c r="K509" s="42"/>
    </row>
    <row r="510" ht="39.75" customHeight="1">
      <c r="A510" s="1">
        <v>509.0</v>
      </c>
      <c r="B510" s="2" t="s">
        <v>45</v>
      </c>
      <c r="C510" s="2"/>
      <c r="D510" s="13"/>
      <c r="E510" s="13"/>
      <c r="F510" s="44" t="s">
        <v>4641</v>
      </c>
      <c r="G510" s="43">
        <v>1.0</v>
      </c>
      <c r="H510" s="43">
        <v>1.0</v>
      </c>
      <c r="I510" s="42"/>
      <c r="J510" s="22"/>
      <c r="K510" s="42"/>
    </row>
    <row r="511" ht="39.75" customHeight="1">
      <c r="A511" s="1">
        <v>510.0</v>
      </c>
      <c r="B511" s="2" t="s">
        <v>46</v>
      </c>
      <c r="C511" s="2" t="s">
        <v>44</v>
      </c>
      <c r="D511" s="13"/>
      <c r="E511" s="13"/>
      <c r="F511" s="45"/>
      <c r="G511" s="42"/>
      <c r="H511" s="42"/>
      <c r="I511" s="42"/>
      <c r="J511" s="22"/>
      <c r="K511" s="42"/>
    </row>
    <row r="512" ht="39.75" customHeight="1">
      <c r="A512" s="1">
        <v>511.0</v>
      </c>
      <c r="B512" s="2" t="s">
        <v>47</v>
      </c>
      <c r="C512" s="2"/>
      <c r="D512" s="40">
        <v>0.375</v>
      </c>
      <c r="E512" s="51">
        <v>0.8090277777777778</v>
      </c>
      <c r="F512" s="44" t="s">
        <v>4653</v>
      </c>
      <c r="G512" s="43">
        <v>2.0</v>
      </c>
      <c r="H512" s="42"/>
      <c r="I512" s="43">
        <v>2.0</v>
      </c>
      <c r="J512" s="22"/>
      <c r="K512" s="42"/>
    </row>
    <row r="513" ht="39.75" hidden="1" customHeight="1">
      <c r="A513" s="1">
        <v>512.0</v>
      </c>
      <c r="B513" s="2" t="s">
        <v>48</v>
      </c>
      <c r="C513" s="2" t="s">
        <v>13</v>
      </c>
      <c r="D513" s="13"/>
      <c r="E513" s="13"/>
      <c r="F513" s="45"/>
      <c r="G513" s="42"/>
      <c r="H513" s="42"/>
      <c r="I513" s="42"/>
      <c r="J513" s="22"/>
      <c r="K513" s="42"/>
    </row>
    <row r="514" ht="39.75" customHeight="1">
      <c r="A514" s="1">
        <v>513.0</v>
      </c>
      <c r="B514" s="21"/>
      <c r="C514" s="21"/>
      <c r="D514" s="21"/>
      <c r="E514" s="21"/>
      <c r="F514" s="46"/>
      <c r="G514" s="47"/>
      <c r="H514" s="47"/>
      <c r="I514" s="47"/>
      <c r="J514" s="48"/>
      <c r="K514" s="47"/>
      <c r="L514" s="49"/>
      <c r="M514" s="49"/>
      <c r="N514" s="49"/>
    </row>
    <row r="515" ht="39.75" hidden="1" customHeight="1">
      <c r="A515" s="1">
        <v>514.0</v>
      </c>
      <c r="B515" s="2" t="s">
        <v>12</v>
      </c>
      <c r="C515" s="2" t="s">
        <v>58</v>
      </c>
      <c r="D515" s="13"/>
      <c r="E515" s="13"/>
      <c r="F515" s="45"/>
      <c r="G515" s="42"/>
      <c r="H515" s="42"/>
      <c r="I515" s="42"/>
      <c r="J515" s="27" t="s">
        <v>4481</v>
      </c>
      <c r="K515" s="42"/>
      <c r="L515" s="15" t="s">
        <v>347</v>
      </c>
    </row>
    <row r="516" ht="39.75" customHeight="1">
      <c r="A516" s="1">
        <v>515.0</v>
      </c>
      <c r="B516" s="2" t="s">
        <v>16</v>
      </c>
      <c r="C516" s="2" t="s">
        <v>69</v>
      </c>
      <c r="D516" s="13"/>
      <c r="E516" s="40">
        <v>0.7986111111111112</v>
      </c>
      <c r="F516" s="44" t="s">
        <v>2770</v>
      </c>
      <c r="G516" s="43">
        <v>1.0</v>
      </c>
      <c r="H516" s="42"/>
      <c r="I516" s="43">
        <v>1.0</v>
      </c>
      <c r="J516" s="27" t="s">
        <v>347</v>
      </c>
      <c r="K516" s="43"/>
    </row>
    <row r="517" ht="39.75" customHeight="1">
      <c r="A517" s="1">
        <v>516.0</v>
      </c>
      <c r="B517" s="2" t="s">
        <v>116</v>
      </c>
      <c r="C517" s="2" t="s">
        <v>54</v>
      </c>
      <c r="D517" s="13"/>
      <c r="E517" s="13"/>
      <c r="F517" s="44" t="s">
        <v>4654</v>
      </c>
      <c r="G517" s="43">
        <v>1.0</v>
      </c>
      <c r="H517" s="42"/>
      <c r="I517" s="43">
        <v>1.0</v>
      </c>
      <c r="J517" s="27" t="s">
        <v>56</v>
      </c>
      <c r="K517" s="42"/>
    </row>
    <row r="518" ht="69.0" customHeight="1">
      <c r="A518" s="1">
        <v>517.0</v>
      </c>
      <c r="B518" s="2" t="s">
        <v>17</v>
      </c>
      <c r="C518" s="2"/>
      <c r="D518" s="13"/>
      <c r="E518" s="13"/>
      <c r="F518" s="44" t="s">
        <v>4655</v>
      </c>
      <c r="G518" s="43">
        <v>2.0</v>
      </c>
      <c r="H518" s="42"/>
      <c r="I518" s="43">
        <v>1.0</v>
      </c>
      <c r="J518" s="22"/>
      <c r="K518" s="42"/>
    </row>
    <row r="519" ht="39.75" customHeight="1">
      <c r="A519" s="1">
        <v>518.0</v>
      </c>
      <c r="B519" s="2" t="s">
        <v>331</v>
      </c>
      <c r="C519" s="2" t="s">
        <v>542</v>
      </c>
      <c r="D519" s="13"/>
      <c r="E519" s="13"/>
      <c r="F519" s="44" t="s">
        <v>4656</v>
      </c>
      <c r="G519" s="43">
        <v>2.0</v>
      </c>
      <c r="H519" s="42"/>
      <c r="I519" s="43">
        <v>2.0</v>
      </c>
      <c r="J519" s="22"/>
      <c r="K519" s="42"/>
    </row>
    <row r="520" ht="39.75" hidden="1" customHeight="1">
      <c r="A520" s="1">
        <v>519.0</v>
      </c>
      <c r="B520" s="2" t="s">
        <v>21</v>
      </c>
      <c r="C520" s="2" t="s">
        <v>58</v>
      </c>
      <c r="D520" s="13"/>
      <c r="E520" s="13"/>
      <c r="F520" s="45"/>
      <c r="G520" s="42"/>
      <c r="H520" s="42"/>
      <c r="I520" s="42"/>
      <c r="J520" s="22"/>
      <c r="K520" s="42"/>
    </row>
    <row r="521" ht="39.75" customHeight="1">
      <c r="A521" s="1">
        <v>520.0</v>
      </c>
      <c r="B521" s="2" t="s">
        <v>22</v>
      </c>
      <c r="C521" s="2" t="s">
        <v>39</v>
      </c>
      <c r="D521" s="13"/>
      <c r="E521" s="13"/>
      <c r="F521" s="44" t="s">
        <v>4657</v>
      </c>
      <c r="G521" s="43">
        <v>2.0</v>
      </c>
      <c r="H521" s="42"/>
      <c r="I521" s="43">
        <v>2.0</v>
      </c>
      <c r="J521" s="22"/>
      <c r="K521" s="42"/>
    </row>
    <row r="522" ht="39.75" hidden="1" customHeight="1">
      <c r="A522" s="1">
        <v>521.0</v>
      </c>
      <c r="B522" s="2" t="s">
        <v>23</v>
      </c>
      <c r="C522" s="2" t="s">
        <v>58</v>
      </c>
      <c r="D522" s="13"/>
      <c r="E522" s="13"/>
      <c r="F522" s="45"/>
      <c r="G522" s="42"/>
      <c r="H522" s="42"/>
      <c r="I522" s="42"/>
      <c r="J522" s="22"/>
      <c r="K522" s="42"/>
    </row>
    <row r="523" ht="39.75" customHeight="1">
      <c r="A523" s="1">
        <v>522.0</v>
      </c>
      <c r="B523" s="2" t="s">
        <v>24</v>
      </c>
      <c r="C523" s="2" t="s">
        <v>63</v>
      </c>
      <c r="D523" s="13"/>
      <c r="E523" s="13"/>
      <c r="F523" s="45"/>
      <c r="G523" s="42"/>
      <c r="H523" s="42"/>
      <c r="I523" s="42"/>
      <c r="J523" s="22"/>
      <c r="K523" s="42"/>
    </row>
    <row r="524" ht="39.75" hidden="1" customHeight="1">
      <c r="A524" s="1">
        <v>523.0</v>
      </c>
      <c r="B524" s="2" t="s">
        <v>25</v>
      </c>
      <c r="C524" s="2" t="s">
        <v>66</v>
      </c>
      <c r="D524" s="13"/>
      <c r="E524" s="13"/>
      <c r="F524" s="45"/>
      <c r="G524" s="42"/>
      <c r="H524" s="42"/>
      <c r="I524" s="42"/>
      <c r="J524" s="22"/>
      <c r="K524" s="42"/>
    </row>
    <row r="525" ht="60.75" customHeight="1">
      <c r="A525" s="1">
        <v>524.0</v>
      </c>
      <c r="B525" s="2" t="s">
        <v>26</v>
      </c>
      <c r="C525" s="2" t="s">
        <v>69</v>
      </c>
      <c r="D525" s="13"/>
      <c r="E525" s="40">
        <v>0.7986111111111112</v>
      </c>
      <c r="F525" s="44" t="s">
        <v>4658</v>
      </c>
      <c r="G525" s="43">
        <v>1.0</v>
      </c>
      <c r="H525" s="42"/>
      <c r="I525" s="42"/>
      <c r="J525" s="22"/>
      <c r="K525" s="42"/>
    </row>
    <row r="526" ht="39.75" customHeight="1">
      <c r="A526" s="1">
        <v>525.0</v>
      </c>
      <c r="B526" s="2" t="s">
        <v>29</v>
      </c>
      <c r="C526" s="2" t="s">
        <v>44</v>
      </c>
      <c r="D526" s="13"/>
      <c r="E526" s="13"/>
      <c r="F526" s="45"/>
      <c r="G526" s="42"/>
      <c r="H526" s="42"/>
      <c r="I526" s="42"/>
      <c r="J526" s="22"/>
      <c r="K526" s="42"/>
    </row>
    <row r="527" ht="39.75" customHeight="1">
      <c r="A527" s="1">
        <v>526.0</v>
      </c>
      <c r="B527" s="2" t="s">
        <v>30</v>
      </c>
      <c r="C527" s="2" t="s">
        <v>64</v>
      </c>
      <c r="D527" s="13"/>
      <c r="E527" s="13"/>
      <c r="F527" s="44" t="s">
        <v>2592</v>
      </c>
      <c r="G527" s="43">
        <v>1.0</v>
      </c>
      <c r="H527" s="42"/>
      <c r="I527" s="43">
        <v>1.0</v>
      </c>
      <c r="J527" s="22"/>
      <c r="K527" s="42"/>
    </row>
    <row r="528" ht="39.75" customHeight="1">
      <c r="A528" s="1">
        <v>527.0</v>
      </c>
      <c r="B528" s="2" t="s">
        <v>31</v>
      </c>
      <c r="C528" s="2" t="s">
        <v>69</v>
      </c>
      <c r="D528" s="40">
        <v>0.375</v>
      </c>
      <c r="E528" s="40">
        <v>0.7291666666666666</v>
      </c>
      <c r="F528" s="44" t="s">
        <v>4659</v>
      </c>
      <c r="G528" s="43">
        <v>1.0</v>
      </c>
      <c r="H528" s="42"/>
      <c r="I528" s="43">
        <v>1.0</v>
      </c>
      <c r="J528" s="22"/>
      <c r="K528" s="42"/>
    </row>
    <row r="529" ht="39.75" customHeight="1">
      <c r="A529" s="1">
        <v>528.0</v>
      </c>
      <c r="B529" s="2" t="s">
        <v>32</v>
      </c>
      <c r="C529" s="2"/>
      <c r="D529" s="13"/>
      <c r="E529" s="13"/>
      <c r="F529" s="44" t="s">
        <v>4660</v>
      </c>
      <c r="G529" s="43">
        <v>1.0</v>
      </c>
      <c r="H529" s="42"/>
      <c r="I529" s="42"/>
      <c r="J529" s="22"/>
      <c r="K529" s="42"/>
    </row>
    <row r="530" ht="39.75" customHeight="1">
      <c r="A530" s="1">
        <v>529.0</v>
      </c>
      <c r="B530" s="2" t="s">
        <v>67</v>
      </c>
      <c r="C530" s="2" t="s">
        <v>27</v>
      </c>
      <c r="D530" s="13"/>
      <c r="E530" s="13"/>
      <c r="F530" s="44" t="s">
        <v>4661</v>
      </c>
      <c r="G530" s="43">
        <v>1.0</v>
      </c>
      <c r="H530" s="42"/>
      <c r="I530" s="43">
        <v>1.0</v>
      </c>
      <c r="J530" s="22"/>
      <c r="K530" s="42"/>
    </row>
    <row r="531" ht="39.75" hidden="1" customHeight="1">
      <c r="A531" s="1">
        <v>530.0</v>
      </c>
      <c r="B531" s="2" t="s">
        <v>35</v>
      </c>
      <c r="C531" s="2" t="s">
        <v>66</v>
      </c>
      <c r="D531" s="13"/>
      <c r="E531" s="13"/>
      <c r="F531" s="45"/>
      <c r="G531" s="42"/>
      <c r="H531" s="42"/>
      <c r="I531" s="42"/>
      <c r="J531" s="22"/>
      <c r="K531" s="42"/>
    </row>
    <row r="532" ht="39.75" customHeight="1">
      <c r="A532" s="1">
        <v>531.0</v>
      </c>
      <c r="B532" s="2" t="s">
        <v>36</v>
      </c>
      <c r="C532" s="2" t="s">
        <v>54</v>
      </c>
      <c r="D532" s="13"/>
      <c r="E532" s="51">
        <v>0.8333333333333334</v>
      </c>
      <c r="F532" s="44" t="s">
        <v>4662</v>
      </c>
      <c r="G532" s="43">
        <v>1.0</v>
      </c>
      <c r="H532" s="43">
        <v>1.0</v>
      </c>
      <c r="I532" s="42"/>
      <c r="J532" s="22"/>
      <c r="K532" s="42"/>
    </row>
    <row r="533" ht="39.75" customHeight="1">
      <c r="A533" s="1">
        <v>532.0</v>
      </c>
      <c r="B533" s="2" t="s">
        <v>38</v>
      </c>
      <c r="C533" s="2" t="s">
        <v>54</v>
      </c>
      <c r="D533" s="13"/>
      <c r="E533" s="13"/>
      <c r="F533" s="44" t="s">
        <v>4663</v>
      </c>
      <c r="G533" s="43">
        <v>1.0</v>
      </c>
      <c r="H533" s="42"/>
      <c r="I533" s="42"/>
      <c r="J533" s="22"/>
      <c r="K533" s="42"/>
    </row>
    <row r="534" ht="39.75" hidden="1" customHeight="1">
      <c r="A534" s="1">
        <v>533.0</v>
      </c>
      <c r="B534" s="2" t="s">
        <v>41</v>
      </c>
      <c r="C534" s="2" t="s">
        <v>58</v>
      </c>
      <c r="D534" s="13"/>
      <c r="E534" s="13"/>
      <c r="F534" s="45"/>
      <c r="G534" s="42"/>
      <c r="H534" s="42"/>
      <c r="I534" s="42"/>
      <c r="J534" s="22"/>
      <c r="K534" s="42"/>
    </row>
    <row r="535" ht="39.75" hidden="1" customHeight="1">
      <c r="A535" s="1">
        <v>534.0</v>
      </c>
      <c r="B535" s="2" t="s">
        <v>42</v>
      </c>
      <c r="C535" s="2" t="s">
        <v>58</v>
      </c>
      <c r="D535" s="13"/>
      <c r="E535" s="13"/>
      <c r="F535" s="45"/>
      <c r="G535" s="42"/>
      <c r="H535" s="42"/>
      <c r="I535" s="42"/>
      <c r="J535" s="22"/>
      <c r="K535" s="42"/>
    </row>
    <row r="536" ht="39.75" hidden="1" customHeight="1">
      <c r="A536" s="1">
        <v>535.0</v>
      </c>
      <c r="B536" s="2" t="s">
        <v>43</v>
      </c>
      <c r="C536" s="2" t="s">
        <v>58</v>
      </c>
      <c r="D536" s="13"/>
      <c r="E536" s="13"/>
      <c r="F536" s="45"/>
      <c r="G536" s="42"/>
      <c r="H536" s="42"/>
      <c r="I536" s="42"/>
      <c r="J536" s="22"/>
      <c r="K536" s="42"/>
    </row>
    <row r="537" ht="39.75" customHeight="1">
      <c r="A537" s="1">
        <v>536.0</v>
      </c>
      <c r="B537" s="2" t="s">
        <v>45</v>
      </c>
      <c r="C537" s="2" t="s">
        <v>54</v>
      </c>
      <c r="D537" s="13"/>
      <c r="E537" s="13"/>
      <c r="F537" s="44" t="s">
        <v>4641</v>
      </c>
      <c r="G537" s="43">
        <v>1.0</v>
      </c>
      <c r="H537" s="43">
        <v>1.0</v>
      </c>
      <c r="I537" s="42"/>
      <c r="J537" s="22"/>
      <c r="K537" s="42"/>
    </row>
    <row r="538" ht="39.75" customHeight="1">
      <c r="A538" s="1">
        <v>537.0</v>
      </c>
      <c r="B538" s="2" t="s">
        <v>46</v>
      </c>
      <c r="C538" s="2"/>
      <c r="D538" s="13"/>
      <c r="E538" s="13"/>
      <c r="F538" s="44" t="s">
        <v>4664</v>
      </c>
      <c r="G538" s="43">
        <v>1.0</v>
      </c>
      <c r="H538" s="42"/>
      <c r="I538" s="42"/>
      <c r="J538" s="22"/>
      <c r="K538" s="42"/>
    </row>
    <row r="539" ht="39.75" customHeight="1">
      <c r="A539" s="1">
        <v>538.0</v>
      </c>
      <c r="B539" s="2" t="s">
        <v>47</v>
      </c>
      <c r="C539" s="2" t="s">
        <v>39</v>
      </c>
      <c r="D539" s="13"/>
      <c r="E539" s="13"/>
      <c r="F539" s="44" t="s">
        <v>4665</v>
      </c>
      <c r="G539" s="43">
        <v>2.0</v>
      </c>
      <c r="H539" s="42"/>
      <c r="I539" s="43">
        <v>1.0</v>
      </c>
      <c r="J539" s="22"/>
      <c r="K539" s="42"/>
    </row>
    <row r="540" ht="39.75" customHeight="1">
      <c r="A540" s="1">
        <v>539.0</v>
      </c>
      <c r="B540" s="2" t="s">
        <v>48</v>
      </c>
      <c r="C540" s="2"/>
      <c r="D540" s="13"/>
      <c r="E540" s="13"/>
      <c r="F540" s="44" t="s">
        <v>1218</v>
      </c>
      <c r="G540" s="43">
        <v>1.0</v>
      </c>
      <c r="H540" s="42"/>
      <c r="I540" s="43">
        <v>1.0</v>
      </c>
      <c r="J540" s="22"/>
      <c r="K540" s="42"/>
    </row>
    <row r="541" ht="39.75" customHeight="1">
      <c r="A541" s="1">
        <v>540.0</v>
      </c>
      <c r="B541" s="21"/>
      <c r="C541" s="21"/>
      <c r="D541" s="21"/>
      <c r="E541" s="21"/>
      <c r="F541" s="46"/>
      <c r="G541" s="47"/>
      <c r="H541" s="47"/>
      <c r="I541" s="47"/>
      <c r="J541" s="48"/>
      <c r="K541" s="47"/>
      <c r="L541" s="49"/>
      <c r="M541" s="49"/>
      <c r="N541" s="49"/>
    </row>
    <row r="542" ht="39.75" customHeight="1">
      <c r="A542" s="1">
        <v>541.0</v>
      </c>
      <c r="B542" s="2" t="s">
        <v>12</v>
      </c>
      <c r="C542" s="2" t="s">
        <v>62</v>
      </c>
      <c r="D542" s="13"/>
      <c r="E542" s="13"/>
      <c r="F542" s="44" t="s">
        <v>1543</v>
      </c>
      <c r="G542" s="43">
        <v>1.0</v>
      </c>
      <c r="H542" s="42"/>
      <c r="I542" s="43">
        <v>1.0</v>
      </c>
      <c r="J542" s="27" t="s">
        <v>4481</v>
      </c>
      <c r="K542" s="42"/>
      <c r="L542" s="15" t="s">
        <v>362</v>
      </c>
    </row>
    <row r="543" ht="39.75" customHeight="1">
      <c r="A543" s="1">
        <v>542.0</v>
      </c>
      <c r="B543" s="2" t="s">
        <v>16</v>
      </c>
      <c r="C543" s="2"/>
      <c r="D543" s="13"/>
      <c r="E543" s="13"/>
      <c r="F543" s="44" t="s">
        <v>4666</v>
      </c>
      <c r="G543" s="43">
        <v>2.0</v>
      </c>
      <c r="H543" s="42"/>
      <c r="I543" s="42"/>
      <c r="J543" s="27" t="s">
        <v>362</v>
      </c>
      <c r="K543" s="43"/>
    </row>
    <row r="544" ht="39.75" customHeight="1">
      <c r="A544" s="1">
        <v>543.0</v>
      </c>
      <c r="B544" s="2" t="s">
        <v>116</v>
      </c>
      <c r="C544" s="2" t="s">
        <v>54</v>
      </c>
      <c r="D544" s="53">
        <v>0.2361111111111111</v>
      </c>
      <c r="E544" s="13"/>
      <c r="F544" s="44" t="s">
        <v>4667</v>
      </c>
      <c r="G544" s="43">
        <v>1.0</v>
      </c>
      <c r="H544" s="43">
        <v>1.0</v>
      </c>
      <c r="I544" s="42"/>
      <c r="J544" s="27" t="s">
        <v>77</v>
      </c>
      <c r="K544" s="42"/>
    </row>
    <row r="545" ht="39.75" hidden="1" customHeight="1">
      <c r="A545" s="1">
        <v>544.0</v>
      </c>
      <c r="B545" s="2" t="s">
        <v>17</v>
      </c>
      <c r="C545" s="2" t="s">
        <v>58</v>
      </c>
      <c r="D545" s="13"/>
      <c r="E545" s="13"/>
      <c r="F545" s="44"/>
      <c r="G545" s="42"/>
      <c r="H545" s="42"/>
      <c r="I545" s="42"/>
      <c r="J545" s="22"/>
      <c r="K545" s="42"/>
    </row>
    <row r="546" ht="39.75" hidden="1" customHeight="1">
      <c r="A546" s="1">
        <v>545.0</v>
      </c>
      <c r="B546" s="2" t="s">
        <v>331</v>
      </c>
      <c r="C546" s="2" t="s">
        <v>58</v>
      </c>
      <c r="D546" s="13"/>
      <c r="E546" s="13"/>
      <c r="F546" s="45"/>
      <c r="G546" s="42"/>
      <c r="H546" s="42"/>
      <c r="I546" s="42"/>
      <c r="J546" s="22"/>
      <c r="K546" s="42"/>
    </row>
    <row r="547" ht="39.75" customHeight="1">
      <c r="A547" s="1">
        <v>546.0</v>
      </c>
      <c r="B547" s="2" t="s">
        <v>21</v>
      </c>
      <c r="C547" s="2"/>
      <c r="D547" s="13"/>
      <c r="E547" s="13"/>
      <c r="F547" s="44" t="s">
        <v>1218</v>
      </c>
      <c r="G547" s="43">
        <v>1.0</v>
      </c>
      <c r="H547" s="42"/>
      <c r="I547" s="43">
        <v>1.0</v>
      </c>
      <c r="J547" s="22"/>
      <c r="K547" s="42"/>
    </row>
    <row r="548" ht="39.75" hidden="1" customHeight="1">
      <c r="A548" s="1">
        <v>547.0</v>
      </c>
      <c r="B548" s="2" t="s">
        <v>22</v>
      </c>
      <c r="C548" s="2" t="s">
        <v>66</v>
      </c>
      <c r="D548" s="13"/>
      <c r="E548" s="13"/>
      <c r="F548" s="45"/>
      <c r="G548" s="42"/>
      <c r="H548" s="42"/>
      <c r="I548" s="42"/>
      <c r="J548" s="22"/>
      <c r="K548" s="42"/>
    </row>
    <row r="549" ht="39.75" customHeight="1">
      <c r="A549" s="1">
        <v>548.0</v>
      </c>
      <c r="B549" s="2" t="s">
        <v>23</v>
      </c>
      <c r="C549" s="13"/>
      <c r="D549" s="13"/>
      <c r="E549" s="13"/>
      <c r="F549" s="44" t="s">
        <v>4668</v>
      </c>
      <c r="G549" s="43">
        <v>1.0</v>
      </c>
      <c r="H549" s="42"/>
      <c r="I549" s="42"/>
      <c r="J549" s="22"/>
      <c r="K549" s="42"/>
    </row>
    <row r="550" ht="39.75" customHeight="1">
      <c r="A550" s="1">
        <v>549.0</v>
      </c>
      <c r="B550" s="2" t="s">
        <v>24</v>
      </c>
      <c r="C550" s="2" t="s">
        <v>63</v>
      </c>
      <c r="D550" s="13"/>
      <c r="E550" s="13"/>
      <c r="F550" s="45"/>
      <c r="G550" s="42"/>
      <c r="H550" s="42"/>
      <c r="I550" s="42"/>
      <c r="J550" s="22"/>
      <c r="K550" s="42"/>
    </row>
    <row r="551" ht="39.75" customHeight="1">
      <c r="A551" s="1">
        <v>550.0</v>
      </c>
      <c r="B551" s="2" t="s">
        <v>25</v>
      </c>
      <c r="C551" s="2" t="s">
        <v>69</v>
      </c>
      <c r="D551" s="13"/>
      <c r="E551" s="40">
        <v>0.8888888888888888</v>
      </c>
      <c r="F551" s="44" t="s">
        <v>4669</v>
      </c>
      <c r="G551" s="43">
        <v>1.0</v>
      </c>
      <c r="H551" s="42"/>
      <c r="I551" s="42"/>
      <c r="J551" s="22"/>
      <c r="K551" s="42"/>
    </row>
    <row r="552" ht="39.75" customHeight="1">
      <c r="A552" s="1">
        <v>551.0</v>
      </c>
      <c r="B552" s="2" t="s">
        <v>26</v>
      </c>
      <c r="C552" s="2" t="s">
        <v>69</v>
      </c>
      <c r="D552" s="13"/>
      <c r="E552" s="13"/>
      <c r="F552" s="44" t="s">
        <v>4670</v>
      </c>
      <c r="G552" s="43">
        <v>1.0</v>
      </c>
      <c r="H552" s="42"/>
      <c r="I552" s="42"/>
      <c r="J552" s="22"/>
      <c r="K552" s="42"/>
    </row>
    <row r="553" ht="68.25" customHeight="1">
      <c r="A553" s="1">
        <v>552.0</v>
      </c>
      <c r="B553" s="2" t="s">
        <v>29</v>
      </c>
      <c r="C553" s="2" t="s">
        <v>39</v>
      </c>
      <c r="D553" s="53">
        <v>0.25</v>
      </c>
      <c r="E553" s="13"/>
      <c r="F553" s="44" t="s">
        <v>4671</v>
      </c>
      <c r="G553" s="43">
        <v>2.0</v>
      </c>
      <c r="H553" s="42"/>
      <c r="I553" s="42"/>
      <c r="J553" s="22"/>
      <c r="K553" s="42"/>
    </row>
    <row r="554" ht="39.75" customHeight="1">
      <c r="A554" s="1">
        <v>553.0</v>
      </c>
      <c r="B554" s="2" t="s">
        <v>30</v>
      </c>
      <c r="C554" s="2" t="s">
        <v>64</v>
      </c>
      <c r="D554" s="13"/>
      <c r="E554" s="13"/>
      <c r="F554" s="44" t="s">
        <v>2592</v>
      </c>
      <c r="G554" s="43">
        <v>1.0</v>
      </c>
      <c r="H554" s="42"/>
      <c r="I554" s="43">
        <v>1.0</v>
      </c>
      <c r="J554" s="22"/>
      <c r="K554" s="42"/>
    </row>
    <row r="555" ht="39.75" customHeight="1">
      <c r="A555" s="1">
        <v>554.0</v>
      </c>
      <c r="B555" s="2" t="s">
        <v>31</v>
      </c>
      <c r="C555" s="13"/>
      <c r="D555" s="13"/>
      <c r="E555" s="13"/>
      <c r="F555" s="44" t="s">
        <v>4672</v>
      </c>
      <c r="G555" s="43">
        <v>2.0</v>
      </c>
      <c r="H555" s="42"/>
      <c r="I555" s="43">
        <v>1.0</v>
      </c>
      <c r="J555" s="22"/>
      <c r="K555" s="42"/>
    </row>
    <row r="556" ht="39.75" customHeight="1">
      <c r="A556" s="1">
        <v>555.0</v>
      </c>
      <c r="B556" s="2" t="s">
        <v>32</v>
      </c>
      <c r="C556" s="2" t="s">
        <v>69</v>
      </c>
      <c r="D556" s="13"/>
      <c r="E556" s="13"/>
      <c r="F556" s="44" t="s">
        <v>4673</v>
      </c>
      <c r="G556" s="43">
        <v>3.0</v>
      </c>
      <c r="H556" s="42"/>
      <c r="I556" s="43">
        <v>1.0</v>
      </c>
      <c r="J556" s="22"/>
      <c r="K556" s="42"/>
    </row>
    <row r="557" ht="39.75" customHeight="1">
      <c r="A557" s="1">
        <v>556.0</v>
      </c>
      <c r="B557" s="2" t="s">
        <v>67</v>
      </c>
      <c r="C557" s="2" t="s">
        <v>44</v>
      </c>
      <c r="D557" s="13"/>
      <c r="E557" s="55">
        <v>0.3611111111111111</v>
      </c>
      <c r="F557" s="52" t="s">
        <v>4674</v>
      </c>
      <c r="G557" s="43">
        <v>1.0</v>
      </c>
      <c r="H557" s="42"/>
      <c r="I557" s="42"/>
      <c r="J557" s="22"/>
      <c r="K557" s="42"/>
    </row>
    <row r="558" ht="39.75" customHeight="1">
      <c r="A558" s="1">
        <v>557.0</v>
      </c>
      <c r="B558" s="2" t="s">
        <v>35</v>
      </c>
      <c r="C558" s="2" t="s">
        <v>39</v>
      </c>
      <c r="D558" s="13"/>
      <c r="E558" s="13"/>
      <c r="F558" s="44" t="s">
        <v>4675</v>
      </c>
      <c r="G558" s="43">
        <v>2.0</v>
      </c>
      <c r="H558" s="42"/>
      <c r="I558" s="43">
        <v>1.0</v>
      </c>
      <c r="J558" s="22"/>
      <c r="K558" s="42"/>
    </row>
    <row r="559" ht="39.75" customHeight="1">
      <c r="A559" s="1">
        <v>558.0</v>
      </c>
      <c r="B559" s="2" t="s">
        <v>36</v>
      </c>
      <c r="C559" s="2" t="s">
        <v>54</v>
      </c>
      <c r="D559" s="13"/>
      <c r="E559" s="13"/>
      <c r="F559" s="44" t="s">
        <v>4676</v>
      </c>
      <c r="G559" s="43">
        <v>1.0</v>
      </c>
      <c r="H559" s="42"/>
      <c r="I559" s="42"/>
      <c r="J559" s="22"/>
      <c r="K559" s="42"/>
    </row>
    <row r="560" ht="39.75" customHeight="1">
      <c r="A560" s="1">
        <v>559.0</v>
      </c>
      <c r="B560" s="2" t="s">
        <v>38</v>
      </c>
      <c r="C560" s="2" t="s">
        <v>54</v>
      </c>
      <c r="D560" s="53">
        <v>0.3125</v>
      </c>
      <c r="E560" s="13"/>
      <c r="F560" s="44" t="s">
        <v>4677</v>
      </c>
      <c r="G560" s="43">
        <v>1.0</v>
      </c>
      <c r="H560" s="42"/>
      <c r="I560" s="42"/>
      <c r="J560" s="22"/>
      <c r="K560" s="42"/>
    </row>
    <row r="561" ht="39.75" hidden="1" customHeight="1">
      <c r="A561" s="1">
        <v>560.0</v>
      </c>
      <c r="B561" s="2" t="s">
        <v>41</v>
      </c>
      <c r="C561" s="2" t="s">
        <v>58</v>
      </c>
      <c r="D561" s="13"/>
      <c r="E561" s="13"/>
      <c r="F561" s="45"/>
      <c r="G561" s="42"/>
      <c r="H561" s="42"/>
      <c r="I561" s="42"/>
      <c r="J561" s="22"/>
      <c r="K561" s="42"/>
    </row>
    <row r="562" ht="39.75" hidden="1" customHeight="1">
      <c r="A562" s="1">
        <v>561.0</v>
      </c>
      <c r="B562" s="2" t="s">
        <v>42</v>
      </c>
      <c r="C562" s="2" t="s">
        <v>58</v>
      </c>
      <c r="D562" s="13"/>
      <c r="E562" s="13"/>
      <c r="F562" s="45"/>
      <c r="G562" s="42"/>
      <c r="H562" s="42"/>
      <c r="I562" s="42"/>
      <c r="J562" s="22"/>
      <c r="K562" s="42"/>
    </row>
    <row r="563" ht="39.75" hidden="1" customHeight="1">
      <c r="A563" s="1">
        <v>562.0</v>
      </c>
      <c r="B563" s="2" t="s">
        <v>43</v>
      </c>
      <c r="C563" s="2" t="s">
        <v>58</v>
      </c>
      <c r="D563" s="13"/>
      <c r="E563" s="13"/>
      <c r="F563" s="45"/>
      <c r="G563" s="42"/>
      <c r="H563" s="42"/>
      <c r="I563" s="42"/>
      <c r="J563" s="22"/>
      <c r="K563" s="42"/>
    </row>
    <row r="564" ht="39.75" customHeight="1">
      <c r="A564" s="1">
        <v>563.0</v>
      </c>
      <c r="B564" s="2" t="s">
        <v>45</v>
      </c>
      <c r="C564" s="2" t="s">
        <v>54</v>
      </c>
      <c r="D564" s="13"/>
      <c r="E564" s="13"/>
      <c r="F564" s="44" t="s">
        <v>4641</v>
      </c>
      <c r="G564" s="43">
        <v>1.0</v>
      </c>
      <c r="H564" s="43">
        <v>1.0</v>
      </c>
      <c r="I564" s="42"/>
      <c r="J564" s="22"/>
      <c r="K564" s="42"/>
    </row>
    <row r="565" ht="39.75" customHeight="1">
      <c r="A565" s="1">
        <v>564.0</v>
      </c>
      <c r="B565" s="2" t="s">
        <v>46</v>
      </c>
      <c r="C565" s="2"/>
      <c r="D565" s="53">
        <v>0.3541666666666667</v>
      </c>
      <c r="E565" s="13"/>
      <c r="F565" s="44" t="s">
        <v>4678</v>
      </c>
      <c r="G565" s="43">
        <v>1.0</v>
      </c>
      <c r="H565" s="42"/>
      <c r="I565" s="42"/>
      <c r="J565" s="22"/>
      <c r="K565" s="42"/>
    </row>
    <row r="566" ht="39.75" customHeight="1">
      <c r="A566" s="1">
        <v>565.0</v>
      </c>
      <c r="B566" s="2" t="s">
        <v>47</v>
      </c>
      <c r="C566" s="2" t="s">
        <v>27</v>
      </c>
      <c r="D566" s="13"/>
      <c r="E566" s="13"/>
      <c r="F566" s="45"/>
      <c r="G566" s="42"/>
      <c r="H566" s="42"/>
      <c r="I566" s="42"/>
      <c r="J566" s="22"/>
      <c r="K566" s="42"/>
    </row>
    <row r="567" ht="39.75" customHeight="1">
      <c r="A567" s="1">
        <v>566.0</v>
      </c>
      <c r="B567" s="2" t="s">
        <v>48</v>
      </c>
      <c r="C567" s="2"/>
      <c r="D567" s="13"/>
      <c r="E567" s="13"/>
      <c r="F567" s="44" t="s">
        <v>4679</v>
      </c>
      <c r="G567" s="43">
        <v>1.0</v>
      </c>
      <c r="H567" s="42"/>
      <c r="I567" s="42"/>
      <c r="J567" s="22"/>
      <c r="K567" s="42"/>
    </row>
    <row r="568" ht="39.75" customHeight="1">
      <c r="A568" s="1">
        <v>567.0</v>
      </c>
      <c r="B568" s="21"/>
      <c r="C568" s="21"/>
      <c r="D568" s="21"/>
      <c r="E568" s="21"/>
      <c r="F568" s="46"/>
      <c r="G568" s="47"/>
      <c r="H568" s="47"/>
      <c r="I568" s="47"/>
      <c r="J568" s="48"/>
      <c r="K568" s="47"/>
      <c r="L568" s="49"/>
      <c r="M568" s="49"/>
      <c r="N568" s="49"/>
    </row>
    <row r="569" ht="39.75" customHeight="1">
      <c r="A569" s="1">
        <v>568.0</v>
      </c>
      <c r="B569" s="2" t="s">
        <v>12</v>
      </c>
      <c r="C569" s="2" t="s">
        <v>62</v>
      </c>
      <c r="D569" s="13"/>
      <c r="E569" s="13"/>
      <c r="F569" s="45"/>
      <c r="G569" s="42"/>
      <c r="H569" s="42"/>
      <c r="I569" s="42"/>
      <c r="J569" s="27" t="s">
        <v>4481</v>
      </c>
      <c r="K569" s="42"/>
      <c r="L569" s="15" t="s">
        <v>369</v>
      </c>
    </row>
    <row r="570" ht="39.75" customHeight="1">
      <c r="A570" s="1">
        <v>569.0</v>
      </c>
      <c r="B570" s="2" t="s">
        <v>16</v>
      </c>
      <c r="C570" s="2"/>
      <c r="D570" s="53">
        <v>0.3263888888888889</v>
      </c>
      <c r="E570" s="13"/>
      <c r="F570" s="44" t="s">
        <v>4680</v>
      </c>
      <c r="G570" s="43">
        <v>2.0</v>
      </c>
      <c r="H570" s="42"/>
      <c r="I570" s="43">
        <v>2.0</v>
      </c>
      <c r="J570" s="27" t="s">
        <v>369</v>
      </c>
      <c r="K570" s="43"/>
    </row>
    <row r="571" ht="39.75" customHeight="1">
      <c r="A571" s="1">
        <v>570.0</v>
      </c>
      <c r="B571" s="2" t="s">
        <v>116</v>
      </c>
      <c r="C571" s="2" t="s">
        <v>54</v>
      </c>
      <c r="D571" s="13"/>
      <c r="E571" s="51">
        <v>0.9375</v>
      </c>
      <c r="F571" s="44" t="s">
        <v>4667</v>
      </c>
      <c r="G571" s="43">
        <v>1.0</v>
      </c>
      <c r="H571" s="43">
        <v>1.0</v>
      </c>
      <c r="I571" s="42"/>
      <c r="J571" s="27" t="s">
        <v>95</v>
      </c>
      <c r="K571" s="42"/>
    </row>
    <row r="572" ht="39.75" hidden="1" customHeight="1">
      <c r="A572" s="1">
        <v>571.0</v>
      </c>
      <c r="B572" s="2" t="s">
        <v>17</v>
      </c>
      <c r="C572" s="2" t="s">
        <v>66</v>
      </c>
      <c r="D572" s="13"/>
      <c r="E572" s="13"/>
      <c r="F572" s="44"/>
      <c r="G572" s="42"/>
      <c r="H572" s="42"/>
      <c r="I572" s="42"/>
      <c r="J572" s="22"/>
      <c r="K572" s="42"/>
    </row>
    <row r="573" ht="39.75" customHeight="1">
      <c r="A573" s="1">
        <v>572.0</v>
      </c>
      <c r="B573" s="2" t="s">
        <v>331</v>
      </c>
      <c r="C573" s="2" t="s">
        <v>542</v>
      </c>
      <c r="D573" s="13"/>
      <c r="E573" s="13"/>
      <c r="F573" s="45"/>
      <c r="G573" s="42"/>
      <c r="H573" s="42"/>
      <c r="I573" s="42"/>
      <c r="J573" s="22"/>
      <c r="K573" s="42"/>
    </row>
    <row r="574" ht="39.75" hidden="1" customHeight="1">
      <c r="A574" s="1">
        <v>573.0</v>
      </c>
      <c r="B574" s="2" t="s">
        <v>21</v>
      </c>
      <c r="C574" s="2" t="s">
        <v>58</v>
      </c>
      <c r="D574" s="13"/>
      <c r="E574" s="13"/>
      <c r="F574" s="45"/>
      <c r="G574" s="42"/>
      <c r="H574" s="42"/>
      <c r="I574" s="42"/>
      <c r="J574" s="22"/>
      <c r="K574" s="42"/>
    </row>
    <row r="575" ht="39.75" hidden="1" customHeight="1">
      <c r="A575" s="1">
        <v>574.0</v>
      </c>
      <c r="B575" s="2" t="s">
        <v>22</v>
      </c>
      <c r="C575" s="2" t="s">
        <v>58</v>
      </c>
      <c r="D575" s="13"/>
      <c r="E575" s="13"/>
      <c r="F575" s="45"/>
      <c r="G575" s="42"/>
      <c r="H575" s="42"/>
      <c r="I575" s="42"/>
      <c r="J575" s="22"/>
      <c r="K575" s="42"/>
    </row>
    <row r="576" ht="39.75" customHeight="1">
      <c r="A576" s="1">
        <v>575.0</v>
      </c>
      <c r="B576" s="2" t="s">
        <v>23</v>
      </c>
      <c r="C576" s="13"/>
      <c r="D576" s="13"/>
      <c r="E576" s="13"/>
      <c r="F576" s="44" t="s">
        <v>4681</v>
      </c>
      <c r="G576" s="43">
        <v>2.0</v>
      </c>
      <c r="H576" s="42"/>
      <c r="I576" s="42"/>
      <c r="J576" s="22"/>
      <c r="K576" s="42"/>
    </row>
    <row r="577" ht="39.75" customHeight="1">
      <c r="A577" s="1">
        <v>576.0</v>
      </c>
      <c r="B577" s="2" t="s">
        <v>24</v>
      </c>
      <c r="C577" s="2" t="s">
        <v>63</v>
      </c>
      <c r="D577" s="13"/>
      <c r="E577" s="13"/>
      <c r="F577" s="45"/>
      <c r="G577" s="42"/>
      <c r="H577" s="42"/>
      <c r="I577" s="42"/>
      <c r="J577" s="22"/>
      <c r="K577" s="42"/>
    </row>
    <row r="578" ht="39.75" customHeight="1">
      <c r="A578" s="1">
        <v>577.0</v>
      </c>
      <c r="B578" s="2" t="s">
        <v>25</v>
      </c>
      <c r="C578" s="2" t="s">
        <v>27</v>
      </c>
      <c r="D578" s="13"/>
      <c r="E578" s="13"/>
      <c r="F578" s="45"/>
      <c r="G578" s="42"/>
      <c r="H578" s="42"/>
      <c r="I578" s="42"/>
      <c r="J578" s="22"/>
      <c r="K578" s="42"/>
    </row>
    <row r="579" ht="39.75" customHeight="1">
      <c r="A579" s="1">
        <v>578.0</v>
      </c>
      <c r="B579" s="2" t="s">
        <v>26</v>
      </c>
      <c r="C579" s="2" t="s">
        <v>39</v>
      </c>
      <c r="D579" s="13"/>
      <c r="E579" s="13"/>
      <c r="F579" s="44" t="s">
        <v>2691</v>
      </c>
      <c r="G579" s="43">
        <v>1.0</v>
      </c>
      <c r="H579" s="42"/>
      <c r="I579" s="43">
        <v>1.0</v>
      </c>
      <c r="J579" s="22"/>
      <c r="K579" s="42"/>
    </row>
    <row r="580" ht="39.75" customHeight="1">
      <c r="A580" s="1">
        <v>579.0</v>
      </c>
      <c r="B580" s="2" t="s">
        <v>29</v>
      </c>
      <c r="C580" s="2"/>
      <c r="D580" s="13"/>
      <c r="E580" s="13"/>
      <c r="F580" s="44" t="s">
        <v>4682</v>
      </c>
      <c r="G580" s="43">
        <v>2.0</v>
      </c>
      <c r="H580" s="42"/>
      <c r="I580" s="43">
        <v>1.0</v>
      </c>
      <c r="J580" s="22"/>
      <c r="K580" s="42"/>
    </row>
    <row r="581" ht="39.75" customHeight="1">
      <c r="A581" s="1">
        <v>580.0</v>
      </c>
      <c r="B581" s="2" t="s">
        <v>30</v>
      </c>
      <c r="C581" s="2" t="s">
        <v>64</v>
      </c>
      <c r="D581" s="13"/>
      <c r="E581" s="13"/>
      <c r="F581" s="44" t="s">
        <v>2592</v>
      </c>
      <c r="G581" s="43">
        <v>1.0</v>
      </c>
      <c r="H581" s="42"/>
      <c r="I581" s="43">
        <v>1.0</v>
      </c>
      <c r="J581" s="22"/>
      <c r="K581" s="42"/>
    </row>
    <row r="582" ht="39.75" hidden="1" customHeight="1">
      <c r="A582" s="1">
        <v>581.0</v>
      </c>
      <c r="B582" s="2" t="s">
        <v>31</v>
      </c>
      <c r="C582" s="2" t="s">
        <v>58</v>
      </c>
      <c r="D582" s="13"/>
      <c r="E582" s="13"/>
      <c r="F582" s="45"/>
      <c r="G582" s="42"/>
      <c r="H582" s="42"/>
      <c r="I582" s="42"/>
      <c r="J582" s="22"/>
      <c r="K582" s="42"/>
    </row>
    <row r="583" ht="39.75" customHeight="1">
      <c r="A583" s="1">
        <v>582.0</v>
      </c>
      <c r="B583" s="2" t="s">
        <v>32</v>
      </c>
      <c r="C583" s="2" t="s">
        <v>69</v>
      </c>
      <c r="D583" s="13"/>
      <c r="E583" s="13"/>
      <c r="F583" s="44" t="s">
        <v>4683</v>
      </c>
      <c r="G583" s="43">
        <v>1.0</v>
      </c>
      <c r="H583" s="42"/>
      <c r="I583" s="42"/>
      <c r="J583" s="22"/>
      <c r="K583" s="42"/>
    </row>
    <row r="584" ht="39.75" customHeight="1">
      <c r="A584" s="1">
        <v>583.0</v>
      </c>
      <c r="B584" s="2" t="s">
        <v>67</v>
      </c>
      <c r="C584" s="2" t="s">
        <v>39</v>
      </c>
      <c r="D584" s="13"/>
      <c r="E584" s="51">
        <v>0.7291666666666666</v>
      </c>
      <c r="F584" s="44" t="s">
        <v>4684</v>
      </c>
      <c r="G584" s="43">
        <v>1.0</v>
      </c>
      <c r="H584" s="42"/>
      <c r="I584" s="43">
        <v>1.0</v>
      </c>
      <c r="J584" s="22"/>
      <c r="K584" s="42"/>
    </row>
    <row r="585" ht="39.75" customHeight="1">
      <c r="A585" s="1">
        <v>584.0</v>
      </c>
      <c r="B585" s="2" t="s">
        <v>35</v>
      </c>
      <c r="C585" s="2" t="s">
        <v>54</v>
      </c>
      <c r="D585" s="13"/>
      <c r="E585" s="13"/>
      <c r="F585" s="44" t="s">
        <v>4685</v>
      </c>
      <c r="G585" s="43">
        <v>1.0</v>
      </c>
      <c r="H585" s="42"/>
      <c r="I585" s="42"/>
      <c r="J585" s="22"/>
      <c r="K585" s="42"/>
    </row>
    <row r="586" ht="39.75" customHeight="1">
      <c r="A586" s="1">
        <v>585.0</v>
      </c>
      <c r="B586" s="2" t="s">
        <v>36</v>
      </c>
      <c r="C586" s="2" t="s">
        <v>54</v>
      </c>
      <c r="D586" s="13"/>
      <c r="E586" s="13"/>
      <c r="F586" s="44" t="s">
        <v>4686</v>
      </c>
      <c r="G586" s="43">
        <v>1.0</v>
      </c>
      <c r="H586" s="43">
        <v>1.0</v>
      </c>
      <c r="I586" s="42"/>
      <c r="J586" s="22"/>
      <c r="K586" s="42"/>
    </row>
    <row r="587" ht="39.75" customHeight="1">
      <c r="A587" s="1">
        <v>586.0</v>
      </c>
      <c r="B587" s="2" t="s">
        <v>38</v>
      </c>
      <c r="C587" s="2" t="s">
        <v>69</v>
      </c>
      <c r="D587" s="13"/>
      <c r="E587" s="13"/>
      <c r="F587" s="44" t="s">
        <v>4687</v>
      </c>
      <c r="G587" s="43">
        <v>2.0</v>
      </c>
      <c r="H587" s="42"/>
      <c r="I587" s="43">
        <v>1.0</v>
      </c>
      <c r="J587" s="22"/>
      <c r="K587" s="42"/>
    </row>
    <row r="588" ht="39.75" hidden="1" customHeight="1">
      <c r="A588" s="1">
        <v>587.0</v>
      </c>
      <c r="B588" s="2" t="s">
        <v>41</v>
      </c>
      <c r="C588" s="2" t="s">
        <v>58</v>
      </c>
      <c r="D588" s="13"/>
      <c r="E588" s="13"/>
      <c r="F588" s="45"/>
      <c r="G588" s="42"/>
      <c r="H588" s="42"/>
      <c r="I588" s="42"/>
      <c r="J588" s="22"/>
      <c r="K588" s="42"/>
    </row>
    <row r="589" ht="39.75" hidden="1" customHeight="1">
      <c r="A589" s="1">
        <v>588.0</v>
      </c>
      <c r="B589" s="2" t="s">
        <v>42</v>
      </c>
      <c r="C589" s="2" t="s">
        <v>58</v>
      </c>
      <c r="D589" s="13"/>
      <c r="E589" s="13"/>
      <c r="F589" s="45"/>
      <c r="G589" s="42"/>
      <c r="H589" s="42"/>
      <c r="I589" s="42"/>
      <c r="J589" s="22"/>
      <c r="K589" s="42"/>
    </row>
    <row r="590" ht="39.75" hidden="1" customHeight="1">
      <c r="A590" s="1">
        <v>589.0</v>
      </c>
      <c r="B590" s="2" t="s">
        <v>43</v>
      </c>
      <c r="C590" s="2" t="s">
        <v>58</v>
      </c>
      <c r="D590" s="13"/>
      <c r="E590" s="13"/>
      <c r="F590" s="45"/>
      <c r="G590" s="42"/>
      <c r="H590" s="42"/>
      <c r="I590" s="42"/>
      <c r="J590" s="22"/>
      <c r="K590" s="42"/>
    </row>
    <row r="591" ht="39.75" customHeight="1">
      <c r="A591" s="1">
        <v>590.0</v>
      </c>
      <c r="B591" s="2" t="s">
        <v>45</v>
      </c>
      <c r="C591" s="2" t="s">
        <v>54</v>
      </c>
      <c r="D591" s="13"/>
      <c r="E591" s="13"/>
      <c r="F591" s="44" t="s">
        <v>4641</v>
      </c>
      <c r="G591" s="43">
        <v>1.0</v>
      </c>
      <c r="H591" s="43">
        <v>1.0</v>
      </c>
      <c r="I591" s="42"/>
      <c r="J591" s="22"/>
      <c r="K591" s="42"/>
    </row>
    <row r="592" ht="39.75" customHeight="1">
      <c r="A592" s="1">
        <v>591.0</v>
      </c>
      <c r="B592" s="2" t="s">
        <v>46</v>
      </c>
      <c r="C592" s="2" t="s">
        <v>69</v>
      </c>
      <c r="D592" s="13"/>
      <c r="E592" s="13"/>
      <c r="F592" s="44" t="s">
        <v>4688</v>
      </c>
      <c r="G592" s="43">
        <v>1.0</v>
      </c>
      <c r="H592" s="42"/>
      <c r="I592" s="43">
        <v>1.0</v>
      </c>
      <c r="J592" s="22"/>
      <c r="K592" s="42"/>
    </row>
    <row r="593" ht="39.75" customHeight="1">
      <c r="A593" s="1">
        <v>592.0</v>
      </c>
      <c r="B593" s="2" t="s">
        <v>47</v>
      </c>
      <c r="C593" s="2" t="s">
        <v>44</v>
      </c>
      <c r="D593" s="13"/>
      <c r="E593" s="55">
        <v>0.3333333333333333</v>
      </c>
      <c r="F593" s="52" t="s">
        <v>4689</v>
      </c>
      <c r="G593" s="56">
        <v>1.0</v>
      </c>
      <c r="H593" s="42"/>
      <c r="I593" s="56">
        <v>1.0</v>
      </c>
      <c r="J593" s="22"/>
      <c r="K593" s="42"/>
    </row>
    <row r="594" ht="39.75" customHeight="1">
      <c r="A594" s="1">
        <v>593.0</v>
      </c>
      <c r="B594" s="2" t="s">
        <v>48</v>
      </c>
      <c r="C594" s="2"/>
      <c r="D594" s="13"/>
      <c r="E594" s="13"/>
      <c r="F594" s="44" t="s">
        <v>4690</v>
      </c>
      <c r="G594" s="43">
        <v>2.0</v>
      </c>
      <c r="H594" s="42"/>
      <c r="I594" s="43">
        <v>1.0</v>
      </c>
      <c r="J594" s="22"/>
      <c r="K594" s="42"/>
    </row>
    <row r="595" ht="39.75" customHeight="1">
      <c r="A595" s="1">
        <v>594.0</v>
      </c>
      <c r="B595" s="21"/>
      <c r="C595" s="21"/>
      <c r="D595" s="21"/>
      <c r="E595" s="21"/>
      <c r="F595" s="46"/>
      <c r="G595" s="47"/>
      <c r="H595" s="47"/>
      <c r="I595" s="47"/>
      <c r="J595" s="48"/>
      <c r="K595" s="47"/>
      <c r="L595" s="49"/>
      <c r="M595" s="49"/>
      <c r="N595" s="49"/>
    </row>
    <row r="596" ht="39.75" customHeight="1">
      <c r="A596" s="1">
        <v>595.0</v>
      </c>
      <c r="B596" s="2" t="s">
        <v>12</v>
      </c>
      <c r="C596" s="2" t="s">
        <v>62</v>
      </c>
      <c r="D596" s="13"/>
      <c r="E596" s="13"/>
      <c r="F596" s="44" t="s">
        <v>4691</v>
      </c>
      <c r="G596" s="43">
        <v>1.0</v>
      </c>
      <c r="H596" s="42"/>
      <c r="I596" s="43">
        <v>1.0</v>
      </c>
      <c r="J596" s="27" t="s">
        <v>4481</v>
      </c>
      <c r="K596" s="42"/>
      <c r="L596" s="15" t="s">
        <v>376</v>
      </c>
    </row>
    <row r="597" ht="39.75" hidden="1" customHeight="1">
      <c r="A597" s="1">
        <v>596.0</v>
      </c>
      <c r="B597" s="2" t="s">
        <v>16</v>
      </c>
      <c r="C597" s="2" t="s">
        <v>66</v>
      </c>
      <c r="D597" s="13"/>
      <c r="E597" s="13"/>
      <c r="F597" s="45"/>
      <c r="G597" s="42"/>
      <c r="H597" s="42"/>
      <c r="I597" s="42"/>
      <c r="J597" s="27" t="s">
        <v>376</v>
      </c>
      <c r="K597" s="43"/>
    </row>
    <row r="598" ht="39.75" customHeight="1">
      <c r="A598" s="1">
        <v>597.0</v>
      </c>
      <c r="B598" s="2" t="s">
        <v>116</v>
      </c>
      <c r="C598" s="2" t="s">
        <v>54</v>
      </c>
      <c r="D598" s="13"/>
      <c r="E598" s="13"/>
      <c r="F598" s="44" t="s">
        <v>4692</v>
      </c>
      <c r="G598" s="43">
        <v>2.0</v>
      </c>
      <c r="H598" s="42"/>
      <c r="I598" s="43">
        <v>1.0</v>
      </c>
      <c r="J598" s="27" t="s">
        <v>111</v>
      </c>
      <c r="K598" s="42"/>
    </row>
    <row r="599" ht="61.5" customHeight="1">
      <c r="A599" s="1">
        <v>598.0</v>
      </c>
      <c r="B599" s="2" t="s">
        <v>17</v>
      </c>
      <c r="C599" s="2" t="s">
        <v>27</v>
      </c>
      <c r="D599" s="13"/>
      <c r="E599" s="13"/>
      <c r="F599" s="44" t="s">
        <v>4693</v>
      </c>
      <c r="G599" s="43">
        <v>3.0</v>
      </c>
      <c r="H599" s="42"/>
      <c r="I599" s="43">
        <v>2.0</v>
      </c>
      <c r="J599" s="22"/>
      <c r="K599" s="42"/>
    </row>
    <row r="600" ht="39.75" customHeight="1">
      <c r="A600" s="1">
        <v>599.0</v>
      </c>
      <c r="B600" s="2" t="s">
        <v>331</v>
      </c>
      <c r="C600" s="2" t="s">
        <v>542</v>
      </c>
      <c r="D600" s="13"/>
      <c r="E600" s="13"/>
      <c r="F600" s="44" t="s">
        <v>4694</v>
      </c>
      <c r="G600" s="43">
        <v>1.0</v>
      </c>
      <c r="H600" s="42"/>
      <c r="I600" s="42"/>
      <c r="J600" s="22"/>
      <c r="K600" s="42"/>
    </row>
    <row r="601" ht="39.75" hidden="1" customHeight="1">
      <c r="A601" s="1">
        <v>600.0</v>
      </c>
      <c r="B601" s="2" t="s">
        <v>21</v>
      </c>
      <c r="C601" s="2" t="s">
        <v>66</v>
      </c>
      <c r="D601" s="13"/>
      <c r="E601" s="13"/>
      <c r="F601" s="45"/>
      <c r="G601" s="42"/>
      <c r="H601" s="42"/>
      <c r="I601" s="42"/>
      <c r="J601" s="22"/>
      <c r="K601" s="42"/>
    </row>
    <row r="602" ht="39.75" hidden="1" customHeight="1">
      <c r="A602" s="1">
        <v>601.0</v>
      </c>
      <c r="B602" s="2" t="s">
        <v>22</v>
      </c>
      <c r="C602" s="2" t="s">
        <v>58</v>
      </c>
      <c r="D602" s="13"/>
      <c r="E602" s="13"/>
      <c r="F602" s="45"/>
      <c r="G602" s="42"/>
      <c r="H602" s="42"/>
      <c r="I602" s="42"/>
      <c r="J602" s="22"/>
      <c r="K602" s="42"/>
    </row>
    <row r="603" ht="39.75" customHeight="1">
      <c r="A603" s="1">
        <v>602.0</v>
      </c>
      <c r="B603" s="2" t="s">
        <v>23</v>
      </c>
      <c r="C603" s="2" t="s">
        <v>39</v>
      </c>
      <c r="D603" s="13"/>
      <c r="E603" s="13"/>
      <c r="F603" s="44" t="s">
        <v>4695</v>
      </c>
      <c r="G603" s="43">
        <v>1.0</v>
      </c>
      <c r="H603" s="42"/>
      <c r="I603" s="43">
        <v>1.0</v>
      </c>
      <c r="J603" s="22"/>
      <c r="K603" s="42"/>
    </row>
    <row r="604" ht="39.75" customHeight="1">
      <c r="A604" s="1">
        <v>603.0</v>
      </c>
      <c r="B604" s="2" t="s">
        <v>24</v>
      </c>
      <c r="C604" s="2" t="s">
        <v>63</v>
      </c>
      <c r="D604" s="13"/>
      <c r="E604" s="13"/>
      <c r="F604" s="45"/>
      <c r="G604" s="42"/>
      <c r="H604" s="42"/>
      <c r="I604" s="42"/>
      <c r="J604" s="22"/>
      <c r="K604" s="42"/>
    </row>
    <row r="605" ht="39.75" customHeight="1">
      <c r="A605" s="1">
        <v>604.0</v>
      </c>
      <c r="B605" s="2" t="s">
        <v>25</v>
      </c>
      <c r="C605" s="2" t="s">
        <v>44</v>
      </c>
      <c r="D605" s="13"/>
      <c r="E605" s="13"/>
      <c r="F605" s="45"/>
      <c r="G605" s="42"/>
      <c r="H605" s="42"/>
      <c r="I605" s="42"/>
      <c r="J605" s="22"/>
      <c r="K605" s="42"/>
    </row>
    <row r="606" ht="60.0" customHeight="1">
      <c r="A606" s="1">
        <v>605.0</v>
      </c>
      <c r="B606" s="2" t="s">
        <v>26</v>
      </c>
      <c r="C606" s="2" t="s">
        <v>69</v>
      </c>
      <c r="D606" s="13"/>
      <c r="E606" s="13"/>
      <c r="F606" s="44" t="s">
        <v>4696</v>
      </c>
      <c r="G606" s="43">
        <v>3.0</v>
      </c>
      <c r="H606" s="42"/>
      <c r="I606" s="43">
        <v>2.0</v>
      </c>
      <c r="J606" s="22"/>
      <c r="K606" s="42"/>
    </row>
    <row r="607" ht="39.75" hidden="1" customHeight="1">
      <c r="A607" s="1">
        <v>606.0</v>
      </c>
      <c r="B607" s="2" t="s">
        <v>29</v>
      </c>
      <c r="C607" s="2" t="s">
        <v>58</v>
      </c>
      <c r="D607" s="13"/>
      <c r="E607" s="13"/>
      <c r="F607" s="45"/>
      <c r="G607" s="42"/>
      <c r="H607" s="42"/>
      <c r="I607" s="42"/>
      <c r="J607" s="22"/>
      <c r="K607" s="42"/>
    </row>
    <row r="608" ht="39.75" customHeight="1">
      <c r="A608" s="1">
        <v>607.0</v>
      </c>
      <c r="B608" s="2" t="s">
        <v>30</v>
      </c>
      <c r="C608" s="2" t="s">
        <v>64</v>
      </c>
      <c r="D608" s="13"/>
      <c r="E608" s="13"/>
      <c r="F608" s="44" t="s">
        <v>2592</v>
      </c>
      <c r="G608" s="43">
        <v>1.0</v>
      </c>
      <c r="H608" s="42"/>
      <c r="I608" s="43">
        <v>1.0</v>
      </c>
      <c r="J608" s="22"/>
      <c r="K608" s="42"/>
    </row>
    <row r="609" ht="39.75" customHeight="1">
      <c r="A609" s="1">
        <v>608.0</v>
      </c>
      <c r="B609" s="2" t="s">
        <v>31</v>
      </c>
      <c r="C609" s="2" t="s">
        <v>69</v>
      </c>
      <c r="D609" s="53">
        <v>0.375</v>
      </c>
      <c r="E609" s="13"/>
      <c r="F609" s="44" t="s">
        <v>4697</v>
      </c>
      <c r="G609" s="43">
        <v>2.0</v>
      </c>
      <c r="H609" s="42"/>
      <c r="I609" s="42"/>
      <c r="J609" s="22"/>
      <c r="K609" s="42"/>
    </row>
    <row r="610" ht="39.75" customHeight="1">
      <c r="A610" s="1">
        <v>609.0</v>
      </c>
      <c r="B610" s="2" t="s">
        <v>32</v>
      </c>
      <c r="C610" s="2"/>
      <c r="D610" s="13"/>
      <c r="E610" s="13"/>
      <c r="F610" s="44" t="s">
        <v>4698</v>
      </c>
      <c r="G610" s="43">
        <v>3.0</v>
      </c>
      <c r="H610" s="42"/>
      <c r="I610" s="43">
        <v>1.0</v>
      </c>
      <c r="J610" s="22"/>
      <c r="K610" s="42"/>
    </row>
    <row r="611" ht="39.75" hidden="1" customHeight="1">
      <c r="A611" s="1">
        <v>610.0</v>
      </c>
      <c r="B611" s="2" t="s">
        <v>67</v>
      </c>
      <c r="C611" s="2" t="s">
        <v>58</v>
      </c>
      <c r="D611" s="13"/>
      <c r="E611" s="13"/>
      <c r="F611" s="44"/>
      <c r="G611" s="42"/>
      <c r="H611" s="42"/>
      <c r="I611" s="42"/>
      <c r="J611" s="22"/>
      <c r="K611" s="42"/>
    </row>
    <row r="612" ht="39.75" customHeight="1">
      <c r="A612" s="1">
        <v>611.0</v>
      </c>
      <c r="B612" s="2" t="s">
        <v>35</v>
      </c>
      <c r="C612" s="2" t="s">
        <v>54</v>
      </c>
      <c r="D612" s="53">
        <v>0.3229166666666667</v>
      </c>
      <c r="E612" s="51">
        <v>0.75</v>
      </c>
      <c r="F612" s="44" t="s">
        <v>2755</v>
      </c>
      <c r="G612" s="43">
        <v>1.0</v>
      </c>
      <c r="H612" s="42"/>
      <c r="I612" s="43">
        <v>1.0</v>
      </c>
      <c r="J612" s="22"/>
      <c r="K612" s="42"/>
    </row>
    <row r="613" ht="39.75" customHeight="1">
      <c r="A613" s="1">
        <v>612.0</v>
      </c>
      <c r="B613" s="2" t="s">
        <v>36</v>
      </c>
      <c r="C613" s="2" t="s">
        <v>54</v>
      </c>
      <c r="D613" s="13"/>
      <c r="E613" s="13"/>
      <c r="F613" s="44" t="s">
        <v>4699</v>
      </c>
      <c r="G613" s="43">
        <v>1.0</v>
      </c>
      <c r="H613" s="43">
        <v>1.0</v>
      </c>
      <c r="I613" s="42"/>
      <c r="J613" s="22"/>
      <c r="K613" s="42"/>
    </row>
    <row r="614" ht="39.75" customHeight="1">
      <c r="A614" s="1">
        <v>613.0</v>
      </c>
      <c r="B614" s="2" t="s">
        <v>38</v>
      </c>
      <c r="C614" s="2" t="s">
        <v>39</v>
      </c>
      <c r="D614" s="13"/>
      <c r="E614" s="13"/>
      <c r="F614" s="44" t="s">
        <v>4700</v>
      </c>
      <c r="G614" s="43">
        <v>2.0</v>
      </c>
      <c r="H614" s="42"/>
      <c r="I614" s="42"/>
      <c r="J614" s="22"/>
      <c r="K614" s="42"/>
    </row>
    <row r="615" ht="39.75" hidden="1" customHeight="1">
      <c r="A615" s="1">
        <v>614.0</v>
      </c>
      <c r="B615" s="2" t="s">
        <v>41</v>
      </c>
      <c r="C615" s="2" t="s">
        <v>58</v>
      </c>
      <c r="D615" s="13"/>
      <c r="E615" s="13"/>
      <c r="F615" s="45"/>
      <c r="G615" s="42"/>
      <c r="H615" s="42"/>
      <c r="I615" s="42"/>
      <c r="J615" s="22"/>
      <c r="K615" s="42"/>
    </row>
    <row r="616" ht="39.75" hidden="1" customHeight="1">
      <c r="A616" s="1">
        <v>615.0</v>
      </c>
      <c r="B616" s="2" t="s">
        <v>42</v>
      </c>
      <c r="C616" s="2" t="s">
        <v>58</v>
      </c>
      <c r="D616" s="13"/>
      <c r="E616" s="13"/>
      <c r="F616" s="45"/>
      <c r="G616" s="42"/>
      <c r="H616" s="42"/>
      <c r="I616" s="42"/>
      <c r="J616" s="22"/>
      <c r="K616" s="42"/>
    </row>
    <row r="617" ht="39.75" hidden="1" customHeight="1">
      <c r="A617" s="1">
        <v>616.0</v>
      </c>
      <c r="B617" s="2" t="s">
        <v>43</v>
      </c>
      <c r="C617" s="2" t="s">
        <v>58</v>
      </c>
      <c r="D617" s="13"/>
      <c r="E617" s="13"/>
      <c r="F617" s="45"/>
      <c r="G617" s="42"/>
      <c r="H617" s="42"/>
      <c r="I617" s="42"/>
      <c r="J617" s="22"/>
      <c r="K617" s="42"/>
    </row>
    <row r="618" ht="39.75" customHeight="1">
      <c r="A618" s="1">
        <v>617.0</v>
      </c>
      <c r="B618" s="2" t="s">
        <v>45</v>
      </c>
      <c r="C618" s="2" t="s">
        <v>54</v>
      </c>
      <c r="D618" s="13"/>
      <c r="E618" s="13"/>
      <c r="F618" s="44" t="s">
        <v>4641</v>
      </c>
      <c r="G618" s="43">
        <v>1.0</v>
      </c>
      <c r="H618" s="43">
        <v>1.0</v>
      </c>
      <c r="I618" s="42"/>
      <c r="J618" s="22"/>
      <c r="K618" s="42"/>
    </row>
    <row r="619" ht="39.75" hidden="1" customHeight="1">
      <c r="A619" s="1">
        <v>618.0</v>
      </c>
      <c r="B619" s="2" t="s">
        <v>46</v>
      </c>
      <c r="C619" s="2" t="s">
        <v>58</v>
      </c>
      <c r="D619" s="13"/>
      <c r="E619" s="13"/>
      <c r="F619" s="45"/>
      <c r="G619" s="42"/>
      <c r="H619" s="42"/>
      <c r="I619" s="42"/>
      <c r="J619" s="22"/>
      <c r="K619" s="42"/>
    </row>
    <row r="620" ht="39.75" customHeight="1">
      <c r="A620" s="1">
        <v>619.0</v>
      </c>
      <c r="B620" s="2" t="s">
        <v>47</v>
      </c>
      <c r="C620" s="2" t="s">
        <v>69</v>
      </c>
      <c r="D620" s="13"/>
      <c r="E620" s="13"/>
      <c r="F620" s="44" t="s">
        <v>4701</v>
      </c>
      <c r="G620" s="43">
        <v>2.0</v>
      </c>
      <c r="H620" s="42"/>
      <c r="I620" s="42"/>
      <c r="J620" s="22"/>
      <c r="K620" s="42"/>
    </row>
    <row r="621" ht="39.75" customHeight="1">
      <c r="A621" s="1">
        <v>620.0</v>
      </c>
      <c r="B621" s="2" t="s">
        <v>48</v>
      </c>
      <c r="C621" s="2"/>
      <c r="D621" s="53">
        <v>0.3333333333333333</v>
      </c>
      <c r="E621" s="13"/>
      <c r="F621" s="44" t="s">
        <v>4702</v>
      </c>
      <c r="G621" s="43">
        <v>4.0</v>
      </c>
      <c r="H621" s="42"/>
      <c r="I621" s="43">
        <v>3.0</v>
      </c>
      <c r="J621" s="22"/>
      <c r="K621" s="42"/>
    </row>
    <row r="622" ht="39.75" customHeight="1">
      <c r="A622" s="1">
        <v>621.0</v>
      </c>
      <c r="B622" s="21"/>
      <c r="C622" s="21"/>
      <c r="D622" s="21"/>
      <c r="E622" s="21"/>
      <c r="F622" s="46"/>
      <c r="G622" s="47"/>
      <c r="H622" s="47"/>
      <c r="I622" s="47"/>
      <c r="J622" s="48"/>
      <c r="K622" s="47"/>
      <c r="L622" s="49"/>
      <c r="M622" s="49"/>
      <c r="N622" s="49"/>
    </row>
    <row r="623" ht="39.75" customHeight="1">
      <c r="A623" s="1">
        <v>622.0</v>
      </c>
      <c r="B623" s="2" t="s">
        <v>12</v>
      </c>
      <c r="C623" s="2" t="s">
        <v>62</v>
      </c>
      <c r="D623" s="13"/>
      <c r="E623" s="13"/>
      <c r="F623" s="44" t="s">
        <v>4691</v>
      </c>
      <c r="G623" s="43">
        <v>1.0</v>
      </c>
      <c r="H623" s="42"/>
      <c r="I623" s="43">
        <v>1.0</v>
      </c>
      <c r="J623" s="27" t="s">
        <v>4481</v>
      </c>
      <c r="K623" s="42"/>
      <c r="L623" s="15" t="s">
        <v>389</v>
      </c>
    </row>
    <row r="624" ht="39.75" customHeight="1">
      <c r="A624" s="1">
        <v>623.0</v>
      </c>
      <c r="B624" s="2" t="s">
        <v>16</v>
      </c>
      <c r="C624" s="2" t="s">
        <v>39</v>
      </c>
      <c r="D624" s="13"/>
      <c r="E624" s="13"/>
      <c r="F624" s="44" t="s">
        <v>2691</v>
      </c>
      <c r="G624" s="43">
        <v>1.0</v>
      </c>
      <c r="H624" s="42"/>
      <c r="I624" s="43">
        <v>1.0</v>
      </c>
      <c r="J624" s="27" t="s">
        <v>389</v>
      </c>
      <c r="K624" s="43"/>
    </row>
    <row r="625" ht="39.75" customHeight="1">
      <c r="A625" s="1">
        <v>624.0</v>
      </c>
      <c r="B625" s="2" t="s">
        <v>116</v>
      </c>
      <c r="C625" s="2" t="s">
        <v>54</v>
      </c>
      <c r="D625" s="13"/>
      <c r="E625" s="13"/>
      <c r="F625" s="44" t="s">
        <v>4703</v>
      </c>
      <c r="G625" s="43">
        <v>1.0</v>
      </c>
      <c r="H625" s="42"/>
      <c r="I625" s="42"/>
      <c r="J625" s="27" t="s">
        <v>131</v>
      </c>
      <c r="K625" s="42"/>
    </row>
    <row r="626" ht="39.75" customHeight="1">
      <c r="A626" s="1">
        <v>625.0</v>
      </c>
      <c r="B626" s="2" t="s">
        <v>17</v>
      </c>
      <c r="C626" s="2" t="s">
        <v>44</v>
      </c>
      <c r="D626" s="13"/>
      <c r="E626" s="13"/>
      <c r="F626" s="44"/>
      <c r="G626" s="42"/>
      <c r="H626" s="42"/>
      <c r="I626" s="42"/>
      <c r="J626" s="22"/>
      <c r="K626" s="42"/>
    </row>
    <row r="627" ht="39.75" customHeight="1">
      <c r="A627" s="1">
        <v>626.0</v>
      </c>
      <c r="B627" s="2" t="s">
        <v>331</v>
      </c>
      <c r="C627" s="2" t="s">
        <v>542</v>
      </c>
      <c r="D627" s="13"/>
      <c r="E627" s="13"/>
      <c r="F627" s="44" t="s">
        <v>4704</v>
      </c>
      <c r="G627" s="43">
        <v>1.0</v>
      </c>
      <c r="H627" s="42"/>
      <c r="I627" s="43">
        <v>1.0</v>
      </c>
      <c r="J627" s="22"/>
      <c r="K627" s="42"/>
    </row>
    <row r="628" ht="39.75" customHeight="1">
      <c r="A628" s="1">
        <v>627.0</v>
      </c>
      <c r="B628" s="2" t="s">
        <v>21</v>
      </c>
      <c r="C628" s="2"/>
      <c r="D628" s="13"/>
      <c r="E628" s="13"/>
      <c r="F628" s="44" t="s">
        <v>4705</v>
      </c>
      <c r="G628" s="43">
        <v>1.0</v>
      </c>
      <c r="H628" s="42"/>
      <c r="I628" s="42"/>
      <c r="J628" s="22"/>
      <c r="K628" s="42"/>
    </row>
    <row r="629" ht="39.75" customHeight="1">
      <c r="A629" s="1">
        <v>628.0</v>
      </c>
      <c r="B629" s="2" t="s">
        <v>22</v>
      </c>
      <c r="C629" s="2"/>
      <c r="D629" s="13"/>
      <c r="E629" s="13"/>
      <c r="F629" s="45"/>
      <c r="G629" s="42"/>
      <c r="H629" s="42"/>
      <c r="I629" s="42"/>
      <c r="J629" s="22"/>
      <c r="K629" s="42"/>
    </row>
    <row r="630" ht="39.75" customHeight="1">
      <c r="A630" s="1">
        <v>629.0</v>
      </c>
      <c r="B630" s="2" t="s">
        <v>23</v>
      </c>
      <c r="C630" s="2" t="s">
        <v>69</v>
      </c>
      <c r="D630" s="13"/>
      <c r="E630" s="13"/>
      <c r="F630" s="44" t="s">
        <v>4706</v>
      </c>
      <c r="G630" s="43">
        <v>1.0</v>
      </c>
      <c r="H630" s="42"/>
      <c r="I630" s="42"/>
      <c r="J630" s="22"/>
      <c r="K630" s="42"/>
    </row>
    <row r="631" ht="39.75" customHeight="1">
      <c r="A631" s="1">
        <v>630.0</v>
      </c>
      <c r="B631" s="2" t="s">
        <v>24</v>
      </c>
      <c r="C631" s="2" t="s">
        <v>63</v>
      </c>
      <c r="D631" s="13"/>
      <c r="E631" s="13"/>
      <c r="F631" s="45"/>
      <c r="G631" s="42"/>
      <c r="H631" s="42"/>
      <c r="I631" s="42"/>
      <c r="J631" s="22"/>
      <c r="K631" s="42"/>
    </row>
    <row r="632" ht="39.75" customHeight="1">
      <c r="A632" s="1">
        <v>631.0</v>
      </c>
      <c r="B632" s="2" t="s">
        <v>25</v>
      </c>
      <c r="C632" s="2" t="s">
        <v>27</v>
      </c>
      <c r="D632" s="13"/>
      <c r="E632" s="13"/>
      <c r="F632" s="44" t="s">
        <v>4707</v>
      </c>
      <c r="G632" s="43">
        <v>1.0</v>
      </c>
      <c r="H632" s="42"/>
      <c r="I632" s="42"/>
      <c r="J632" s="22"/>
      <c r="K632" s="42"/>
    </row>
    <row r="633" ht="39.75" hidden="1" customHeight="1">
      <c r="A633" s="1">
        <v>632.0</v>
      </c>
      <c r="B633" s="2" t="s">
        <v>26</v>
      </c>
      <c r="C633" s="2" t="s">
        <v>66</v>
      </c>
      <c r="D633" s="13"/>
      <c r="E633" s="13"/>
      <c r="F633" s="45"/>
      <c r="G633" s="42"/>
      <c r="H633" s="42"/>
      <c r="I633" s="42"/>
      <c r="J633" s="22"/>
      <c r="K633" s="42"/>
    </row>
    <row r="634" ht="39.75" hidden="1" customHeight="1">
      <c r="A634" s="1">
        <v>633.0</v>
      </c>
      <c r="B634" s="2" t="s">
        <v>29</v>
      </c>
      <c r="C634" s="2" t="s">
        <v>58</v>
      </c>
      <c r="D634" s="13"/>
      <c r="E634" s="13"/>
      <c r="F634" s="45"/>
      <c r="G634" s="42"/>
      <c r="H634" s="42"/>
      <c r="I634" s="42"/>
      <c r="J634" s="22"/>
      <c r="K634" s="42"/>
    </row>
    <row r="635" ht="39.75" hidden="1" customHeight="1">
      <c r="A635" s="1">
        <v>634.0</v>
      </c>
      <c r="B635" s="2" t="s">
        <v>30</v>
      </c>
      <c r="C635" s="2" t="s">
        <v>58</v>
      </c>
      <c r="D635" s="13"/>
      <c r="E635" s="13"/>
      <c r="F635" s="45"/>
      <c r="G635" s="42"/>
      <c r="H635" s="42"/>
      <c r="I635" s="42"/>
      <c r="J635" s="22"/>
      <c r="K635" s="42"/>
    </row>
    <row r="636" ht="39.75" hidden="1" customHeight="1">
      <c r="A636" s="1">
        <v>635.0</v>
      </c>
      <c r="B636" s="2" t="s">
        <v>31</v>
      </c>
      <c r="C636" s="2" t="s">
        <v>58</v>
      </c>
      <c r="D636" s="13"/>
      <c r="E636" s="13"/>
      <c r="F636" s="45"/>
      <c r="G636" s="42"/>
      <c r="H636" s="42"/>
      <c r="I636" s="42"/>
      <c r="J636" s="22"/>
      <c r="K636" s="42"/>
    </row>
    <row r="637" ht="39.75" customHeight="1">
      <c r="A637" s="1">
        <v>636.0</v>
      </c>
      <c r="B637" s="2" t="s">
        <v>32</v>
      </c>
      <c r="C637" s="2"/>
      <c r="D637" s="13"/>
      <c r="E637" s="13"/>
      <c r="F637" s="44" t="s">
        <v>1285</v>
      </c>
      <c r="G637" s="43">
        <v>1.0</v>
      </c>
      <c r="H637" s="42"/>
      <c r="I637" s="43">
        <v>1.0</v>
      </c>
      <c r="J637" s="22"/>
      <c r="K637" s="42"/>
    </row>
    <row r="638" ht="39.75" hidden="1" customHeight="1">
      <c r="A638" s="1">
        <v>637.0</v>
      </c>
      <c r="B638" s="2" t="s">
        <v>67</v>
      </c>
      <c r="C638" s="2" t="s">
        <v>66</v>
      </c>
      <c r="D638" s="13"/>
      <c r="E638" s="13"/>
      <c r="F638" s="45"/>
      <c r="G638" s="42"/>
      <c r="H638" s="42"/>
      <c r="I638" s="42"/>
      <c r="J638" s="22"/>
      <c r="K638" s="42"/>
    </row>
    <row r="639" ht="39.75" customHeight="1">
      <c r="A639" s="1">
        <v>638.0</v>
      </c>
      <c r="B639" s="2" t="s">
        <v>35</v>
      </c>
      <c r="C639" s="2" t="s">
        <v>69</v>
      </c>
      <c r="D639" s="13"/>
      <c r="E639" s="13"/>
      <c r="F639" s="44" t="s">
        <v>4708</v>
      </c>
      <c r="G639" s="43">
        <v>2.0</v>
      </c>
      <c r="H639" s="42"/>
      <c r="I639" s="43">
        <v>1.0</v>
      </c>
      <c r="J639" s="22"/>
      <c r="K639" s="42"/>
    </row>
    <row r="640" ht="39.75" customHeight="1">
      <c r="A640" s="1">
        <v>639.0</v>
      </c>
      <c r="B640" s="2" t="s">
        <v>36</v>
      </c>
      <c r="C640" s="2" t="s">
        <v>54</v>
      </c>
      <c r="D640" s="13"/>
      <c r="E640" s="51">
        <v>0.7986111111111112</v>
      </c>
      <c r="F640" s="44" t="s">
        <v>4709</v>
      </c>
      <c r="G640" s="43">
        <v>1.0</v>
      </c>
      <c r="H640" s="42"/>
      <c r="I640" s="43">
        <v>1.0</v>
      </c>
      <c r="J640" s="22"/>
      <c r="K640" s="42"/>
    </row>
    <row r="641" ht="39.75" customHeight="1">
      <c r="A641" s="1">
        <v>640.0</v>
      </c>
      <c r="B641" s="2" t="s">
        <v>38</v>
      </c>
      <c r="C641" s="2" t="s">
        <v>54</v>
      </c>
      <c r="D641" s="13"/>
      <c r="E641" s="13"/>
      <c r="F641" s="44" t="s">
        <v>4710</v>
      </c>
      <c r="G641" s="43">
        <v>1.0</v>
      </c>
      <c r="H641" s="42"/>
      <c r="I641" s="42"/>
      <c r="J641" s="22"/>
      <c r="K641" s="42"/>
    </row>
    <row r="642" ht="39.75" hidden="1" customHeight="1">
      <c r="A642" s="1">
        <v>641.0</v>
      </c>
      <c r="B642" s="2" t="s">
        <v>41</v>
      </c>
      <c r="C642" s="2" t="s">
        <v>58</v>
      </c>
      <c r="D642" s="13"/>
      <c r="E642" s="13"/>
      <c r="F642" s="45"/>
      <c r="G642" s="42"/>
      <c r="H642" s="42"/>
      <c r="I642" s="42"/>
      <c r="J642" s="22"/>
      <c r="K642" s="42"/>
    </row>
    <row r="643" ht="39.75" hidden="1" customHeight="1">
      <c r="A643" s="1">
        <v>642.0</v>
      </c>
      <c r="B643" s="2" t="s">
        <v>42</v>
      </c>
      <c r="C643" s="2" t="s">
        <v>58</v>
      </c>
      <c r="D643" s="13"/>
      <c r="E643" s="13"/>
      <c r="F643" s="45"/>
      <c r="G643" s="42"/>
      <c r="H643" s="42"/>
      <c r="I643" s="42"/>
      <c r="J643" s="22"/>
      <c r="K643" s="42"/>
    </row>
    <row r="644" ht="39.75" hidden="1" customHeight="1">
      <c r="A644" s="1">
        <v>643.0</v>
      </c>
      <c r="B644" s="2" t="s">
        <v>43</v>
      </c>
      <c r="C644" s="2" t="s">
        <v>58</v>
      </c>
      <c r="D644" s="13"/>
      <c r="E644" s="13"/>
      <c r="F644" s="45"/>
      <c r="G644" s="42"/>
      <c r="H644" s="42"/>
      <c r="I644" s="42"/>
      <c r="J644" s="22"/>
      <c r="K644" s="42"/>
    </row>
    <row r="645" ht="39.75" customHeight="1">
      <c r="A645" s="1">
        <v>644.0</v>
      </c>
      <c r="B645" s="2" t="s">
        <v>45</v>
      </c>
      <c r="C645" s="2"/>
      <c r="D645" s="13"/>
      <c r="E645" s="13"/>
      <c r="F645" s="44" t="s">
        <v>4711</v>
      </c>
      <c r="G645" s="43">
        <v>1.0</v>
      </c>
      <c r="H645" s="43">
        <v>1.0</v>
      </c>
      <c r="I645" s="42"/>
      <c r="J645" s="22"/>
      <c r="K645" s="42"/>
    </row>
    <row r="646" ht="39.75" customHeight="1">
      <c r="A646" s="1">
        <v>645.0</v>
      </c>
      <c r="B646" s="2" t="s">
        <v>46</v>
      </c>
      <c r="C646" s="2" t="s">
        <v>69</v>
      </c>
      <c r="D646" s="13"/>
      <c r="E646" s="13"/>
      <c r="F646" s="44"/>
      <c r="G646" s="43"/>
      <c r="H646" s="42"/>
      <c r="I646" s="42"/>
      <c r="J646" s="22"/>
      <c r="K646" s="42"/>
    </row>
    <row r="647" ht="39.75" customHeight="1">
      <c r="A647" s="1">
        <v>646.0</v>
      </c>
      <c r="B647" s="2" t="s">
        <v>47</v>
      </c>
      <c r="C647" s="2" t="s">
        <v>54</v>
      </c>
      <c r="D647" s="13"/>
      <c r="E647" s="40">
        <v>0.8333333333333334</v>
      </c>
      <c r="F647" s="44" t="s">
        <v>4712</v>
      </c>
      <c r="G647" s="43">
        <v>3.0</v>
      </c>
      <c r="H647" s="42"/>
      <c r="I647" s="43">
        <v>1.0</v>
      </c>
      <c r="J647" s="22"/>
      <c r="K647" s="42"/>
    </row>
    <row r="648" ht="39.75" customHeight="1">
      <c r="A648" s="1">
        <v>647.0</v>
      </c>
      <c r="B648" s="2" t="s">
        <v>48</v>
      </c>
      <c r="C648" s="2" t="s">
        <v>39</v>
      </c>
      <c r="D648" s="13"/>
      <c r="E648" s="13"/>
      <c r="F648" s="44" t="s">
        <v>4713</v>
      </c>
      <c r="G648" s="43">
        <v>1.0</v>
      </c>
      <c r="H648" s="42"/>
      <c r="I648" s="42"/>
      <c r="J648" s="22"/>
      <c r="K648" s="42"/>
    </row>
    <row r="649" ht="39.75" customHeight="1">
      <c r="A649" s="1">
        <v>648.0</v>
      </c>
      <c r="B649" s="21"/>
      <c r="C649" s="21"/>
      <c r="D649" s="21"/>
      <c r="E649" s="21"/>
      <c r="F649" s="46"/>
      <c r="G649" s="47"/>
      <c r="H649" s="47"/>
      <c r="I649" s="47"/>
      <c r="J649" s="48"/>
      <c r="K649" s="47"/>
      <c r="L649" s="49"/>
      <c r="M649" s="49"/>
      <c r="N649" s="49"/>
    </row>
    <row r="650" ht="39.75" customHeight="1">
      <c r="A650" s="1">
        <v>649.0</v>
      </c>
      <c r="B650" s="2" t="s">
        <v>12</v>
      </c>
      <c r="C650" s="2" t="s">
        <v>49</v>
      </c>
      <c r="D650" s="13"/>
      <c r="E650" s="40">
        <v>0.8125</v>
      </c>
      <c r="F650" s="44" t="s">
        <v>4714</v>
      </c>
      <c r="G650" s="43">
        <v>2.0</v>
      </c>
      <c r="H650" s="42"/>
      <c r="I650" s="43">
        <v>2.0</v>
      </c>
      <c r="J650" s="27" t="s">
        <v>4481</v>
      </c>
      <c r="K650" s="42"/>
      <c r="L650" s="15" t="s">
        <v>406</v>
      </c>
    </row>
    <row r="651" ht="39.75" hidden="1" customHeight="1">
      <c r="A651" s="1">
        <v>650.0</v>
      </c>
      <c r="B651" s="2" t="s">
        <v>16</v>
      </c>
      <c r="C651" s="2" t="s">
        <v>13</v>
      </c>
      <c r="D651" s="13"/>
      <c r="E651" s="13"/>
      <c r="F651" s="45"/>
      <c r="G651" s="42"/>
      <c r="H651" s="42"/>
      <c r="I651" s="42"/>
      <c r="J651" s="27" t="s">
        <v>406</v>
      </c>
      <c r="K651" s="43"/>
    </row>
    <row r="652" ht="39.75" hidden="1" customHeight="1">
      <c r="A652" s="1">
        <v>651.0</v>
      </c>
      <c r="B652" s="2" t="s">
        <v>116</v>
      </c>
      <c r="C652" s="2" t="s">
        <v>13</v>
      </c>
      <c r="D652" s="13"/>
      <c r="E652" s="13"/>
      <c r="F652" s="45"/>
      <c r="G652" s="42"/>
      <c r="H652" s="42"/>
      <c r="I652" s="42"/>
      <c r="J652" s="27" t="s">
        <v>149</v>
      </c>
      <c r="K652" s="42"/>
    </row>
    <row r="653" ht="39.75" customHeight="1">
      <c r="A653" s="1">
        <v>652.0</v>
      </c>
      <c r="B653" s="2" t="s">
        <v>20</v>
      </c>
      <c r="C653" s="2" t="s">
        <v>271</v>
      </c>
      <c r="D653" s="13"/>
      <c r="E653" s="51">
        <v>0.8125</v>
      </c>
      <c r="F653" s="44" t="s">
        <v>4715</v>
      </c>
      <c r="G653" s="43">
        <v>1.0</v>
      </c>
      <c r="H653" s="42"/>
      <c r="I653" s="43">
        <v>1.0</v>
      </c>
      <c r="J653" s="27" t="s">
        <v>165</v>
      </c>
      <c r="K653" s="42"/>
    </row>
    <row r="654" ht="39.75" hidden="1" customHeight="1">
      <c r="A654" s="1">
        <v>653.0</v>
      </c>
      <c r="B654" s="2" t="s">
        <v>331</v>
      </c>
      <c r="C654" s="2" t="s">
        <v>13</v>
      </c>
      <c r="D654" s="13"/>
      <c r="E654" s="13"/>
      <c r="F654" s="45"/>
      <c r="G654" s="42"/>
      <c r="H654" s="42"/>
      <c r="I654" s="42"/>
      <c r="J654" s="27" t="s">
        <v>2637</v>
      </c>
      <c r="K654" s="42"/>
    </row>
    <row r="655" ht="39.75" customHeight="1">
      <c r="A655" s="1">
        <v>654.0</v>
      </c>
      <c r="B655" s="2" t="s">
        <v>21</v>
      </c>
      <c r="C655" s="2" t="s">
        <v>63</v>
      </c>
      <c r="D655" s="13"/>
      <c r="E655" s="13"/>
      <c r="F655" s="44" t="s">
        <v>4716</v>
      </c>
      <c r="G655" s="42"/>
      <c r="H655" s="42"/>
      <c r="I655" s="42"/>
      <c r="J655" s="27" t="s">
        <v>2638</v>
      </c>
      <c r="K655" s="42"/>
    </row>
    <row r="656" ht="39.75" hidden="1" customHeight="1">
      <c r="A656" s="1">
        <v>655.0</v>
      </c>
      <c r="B656" s="2" t="s">
        <v>22</v>
      </c>
      <c r="C656" s="2" t="s">
        <v>13</v>
      </c>
      <c r="D656" s="13"/>
      <c r="E656" s="13"/>
      <c r="F656" s="45"/>
      <c r="G656" s="42"/>
      <c r="H656" s="42"/>
      <c r="I656" s="42"/>
      <c r="J656" s="22"/>
      <c r="K656" s="42"/>
    </row>
    <row r="657" ht="39.75" customHeight="1">
      <c r="A657" s="1">
        <v>656.0</v>
      </c>
      <c r="B657" s="2" t="s">
        <v>23</v>
      </c>
      <c r="C657" s="13"/>
      <c r="D657" s="40">
        <v>0.375</v>
      </c>
      <c r="E657" s="13"/>
      <c r="F657" s="44" t="s">
        <v>4717</v>
      </c>
      <c r="G657" s="43">
        <v>2.0</v>
      </c>
      <c r="H657" s="42"/>
      <c r="I657" s="42"/>
      <c r="J657" s="22"/>
      <c r="K657" s="42"/>
    </row>
    <row r="658" ht="39.75" hidden="1" customHeight="1">
      <c r="A658" s="1">
        <v>657.0</v>
      </c>
      <c r="B658" s="2" t="s">
        <v>24</v>
      </c>
      <c r="C658" s="2" t="s">
        <v>13</v>
      </c>
      <c r="D658" s="13"/>
      <c r="E658" s="13"/>
      <c r="F658" s="44"/>
      <c r="G658" s="42"/>
      <c r="H658" s="42"/>
      <c r="I658" s="42"/>
      <c r="J658" s="22"/>
      <c r="K658" s="42"/>
    </row>
    <row r="659" ht="39.75" customHeight="1">
      <c r="A659" s="1">
        <v>658.0</v>
      </c>
      <c r="B659" s="2" t="s">
        <v>25</v>
      </c>
      <c r="C659" s="2" t="s">
        <v>44</v>
      </c>
      <c r="D659" s="13"/>
      <c r="E659" s="13"/>
      <c r="F659" s="45"/>
      <c r="G659" s="42"/>
      <c r="H659" s="42"/>
      <c r="I659" s="42"/>
      <c r="J659" s="22"/>
      <c r="K659" s="42"/>
    </row>
    <row r="660" ht="39.75" hidden="1" customHeight="1">
      <c r="A660" s="1">
        <v>659.0</v>
      </c>
      <c r="B660" s="2" t="s">
        <v>26</v>
      </c>
      <c r="C660" s="2" t="s">
        <v>13</v>
      </c>
      <c r="D660" s="13"/>
      <c r="E660" s="13"/>
      <c r="F660" s="45"/>
      <c r="G660" s="42"/>
      <c r="H660" s="42"/>
      <c r="I660" s="42"/>
      <c r="J660" s="22"/>
      <c r="K660" s="42"/>
    </row>
    <row r="661" ht="39.75" hidden="1" customHeight="1">
      <c r="A661" s="1">
        <v>660.0</v>
      </c>
      <c r="B661" s="2" t="s">
        <v>29</v>
      </c>
      <c r="C661" s="2" t="s">
        <v>13</v>
      </c>
      <c r="D661" s="13"/>
      <c r="E661" s="13"/>
      <c r="F661" s="45"/>
      <c r="G661" s="42"/>
      <c r="H661" s="42"/>
      <c r="I661" s="42"/>
      <c r="J661" s="22"/>
      <c r="K661" s="42"/>
    </row>
    <row r="662" ht="39.75" hidden="1" customHeight="1">
      <c r="A662" s="1">
        <v>661.0</v>
      </c>
      <c r="B662" s="2" t="s">
        <v>30</v>
      </c>
      <c r="C662" s="2" t="s">
        <v>13</v>
      </c>
      <c r="D662" s="13"/>
      <c r="E662" s="13"/>
      <c r="F662" s="45"/>
      <c r="G662" s="42"/>
      <c r="H662" s="42"/>
      <c r="I662" s="42"/>
      <c r="J662" s="22"/>
      <c r="K662" s="42"/>
    </row>
    <row r="663" ht="39.75" customHeight="1">
      <c r="A663" s="1">
        <v>662.0</v>
      </c>
      <c r="B663" s="2" t="s">
        <v>33</v>
      </c>
      <c r="C663" s="2" t="s">
        <v>272</v>
      </c>
      <c r="D663" s="13"/>
      <c r="E663" s="13"/>
      <c r="F663" s="44" t="s">
        <v>1186</v>
      </c>
      <c r="G663" s="43">
        <v>1.0</v>
      </c>
      <c r="H663" s="42"/>
      <c r="I663" s="43">
        <v>1.0</v>
      </c>
      <c r="J663" s="22"/>
      <c r="K663" s="42"/>
    </row>
    <row r="664" ht="39.75" hidden="1" customHeight="1">
      <c r="A664" s="1">
        <v>663.0</v>
      </c>
      <c r="B664" s="2" t="s">
        <v>32</v>
      </c>
      <c r="C664" s="2" t="s">
        <v>13</v>
      </c>
      <c r="D664" s="13"/>
      <c r="E664" s="13"/>
      <c r="F664" s="45"/>
      <c r="G664" s="42"/>
      <c r="H664" s="42"/>
      <c r="I664" s="42"/>
      <c r="J664" s="22"/>
      <c r="K664" s="42"/>
    </row>
    <row r="665" ht="39.75" hidden="1" customHeight="1">
      <c r="A665" s="1">
        <v>664.0</v>
      </c>
      <c r="B665" s="2" t="s">
        <v>67</v>
      </c>
      <c r="C665" s="2" t="s">
        <v>13</v>
      </c>
      <c r="D665" s="13"/>
      <c r="E665" s="13"/>
      <c r="F665" s="45"/>
      <c r="G665" s="42"/>
      <c r="H665" s="42"/>
      <c r="I665" s="42"/>
      <c r="J665" s="22"/>
      <c r="K665" s="42"/>
    </row>
    <row r="666" ht="39.75" customHeight="1">
      <c r="A666" s="1">
        <v>665.0</v>
      </c>
      <c r="B666" s="2" t="s">
        <v>35</v>
      </c>
      <c r="C666" s="2"/>
      <c r="D666" s="40">
        <v>0.375</v>
      </c>
      <c r="E666" s="13"/>
      <c r="F666" s="44" t="s">
        <v>4718</v>
      </c>
      <c r="G666" s="43">
        <v>3.0</v>
      </c>
      <c r="H666" s="42"/>
      <c r="I666" s="43">
        <v>1.0</v>
      </c>
      <c r="J666" s="22"/>
      <c r="K666" s="42"/>
    </row>
    <row r="667" ht="39.75" hidden="1" customHeight="1">
      <c r="A667" s="1">
        <v>666.0</v>
      </c>
      <c r="B667" s="2" t="s">
        <v>36</v>
      </c>
      <c r="C667" s="2" t="s">
        <v>13</v>
      </c>
      <c r="D667" s="13"/>
      <c r="E667" s="13"/>
      <c r="F667" s="45"/>
      <c r="G667" s="42"/>
      <c r="H667" s="42"/>
      <c r="I667" s="42"/>
      <c r="J667" s="22"/>
      <c r="K667" s="42"/>
    </row>
    <row r="668" ht="39.75" customHeight="1">
      <c r="A668" s="1">
        <v>667.0</v>
      </c>
      <c r="B668" s="2" t="s">
        <v>38</v>
      </c>
      <c r="C668" s="2"/>
      <c r="D668" s="13"/>
      <c r="E668" s="13"/>
      <c r="F668" s="44" t="s">
        <v>4719</v>
      </c>
      <c r="G668" s="43">
        <v>1.0</v>
      </c>
      <c r="H668" s="43">
        <v>1.0</v>
      </c>
      <c r="I668" s="42"/>
      <c r="J668" s="22"/>
      <c r="K668" s="42"/>
    </row>
    <row r="669" ht="39.75" hidden="1" customHeight="1">
      <c r="A669" s="1">
        <v>668.0</v>
      </c>
      <c r="B669" s="2" t="s">
        <v>41</v>
      </c>
      <c r="C669" s="2" t="s">
        <v>13</v>
      </c>
      <c r="D669" s="13"/>
      <c r="E669" s="13"/>
      <c r="F669" s="45"/>
      <c r="G669" s="42"/>
      <c r="H669" s="42"/>
      <c r="I669" s="42"/>
      <c r="J669" s="22"/>
      <c r="K669" s="42"/>
    </row>
    <row r="670" ht="39.75" hidden="1" customHeight="1">
      <c r="A670" s="1">
        <v>669.0</v>
      </c>
      <c r="B670" s="2" t="s">
        <v>42</v>
      </c>
      <c r="C670" s="2" t="s">
        <v>13</v>
      </c>
      <c r="D670" s="13"/>
      <c r="E670" s="13"/>
      <c r="F670" s="45"/>
      <c r="G670" s="42"/>
      <c r="H670" s="42"/>
      <c r="I670" s="42"/>
      <c r="J670" s="22"/>
      <c r="K670" s="42"/>
    </row>
    <row r="671" ht="39.75" customHeight="1">
      <c r="A671" s="1">
        <v>670.0</v>
      </c>
      <c r="B671" s="2" t="s">
        <v>43</v>
      </c>
      <c r="C671" s="2" t="s">
        <v>27</v>
      </c>
      <c r="D671" s="13"/>
      <c r="E671" s="13"/>
      <c r="F671" s="44" t="s">
        <v>4720</v>
      </c>
      <c r="G671" s="43">
        <v>1.0</v>
      </c>
      <c r="H671" s="42"/>
      <c r="I671" s="42"/>
      <c r="J671" s="22"/>
      <c r="K671" s="42"/>
    </row>
    <row r="672" ht="39.75" hidden="1" customHeight="1">
      <c r="A672" s="1">
        <v>671.0</v>
      </c>
      <c r="B672" s="2" t="s">
        <v>45</v>
      </c>
      <c r="C672" s="2" t="s">
        <v>13</v>
      </c>
      <c r="D672" s="13"/>
      <c r="E672" s="13"/>
      <c r="F672" s="45"/>
      <c r="G672" s="42"/>
      <c r="H672" s="42"/>
      <c r="I672" s="42"/>
      <c r="J672" s="22"/>
      <c r="K672" s="42"/>
    </row>
    <row r="673" ht="39.75" hidden="1" customHeight="1">
      <c r="A673" s="1">
        <v>672.0</v>
      </c>
      <c r="B673" s="2" t="s">
        <v>46</v>
      </c>
      <c r="C673" s="2" t="s">
        <v>13</v>
      </c>
      <c r="D673" s="13"/>
      <c r="E673" s="13"/>
      <c r="F673" s="45"/>
      <c r="G673" s="42"/>
      <c r="H673" s="42"/>
      <c r="I673" s="42"/>
      <c r="J673" s="22"/>
      <c r="K673" s="42"/>
    </row>
    <row r="674" ht="39.75" hidden="1" customHeight="1">
      <c r="A674" s="1">
        <v>673.0</v>
      </c>
      <c r="B674" s="2" t="s">
        <v>47</v>
      </c>
      <c r="C674" s="2" t="s">
        <v>13</v>
      </c>
      <c r="D674" s="13"/>
      <c r="E674" s="13"/>
      <c r="F674" s="45"/>
      <c r="G674" s="42"/>
      <c r="H674" s="42"/>
      <c r="I674" s="42"/>
      <c r="J674" s="22"/>
      <c r="K674" s="42"/>
    </row>
    <row r="675" ht="39.75" customHeight="1">
      <c r="A675" s="1">
        <v>674.0</v>
      </c>
      <c r="B675" s="2" t="s">
        <v>48</v>
      </c>
      <c r="C675" s="2" t="s">
        <v>39</v>
      </c>
      <c r="D675" s="53">
        <v>0.3541666666666667</v>
      </c>
      <c r="E675" s="13"/>
      <c r="F675" s="44" t="s">
        <v>4721</v>
      </c>
      <c r="G675" s="43">
        <v>2.0</v>
      </c>
      <c r="H675" s="42"/>
      <c r="I675" s="43">
        <v>2.0</v>
      </c>
      <c r="J675" s="22"/>
      <c r="K675" s="42"/>
    </row>
    <row r="676" ht="39.75" customHeight="1">
      <c r="A676" s="1">
        <v>675.0</v>
      </c>
      <c r="B676" s="21"/>
      <c r="C676" s="21"/>
      <c r="D676" s="21"/>
      <c r="E676" s="21"/>
      <c r="F676" s="46"/>
      <c r="G676" s="47"/>
      <c r="H676" s="47"/>
      <c r="I676" s="47"/>
      <c r="J676" s="48"/>
      <c r="K676" s="47"/>
      <c r="L676" s="49"/>
      <c r="M676" s="49"/>
      <c r="N676" s="49"/>
    </row>
    <row r="677" ht="39.75" hidden="1" customHeight="1">
      <c r="A677" s="1">
        <v>676.0</v>
      </c>
      <c r="B677" s="2" t="s">
        <v>12</v>
      </c>
      <c r="C677" s="2" t="s">
        <v>13</v>
      </c>
      <c r="D677" s="13"/>
      <c r="E677" s="13"/>
      <c r="F677" s="45"/>
      <c r="G677" s="42"/>
      <c r="H677" s="42"/>
      <c r="I677" s="42"/>
      <c r="J677" s="27" t="s">
        <v>4481</v>
      </c>
      <c r="K677" s="42"/>
      <c r="L677" s="15" t="s">
        <v>423</v>
      </c>
    </row>
    <row r="678" ht="39.75" customHeight="1">
      <c r="A678" s="1">
        <v>677.0</v>
      </c>
      <c r="B678" s="2" t="s">
        <v>16</v>
      </c>
      <c r="C678" s="2" t="s">
        <v>27</v>
      </c>
      <c r="D678" s="13"/>
      <c r="E678" s="13"/>
      <c r="F678" s="45"/>
      <c r="G678" s="42"/>
      <c r="H678" s="42"/>
      <c r="I678" s="42"/>
      <c r="J678" s="27" t="s">
        <v>423</v>
      </c>
      <c r="K678" s="43"/>
    </row>
    <row r="679" ht="39.75" hidden="1" customHeight="1">
      <c r="A679" s="1">
        <v>678.0</v>
      </c>
      <c r="B679" s="2" t="s">
        <v>116</v>
      </c>
      <c r="C679" s="2" t="s">
        <v>13</v>
      </c>
      <c r="D679" s="13"/>
      <c r="E679" s="13"/>
      <c r="F679" s="45"/>
      <c r="G679" s="42"/>
      <c r="H679" s="42"/>
      <c r="I679" s="42"/>
      <c r="J679" s="27" t="s">
        <v>19</v>
      </c>
      <c r="K679" s="42"/>
    </row>
    <row r="680" ht="39.75" hidden="1" customHeight="1">
      <c r="A680" s="1">
        <v>679.0</v>
      </c>
      <c r="B680" s="2" t="s">
        <v>17</v>
      </c>
      <c r="C680" s="2" t="s">
        <v>13</v>
      </c>
      <c r="D680" s="13"/>
      <c r="E680" s="13"/>
      <c r="F680" s="44"/>
      <c r="G680" s="42"/>
      <c r="H680" s="42"/>
      <c r="I680" s="42"/>
      <c r="J680" s="27" t="s">
        <v>410</v>
      </c>
      <c r="K680" s="42"/>
    </row>
    <row r="681" ht="39.75" hidden="1" customHeight="1">
      <c r="A681" s="1">
        <v>680.0</v>
      </c>
      <c r="B681" s="2" t="s">
        <v>331</v>
      </c>
      <c r="C681" s="2" t="s">
        <v>13</v>
      </c>
      <c r="D681" s="13"/>
      <c r="E681" s="13"/>
      <c r="F681" s="45"/>
      <c r="G681" s="42"/>
      <c r="H681" s="42"/>
      <c r="I681" s="42"/>
      <c r="J681" s="27" t="s">
        <v>412</v>
      </c>
      <c r="K681" s="42"/>
    </row>
    <row r="682" ht="39.75" customHeight="1">
      <c r="A682" s="1">
        <v>681.0</v>
      </c>
      <c r="B682" s="2" t="s">
        <v>21</v>
      </c>
      <c r="C682" s="2" t="s">
        <v>63</v>
      </c>
      <c r="D682" s="13"/>
      <c r="E682" s="13"/>
      <c r="F682" s="44" t="s">
        <v>4722</v>
      </c>
      <c r="G682" s="43">
        <v>1.0</v>
      </c>
      <c r="H682" s="43">
        <v>1.0</v>
      </c>
      <c r="I682" s="42"/>
      <c r="J682" s="27" t="s">
        <v>413</v>
      </c>
      <c r="K682" s="42"/>
    </row>
    <row r="683" ht="39.75" hidden="1" customHeight="1">
      <c r="A683" s="1">
        <v>682.0</v>
      </c>
      <c r="B683" s="2" t="s">
        <v>22</v>
      </c>
      <c r="C683" s="2" t="s">
        <v>13</v>
      </c>
      <c r="D683" s="13"/>
      <c r="E683" s="13"/>
      <c r="F683" s="45"/>
      <c r="G683" s="42"/>
      <c r="H683" s="42"/>
      <c r="I683" s="42"/>
      <c r="J683" s="22"/>
      <c r="K683" s="42"/>
    </row>
    <row r="684" ht="39.75" hidden="1" customHeight="1">
      <c r="A684" s="1">
        <v>683.0</v>
      </c>
      <c r="B684" s="2" t="s">
        <v>23</v>
      </c>
      <c r="C684" s="2" t="s">
        <v>13</v>
      </c>
      <c r="D684" s="13"/>
      <c r="E684" s="13"/>
      <c r="F684" s="45"/>
      <c r="G684" s="42"/>
      <c r="H684" s="42"/>
      <c r="I684" s="42"/>
      <c r="J684" s="22"/>
      <c r="K684" s="42"/>
    </row>
    <row r="685" ht="39.75" customHeight="1">
      <c r="A685" s="1">
        <v>684.0</v>
      </c>
      <c r="B685" s="2" t="s">
        <v>24</v>
      </c>
      <c r="C685" s="2" t="s">
        <v>63</v>
      </c>
      <c r="D685" s="13"/>
      <c r="E685" s="13"/>
      <c r="F685" s="45"/>
      <c r="G685" s="42"/>
      <c r="H685" s="42"/>
      <c r="I685" s="42"/>
      <c r="J685" s="22"/>
      <c r="K685" s="42"/>
    </row>
    <row r="686" ht="39.75" customHeight="1">
      <c r="A686" s="1">
        <v>685.0</v>
      </c>
      <c r="B686" s="2" t="s">
        <v>25</v>
      </c>
      <c r="C686" s="2"/>
      <c r="D686" s="40">
        <v>0.375</v>
      </c>
      <c r="E686" s="13"/>
      <c r="F686" s="44" t="s">
        <v>4723</v>
      </c>
      <c r="G686" s="43">
        <v>2.0</v>
      </c>
      <c r="H686" s="42"/>
      <c r="I686" s="42"/>
      <c r="J686" s="22"/>
      <c r="K686" s="42"/>
    </row>
    <row r="687" ht="39.75" customHeight="1">
      <c r="A687" s="1">
        <v>686.0</v>
      </c>
      <c r="B687" s="2" t="s">
        <v>26</v>
      </c>
      <c r="C687" s="2" t="s">
        <v>49</v>
      </c>
      <c r="D687" s="13"/>
      <c r="E687" s="13"/>
      <c r="F687" s="44" t="s">
        <v>4724</v>
      </c>
      <c r="G687" s="43">
        <v>1.0</v>
      </c>
      <c r="H687" s="42"/>
      <c r="I687" s="43">
        <v>1.0</v>
      </c>
      <c r="J687" s="22"/>
      <c r="K687" s="42"/>
    </row>
    <row r="688" ht="39.75" hidden="1" customHeight="1">
      <c r="A688" s="1">
        <v>687.0</v>
      </c>
      <c r="B688" s="2" t="s">
        <v>29</v>
      </c>
      <c r="C688" s="2" t="s">
        <v>13</v>
      </c>
      <c r="D688" s="13"/>
      <c r="E688" s="13"/>
      <c r="F688" s="45"/>
      <c r="G688" s="42"/>
      <c r="H688" s="42"/>
      <c r="I688" s="42"/>
      <c r="J688" s="22"/>
      <c r="K688" s="42"/>
    </row>
    <row r="689" ht="39.75" hidden="1" customHeight="1">
      <c r="A689" s="1">
        <v>688.0</v>
      </c>
      <c r="B689" s="2" t="s">
        <v>30</v>
      </c>
      <c r="C689" s="2" t="s">
        <v>13</v>
      </c>
      <c r="D689" s="13"/>
      <c r="E689" s="13"/>
      <c r="F689" s="45"/>
      <c r="G689" s="42"/>
      <c r="H689" s="42"/>
      <c r="I689" s="42"/>
      <c r="J689" s="22"/>
      <c r="K689" s="42"/>
    </row>
    <row r="690" ht="39.75" customHeight="1">
      <c r="A690" s="1">
        <v>689.0</v>
      </c>
      <c r="B690" s="2" t="s">
        <v>34</v>
      </c>
      <c r="C690" s="2" t="s">
        <v>272</v>
      </c>
      <c r="D690" s="13"/>
      <c r="E690" s="13"/>
      <c r="F690" s="44" t="s">
        <v>1186</v>
      </c>
      <c r="G690" s="43">
        <v>1.0</v>
      </c>
      <c r="H690" s="42"/>
      <c r="I690" s="43">
        <v>1.0</v>
      </c>
      <c r="J690" s="22"/>
      <c r="K690" s="42"/>
    </row>
    <row r="691" ht="39.75" hidden="1" customHeight="1">
      <c r="A691" s="1">
        <v>690.0</v>
      </c>
      <c r="B691" s="2" t="s">
        <v>32</v>
      </c>
      <c r="C691" s="2" t="s">
        <v>13</v>
      </c>
      <c r="D691" s="13"/>
      <c r="E691" s="13"/>
      <c r="F691" s="45"/>
      <c r="G691" s="42"/>
      <c r="H691" s="42"/>
      <c r="I691" s="42"/>
      <c r="J691" s="22"/>
      <c r="K691" s="42"/>
    </row>
    <row r="692" ht="39.75" hidden="1" customHeight="1">
      <c r="A692" s="1">
        <v>691.0</v>
      </c>
      <c r="B692" s="2" t="s">
        <v>67</v>
      </c>
      <c r="C692" s="2" t="s">
        <v>13</v>
      </c>
      <c r="D692" s="13"/>
      <c r="E692" s="13"/>
      <c r="F692" s="45"/>
      <c r="G692" s="42"/>
      <c r="H692" s="42"/>
      <c r="I692" s="42"/>
      <c r="J692" s="22"/>
      <c r="K692" s="42"/>
    </row>
    <row r="693" ht="39.75" hidden="1" customHeight="1">
      <c r="A693" s="1">
        <v>692.0</v>
      </c>
      <c r="B693" s="2" t="s">
        <v>35</v>
      </c>
      <c r="C693" s="2" t="s">
        <v>13</v>
      </c>
      <c r="D693" s="13"/>
      <c r="E693" s="13"/>
      <c r="F693" s="45"/>
      <c r="G693" s="42"/>
      <c r="H693" s="42"/>
      <c r="I693" s="42"/>
      <c r="J693" s="22"/>
      <c r="K693" s="42"/>
    </row>
    <row r="694" ht="39.75" customHeight="1">
      <c r="A694" s="1">
        <v>693.0</v>
      </c>
      <c r="B694" s="2" t="s">
        <v>36</v>
      </c>
      <c r="C694" s="2" t="s">
        <v>39</v>
      </c>
      <c r="D694" s="40">
        <v>0.375</v>
      </c>
      <c r="E694" s="51">
        <v>0.7777777777777778</v>
      </c>
      <c r="F694" s="44" t="s">
        <v>4725</v>
      </c>
      <c r="G694" s="43">
        <v>1.0</v>
      </c>
      <c r="H694" s="42"/>
      <c r="I694" s="42"/>
      <c r="J694" s="22"/>
      <c r="K694" s="42"/>
    </row>
    <row r="695" ht="39.75" customHeight="1">
      <c r="A695" s="1">
        <v>694.0</v>
      </c>
      <c r="B695" s="2" t="s">
        <v>38</v>
      </c>
      <c r="C695" s="2"/>
      <c r="D695" s="40"/>
      <c r="E695" s="51">
        <v>0.7916666666666666</v>
      </c>
      <c r="F695" s="44" t="s">
        <v>4726</v>
      </c>
      <c r="G695" s="43">
        <v>1.0</v>
      </c>
      <c r="H695" s="43">
        <v>1.0</v>
      </c>
      <c r="I695" s="42"/>
      <c r="J695" s="22"/>
      <c r="K695" s="42"/>
    </row>
    <row r="696" ht="39.75" hidden="1" customHeight="1">
      <c r="A696" s="1">
        <v>695.0</v>
      </c>
      <c r="B696" s="2" t="s">
        <v>41</v>
      </c>
      <c r="C696" s="2" t="s">
        <v>13</v>
      </c>
      <c r="D696" s="13"/>
      <c r="E696" s="13"/>
      <c r="F696" s="45"/>
      <c r="G696" s="42"/>
      <c r="H696" s="42"/>
      <c r="I696" s="42"/>
      <c r="J696" s="22"/>
      <c r="K696" s="42"/>
    </row>
    <row r="697" ht="39.75" hidden="1" customHeight="1">
      <c r="A697" s="1">
        <v>696.0</v>
      </c>
      <c r="B697" s="2" t="s">
        <v>42</v>
      </c>
      <c r="C697" s="2" t="s">
        <v>13</v>
      </c>
      <c r="D697" s="13"/>
      <c r="E697" s="13"/>
      <c r="F697" s="45"/>
      <c r="G697" s="42"/>
      <c r="H697" s="42"/>
      <c r="I697" s="42"/>
      <c r="J697" s="22"/>
      <c r="K697" s="42"/>
    </row>
    <row r="698" ht="39.75" customHeight="1">
      <c r="A698" s="1">
        <v>697.0</v>
      </c>
      <c r="B698" s="2" t="s">
        <v>43</v>
      </c>
      <c r="C698" s="2" t="s">
        <v>44</v>
      </c>
      <c r="D698" s="13"/>
      <c r="E698" s="13"/>
      <c r="F698" s="45"/>
      <c r="G698" s="42"/>
      <c r="H698" s="42"/>
      <c r="I698" s="42"/>
      <c r="J698" s="22"/>
      <c r="K698" s="42"/>
    </row>
    <row r="699" ht="39.75" hidden="1" customHeight="1">
      <c r="A699" s="1">
        <v>698.0</v>
      </c>
      <c r="B699" s="2" t="s">
        <v>45</v>
      </c>
      <c r="C699" s="2" t="s">
        <v>13</v>
      </c>
      <c r="D699" s="13"/>
      <c r="E699" s="13"/>
      <c r="F699" s="45"/>
      <c r="G699" s="42"/>
      <c r="H699" s="42"/>
      <c r="I699" s="42"/>
      <c r="J699" s="22"/>
      <c r="K699" s="42"/>
    </row>
    <row r="700" ht="39.75" hidden="1" customHeight="1">
      <c r="A700" s="1">
        <v>699.0</v>
      </c>
      <c r="B700" s="2" t="s">
        <v>46</v>
      </c>
      <c r="C700" s="2" t="s">
        <v>13</v>
      </c>
      <c r="D700" s="40"/>
      <c r="E700" s="13"/>
      <c r="F700" s="45"/>
      <c r="G700" s="42"/>
      <c r="H700" s="42"/>
      <c r="I700" s="42"/>
      <c r="J700" s="22"/>
      <c r="K700" s="42"/>
    </row>
    <row r="701" ht="39.75" hidden="1" customHeight="1">
      <c r="A701" s="1">
        <v>700.0</v>
      </c>
      <c r="B701" s="2" t="s">
        <v>47</v>
      </c>
      <c r="C701" s="2" t="s">
        <v>13</v>
      </c>
      <c r="D701" s="13"/>
      <c r="E701" s="13"/>
      <c r="F701" s="45"/>
      <c r="G701" s="42"/>
      <c r="H701" s="42"/>
      <c r="I701" s="42"/>
      <c r="J701" s="22"/>
      <c r="K701" s="42"/>
    </row>
    <row r="702" ht="39.75" hidden="1" customHeight="1">
      <c r="A702" s="1">
        <v>701.0</v>
      </c>
      <c r="B702" s="2" t="s">
        <v>48</v>
      </c>
      <c r="C702" s="2" t="s">
        <v>13</v>
      </c>
      <c r="D702" s="13"/>
      <c r="E702" s="13"/>
      <c r="F702" s="45"/>
      <c r="G702" s="42"/>
      <c r="H702" s="42"/>
      <c r="I702" s="42"/>
      <c r="J702" s="22"/>
      <c r="K702" s="42"/>
    </row>
    <row r="703" ht="39.75" customHeight="1">
      <c r="A703" s="1">
        <v>702.0</v>
      </c>
      <c r="B703" s="21"/>
      <c r="C703" s="21"/>
      <c r="D703" s="21"/>
      <c r="E703" s="21"/>
      <c r="F703" s="46"/>
      <c r="G703" s="47"/>
      <c r="H703" s="47"/>
      <c r="I703" s="47"/>
      <c r="J703" s="48"/>
      <c r="K703" s="47"/>
      <c r="L703" s="49"/>
      <c r="M703" s="49"/>
      <c r="N703" s="49"/>
    </row>
    <row r="704" ht="39.75" customHeight="1">
      <c r="A704" s="1">
        <v>703.0</v>
      </c>
      <c r="B704" s="2" t="s">
        <v>12</v>
      </c>
      <c r="C704" s="2" t="s">
        <v>62</v>
      </c>
      <c r="D704" s="13"/>
      <c r="E704" s="13"/>
      <c r="F704" s="44" t="s">
        <v>1543</v>
      </c>
      <c r="G704" s="43">
        <v>1.0</v>
      </c>
      <c r="H704" s="42"/>
      <c r="I704" s="43">
        <v>1.0</v>
      </c>
      <c r="J704" s="27" t="s">
        <v>4481</v>
      </c>
      <c r="K704" s="42"/>
      <c r="L704" s="15" t="s">
        <v>438</v>
      </c>
    </row>
    <row r="705" ht="39.75" customHeight="1">
      <c r="A705" s="1">
        <v>704.0</v>
      </c>
      <c r="B705" s="2" t="s">
        <v>16</v>
      </c>
      <c r="C705" s="2" t="s">
        <v>44</v>
      </c>
      <c r="D705" s="13"/>
      <c r="E705" s="13"/>
      <c r="F705" s="52" t="s">
        <v>4727</v>
      </c>
      <c r="G705" s="56">
        <v>1.0</v>
      </c>
      <c r="H705" s="42"/>
      <c r="I705" s="56">
        <v>1.0</v>
      </c>
      <c r="J705" s="27" t="s">
        <v>438</v>
      </c>
      <c r="K705" s="43"/>
    </row>
    <row r="706" ht="39.75" hidden="1" customHeight="1">
      <c r="A706" s="1">
        <v>705.0</v>
      </c>
      <c r="B706" s="2" t="s">
        <v>116</v>
      </c>
      <c r="C706" s="2" t="s">
        <v>66</v>
      </c>
      <c r="D706" s="13"/>
      <c r="E706" s="13"/>
      <c r="F706" s="45"/>
      <c r="G706" s="42"/>
      <c r="H706" s="42"/>
      <c r="I706" s="42"/>
      <c r="J706" s="27" t="s">
        <v>56</v>
      </c>
      <c r="K706" s="42"/>
    </row>
    <row r="707" ht="39.75" customHeight="1">
      <c r="A707" s="1">
        <v>706.0</v>
      </c>
      <c r="B707" s="2" t="s">
        <v>17</v>
      </c>
      <c r="C707" s="2"/>
      <c r="D707" s="13"/>
      <c r="E707" s="13"/>
      <c r="F707" s="44" t="s">
        <v>4728</v>
      </c>
      <c r="G707" s="43">
        <v>1.0</v>
      </c>
      <c r="H707" s="42"/>
      <c r="I707" s="42"/>
      <c r="J707" s="22"/>
      <c r="K707" s="42"/>
    </row>
    <row r="708" ht="39.75" customHeight="1">
      <c r="A708" s="1">
        <v>707.0</v>
      </c>
      <c r="B708" s="2" t="s">
        <v>331</v>
      </c>
      <c r="C708" s="2" t="s">
        <v>542</v>
      </c>
      <c r="D708" s="13"/>
      <c r="E708" s="13"/>
      <c r="F708" s="44" t="s">
        <v>4729</v>
      </c>
      <c r="G708" s="43">
        <v>1.0</v>
      </c>
      <c r="H708" s="42"/>
      <c r="I708" s="43">
        <v>1.0</v>
      </c>
      <c r="J708" s="22"/>
      <c r="K708" s="42"/>
    </row>
    <row r="709" ht="39.75" customHeight="1">
      <c r="A709" s="1">
        <v>708.0</v>
      </c>
      <c r="B709" s="2" t="s">
        <v>21</v>
      </c>
      <c r="C709" s="2" t="s">
        <v>63</v>
      </c>
      <c r="D709" s="13"/>
      <c r="E709" s="13"/>
      <c r="F709" s="44" t="s">
        <v>4730</v>
      </c>
      <c r="G709" s="43">
        <v>1.0</v>
      </c>
      <c r="H709" s="43">
        <v>1.0</v>
      </c>
      <c r="I709" s="42"/>
      <c r="J709" s="22"/>
      <c r="K709" s="42"/>
    </row>
    <row r="710" ht="39.75" customHeight="1">
      <c r="A710" s="1">
        <v>709.0</v>
      </c>
      <c r="B710" s="2" t="s">
        <v>22</v>
      </c>
      <c r="C710" s="2" t="s">
        <v>69</v>
      </c>
      <c r="D710" s="13"/>
      <c r="E710" s="13"/>
      <c r="F710" s="44" t="s">
        <v>4731</v>
      </c>
      <c r="G710" s="43">
        <v>2.0</v>
      </c>
      <c r="H710" s="42"/>
      <c r="I710" s="43">
        <v>2.0</v>
      </c>
      <c r="J710" s="22"/>
      <c r="K710" s="42"/>
    </row>
    <row r="711" ht="39.75" customHeight="1">
      <c r="A711" s="1">
        <v>710.0</v>
      </c>
      <c r="B711" s="2" t="s">
        <v>23</v>
      </c>
      <c r="C711" s="2" t="s">
        <v>69</v>
      </c>
      <c r="D711" s="13"/>
      <c r="E711" s="13"/>
      <c r="F711" s="44" t="s">
        <v>4732</v>
      </c>
      <c r="G711" s="43">
        <v>1.0</v>
      </c>
      <c r="H711" s="42"/>
      <c r="I711" s="43">
        <v>1.0</v>
      </c>
      <c r="J711" s="22"/>
      <c r="K711" s="42"/>
    </row>
    <row r="712" ht="39.75" customHeight="1">
      <c r="A712" s="1">
        <v>711.0</v>
      </c>
      <c r="B712" s="2" t="s">
        <v>24</v>
      </c>
      <c r="C712" s="2" t="s">
        <v>63</v>
      </c>
      <c r="D712" s="13"/>
      <c r="E712" s="13"/>
      <c r="F712" s="44" t="s">
        <v>4733</v>
      </c>
      <c r="G712" s="42"/>
      <c r="H712" s="42"/>
      <c r="I712" s="42"/>
      <c r="J712" s="22"/>
      <c r="K712" s="42"/>
    </row>
    <row r="713" ht="39.75" customHeight="1">
      <c r="A713" s="1">
        <v>712.0</v>
      </c>
      <c r="B713" s="2" t="s">
        <v>25</v>
      </c>
      <c r="C713" s="2" t="s">
        <v>54</v>
      </c>
      <c r="D713" s="13"/>
      <c r="E713" s="13"/>
      <c r="F713" s="44" t="s">
        <v>4734</v>
      </c>
      <c r="G713" s="43">
        <v>1.0</v>
      </c>
      <c r="H713" s="42"/>
      <c r="I713" s="43">
        <v>1.0</v>
      </c>
      <c r="J713" s="22"/>
      <c r="K713" s="42"/>
    </row>
    <row r="714" ht="39.75" customHeight="1">
      <c r="A714" s="1">
        <v>713.0</v>
      </c>
      <c r="B714" s="2" t="s">
        <v>26</v>
      </c>
      <c r="C714" s="2" t="s">
        <v>54</v>
      </c>
      <c r="D714" s="53">
        <v>0.2916666666666667</v>
      </c>
      <c r="E714" s="51">
        <v>0.875</v>
      </c>
      <c r="F714" s="44" t="s">
        <v>4735</v>
      </c>
      <c r="G714" s="43">
        <v>1.0</v>
      </c>
      <c r="H714" s="43">
        <v>1.0</v>
      </c>
      <c r="I714" s="42"/>
      <c r="J714" s="22"/>
      <c r="K714" s="42"/>
    </row>
    <row r="715" ht="39.75" customHeight="1">
      <c r="A715" s="1">
        <v>714.0</v>
      </c>
      <c r="B715" s="2" t="s">
        <v>29</v>
      </c>
      <c r="C715" s="2" t="s">
        <v>69</v>
      </c>
      <c r="D715" s="13"/>
      <c r="E715" s="40">
        <v>0.84375</v>
      </c>
      <c r="F715" s="44" t="s">
        <v>4736</v>
      </c>
      <c r="G715" s="43">
        <v>1.0</v>
      </c>
      <c r="H715" s="42"/>
      <c r="I715" s="42"/>
      <c r="J715" s="22"/>
      <c r="K715" s="42"/>
    </row>
    <row r="716" ht="39.75" customHeight="1">
      <c r="A716" s="1">
        <v>715.0</v>
      </c>
      <c r="B716" s="2" t="s">
        <v>30</v>
      </c>
      <c r="C716" s="2" t="s">
        <v>64</v>
      </c>
      <c r="D716" s="13"/>
      <c r="E716" s="13"/>
      <c r="F716" s="44" t="s">
        <v>2592</v>
      </c>
      <c r="G716" s="43">
        <v>1.0</v>
      </c>
      <c r="H716" s="42"/>
      <c r="I716" s="43">
        <v>1.0</v>
      </c>
      <c r="J716" s="22"/>
      <c r="K716" s="42"/>
    </row>
    <row r="717" ht="46.5" customHeight="1">
      <c r="A717" s="1">
        <v>716.0</v>
      </c>
      <c r="B717" s="2" t="s">
        <v>31</v>
      </c>
      <c r="C717" s="2" t="s">
        <v>39</v>
      </c>
      <c r="D717" s="13"/>
      <c r="E717" s="13"/>
      <c r="F717" s="44" t="s">
        <v>4737</v>
      </c>
      <c r="G717" s="43">
        <v>2.0</v>
      </c>
      <c r="H717" s="42"/>
      <c r="I717" s="43">
        <v>2.0</v>
      </c>
      <c r="J717" s="22"/>
      <c r="K717" s="42"/>
    </row>
    <row r="718" ht="39.75" customHeight="1">
      <c r="A718" s="1">
        <v>717.0</v>
      </c>
      <c r="B718" s="2" t="s">
        <v>32</v>
      </c>
      <c r="C718" s="2"/>
      <c r="D718" s="13"/>
      <c r="E718" s="13"/>
      <c r="F718" s="44" t="s">
        <v>4738</v>
      </c>
      <c r="G718" s="43">
        <v>1.0</v>
      </c>
      <c r="H718" s="42"/>
      <c r="I718" s="42"/>
      <c r="J718" s="22"/>
      <c r="K718" s="42"/>
    </row>
    <row r="719" ht="39.75" customHeight="1">
      <c r="A719" s="1">
        <v>718.0</v>
      </c>
      <c r="B719" s="2" t="s">
        <v>67</v>
      </c>
      <c r="C719" s="2" t="s">
        <v>54</v>
      </c>
      <c r="D719" s="13"/>
      <c r="E719" s="13"/>
      <c r="F719" s="44" t="s">
        <v>4739</v>
      </c>
      <c r="G719" s="43">
        <v>1.0</v>
      </c>
      <c r="H719" s="42"/>
      <c r="I719" s="42"/>
      <c r="J719" s="22"/>
      <c r="K719" s="42"/>
    </row>
    <row r="720" ht="39.75" customHeight="1">
      <c r="A720" s="1">
        <v>719.0</v>
      </c>
      <c r="B720" s="2" t="s">
        <v>35</v>
      </c>
      <c r="C720" s="2" t="s">
        <v>54</v>
      </c>
      <c r="D720" s="13"/>
      <c r="E720" s="13"/>
      <c r="F720" s="44" t="s">
        <v>4740</v>
      </c>
      <c r="G720" s="43">
        <v>2.0</v>
      </c>
      <c r="H720" s="42"/>
      <c r="I720" s="43">
        <v>2.0</v>
      </c>
      <c r="J720" s="22"/>
      <c r="K720" s="42"/>
    </row>
    <row r="721" ht="39.75" customHeight="1">
      <c r="A721" s="1">
        <v>720.0</v>
      </c>
      <c r="B721" s="2" t="s">
        <v>36</v>
      </c>
      <c r="C721" s="2"/>
      <c r="D721" s="13"/>
      <c r="E721" s="13"/>
      <c r="F721" s="44" t="s">
        <v>4741</v>
      </c>
      <c r="G721" s="43">
        <v>2.0</v>
      </c>
      <c r="H721" s="42"/>
      <c r="I721" s="43">
        <v>1.0</v>
      </c>
      <c r="J721" s="22"/>
      <c r="K721" s="42"/>
    </row>
    <row r="722" ht="39.75" customHeight="1">
      <c r="A722" s="1">
        <v>721.0</v>
      </c>
      <c r="B722" s="2" t="s">
        <v>38</v>
      </c>
      <c r="C722" s="2"/>
      <c r="D722" s="13"/>
      <c r="E722" s="13"/>
      <c r="F722" s="44" t="s">
        <v>4742</v>
      </c>
      <c r="G722" s="43">
        <v>2.0</v>
      </c>
      <c r="H722" s="42"/>
      <c r="I722" s="43">
        <v>1.0</v>
      </c>
      <c r="J722" s="22"/>
      <c r="K722" s="42"/>
    </row>
    <row r="723" ht="39.75" hidden="1" customHeight="1">
      <c r="A723" s="1">
        <v>722.0</v>
      </c>
      <c r="B723" s="2" t="s">
        <v>41</v>
      </c>
      <c r="C723" s="2" t="s">
        <v>58</v>
      </c>
      <c r="D723" s="13"/>
      <c r="E723" s="13"/>
      <c r="F723" s="45"/>
      <c r="G723" s="42"/>
      <c r="H723" s="42"/>
      <c r="I723" s="42"/>
      <c r="J723" s="22"/>
      <c r="K723" s="42"/>
    </row>
    <row r="724" ht="39.75" hidden="1" customHeight="1">
      <c r="A724" s="1">
        <v>723.0</v>
      </c>
      <c r="B724" s="2" t="s">
        <v>42</v>
      </c>
      <c r="C724" s="2" t="s">
        <v>58</v>
      </c>
      <c r="D724" s="13"/>
      <c r="E724" s="13"/>
      <c r="F724" s="45"/>
      <c r="G724" s="42"/>
      <c r="H724" s="42"/>
      <c r="I724" s="42"/>
      <c r="J724" s="22"/>
      <c r="K724" s="42"/>
    </row>
    <row r="725" ht="39.75" customHeight="1">
      <c r="A725" s="1">
        <v>724.0</v>
      </c>
      <c r="B725" s="2" t="s">
        <v>43</v>
      </c>
      <c r="C725" s="2"/>
      <c r="D725" s="13"/>
      <c r="E725" s="13"/>
      <c r="F725" s="44" t="s">
        <v>4743</v>
      </c>
      <c r="G725" s="43">
        <v>1.0</v>
      </c>
      <c r="H725" s="42"/>
      <c r="I725" s="42"/>
      <c r="J725" s="22"/>
      <c r="K725" s="42"/>
    </row>
    <row r="726" ht="39.75" hidden="1" customHeight="1">
      <c r="A726" s="1">
        <v>725.0</v>
      </c>
      <c r="B726" s="2" t="s">
        <v>45</v>
      </c>
      <c r="C726" s="2" t="s">
        <v>58</v>
      </c>
      <c r="D726" s="13"/>
      <c r="E726" s="13"/>
      <c r="F726" s="45"/>
      <c r="G726" s="42"/>
      <c r="H726" s="42"/>
      <c r="I726" s="42"/>
      <c r="J726" s="22"/>
      <c r="K726" s="42"/>
    </row>
    <row r="727" ht="39.75" customHeight="1">
      <c r="A727" s="1">
        <v>726.0</v>
      </c>
      <c r="B727" s="2" t="s">
        <v>46</v>
      </c>
      <c r="C727" s="2" t="s">
        <v>27</v>
      </c>
      <c r="D727" s="13"/>
      <c r="E727" s="13"/>
      <c r="F727" s="44" t="s">
        <v>4744</v>
      </c>
      <c r="G727" s="43">
        <v>2.0</v>
      </c>
      <c r="H727" s="42"/>
      <c r="I727" s="42"/>
      <c r="J727" s="22"/>
      <c r="K727" s="42"/>
    </row>
    <row r="728" ht="39.75" customHeight="1">
      <c r="A728" s="1">
        <v>727.0</v>
      </c>
      <c r="B728" s="2" t="s">
        <v>47</v>
      </c>
      <c r="C728" s="2"/>
      <c r="D728" s="13"/>
      <c r="E728" s="13"/>
      <c r="F728" s="44" t="s">
        <v>4745</v>
      </c>
      <c r="G728" s="43">
        <v>2.0</v>
      </c>
      <c r="H728" s="42"/>
      <c r="I728" s="42"/>
      <c r="J728" s="22"/>
      <c r="K728" s="42"/>
    </row>
    <row r="729" ht="39.75" customHeight="1">
      <c r="A729" s="1">
        <v>728.0</v>
      </c>
      <c r="B729" s="2" t="s">
        <v>48</v>
      </c>
      <c r="C729" s="2" t="s">
        <v>39</v>
      </c>
      <c r="D729" s="59">
        <v>0.3125</v>
      </c>
      <c r="E729" s="13"/>
      <c r="F729" s="44" t="s">
        <v>4746</v>
      </c>
      <c r="G729" s="43">
        <v>1.0</v>
      </c>
      <c r="H729" s="42"/>
      <c r="I729" s="43">
        <v>1.0</v>
      </c>
      <c r="J729" s="22"/>
      <c r="K729" s="42"/>
    </row>
    <row r="730" ht="39.75" customHeight="1">
      <c r="A730" s="1">
        <v>729.0</v>
      </c>
      <c r="B730" s="21"/>
      <c r="C730" s="21"/>
      <c r="D730" s="21"/>
      <c r="E730" s="21"/>
      <c r="F730" s="46"/>
      <c r="G730" s="47"/>
      <c r="H730" s="47"/>
      <c r="I730" s="47"/>
      <c r="J730" s="48"/>
      <c r="K730" s="47"/>
      <c r="L730" s="49"/>
      <c r="M730" s="49"/>
      <c r="N730" s="49"/>
    </row>
    <row r="731" ht="39.75" customHeight="1">
      <c r="A731" s="1">
        <v>730.0</v>
      </c>
      <c r="B731" s="2" t="s">
        <v>12</v>
      </c>
      <c r="C731" s="2" t="s">
        <v>62</v>
      </c>
      <c r="D731" s="13"/>
      <c r="E731" s="13"/>
      <c r="F731" s="44" t="s">
        <v>1543</v>
      </c>
      <c r="G731" s="43">
        <v>1.0</v>
      </c>
      <c r="H731" s="42"/>
      <c r="I731" s="43">
        <v>1.0</v>
      </c>
      <c r="J731" s="27" t="s">
        <v>4481</v>
      </c>
      <c r="K731" s="42"/>
      <c r="L731" s="15" t="s">
        <v>452</v>
      </c>
    </row>
    <row r="732" ht="39.75" hidden="1" customHeight="1">
      <c r="A732" s="1">
        <v>731.0</v>
      </c>
      <c r="B732" s="2" t="s">
        <v>16</v>
      </c>
      <c r="C732" s="2" t="s">
        <v>58</v>
      </c>
      <c r="D732" s="13"/>
      <c r="E732" s="13"/>
      <c r="F732" s="45"/>
      <c r="G732" s="42"/>
      <c r="H732" s="42"/>
      <c r="I732" s="42"/>
      <c r="J732" s="27" t="s">
        <v>452</v>
      </c>
      <c r="K732" s="43"/>
    </row>
    <row r="733" ht="39.75" customHeight="1">
      <c r="A733" s="1">
        <v>732.0</v>
      </c>
      <c r="B733" s="2" t="s">
        <v>116</v>
      </c>
      <c r="C733" s="2"/>
      <c r="D733" s="53">
        <v>0.3402777777777778</v>
      </c>
      <c r="E733" s="13"/>
      <c r="F733" s="44" t="s">
        <v>4747</v>
      </c>
      <c r="G733" s="43">
        <v>1.0</v>
      </c>
      <c r="H733" s="42"/>
      <c r="I733" s="42"/>
      <c r="J733" s="27" t="s">
        <v>77</v>
      </c>
      <c r="K733" s="42"/>
    </row>
    <row r="734" ht="39.75" customHeight="1">
      <c r="A734" s="1">
        <v>733.0</v>
      </c>
      <c r="B734" s="2" t="s">
        <v>17</v>
      </c>
      <c r="C734" s="2"/>
      <c r="D734" s="53">
        <v>0.3125</v>
      </c>
      <c r="E734" s="13"/>
      <c r="F734" s="44" t="s">
        <v>4748</v>
      </c>
      <c r="G734" s="43">
        <v>1.0</v>
      </c>
      <c r="H734" s="42"/>
      <c r="I734" s="43">
        <v>1.0</v>
      </c>
      <c r="J734" s="22"/>
      <c r="K734" s="42"/>
    </row>
    <row r="735" ht="39.75" customHeight="1">
      <c r="A735" s="1">
        <v>734.0</v>
      </c>
      <c r="B735" s="2" t="s">
        <v>331</v>
      </c>
      <c r="C735" s="2" t="s">
        <v>542</v>
      </c>
      <c r="D735" s="13"/>
      <c r="E735" s="13"/>
      <c r="F735" s="45"/>
      <c r="G735" s="42"/>
      <c r="H735" s="42"/>
      <c r="I735" s="42"/>
      <c r="J735" s="22"/>
      <c r="K735" s="42"/>
    </row>
    <row r="736" ht="39.75" customHeight="1">
      <c r="A736" s="1">
        <v>735.0</v>
      </c>
      <c r="B736" s="2" t="s">
        <v>21</v>
      </c>
      <c r="C736" s="2" t="s">
        <v>63</v>
      </c>
      <c r="D736" s="13"/>
      <c r="E736" s="13"/>
      <c r="F736" s="44" t="s">
        <v>4749</v>
      </c>
      <c r="G736" s="43">
        <v>1.0</v>
      </c>
      <c r="H736" s="43">
        <v>1.0</v>
      </c>
      <c r="I736" s="42"/>
      <c r="J736" s="22"/>
      <c r="K736" s="42"/>
    </row>
    <row r="737" ht="39.75" customHeight="1">
      <c r="A737" s="1">
        <v>736.0</v>
      </c>
      <c r="B737" s="2" t="s">
        <v>22</v>
      </c>
      <c r="C737" s="2"/>
      <c r="D737" s="13"/>
      <c r="E737" s="13"/>
      <c r="F737" s="45"/>
      <c r="G737" s="42"/>
      <c r="H737" s="42"/>
      <c r="I737" s="42"/>
      <c r="J737" s="22"/>
      <c r="K737" s="42"/>
    </row>
    <row r="738" ht="39.75" hidden="1" customHeight="1">
      <c r="A738" s="1">
        <v>737.0</v>
      </c>
      <c r="B738" s="2" t="s">
        <v>23</v>
      </c>
      <c r="C738" s="2" t="s">
        <v>66</v>
      </c>
      <c r="D738" s="13"/>
      <c r="E738" s="13"/>
      <c r="F738" s="45"/>
      <c r="G738" s="42"/>
      <c r="H738" s="42"/>
      <c r="I738" s="42"/>
      <c r="J738" s="22"/>
      <c r="K738" s="42"/>
    </row>
    <row r="739" ht="39.75" customHeight="1">
      <c r="A739" s="1">
        <v>738.0</v>
      </c>
      <c r="B739" s="2" t="s">
        <v>24</v>
      </c>
      <c r="C739" s="2" t="s">
        <v>63</v>
      </c>
      <c r="D739" s="13"/>
      <c r="E739" s="13"/>
      <c r="F739" s="44" t="s">
        <v>4750</v>
      </c>
      <c r="G739" s="42"/>
      <c r="H739" s="42"/>
      <c r="I739" s="42"/>
      <c r="J739" s="22"/>
      <c r="K739" s="42"/>
    </row>
    <row r="740" ht="39.75" customHeight="1">
      <c r="A740" s="1">
        <v>739.0</v>
      </c>
      <c r="B740" s="2" t="s">
        <v>25</v>
      </c>
      <c r="C740" s="2" t="s">
        <v>69</v>
      </c>
      <c r="D740" s="13"/>
      <c r="E740" s="51">
        <v>0.9236111111111112</v>
      </c>
      <c r="F740" s="44" t="s">
        <v>4751</v>
      </c>
      <c r="G740" s="43">
        <v>1.0</v>
      </c>
      <c r="H740" s="43">
        <v>1.0</v>
      </c>
      <c r="I740" s="42"/>
      <c r="J740" s="22"/>
      <c r="K740" s="42"/>
    </row>
    <row r="741" ht="39.75" customHeight="1">
      <c r="A741" s="1">
        <v>740.0</v>
      </c>
      <c r="B741" s="2" t="s">
        <v>26</v>
      </c>
      <c r="C741" s="2" t="s">
        <v>54</v>
      </c>
      <c r="D741" s="13"/>
      <c r="E741" s="51">
        <v>0.9166666666666666</v>
      </c>
      <c r="F741" s="44" t="s">
        <v>4751</v>
      </c>
      <c r="G741" s="43">
        <v>1.0</v>
      </c>
      <c r="H741" s="43">
        <v>1.0</v>
      </c>
      <c r="I741" s="42"/>
      <c r="J741" s="22"/>
      <c r="K741" s="42"/>
    </row>
    <row r="742" ht="39.75" customHeight="1">
      <c r="A742" s="1">
        <v>741.0</v>
      </c>
      <c r="B742" s="2" t="s">
        <v>29</v>
      </c>
      <c r="C742" s="2" t="s">
        <v>69</v>
      </c>
      <c r="D742" s="13"/>
      <c r="E742" s="51">
        <v>0.8333333333333334</v>
      </c>
      <c r="F742" s="44" t="s">
        <v>4752</v>
      </c>
      <c r="G742" s="43">
        <v>1.0</v>
      </c>
      <c r="H742" s="42"/>
      <c r="I742" s="43">
        <v>1.0</v>
      </c>
      <c r="J742" s="22"/>
      <c r="K742" s="42"/>
    </row>
    <row r="743" ht="39.75" customHeight="1">
      <c r="A743" s="1">
        <v>742.0</v>
      </c>
      <c r="B743" s="2" t="s">
        <v>30</v>
      </c>
      <c r="C743" s="2" t="s">
        <v>64</v>
      </c>
      <c r="D743" s="13"/>
      <c r="E743" s="13"/>
      <c r="F743" s="44" t="s">
        <v>2592</v>
      </c>
      <c r="G743" s="43">
        <v>1.0</v>
      </c>
      <c r="H743" s="42"/>
      <c r="I743" s="43">
        <v>1.0</v>
      </c>
      <c r="J743" s="22"/>
      <c r="K743" s="42"/>
    </row>
    <row r="744" ht="39.75" customHeight="1">
      <c r="A744" s="1">
        <v>743.0</v>
      </c>
      <c r="B744" s="2" t="s">
        <v>31</v>
      </c>
      <c r="C744" s="2" t="s">
        <v>27</v>
      </c>
      <c r="D744" s="13"/>
      <c r="E744" s="13"/>
      <c r="F744" s="44" t="s">
        <v>4753</v>
      </c>
      <c r="G744" s="43">
        <v>1.0</v>
      </c>
      <c r="H744" s="42"/>
      <c r="I744" s="42"/>
      <c r="J744" s="22"/>
      <c r="K744" s="42"/>
    </row>
    <row r="745" ht="39.75" customHeight="1">
      <c r="A745" s="1">
        <v>744.0</v>
      </c>
      <c r="B745" s="2" t="s">
        <v>32</v>
      </c>
      <c r="C745" s="2" t="s">
        <v>54</v>
      </c>
      <c r="D745" s="13"/>
      <c r="E745" s="13"/>
      <c r="F745" s="44" t="s">
        <v>4754</v>
      </c>
      <c r="G745" s="43">
        <v>1.0</v>
      </c>
      <c r="H745" s="42"/>
      <c r="I745" s="42"/>
      <c r="J745" s="22"/>
      <c r="K745" s="42"/>
    </row>
    <row r="746" ht="39.75" customHeight="1">
      <c r="A746" s="1">
        <v>745.0</v>
      </c>
      <c r="B746" s="2" t="s">
        <v>67</v>
      </c>
      <c r="C746" s="2" t="s">
        <v>54</v>
      </c>
      <c r="D746" s="13"/>
      <c r="E746" s="13"/>
      <c r="F746" s="44" t="s">
        <v>4755</v>
      </c>
      <c r="G746" s="43">
        <v>1.0</v>
      </c>
      <c r="H746" s="42"/>
      <c r="I746" s="42"/>
      <c r="J746" s="22"/>
      <c r="K746" s="42"/>
    </row>
    <row r="747" ht="39.75" customHeight="1">
      <c r="A747" s="1">
        <v>746.0</v>
      </c>
      <c r="B747" s="2" t="s">
        <v>35</v>
      </c>
      <c r="C747" s="2" t="s">
        <v>54</v>
      </c>
      <c r="D747" s="53">
        <v>0.2708333333333333</v>
      </c>
      <c r="E747" s="13"/>
      <c r="F747" s="44" t="s">
        <v>4756</v>
      </c>
      <c r="G747" s="43">
        <v>1.0</v>
      </c>
      <c r="H747" s="43">
        <v>1.0</v>
      </c>
      <c r="I747" s="42"/>
      <c r="J747" s="22"/>
      <c r="K747" s="42"/>
    </row>
    <row r="748" ht="39.75" customHeight="1">
      <c r="A748" s="1">
        <v>747.0</v>
      </c>
      <c r="B748" s="2" t="s">
        <v>36</v>
      </c>
      <c r="C748" s="2" t="s">
        <v>39</v>
      </c>
      <c r="D748" s="13"/>
      <c r="E748" s="13"/>
      <c r="F748" s="44" t="s">
        <v>2691</v>
      </c>
      <c r="G748" s="43">
        <v>1.0</v>
      </c>
      <c r="I748" s="43">
        <v>1.0</v>
      </c>
      <c r="J748" s="22"/>
      <c r="K748" s="42"/>
    </row>
    <row r="749" ht="39.75" customHeight="1">
      <c r="A749" s="1">
        <v>748.0</v>
      </c>
      <c r="B749" s="2" t="s">
        <v>38</v>
      </c>
      <c r="C749" s="2" t="s">
        <v>69</v>
      </c>
      <c r="D749" s="13"/>
      <c r="E749" s="51">
        <v>0.8333333333333334</v>
      </c>
      <c r="F749" s="44" t="s">
        <v>2741</v>
      </c>
      <c r="G749" s="43">
        <v>1.0</v>
      </c>
      <c r="H749" s="42"/>
      <c r="I749" s="43">
        <v>1.0</v>
      </c>
      <c r="J749" s="22"/>
      <c r="K749" s="42"/>
    </row>
    <row r="750" ht="39.75" hidden="1" customHeight="1">
      <c r="A750" s="1">
        <v>749.0</v>
      </c>
      <c r="B750" s="2" t="s">
        <v>41</v>
      </c>
      <c r="C750" s="2" t="s">
        <v>58</v>
      </c>
      <c r="D750" s="13"/>
      <c r="E750" s="13"/>
      <c r="F750" s="45"/>
      <c r="G750" s="42"/>
      <c r="H750" s="42"/>
      <c r="I750" s="42"/>
      <c r="J750" s="22"/>
      <c r="K750" s="42"/>
    </row>
    <row r="751" ht="39.75" hidden="1" customHeight="1">
      <c r="A751" s="1">
        <v>750.0</v>
      </c>
      <c r="B751" s="2" t="s">
        <v>42</v>
      </c>
      <c r="C751" s="2" t="s">
        <v>58</v>
      </c>
      <c r="D751" s="13"/>
      <c r="E751" s="13"/>
      <c r="F751" s="45"/>
      <c r="G751" s="42"/>
      <c r="H751" s="42"/>
      <c r="I751" s="42"/>
      <c r="J751" s="22"/>
      <c r="K751" s="42"/>
    </row>
    <row r="752" ht="39.75" customHeight="1">
      <c r="A752" s="1">
        <v>751.0</v>
      </c>
      <c r="B752" s="2" t="s">
        <v>43</v>
      </c>
      <c r="C752" s="2"/>
      <c r="D752" s="13"/>
      <c r="E752" s="13"/>
      <c r="F752" s="44" t="s">
        <v>4757</v>
      </c>
      <c r="G752" s="43">
        <v>1.0</v>
      </c>
      <c r="H752" s="42"/>
      <c r="I752" s="42"/>
      <c r="J752" s="22"/>
      <c r="K752" s="42"/>
    </row>
    <row r="753" ht="39.75" customHeight="1">
      <c r="A753" s="1">
        <v>752.0</v>
      </c>
      <c r="B753" s="2" t="s">
        <v>45</v>
      </c>
      <c r="C753" s="2"/>
      <c r="D753" s="13"/>
      <c r="E753" s="13"/>
      <c r="F753" s="44" t="s">
        <v>4758</v>
      </c>
      <c r="G753" s="43">
        <v>1.0</v>
      </c>
      <c r="H753" s="42"/>
      <c r="I753" s="43">
        <v>1.0</v>
      </c>
      <c r="J753" s="22"/>
      <c r="K753" s="42"/>
    </row>
    <row r="754" ht="39.75" customHeight="1">
      <c r="A754" s="1">
        <v>753.0</v>
      </c>
      <c r="B754" s="2" t="s">
        <v>46</v>
      </c>
      <c r="C754" s="2" t="s">
        <v>44</v>
      </c>
      <c r="D754" s="13"/>
      <c r="E754" s="13"/>
      <c r="F754" s="52" t="s">
        <v>535</v>
      </c>
      <c r="G754" s="56">
        <v>1.0</v>
      </c>
      <c r="H754" s="42"/>
      <c r="I754" s="56">
        <v>1.0</v>
      </c>
      <c r="J754" s="22"/>
      <c r="K754" s="42"/>
    </row>
    <row r="755" ht="39.75" customHeight="1">
      <c r="A755" s="1">
        <v>754.0</v>
      </c>
      <c r="B755" s="2" t="s">
        <v>47</v>
      </c>
      <c r="C755" s="2" t="s">
        <v>39</v>
      </c>
      <c r="D755" s="13"/>
      <c r="E755" s="51">
        <v>0.8958333333333334</v>
      </c>
      <c r="F755" s="44" t="s">
        <v>4751</v>
      </c>
      <c r="G755" s="43">
        <v>1.0</v>
      </c>
      <c r="H755" s="43">
        <v>1.0</v>
      </c>
      <c r="I755" s="42"/>
      <c r="J755" s="22"/>
      <c r="K755" s="42"/>
    </row>
    <row r="756" ht="39.75" customHeight="1">
      <c r="A756" s="1">
        <v>755.0</v>
      </c>
      <c r="B756" s="2" t="s">
        <v>48</v>
      </c>
      <c r="C756" s="2"/>
      <c r="D756" s="13"/>
      <c r="E756" s="13"/>
      <c r="F756" s="44" t="s">
        <v>4759</v>
      </c>
      <c r="G756" s="43">
        <v>2.0</v>
      </c>
      <c r="H756" s="42"/>
      <c r="I756" s="43">
        <v>2.0</v>
      </c>
      <c r="J756" s="22"/>
      <c r="K756" s="42"/>
    </row>
    <row r="757" ht="39.75" customHeight="1">
      <c r="A757" s="1">
        <v>756.0</v>
      </c>
      <c r="B757" s="21"/>
      <c r="C757" s="21"/>
      <c r="D757" s="21"/>
      <c r="E757" s="21"/>
      <c r="F757" s="46"/>
      <c r="G757" s="47"/>
      <c r="H757" s="47"/>
      <c r="I757" s="47"/>
      <c r="J757" s="48"/>
      <c r="K757" s="47"/>
      <c r="L757" s="49"/>
      <c r="M757" s="49"/>
      <c r="N757" s="49"/>
    </row>
    <row r="758" ht="39.75" hidden="1" customHeight="1">
      <c r="A758" s="1">
        <v>757.0</v>
      </c>
      <c r="B758" s="2" t="s">
        <v>12</v>
      </c>
      <c r="C758" s="2" t="s">
        <v>58</v>
      </c>
      <c r="D758" s="13"/>
      <c r="E758" s="13"/>
      <c r="F758" s="45"/>
      <c r="G758" s="42"/>
      <c r="H758" s="42"/>
      <c r="I758" s="42"/>
      <c r="J758" s="27" t="s">
        <v>4481</v>
      </c>
      <c r="K758" s="42"/>
      <c r="L758" s="15" t="s">
        <v>460</v>
      </c>
    </row>
    <row r="759" ht="39.75" hidden="1" customHeight="1">
      <c r="A759" s="1">
        <v>758.0</v>
      </c>
      <c r="B759" s="2" t="s">
        <v>16</v>
      </c>
      <c r="C759" s="2" t="s">
        <v>58</v>
      </c>
      <c r="D759" s="13"/>
      <c r="E759" s="13"/>
      <c r="F759" s="45"/>
      <c r="G759" s="42"/>
      <c r="H759" s="42"/>
      <c r="I759" s="42"/>
      <c r="J759" s="27" t="s">
        <v>460</v>
      </c>
      <c r="K759" s="43"/>
    </row>
    <row r="760" ht="39.75" customHeight="1">
      <c r="A760" s="1">
        <v>759.0</v>
      </c>
      <c r="B760" s="2" t="s">
        <v>116</v>
      </c>
      <c r="C760" s="2" t="s">
        <v>69</v>
      </c>
      <c r="D760" s="13"/>
      <c r="E760" s="13"/>
      <c r="F760" s="44" t="s">
        <v>4760</v>
      </c>
      <c r="G760" s="43">
        <v>1.0</v>
      </c>
      <c r="H760" s="42"/>
      <c r="I760" s="42"/>
      <c r="J760" s="27" t="s">
        <v>95</v>
      </c>
      <c r="K760" s="42"/>
    </row>
    <row r="761" ht="39.75" customHeight="1">
      <c r="A761" s="1">
        <v>760.0</v>
      </c>
      <c r="B761" s="2" t="s">
        <v>17</v>
      </c>
      <c r="C761" s="2"/>
      <c r="D761" s="13"/>
      <c r="E761" s="13"/>
      <c r="F761" s="44" t="s">
        <v>4761</v>
      </c>
      <c r="G761" s="43">
        <v>1.0</v>
      </c>
      <c r="H761" s="42"/>
      <c r="I761" s="42"/>
      <c r="J761" s="22"/>
      <c r="K761" s="42"/>
    </row>
    <row r="762" ht="39.75" hidden="1" customHeight="1">
      <c r="A762" s="1">
        <v>761.0</v>
      </c>
      <c r="B762" s="2" t="s">
        <v>331</v>
      </c>
      <c r="C762" s="2" t="s">
        <v>66</v>
      </c>
      <c r="D762" s="13"/>
      <c r="E762" s="13"/>
      <c r="F762" s="45"/>
      <c r="G762" s="42"/>
      <c r="H762" s="42"/>
      <c r="I762" s="42"/>
      <c r="J762" s="22"/>
      <c r="K762" s="42"/>
    </row>
    <row r="763" ht="39.75" customHeight="1">
      <c r="A763" s="1">
        <v>762.0</v>
      </c>
      <c r="B763" s="2" t="s">
        <v>21</v>
      </c>
      <c r="C763" s="2" t="s">
        <v>63</v>
      </c>
      <c r="D763" s="13"/>
      <c r="E763" s="13"/>
      <c r="F763" s="44" t="s">
        <v>4749</v>
      </c>
      <c r="G763" s="42"/>
      <c r="H763" s="42"/>
      <c r="I763" s="42"/>
      <c r="J763" s="22"/>
      <c r="K763" s="42"/>
    </row>
    <row r="764" ht="64.5" customHeight="1">
      <c r="A764" s="1">
        <v>763.0</v>
      </c>
      <c r="B764" s="2" t="s">
        <v>22</v>
      </c>
      <c r="C764" s="2"/>
      <c r="D764" s="13"/>
      <c r="E764" s="51">
        <v>0.8541666666666666</v>
      </c>
      <c r="F764" s="44" t="s">
        <v>4762</v>
      </c>
      <c r="G764" s="43">
        <v>1.0</v>
      </c>
      <c r="H764" s="43">
        <v>1.0</v>
      </c>
      <c r="I764" s="42"/>
      <c r="J764" s="22"/>
      <c r="K764" s="42"/>
    </row>
    <row r="765" ht="69.0" customHeight="1">
      <c r="A765" s="1">
        <v>764.0</v>
      </c>
      <c r="B765" s="2" t="s">
        <v>23</v>
      </c>
      <c r="C765" s="2" t="s">
        <v>39</v>
      </c>
      <c r="D765" s="13"/>
      <c r="E765" s="13"/>
      <c r="F765" s="44" t="s">
        <v>4763</v>
      </c>
      <c r="G765" s="43">
        <v>1.0</v>
      </c>
      <c r="H765" s="42"/>
      <c r="I765" s="43">
        <v>1.0</v>
      </c>
      <c r="J765" s="22"/>
      <c r="K765" s="42"/>
    </row>
    <row r="766" ht="39.75" customHeight="1">
      <c r="A766" s="1">
        <v>765.0</v>
      </c>
      <c r="B766" s="2" t="s">
        <v>24</v>
      </c>
      <c r="C766" s="2" t="s">
        <v>63</v>
      </c>
      <c r="D766" s="13"/>
      <c r="E766" s="13"/>
      <c r="F766" s="44" t="s">
        <v>4764</v>
      </c>
      <c r="G766" s="42"/>
      <c r="H766" s="42"/>
      <c r="I766" s="42"/>
      <c r="J766" s="22"/>
      <c r="K766" s="42"/>
    </row>
    <row r="767" ht="39.75" customHeight="1">
      <c r="A767" s="1">
        <v>766.0</v>
      </c>
      <c r="B767" s="2" t="s">
        <v>25</v>
      </c>
      <c r="C767" s="2"/>
      <c r="D767" s="53">
        <v>0.3333333333333333</v>
      </c>
      <c r="E767" s="51">
        <v>0.8958333333333334</v>
      </c>
      <c r="F767" s="44" t="s">
        <v>4765</v>
      </c>
      <c r="G767" s="43">
        <v>1.0</v>
      </c>
      <c r="H767" s="43">
        <v>1.0</v>
      </c>
      <c r="I767" s="42"/>
      <c r="J767" s="22"/>
      <c r="K767" s="42"/>
    </row>
    <row r="768" ht="39.75" customHeight="1">
      <c r="A768" s="1">
        <v>767.0</v>
      </c>
      <c r="B768" s="2" t="s">
        <v>26</v>
      </c>
      <c r="C768" s="2" t="s">
        <v>54</v>
      </c>
      <c r="D768" s="53">
        <v>0.3333333333333333</v>
      </c>
      <c r="E768" s="51">
        <v>0.8958333333333334</v>
      </c>
      <c r="F768" s="44" t="s">
        <v>4766</v>
      </c>
      <c r="G768" s="43">
        <v>1.0</v>
      </c>
      <c r="H768" s="43">
        <v>1.0</v>
      </c>
      <c r="I768" s="42"/>
      <c r="J768" s="22"/>
      <c r="K768" s="42"/>
    </row>
    <row r="769" ht="63.75" customHeight="1">
      <c r="A769" s="1">
        <v>768.0</v>
      </c>
      <c r="B769" s="2" t="s">
        <v>29</v>
      </c>
      <c r="C769" s="2"/>
      <c r="D769" s="13"/>
      <c r="E769" s="13"/>
      <c r="F769" s="44" t="s">
        <v>4767</v>
      </c>
      <c r="G769" s="43">
        <v>1.0</v>
      </c>
      <c r="H769" s="42"/>
      <c r="I769" s="42"/>
      <c r="J769" s="22"/>
      <c r="K769" s="42"/>
    </row>
    <row r="770" ht="39.75" hidden="1" customHeight="1">
      <c r="A770" s="1">
        <v>769.0</v>
      </c>
      <c r="B770" s="2" t="s">
        <v>30</v>
      </c>
      <c r="C770" s="2" t="s">
        <v>58</v>
      </c>
      <c r="D770" s="13"/>
      <c r="E770" s="13"/>
      <c r="F770" s="45"/>
      <c r="G770" s="42"/>
      <c r="H770" s="42"/>
      <c r="I770" s="42"/>
      <c r="J770" s="22"/>
      <c r="K770" s="42"/>
    </row>
    <row r="771" ht="39.75" customHeight="1">
      <c r="A771" s="1">
        <v>770.0</v>
      </c>
      <c r="B771" s="2" t="s">
        <v>31</v>
      </c>
      <c r="C771" s="2" t="s">
        <v>44</v>
      </c>
      <c r="D771" s="13"/>
      <c r="E771" s="13"/>
      <c r="F771" s="45"/>
      <c r="G771" s="42"/>
      <c r="H771" s="42"/>
      <c r="I771" s="42"/>
      <c r="J771" s="22"/>
      <c r="K771" s="42"/>
    </row>
    <row r="772" ht="39.75" customHeight="1">
      <c r="A772" s="1">
        <v>771.0</v>
      </c>
      <c r="B772" s="2" t="s">
        <v>32</v>
      </c>
      <c r="C772" s="2" t="s">
        <v>54</v>
      </c>
      <c r="D772" s="13"/>
      <c r="E772" s="13"/>
      <c r="F772" s="44" t="s">
        <v>4768</v>
      </c>
      <c r="G772" s="43">
        <v>1.0</v>
      </c>
      <c r="H772" s="42"/>
      <c r="I772" s="42"/>
      <c r="J772" s="22"/>
      <c r="K772" s="42"/>
    </row>
    <row r="773" ht="39.75" customHeight="1">
      <c r="A773" s="1">
        <v>772.0</v>
      </c>
      <c r="B773" s="2" t="s">
        <v>67</v>
      </c>
      <c r="C773" s="2" t="s">
        <v>54</v>
      </c>
      <c r="D773" s="53">
        <v>0.3125</v>
      </c>
      <c r="E773" s="51">
        <v>0.8958333333333334</v>
      </c>
      <c r="F773" s="44" t="s">
        <v>4766</v>
      </c>
      <c r="G773" s="43">
        <v>1.0</v>
      </c>
      <c r="H773" s="43">
        <v>1.0</v>
      </c>
      <c r="I773" s="42"/>
      <c r="J773" s="22"/>
      <c r="K773" s="42"/>
    </row>
    <row r="774" ht="39.75" customHeight="1">
      <c r="A774" s="1">
        <v>773.0</v>
      </c>
      <c r="B774" s="2" t="s">
        <v>35</v>
      </c>
      <c r="C774" s="2" t="s">
        <v>54</v>
      </c>
      <c r="D774" s="13"/>
      <c r="E774" s="13"/>
      <c r="F774" s="44" t="s">
        <v>4769</v>
      </c>
      <c r="G774" s="43">
        <v>2.0</v>
      </c>
      <c r="H774" s="42"/>
      <c r="I774" s="43">
        <v>1.0</v>
      </c>
      <c r="J774" s="22"/>
      <c r="K774" s="42"/>
    </row>
    <row r="775" ht="39.75" customHeight="1">
      <c r="A775" s="1">
        <v>774.0</v>
      </c>
      <c r="B775" s="2" t="s">
        <v>36</v>
      </c>
      <c r="C775" s="2" t="s">
        <v>27</v>
      </c>
      <c r="D775" s="13"/>
      <c r="E775" s="13"/>
      <c r="F775" s="44" t="s">
        <v>4770</v>
      </c>
      <c r="G775" s="43">
        <v>1.0</v>
      </c>
      <c r="H775" s="42"/>
      <c r="I775" s="42"/>
      <c r="J775" s="22"/>
      <c r="K775" s="42"/>
    </row>
    <row r="776" ht="39.75" customHeight="1">
      <c r="A776" s="1">
        <v>775.0</v>
      </c>
      <c r="B776" s="2" t="s">
        <v>38</v>
      </c>
      <c r="C776" s="2" t="s">
        <v>69</v>
      </c>
      <c r="D776" s="13"/>
      <c r="E776" s="13"/>
      <c r="F776" s="44" t="s">
        <v>4771</v>
      </c>
      <c r="G776" s="43">
        <v>2.0</v>
      </c>
      <c r="H776" s="42"/>
      <c r="I776" s="43">
        <v>1.0</v>
      </c>
      <c r="J776" s="22"/>
      <c r="K776" s="42"/>
    </row>
    <row r="777" ht="39.75" hidden="1" customHeight="1">
      <c r="A777" s="1">
        <v>776.0</v>
      </c>
      <c r="B777" s="2" t="s">
        <v>41</v>
      </c>
      <c r="C777" s="2" t="s">
        <v>58</v>
      </c>
      <c r="D777" s="13"/>
      <c r="E777" s="13"/>
      <c r="F777" s="45"/>
      <c r="G777" s="42"/>
      <c r="H777" s="42"/>
      <c r="I777" s="42"/>
      <c r="J777" s="22"/>
      <c r="K777" s="42"/>
    </row>
    <row r="778" ht="39.75" hidden="1" customHeight="1">
      <c r="A778" s="1">
        <v>777.0</v>
      </c>
      <c r="B778" s="2" t="s">
        <v>42</v>
      </c>
      <c r="C778" s="2" t="s">
        <v>58</v>
      </c>
      <c r="D778" s="13"/>
      <c r="E778" s="13"/>
      <c r="F778" s="45"/>
      <c r="G778" s="42"/>
      <c r="H778" s="42"/>
      <c r="I778" s="42"/>
      <c r="J778" s="22"/>
      <c r="K778" s="42"/>
    </row>
    <row r="779" ht="39.75" customHeight="1">
      <c r="A779" s="1">
        <v>778.0</v>
      </c>
      <c r="B779" s="2" t="s">
        <v>43</v>
      </c>
      <c r="C779" s="2"/>
      <c r="D779" s="13"/>
      <c r="E779" s="13"/>
      <c r="F779" s="44" t="s">
        <v>4772</v>
      </c>
      <c r="G779" s="43">
        <v>1.0</v>
      </c>
      <c r="H779" s="42"/>
      <c r="I779" s="42"/>
      <c r="J779" s="22"/>
      <c r="K779" s="42"/>
    </row>
    <row r="780" ht="39.75" customHeight="1">
      <c r="A780" s="1">
        <v>779.0</v>
      </c>
      <c r="B780" s="2" t="s">
        <v>45</v>
      </c>
      <c r="C780" s="2" t="s">
        <v>39</v>
      </c>
      <c r="D780" s="13"/>
      <c r="E780" s="13"/>
      <c r="F780" s="44" t="s">
        <v>4773</v>
      </c>
      <c r="G780" s="43">
        <v>1.0</v>
      </c>
      <c r="H780" s="42"/>
      <c r="I780" s="42"/>
      <c r="J780" s="22"/>
      <c r="K780" s="42"/>
    </row>
    <row r="781" ht="39.75" customHeight="1">
      <c r="A781" s="1">
        <v>780.0</v>
      </c>
      <c r="B781" s="2" t="s">
        <v>46</v>
      </c>
      <c r="C781" s="2"/>
      <c r="D781" s="13"/>
      <c r="E781" s="13"/>
      <c r="F781" s="44" t="s">
        <v>1285</v>
      </c>
      <c r="G781" s="43">
        <v>1.0</v>
      </c>
      <c r="H781" s="42"/>
      <c r="I781" s="43">
        <v>1.0</v>
      </c>
      <c r="J781" s="22"/>
      <c r="K781" s="42"/>
    </row>
    <row r="782" ht="39.75" customHeight="1">
      <c r="A782" s="1">
        <v>781.0</v>
      </c>
      <c r="B782" s="2" t="s">
        <v>47</v>
      </c>
      <c r="C782" s="2"/>
      <c r="D782" s="53">
        <v>0.3541666666666667</v>
      </c>
      <c r="E782" s="51">
        <v>0.8958333333333334</v>
      </c>
      <c r="F782" s="44" t="s">
        <v>4766</v>
      </c>
      <c r="G782" s="43">
        <v>1.0</v>
      </c>
      <c r="H782" s="43">
        <v>1.0</v>
      </c>
      <c r="I782" s="42"/>
      <c r="J782" s="22"/>
      <c r="K782" s="42"/>
    </row>
    <row r="783" ht="39.75" customHeight="1">
      <c r="A783" s="1">
        <v>782.0</v>
      </c>
      <c r="B783" s="2" t="s">
        <v>48</v>
      </c>
      <c r="C783" s="2" t="s">
        <v>69</v>
      </c>
      <c r="D783" s="13"/>
      <c r="E783" s="13"/>
      <c r="F783" s="45"/>
      <c r="G783" s="42"/>
      <c r="H783" s="42"/>
      <c r="I783" s="42"/>
      <c r="J783" s="22"/>
      <c r="K783" s="42"/>
    </row>
    <row r="784" ht="39.75" customHeight="1">
      <c r="A784" s="1">
        <v>783.0</v>
      </c>
      <c r="B784" s="21"/>
      <c r="C784" s="21"/>
      <c r="D784" s="21"/>
      <c r="E784" s="21"/>
      <c r="F784" s="46"/>
      <c r="G784" s="47"/>
      <c r="H784" s="47"/>
      <c r="I784" s="47"/>
      <c r="J784" s="48"/>
      <c r="K784" s="47"/>
      <c r="L784" s="49"/>
      <c r="M784" s="49"/>
      <c r="N784" s="49"/>
    </row>
    <row r="785" ht="39.75" customHeight="1">
      <c r="A785" s="1">
        <v>784.0</v>
      </c>
      <c r="B785" s="2" t="s">
        <v>12</v>
      </c>
      <c r="C785" s="2" t="s">
        <v>62</v>
      </c>
      <c r="D785" s="13"/>
      <c r="E785" s="13"/>
      <c r="F785" s="44" t="s">
        <v>1543</v>
      </c>
      <c r="G785" s="43">
        <v>1.0</v>
      </c>
      <c r="H785" s="42"/>
      <c r="I785" s="43">
        <v>1.0</v>
      </c>
      <c r="J785" s="27" t="s">
        <v>4481</v>
      </c>
      <c r="K785" s="42"/>
      <c r="L785" s="15" t="s">
        <v>467</v>
      </c>
    </row>
    <row r="786" ht="39.75" customHeight="1">
      <c r="A786" s="1">
        <v>785.0</v>
      </c>
      <c r="B786" s="2" t="s">
        <v>16</v>
      </c>
      <c r="C786" s="2" t="s">
        <v>39</v>
      </c>
      <c r="D786" s="13"/>
      <c r="E786" s="13"/>
      <c r="F786" s="44" t="s">
        <v>4774</v>
      </c>
      <c r="G786" s="43">
        <v>1.0</v>
      </c>
      <c r="H786" s="42"/>
      <c r="I786" s="42"/>
      <c r="J786" s="27" t="s">
        <v>467</v>
      </c>
      <c r="K786" s="43"/>
    </row>
    <row r="787" ht="39.75" customHeight="1">
      <c r="A787" s="1">
        <v>786.0</v>
      </c>
      <c r="B787" s="2" t="s">
        <v>116</v>
      </c>
      <c r="C787" s="2"/>
      <c r="D787" s="13"/>
      <c r="E787" s="13"/>
      <c r="F787" s="44" t="s">
        <v>1285</v>
      </c>
      <c r="G787" s="43">
        <v>1.0</v>
      </c>
      <c r="H787" s="42"/>
      <c r="I787" s="43">
        <v>1.0</v>
      </c>
      <c r="J787" s="27" t="s">
        <v>111</v>
      </c>
      <c r="K787" s="42"/>
    </row>
    <row r="788" ht="39.75" customHeight="1">
      <c r="A788" s="1">
        <v>787.0</v>
      </c>
      <c r="B788" s="2" t="s">
        <v>17</v>
      </c>
      <c r="C788" s="2"/>
      <c r="D788" s="13"/>
      <c r="E788" s="13"/>
      <c r="F788" s="44" t="s">
        <v>4775</v>
      </c>
      <c r="G788" s="43">
        <v>1.0</v>
      </c>
      <c r="H788" s="43">
        <v>1.0</v>
      </c>
      <c r="I788" s="42"/>
      <c r="J788" s="22"/>
      <c r="K788" s="42"/>
    </row>
    <row r="789" ht="39.75" customHeight="1">
      <c r="A789" s="1">
        <v>788.0</v>
      </c>
      <c r="B789" s="2" t="s">
        <v>331</v>
      </c>
      <c r="C789" s="2" t="s">
        <v>542</v>
      </c>
      <c r="D789" s="13"/>
      <c r="E789" s="13"/>
      <c r="F789" s="44" t="s">
        <v>4776</v>
      </c>
      <c r="G789" s="43">
        <v>1.0</v>
      </c>
      <c r="H789" s="42"/>
      <c r="I789" s="43">
        <v>1.0</v>
      </c>
      <c r="J789" s="22"/>
      <c r="K789" s="42"/>
    </row>
    <row r="790" ht="39.75" customHeight="1">
      <c r="A790" s="1">
        <v>789.0</v>
      </c>
      <c r="B790" s="2" t="s">
        <v>21</v>
      </c>
      <c r="C790" s="2" t="s">
        <v>63</v>
      </c>
      <c r="D790" s="13"/>
      <c r="E790" s="13"/>
      <c r="F790" s="44" t="s">
        <v>4749</v>
      </c>
      <c r="G790" s="42"/>
      <c r="H790" s="42"/>
      <c r="I790" s="42"/>
      <c r="J790" s="22"/>
      <c r="K790" s="42"/>
    </row>
    <row r="791" ht="39.75" customHeight="1">
      <c r="A791" s="1">
        <v>790.0</v>
      </c>
      <c r="B791" s="2" t="s">
        <v>22</v>
      </c>
      <c r="C791" s="2" t="s">
        <v>69</v>
      </c>
      <c r="D791" s="13"/>
      <c r="E791" s="13"/>
      <c r="F791" s="44" t="s">
        <v>4777</v>
      </c>
      <c r="G791" s="43">
        <v>1.0</v>
      </c>
      <c r="H791" s="42"/>
      <c r="I791" s="42"/>
      <c r="J791" s="22"/>
      <c r="K791" s="42"/>
    </row>
    <row r="792" ht="39.75" customHeight="1">
      <c r="A792" s="1">
        <v>791.0</v>
      </c>
      <c r="B792" s="2" t="s">
        <v>23</v>
      </c>
      <c r="C792" s="2" t="s">
        <v>27</v>
      </c>
      <c r="D792" s="13"/>
      <c r="E792" s="13"/>
      <c r="F792" s="45"/>
      <c r="G792" s="42"/>
      <c r="H792" s="42"/>
      <c r="I792" s="42"/>
      <c r="J792" s="22"/>
      <c r="K792" s="42"/>
    </row>
    <row r="793" ht="39.75" customHeight="1">
      <c r="A793" s="1">
        <v>792.0</v>
      </c>
      <c r="B793" s="2" t="s">
        <v>24</v>
      </c>
      <c r="C793" s="2" t="s">
        <v>63</v>
      </c>
      <c r="D793" s="13"/>
      <c r="E793" s="13"/>
      <c r="F793" s="44" t="s">
        <v>4778</v>
      </c>
      <c r="G793" s="42"/>
      <c r="H793" s="42"/>
      <c r="I793" s="42"/>
      <c r="J793" s="22"/>
      <c r="K793" s="42"/>
    </row>
    <row r="794" ht="39.75" customHeight="1">
      <c r="A794" s="1">
        <v>793.0</v>
      </c>
      <c r="B794" s="2" t="s">
        <v>25</v>
      </c>
      <c r="C794" s="2"/>
      <c r="D794" s="13"/>
      <c r="E794" s="51">
        <v>0.8333333333333334</v>
      </c>
      <c r="F794" s="44" t="s">
        <v>4779</v>
      </c>
      <c r="G794" s="43">
        <v>1.0</v>
      </c>
      <c r="H794" s="43">
        <v>1.0</v>
      </c>
      <c r="I794" s="42"/>
      <c r="J794" s="22"/>
      <c r="K794" s="42"/>
    </row>
    <row r="795" ht="39.75" customHeight="1">
      <c r="A795" s="1">
        <v>794.0</v>
      </c>
      <c r="B795" s="2" t="s">
        <v>26</v>
      </c>
      <c r="C795" s="2" t="s">
        <v>54</v>
      </c>
      <c r="D795" s="13"/>
      <c r="E795" s="40">
        <v>0.7708333333333334</v>
      </c>
      <c r="F795" s="44" t="s">
        <v>4751</v>
      </c>
      <c r="G795" s="43">
        <v>1.0</v>
      </c>
      <c r="H795" s="43">
        <v>1.0</v>
      </c>
      <c r="I795" s="42"/>
      <c r="J795" s="22"/>
      <c r="K795" s="42"/>
    </row>
    <row r="796" ht="39.75" customHeight="1">
      <c r="A796" s="1">
        <v>795.0</v>
      </c>
      <c r="B796" s="2" t="s">
        <v>29</v>
      </c>
      <c r="C796" s="2" t="s">
        <v>69</v>
      </c>
      <c r="D796" s="13"/>
      <c r="E796" s="13"/>
      <c r="F796" s="44" t="s">
        <v>4780</v>
      </c>
      <c r="G796" s="43">
        <v>1.0</v>
      </c>
      <c r="H796" s="42"/>
      <c r="I796" s="43"/>
      <c r="J796" s="22"/>
      <c r="K796" s="42"/>
    </row>
    <row r="797" ht="39.75" hidden="1" customHeight="1">
      <c r="A797" s="1">
        <v>796.0</v>
      </c>
      <c r="B797" s="2" t="s">
        <v>30</v>
      </c>
      <c r="C797" s="2" t="s">
        <v>58</v>
      </c>
      <c r="D797" s="13"/>
      <c r="E797" s="13"/>
      <c r="F797" s="45"/>
      <c r="G797" s="42"/>
      <c r="H797" s="42"/>
      <c r="I797" s="42"/>
      <c r="J797" s="22"/>
      <c r="K797" s="42"/>
    </row>
    <row r="798" ht="39.75" customHeight="1">
      <c r="A798" s="1">
        <v>797.0</v>
      </c>
      <c r="B798" s="2" t="s">
        <v>31</v>
      </c>
      <c r="C798" s="13"/>
      <c r="D798" s="13"/>
      <c r="E798" s="13"/>
      <c r="F798" s="44" t="s">
        <v>4781</v>
      </c>
      <c r="G798" s="43">
        <v>3.0</v>
      </c>
      <c r="H798" s="42"/>
      <c r="I798" s="43">
        <v>3.0</v>
      </c>
      <c r="J798" s="22"/>
      <c r="K798" s="42"/>
    </row>
    <row r="799" ht="39.75" customHeight="1">
      <c r="A799" s="1">
        <v>798.0</v>
      </c>
      <c r="B799" s="2" t="s">
        <v>32</v>
      </c>
      <c r="C799" s="2" t="s">
        <v>54</v>
      </c>
      <c r="D799" s="13"/>
      <c r="E799" s="13"/>
      <c r="F799" s="44"/>
      <c r="G799" s="43"/>
      <c r="H799" s="42"/>
      <c r="I799" s="42"/>
      <c r="J799" s="22"/>
      <c r="K799" s="42"/>
    </row>
    <row r="800" ht="39.75" customHeight="1">
      <c r="A800" s="1">
        <v>799.0</v>
      </c>
      <c r="B800" s="2" t="s">
        <v>67</v>
      </c>
      <c r="C800" s="2" t="s">
        <v>54</v>
      </c>
      <c r="D800" s="13"/>
      <c r="E800" s="40">
        <v>0.7708333333333334</v>
      </c>
      <c r="F800" s="44" t="s">
        <v>4751</v>
      </c>
      <c r="G800" s="43">
        <v>1.0</v>
      </c>
      <c r="H800" s="43">
        <v>1.0</v>
      </c>
      <c r="I800" s="42"/>
      <c r="J800" s="22"/>
      <c r="K800" s="42"/>
    </row>
    <row r="801" ht="39.75" customHeight="1">
      <c r="A801" s="1">
        <v>800.0</v>
      </c>
      <c r="B801" s="2" t="s">
        <v>35</v>
      </c>
      <c r="C801" s="2" t="s">
        <v>54</v>
      </c>
      <c r="D801" s="13"/>
      <c r="E801" s="13"/>
      <c r="F801" s="44" t="s">
        <v>4782</v>
      </c>
      <c r="G801" s="43">
        <v>2.0</v>
      </c>
      <c r="H801" s="42"/>
      <c r="I801" s="42"/>
      <c r="J801" s="22"/>
      <c r="K801" s="42"/>
    </row>
    <row r="802" ht="39.75" customHeight="1">
      <c r="A802" s="1">
        <v>801.0</v>
      </c>
      <c r="B802" s="2" t="s">
        <v>36</v>
      </c>
      <c r="C802" s="2" t="s">
        <v>44</v>
      </c>
      <c r="D802" s="13"/>
      <c r="E802" s="13"/>
      <c r="F802" s="45"/>
      <c r="G802" s="42"/>
      <c r="H802" s="42"/>
      <c r="I802" s="42"/>
      <c r="J802" s="22"/>
      <c r="K802" s="42"/>
    </row>
    <row r="803" ht="39.75" hidden="1" customHeight="1">
      <c r="A803" s="1">
        <v>802.0</v>
      </c>
      <c r="B803" s="2" t="s">
        <v>38</v>
      </c>
      <c r="C803" s="2" t="s">
        <v>66</v>
      </c>
      <c r="D803" s="13"/>
      <c r="E803" s="13"/>
      <c r="F803" s="45"/>
      <c r="G803" s="42"/>
      <c r="H803" s="42"/>
      <c r="I803" s="42"/>
      <c r="J803" s="22"/>
      <c r="K803" s="42"/>
    </row>
    <row r="804" ht="39.75" hidden="1" customHeight="1">
      <c r="A804" s="1">
        <v>803.0</v>
      </c>
      <c r="B804" s="2" t="s">
        <v>41</v>
      </c>
      <c r="C804" s="2" t="s">
        <v>58</v>
      </c>
      <c r="D804" s="13"/>
      <c r="E804" s="13"/>
      <c r="F804" s="45"/>
      <c r="G804" s="42"/>
      <c r="H804" s="42"/>
      <c r="I804" s="42"/>
      <c r="J804" s="22"/>
      <c r="K804" s="42"/>
    </row>
    <row r="805" ht="39.75" hidden="1" customHeight="1">
      <c r="A805" s="1">
        <v>804.0</v>
      </c>
      <c r="B805" s="2" t="s">
        <v>42</v>
      </c>
      <c r="C805" s="2" t="s">
        <v>58</v>
      </c>
      <c r="D805" s="13"/>
      <c r="E805" s="13"/>
      <c r="F805" s="45"/>
      <c r="G805" s="42"/>
      <c r="H805" s="42"/>
      <c r="I805" s="42"/>
      <c r="J805" s="22"/>
      <c r="K805" s="42"/>
    </row>
    <row r="806" ht="39.75" customHeight="1">
      <c r="A806" s="1">
        <v>805.0</v>
      </c>
      <c r="B806" s="2" t="s">
        <v>43</v>
      </c>
      <c r="C806" s="2" t="s">
        <v>39</v>
      </c>
      <c r="D806" s="13"/>
      <c r="E806" s="13"/>
      <c r="F806" s="44" t="s">
        <v>4783</v>
      </c>
      <c r="G806" s="43">
        <v>2.0</v>
      </c>
      <c r="H806" s="42"/>
      <c r="I806" s="43">
        <v>1.0</v>
      </c>
      <c r="J806" s="22"/>
      <c r="K806" s="42"/>
    </row>
    <row r="807" ht="39.75" customHeight="1">
      <c r="A807" s="1">
        <v>806.0</v>
      </c>
      <c r="B807" s="2" t="s">
        <v>45</v>
      </c>
      <c r="C807" s="2" t="s">
        <v>69</v>
      </c>
      <c r="D807" s="13"/>
      <c r="E807" s="51">
        <v>0.9583333333333334</v>
      </c>
      <c r="F807" s="44" t="s">
        <v>4784</v>
      </c>
      <c r="G807" s="43">
        <v>1.0</v>
      </c>
      <c r="H807" s="42"/>
      <c r="I807" s="43">
        <v>1.0</v>
      </c>
      <c r="J807" s="22"/>
      <c r="K807" s="42"/>
    </row>
    <row r="808" ht="39.75" customHeight="1">
      <c r="A808" s="1">
        <v>807.0</v>
      </c>
      <c r="B808" s="2" t="s">
        <v>46</v>
      </c>
      <c r="C808" s="2"/>
      <c r="D808" s="13"/>
      <c r="E808" s="13"/>
      <c r="F808" s="44" t="s">
        <v>4785</v>
      </c>
      <c r="G808" s="43">
        <v>1.0</v>
      </c>
      <c r="H808" s="42"/>
      <c r="I808" s="43">
        <v>1.0</v>
      </c>
      <c r="J808" s="22"/>
      <c r="K808" s="42"/>
    </row>
    <row r="809" ht="39.75" customHeight="1">
      <c r="A809" s="1">
        <v>808.0</v>
      </c>
      <c r="B809" s="2" t="s">
        <v>47</v>
      </c>
      <c r="C809" s="2"/>
      <c r="D809" s="13"/>
      <c r="E809" s="51">
        <v>0.8333333333333334</v>
      </c>
      <c r="F809" s="44" t="s">
        <v>4786</v>
      </c>
      <c r="G809" s="43">
        <v>1.0</v>
      </c>
      <c r="H809" s="43">
        <v>1.0</v>
      </c>
      <c r="I809" s="42"/>
      <c r="J809" s="22"/>
      <c r="K809" s="42"/>
    </row>
    <row r="810" ht="39.75" customHeight="1">
      <c r="A810" s="1">
        <v>809.0</v>
      </c>
      <c r="B810" s="2" t="s">
        <v>48</v>
      </c>
      <c r="C810" s="2"/>
      <c r="D810" s="13"/>
      <c r="E810" s="13"/>
      <c r="F810" s="44" t="s">
        <v>4787</v>
      </c>
      <c r="G810" s="43">
        <v>1.0</v>
      </c>
      <c r="H810" s="42"/>
      <c r="I810" s="42"/>
      <c r="J810" s="22"/>
      <c r="K810" s="42"/>
    </row>
    <row r="811" ht="39.75" customHeight="1">
      <c r="A811" s="1">
        <v>810.0</v>
      </c>
      <c r="B811" s="21"/>
      <c r="C811" s="21"/>
      <c r="D811" s="21"/>
      <c r="E811" s="21"/>
      <c r="F811" s="46"/>
      <c r="G811" s="47"/>
      <c r="H811" s="47"/>
      <c r="I811" s="47"/>
      <c r="J811" s="48"/>
      <c r="K811" s="47"/>
      <c r="L811" s="49"/>
      <c r="M811" s="49"/>
      <c r="N811" s="49"/>
    </row>
    <row r="812" ht="39.75" customHeight="1">
      <c r="A812" s="1">
        <v>811.0</v>
      </c>
      <c r="B812" s="2" t="s">
        <v>12</v>
      </c>
      <c r="C812" s="2" t="s">
        <v>62</v>
      </c>
      <c r="D812" s="13"/>
      <c r="E812" s="13"/>
      <c r="F812" s="44" t="s">
        <v>1543</v>
      </c>
      <c r="G812" s="43">
        <v>1.0</v>
      </c>
      <c r="H812" s="42"/>
      <c r="I812" s="43">
        <v>1.0</v>
      </c>
      <c r="J812" s="27" t="s">
        <v>4481</v>
      </c>
      <c r="K812" s="42"/>
      <c r="L812" s="15" t="s">
        <v>477</v>
      </c>
    </row>
    <row r="813" ht="39.75" customHeight="1">
      <c r="A813" s="1">
        <v>812.0</v>
      </c>
      <c r="B813" s="2" t="s">
        <v>16</v>
      </c>
      <c r="C813" s="2" t="s">
        <v>69</v>
      </c>
      <c r="D813" s="13"/>
      <c r="E813" s="13"/>
      <c r="F813" s="45"/>
      <c r="G813" s="42"/>
      <c r="H813" s="42"/>
      <c r="I813" s="42"/>
      <c r="J813" s="27" t="s">
        <v>477</v>
      </c>
      <c r="K813" s="43"/>
    </row>
    <row r="814" ht="39.75" customHeight="1">
      <c r="A814" s="1">
        <v>813.0</v>
      </c>
      <c r="B814" s="2" t="s">
        <v>116</v>
      </c>
      <c r="C814" s="2" t="s">
        <v>39</v>
      </c>
      <c r="D814" s="13"/>
      <c r="E814" s="13"/>
      <c r="F814" s="44" t="s">
        <v>2630</v>
      </c>
      <c r="G814" s="43">
        <v>1.0</v>
      </c>
      <c r="H814" s="42"/>
      <c r="I814" s="43">
        <v>1.0</v>
      </c>
      <c r="J814" s="27" t="s">
        <v>131</v>
      </c>
      <c r="K814" s="42"/>
    </row>
    <row r="815" ht="39.75" customHeight="1">
      <c r="A815" s="1">
        <v>814.0</v>
      </c>
      <c r="B815" s="2" t="s">
        <v>17</v>
      </c>
      <c r="C815" s="2"/>
      <c r="D815" s="13"/>
      <c r="E815" s="51">
        <v>0.9583333333333334</v>
      </c>
      <c r="F815" s="44" t="s">
        <v>4775</v>
      </c>
      <c r="G815" s="43">
        <v>1.0</v>
      </c>
      <c r="H815" s="43">
        <v>1.0</v>
      </c>
      <c r="I815" s="42"/>
      <c r="J815" s="22"/>
      <c r="K815" s="42"/>
    </row>
    <row r="816" ht="39.75" customHeight="1">
      <c r="A816" s="1">
        <v>815.0</v>
      </c>
      <c r="B816" s="2" t="s">
        <v>331</v>
      </c>
      <c r="C816" s="2" t="s">
        <v>542</v>
      </c>
      <c r="D816" s="13"/>
      <c r="E816" s="13"/>
      <c r="F816" s="44" t="s">
        <v>4788</v>
      </c>
      <c r="G816" s="43">
        <v>1.0</v>
      </c>
      <c r="H816" s="42"/>
      <c r="I816" s="42"/>
      <c r="J816" s="22"/>
      <c r="K816" s="42"/>
    </row>
    <row r="817" ht="39.75" customHeight="1">
      <c r="A817" s="1">
        <v>816.0</v>
      </c>
      <c r="B817" s="2" t="s">
        <v>21</v>
      </c>
      <c r="C817" s="2" t="s">
        <v>63</v>
      </c>
      <c r="D817" s="13"/>
      <c r="E817" s="13"/>
      <c r="F817" s="44" t="s">
        <v>4749</v>
      </c>
      <c r="G817" s="42"/>
      <c r="H817" s="42"/>
      <c r="I817" s="42"/>
      <c r="J817" s="22"/>
      <c r="K817" s="42"/>
    </row>
    <row r="818" ht="39.75" customHeight="1">
      <c r="A818" s="1">
        <v>817.0</v>
      </c>
      <c r="B818" s="2" t="s">
        <v>22</v>
      </c>
      <c r="C818" s="2" t="s">
        <v>54</v>
      </c>
      <c r="D818" s="13"/>
      <c r="E818" s="13"/>
      <c r="F818" s="45"/>
      <c r="G818" s="42"/>
      <c r="H818" s="42"/>
      <c r="I818" s="42"/>
      <c r="J818" s="22"/>
      <c r="K818" s="42"/>
    </row>
    <row r="819" ht="39.75" customHeight="1">
      <c r="A819" s="1">
        <v>818.0</v>
      </c>
      <c r="B819" s="2" t="s">
        <v>23</v>
      </c>
      <c r="C819" s="2" t="s">
        <v>44</v>
      </c>
      <c r="D819" s="13"/>
      <c r="E819" s="13"/>
      <c r="F819" s="45"/>
      <c r="G819" s="42"/>
      <c r="H819" s="42"/>
      <c r="I819" s="42"/>
      <c r="J819" s="22"/>
      <c r="K819" s="42"/>
    </row>
    <row r="820" ht="39.75" customHeight="1">
      <c r="A820" s="1">
        <v>819.0</v>
      </c>
      <c r="B820" s="2" t="s">
        <v>24</v>
      </c>
      <c r="C820" s="2" t="s">
        <v>63</v>
      </c>
      <c r="D820" s="13"/>
      <c r="E820" s="13"/>
      <c r="F820" s="44" t="s">
        <v>4789</v>
      </c>
      <c r="G820" s="42"/>
      <c r="H820" s="42"/>
      <c r="I820" s="42"/>
      <c r="J820" s="22"/>
      <c r="K820" s="42"/>
    </row>
    <row r="821" ht="39.75" customHeight="1">
      <c r="A821" s="1">
        <v>820.0</v>
      </c>
      <c r="B821" s="2" t="s">
        <v>25</v>
      </c>
      <c r="C821" s="2"/>
      <c r="D821" s="13"/>
      <c r="E821" s="51">
        <v>0.9027777777777778</v>
      </c>
      <c r="F821" s="44" t="s">
        <v>4790</v>
      </c>
      <c r="G821" s="43">
        <v>1.0</v>
      </c>
      <c r="H821" s="43">
        <v>1.0</v>
      </c>
      <c r="I821" s="42"/>
      <c r="J821" s="22"/>
      <c r="K821" s="42"/>
    </row>
    <row r="822" ht="39.75" customHeight="1">
      <c r="A822" s="1">
        <v>821.0</v>
      </c>
      <c r="B822" s="2" t="s">
        <v>26</v>
      </c>
      <c r="C822" s="2" t="s">
        <v>54</v>
      </c>
      <c r="D822" s="53">
        <v>0.3541666666666667</v>
      </c>
      <c r="E822" s="51">
        <v>0.8541666666666666</v>
      </c>
      <c r="F822" s="44" t="s">
        <v>4791</v>
      </c>
      <c r="G822" s="43">
        <v>1.0</v>
      </c>
      <c r="H822" s="43">
        <v>1.0</v>
      </c>
      <c r="I822" s="42"/>
      <c r="J822" s="22"/>
      <c r="K822" s="42"/>
    </row>
    <row r="823" ht="39.75" hidden="1" customHeight="1">
      <c r="A823" s="1">
        <v>822.0</v>
      </c>
      <c r="B823" s="2" t="s">
        <v>29</v>
      </c>
      <c r="C823" s="2" t="s">
        <v>58</v>
      </c>
      <c r="D823" s="13"/>
      <c r="E823" s="13"/>
      <c r="F823" s="45"/>
      <c r="G823" s="42"/>
      <c r="H823" s="42"/>
      <c r="I823" s="42"/>
      <c r="J823" s="22"/>
      <c r="K823" s="42"/>
    </row>
    <row r="824" ht="39.75" customHeight="1">
      <c r="A824" s="1">
        <v>823.0</v>
      </c>
      <c r="B824" s="2" t="s">
        <v>30</v>
      </c>
      <c r="C824" s="2" t="s">
        <v>64</v>
      </c>
      <c r="D824" s="13"/>
      <c r="E824" s="13"/>
      <c r="F824" s="44" t="s">
        <v>2592</v>
      </c>
      <c r="G824" s="43">
        <v>1.0</v>
      </c>
      <c r="H824" s="42"/>
      <c r="I824" s="43">
        <v>1.0</v>
      </c>
      <c r="J824" s="22"/>
      <c r="K824" s="42"/>
    </row>
    <row r="825" ht="39.75" customHeight="1">
      <c r="A825" s="1">
        <v>824.0</v>
      </c>
      <c r="B825" s="2" t="s">
        <v>31</v>
      </c>
      <c r="C825" s="13"/>
      <c r="D825" s="13"/>
      <c r="E825" s="13"/>
      <c r="F825" s="44" t="s">
        <v>4792</v>
      </c>
      <c r="G825" s="43">
        <v>2.0</v>
      </c>
      <c r="H825" s="42"/>
      <c r="I825" s="43">
        <v>2.0</v>
      </c>
      <c r="J825" s="22"/>
      <c r="K825" s="42"/>
    </row>
    <row r="826" ht="39.75" hidden="1" customHeight="1">
      <c r="A826" s="1">
        <v>825.0</v>
      </c>
      <c r="B826" s="2" t="s">
        <v>32</v>
      </c>
      <c r="C826" s="2" t="s">
        <v>66</v>
      </c>
      <c r="D826" s="13"/>
      <c r="E826" s="13"/>
      <c r="F826" s="45"/>
      <c r="G826" s="42"/>
      <c r="H826" s="42"/>
      <c r="I826" s="42"/>
      <c r="J826" s="22"/>
      <c r="K826" s="42"/>
    </row>
    <row r="827" ht="39.75" customHeight="1">
      <c r="A827" s="1">
        <v>826.0</v>
      </c>
      <c r="B827" s="2" t="s">
        <v>67</v>
      </c>
      <c r="C827" s="2" t="s">
        <v>54</v>
      </c>
      <c r="D827" s="53">
        <v>0.3333333333333333</v>
      </c>
      <c r="E827" s="51">
        <v>0.8333333333333334</v>
      </c>
      <c r="F827" s="44" t="s">
        <v>4793</v>
      </c>
      <c r="G827" s="43">
        <v>1.0</v>
      </c>
      <c r="H827" s="43">
        <v>1.0</v>
      </c>
      <c r="I827" s="42"/>
      <c r="J827" s="22"/>
      <c r="K827" s="42"/>
    </row>
    <row r="828" ht="39.75" customHeight="1">
      <c r="A828" s="1">
        <v>827.0</v>
      </c>
      <c r="B828" s="2" t="s">
        <v>35</v>
      </c>
      <c r="C828" s="2" t="s">
        <v>27</v>
      </c>
      <c r="D828" s="13"/>
      <c r="E828" s="13"/>
      <c r="F828" s="44" t="s">
        <v>4794</v>
      </c>
      <c r="G828" s="43">
        <v>1.0</v>
      </c>
      <c r="H828" s="42"/>
      <c r="I828" s="43">
        <v>1.0</v>
      </c>
      <c r="J828" s="22"/>
      <c r="K828" s="42"/>
    </row>
    <row r="829" ht="39.75" customHeight="1">
      <c r="A829" s="1">
        <v>828.0</v>
      </c>
      <c r="B829" s="2" t="s">
        <v>36</v>
      </c>
      <c r="C829" s="2" t="s">
        <v>69</v>
      </c>
      <c r="D829" s="13"/>
      <c r="E829" s="13"/>
      <c r="F829" s="45"/>
      <c r="G829" s="42"/>
      <c r="H829" s="42"/>
      <c r="I829" s="42"/>
      <c r="J829" s="22"/>
      <c r="K829" s="42"/>
    </row>
    <row r="830" ht="39.75" customHeight="1">
      <c r="A830" s="1">
        <v>829.0</v>
      </c>
      <c r="B830" s="2" t="s">
        <v>38</v>
      </c>
      <c r="C830" s="2" t="s">
        <v>54</v>
      </c>
      <c r="D830" s="13"/>
      <c r="E830" s="13"/>
      <c r="F830" s="44" t="s">
        <v>4795</v>
      </c>
      <c r="G830" s="43">
        <v>1.0</v>
      </c>
      <c r="H830" s="42"/>
      <c r="I830" s="42"/>
      <c r="J830" s="22"/>
      <c r="K830" s="42"/>
    </row>
    <row r="831" ht="39.75" hidden="1" customHeight="1">
      <c r="A831" s="1">
        <v>830.0</v>
      </c>
      <c r="B831" s="2" t="s">
        <v>41</v>
      </c>
      <c r="C831" s="2" t="s">
        <v>58</v>
      </c>
      <c r="D831" s="13"/>
      <c r="E831" s="13"/>
      <c r="F831" s="45"/>
      <c r="G831" s="42"/>
      <c r="H831" s="42"/>
      <c r="I831" s="42"/>
      <c r="J831" s="22"/>
      <c r="K831" s="42"/>
    </row>
    <row r="832" ht="39.75" hidden="1" customHeight="1">
      <c r="A832" s="1">
        <v>831.0</v>
      </c>
      <c r="B832" s="2" t="s">
        <v>42</v>
      </c>
      <c r="C832" s="2" t="s">
        <v>58</v>
      </c>
      <c r="D832" s="13"/>
      <c r="E832" s="13"/>
      <c r="F832" s="45"/>
      <c r="G832" s="42"/>
      <c r="H832" s="42"/>
      <c r="I832" s="42"/>
      <c r="J832" s="22"/>
      <c r="K832" s="42"/>
    </row>
    <row r="833" ht="39.75" customHeight="1">
      <c r="A833" s="1">
        <v>832.0</v>
      </c>
      <c r="B833" s="2" t="s">
        <v>43</v>
      </c>
      <c r="C833" s="2" t="s">
        <v>39</v>
      </c>
      <c r="D833" s="13"/>
      <c r="E833" s="13"/>
      <c r="F833" s="45"/>
      <c r="G833" s="42"/>
      <c r="H833" s="42"/>
      <c r="I833" s="42"/>
      <c r="J833" s="22"/>
      <c r="K833" s="42"/>
    </row>
    <row r="834" ht="39.75" hidden="1" customHeight="1">
      <c r="A834" s="1">
        <v>833.0</v>
      </c>
      <c r="B834" s="2" t="s">
        <v>45</v>
      </c>
      <c r="C834" s="2" t="s">
        <v>66</v>
      </c>
      <c r="D834" s="13"/>
      <c r="E834" s="13"/>
      <c r="F834" s="45"/>
      <c r="G834" s="42"/>
      <c r="H834" s="42"/>
      <c r="I834" s="42"/>
      <c r="J834" s="22"/>
      <c r="K834" s="42"/>
    </row>
    <row r="835" ht="39.75" customHeight="1">
      <c r="A835" s="1">
        <v>834.0</v>
      </c>
      <c r="B835" s="2" t="s">
        <v>46</v>
      </c>
      <c r="C835" s="2"/>
      <c r="D835" s="13"/>
      <c r="E835" s="13"/>
      <c r="F835" s="45"/>
      <c r="G835" s="42"/>
      <c r="H835" s="42"/>
      <c r="I835" s="42"/>
      <c r="J835" s="22"/>
      <c r="K835" s="42"/>
    </row>
    <row r="836" ht="39.75" customHeight="1">
      <c r="A836" s="1">
        <v>835.0</v>
      </c>
      <c r="B836" s="2" t="s">
        <v>47</v>
      </c>
      <c r="C836" s="2"/>
      <c r="D836" s="40">
        <v>0.375</v>
      </c>
      <c r="E836" s="51">
        <v>0.8541666666666666</v>
      </c>
      <c r="F836" s="44" t="s">
        <v>4751</v>
      </c>
      <c r="G836" s="43">
        <v>1.0</v>
      </c>
      <c r="H836" s="43">
        <v>1.0</v>
      </c>
      <c r="I836" s="42"/>
      <c r="J836" s="22"/>
      <c r="K836" s="42"/>
    </row>
    <row r="837" ht="39.75" customHeight="1">
      <c r="A837" s="1">
        <v>836.0</v>
      </c>
      <c r="B837" s="2" t="s">
        <v>48</v>
      </c>
      <c r="C837" s="2" t="s">
        <v>69</v>
      </c>
      <c r="D837" s="13"/>
      <c r="E837" s="13"/>
      <c r="F837" s="44" t="s">
        <v>4796</v>
      </c>
      <c r="G837" s="43">
        <v>2.0</v>
      </c>
      <c r="H837" s="42"/>
      <c r="I837" s="42"/>
      <c r="J837" s="22"/>
      <c r="K837" s="42"/>
    </row>
    <row r="838" ht="39.75" customHeight="1">
      <c r="A838" s="1">
        <v>837.0</v>
      </c>
      <c r="B838" s="21"/>
      <c r="C838" s="21"/>
      <c r="D838" s="21"/>
      <c r="E838" s="21"/>
      <c r="F838" s="46"/>
      <c r="G838" s="47"/>
      <c r="H838" s="47"/>
      <c r="I838" s="47"/>
      <c r="J838" s="48"/>
      <c r="K838" s="47"/>
      <c r="L838" s="49"/>
      <c r="M838" s="49"/>
      <c r="N838" s="49"/>
    </row>
    <row r="839" ht="39.75" hidden="1" customHeight="1">
      <c r="A839" s="1"/>
      <c r="B839" s="2" t="s">
        <v>12</v>
      </c>
      <c r="C839" s="21"/>
      <c r="D839" s="21"/>
      <c r="E839" s="21"/>
      <c r="F839" s="46"/>
      <c r="G839" s="62">
        <f>SUMIF(B3:B837,"*이동현*",G3:G837)</f>
        <v>16</v>
      </c>
      <c r="H839" s="47"/>
      <c r="I839" s="47"/>
      <c r="J839" s="48"/>
      <c r="K839" s="47"/>
      <c r="L839" s="49"/>
      <c r="M839" s="49"/>
      <c r="N839" s="49"/>
    </row>
    <row r="840" ht="39.75" hidden="1" customHeight="1">
      <c r="A840" s="1"/>
      <c r="B840" s="2" t="s">
        <v>16</v>
      </c>
      <c r="C840" s="21"/>
      <c r="D840" s="21"/>
      <c r="E840" s="21"/>
      <c r="F840" s="46"/>
      <c r="G840" s="62">
        <f>SUMIF(B4:B837,"*반일훈*",G4:G837)</f>
        <v>20</v>
      </c>
      <c r="H840" s="47"/>
      <c r="I840" s="47"/>
      <c r="J840" s="48"/>
      <c r="K840" s="47"/>
      <c r="L840" s="49"/>
      <c r="M840" s="49"/>
      <c r="N840" s="49"/>
    </row>
    <row r="841" ht="39.75" hidden="1" customHeight="1">
      <c r="A841" s="1"/>
      <c r="B841" s="2" t="s">
        <v>116</v>
      </c>
      <c r="C841" s="21"/>
      <c r="D841" s="21"/>
      <c r="E841" s="21"/>
      <c r="F841" s="46"/>
      <c r="G841" s="62">
        <f>SUMIF(B5:B837,"*김재식*",G5:G837)</f>
        <v>21</v>
      </c>
      <c r="H841" s="47"/>
      <c r="I841" s="47"/>
      <c r="J841" s="48"/>
      <c r="K841" s="47"/>
      <c r="L841" s="49"/>
      <c r="M841" s="49"/>
      <c r="N841" s="49"/>
    </row>
    <row r="842" ht="39.75" hidden="1" customHeight="1">
      <c r="A842" s="1"/>
      <c r="B842" s="2" t="s">
        <v>17</v>
      </c>
      <c r="C842" s="21"/>
      <c r="D842" s="21"/>
      <c r="E842" s="21"/>
      <c r="F842" s="46"/>
      <c r="G842" s="62">
        <f>SUMIF(B5:B837,"*신동환*",G5:G837)</f>
        <v>19</v>
      </c>
      <c r="H842" s="47"/>
      <c r="I842" s="47"/>
      <c r="J842" s="48"/>
      <c r="K842" s="47"/>
      <c r="L842" s="49"/>
      <c r="M842" s="49"/>
      <c r="N842" s="49"/>
    </row>
    <row r="843" ht="39.75" hidden="1" customHeight="1">
      <c r="A843" s="1"/>
      <c r="B843" s="2" t="s">
        <v>331</v>
      </c>
      <c r="C843" s="21"/>
      <c r="D843" s="21"/>
      <c r="E843" s="21"/>
      <c r="F843" s="46"/>
      <c r="G843" s="62">
        <f>SUMIF(B5:B837,"*장후원*",G5:G837)</f>
        <v>11</v>
      </c>
      <c r="H843" s="47"/>
      <c r="I843" s="47"/>
      <c r="J843" s="48"/>
      <c r="K843" s="47"/>
      <c r="L843" s="49"/>
      <c r="M843" s="49"/>
      <c r="N843" s="49"/>
    </row>
    <row r="844" ht="39.75" hidden="1" customHeight="1">
      <c r="A844" s="1"/>
      <c r="B844" s="2" t="s">
        <v>21</v>
      </c>
      <c r="C844" s="21"/>
      <c r="D844" s="21"/>
      <c r="E844" s="21"/>
      <c r="F844" s="46"/>
      <c r="G844" s="62">
        <f>SUMIF(B5:B837,"*구본준*",G5:G837)</f>
        <v>7</v>
      </c>
      <c r="H844" s="47"/>
      <c r="I844" s="47"/>
      <c r="J844" s="48"/>
      <c r="K844" s="47"/>
      <c r="L844" s="49"/>
      <c r="M844" s="49"/>
      <c r="N844" s="49"/>
    </row>
    <row r="845" ht="39.75" hidden="1" customHeight="1">
      <c r="A845" s="1"/>
      <c r="B845" s="2" t="s">
        <v>22</v>
      </c>
      <c r="C845" s="21"/>
      <c r="D845" s="21"/>
      <c r="E845" s="21"/>
      <c r="F845" s="46"/>
      <c r="G845" s="62">
        <f>SUMIF(B5:B837,"*이학진*",G5:G837)</f>
        <v>22</v>
      </c>
      <c r="H845" s="47"/>
      <c r="I845" s="47"/>
      <c r="J845" s="48"/>
      <c r="K845" s="47"/>
      <c r="L845" s="49"/>
      <c r="M845" s="49"/>
      <c r="N845" s="49"/>
    </row>
    <row r="846" ht="39.75" hidden="1" customHeight="1">
      <c r="A846" s="1"/>
      <c r="B846" s="2" t="s">
        <v>23</v>
      </c>
      <c r="C846" s="21"/>
      <c r="D846" s="21"/>
      <c r="E846" s="21"/>
      <c r="F846" s="46"/>
      <c r="G846" s="62">
        <f>SUMIF(B5:B837,"*황현우*",G5:G837)</f>
        <v>23</v>
      </c>
      <c r="H846" s="47"/>
      <c r="I846" s="47"/>
      <c r="J846" s="48"/>
      <c r="K846" s="47"/>
      <c r="L846" s="49"/>
      <c r="M846" s="49"/>
      <c r="N846" s="49"/>
    </row>
    <row r="847" ht="39.75" hidden="1" customHeight="1">
      <c r="A847" s="1"/>
      <c r="B847" s="2" t="s">
        <v>24</v>
      </c>
      <c r="C847" s="21"/>
      <c r="D847" s="21"/>
      <c r="E847" s="21"/>
      <c r="F847" s="46"/>
      <c r="G847" s="62">
        <f>SUMIF(B5:B837,"*김미란*",G5:G837)</f>
        <v>1</v>
      </c>
      <c r="H847" s="47"/>
      <c r="I847" s="47"/>
      <c r="J847" s="48"/>
      <c r="K847" s="47"/>
      <c r="L847" s="49"/>
      <c r="M847" s="49"/>
      <c r="N847" s="49"/>
    </row>
    <row r="848" ht="39.75" hidden="1" customHeight="1">
      <c r="A848" s="1"/>
      <c r="B848" s="2" t="s">
        <v>25</v>
      </c>
      <c r="C848" s="21"/>
      <c r="D848" s="21"/>
      <c r="E848" s="21"/>
      <c r="F848" s="46"/>
      <c r="G848" s="62">
        <f>SUMIF(B5:B837,"*유규열*",G5:G837)</f>
        <v>20</v>
      </c>
      <c r="H848" s="47"/>
      <c r="I848" s="47"/>
      <c r="J848" s="48"/>
      <c r="K848" s="47"/>
      <c r="L848" s="49"/>
      <c r="M848" s="49"/>
      <c r="N848" s="49"/>
    </row>
    <row r="849" ht="39.75" hidden="1" customHeight="1">
      <c r="A849" s="1"/>
      <c r="B849" s="2" t="s">
        <v>26</v>
      </c>
      <c r="C849" s="21"/>
      <c r="D849" s="21"/>
      <c r="E849" s="21"/>
      <c r="F849" s="46"/>
      <c r="G849" s="62">
        <f>SUMIF(B5:B837,"*김준택*",G5:G837)</f>
        <v>26</v>
      </c>
      <c r="H849" s="47"/>
      <c r="I849" s="47"/>
      <c r="J849" s="48"/>
      <c r="K849" s="47"/>
      <c r="L849" s="49"/>
      <c r="M849" s="49"/>
      <c r="N849" s="49"/>
    </row>
    <row r="850" ht="39.75" hidden="1" customHeight="1">
      <c r="A850" s="1"/>
      <c r="B850" s="2" t="s">
        <v>29</v>
      </c>
      <c r="C850" s="21"/>
      <c r="D850" s="21"/>
      <c r="E850" s="21"/>
      <c r="F850" s="46"/>
      <c r="G850" s="62">
        <f>SUMIF(B5:B837,"*방극철*",G5:G837)</f>
        <v>19</v>
      </c>
      <c r="H850" s="47"/>
      <c r="I850" s="47"/>
      <c r="J850" s="48"/>
      <c r="K850" s="47"/>
      <c r="L850" s="49"/>
      <c r="M850" s="49"/>
      <c r="N850" s="49"/>
    </row>
    <row r="851" ht="39.75" hidden="1" customHeight="1">
      <c r="A851" s="1"/>
      <c r="B851" s="2" t="s">
        <v>30</v>
      </c>
      <c r="C851" s="21"/>
      <c r="D851" s="21"/>
      <c r="E851" s="21"/>
      <c r="F851" s="46"/>
      <c r="G851" s="62">
        <f>SUMIF(B5:B837,"*홍승재*",G5:G837)</f>
        <v>15</v>
      </c>
      <c r="H851" s="47"/>
      <c r="I851" s="47"/>
      <c r="J851" s="48"/>
      <c r="K851" s="47"/>
      <c r="L851" s="49"/>
      <c r="M851" s="49"/>
      <c r="N851" s="49"/>
    </row>
    <row r="852" ht="39.75" hidden="1" customHeight="1">
      <c r="A852" s="1"/>
      <c r="B852" s="2" t="s">
        <v>31</v>
      </c>
      <c r="C852" s="21"/>
      <c r="D852" s="21"/>
      <c r="E852" s="21"/>
      <c r="F852" s="46"/>
      <c r="G852" s="62">
        <f>SUMIF(B5:B837,"*이   경*",G5:G837)</f>
        <v>29</v>
      </c>
      <c r="H852" s="47"/>
      <c r="I852" s="47"/>
      <c r="J852" s="48"/>
      <c r="K852" s="47"/>
      <c r="L852" s="49"/>
      <c r="M852" s="49"/>
      <c r="N852" s="49"/>
    </row>
    <row r="853" ht="39.75" hidden="1" customHeight="1">
      <c r="A853" s="1"/>
      <c r="B853" s="2" t="s">
        <v>32</v>
      </c>
      <c r="C853" s="21"/>
      <c r="D853" s="21"/>
      <c r="E853" s="21"/>
      <c r="F853" s="46"/>
      <c r="G853" s="62">
        <f>SUMIF(B5:B837,"*정상원*",G5:G837)</f>
        <v>28</v>
      </c>
      <c r="H853" s="47"/>
      <c r="I853" s="47"/>
      <c r="J853" s="48"/>
      <c r="K853" s="47"/>
      <c r="L853" s="49"/>
      <c r="M853" s="49"/>
      <c r="N853" s="49"/>
    </row>
    <row r="854" ht="39.75" hidden="1" customHeight="1">
      <c r="A854" s="1"/>
      <c r="B854" s="2" t="s">
        <v>67</v>
      </c>
      <c r="C854" s="21"/>
      <c r="D854" s="21"/>
      <c r="E854" s="21"/>
      <c r="F854" s="46"/>
      <c r="G854" s="62">
        <f>SUMIF(B5:B837,"*이주원*",G5:G837)</f>
        <v>20</v>
      </c>
      <c r="H854" s="47"/>
      <c r="I854" s="47"/>
      <c r="J854" s="48"/>
      <c r="K854" s="47"/>
      <c r="L854" s="49"/>
      <c r="M854" s="49"/>
      <c r="N854" s="49"/>
    </row>
    <row r="855" ht="39.75" hidden="1" customHeight="1">
      <c r="A855" s="1"/>
      <c r="B855" s="2" t="s">
        <v>35</v>
      </c>
      <c r="C855" s="21"/>
      <c r="D855" s="21"/>
      <c r="E855" s="21"/>
      <c r="F855" s="46"/>
      <c r="G855" s="62">
        <f>SUMIF(B5:B837,"*최무룡*",G5:G837)</f>
        <v>28</v>
      </c>
      <c r="H855" s="47"/>
      <c r="I855" s="47"/>
      <c r="J855" s="48"/>
      <c r="K855" s="47"/>
      <c r="L855" s="49"/>
      <c r="M855" s="49"/>
      <c r="N855" s="49"/>
    </row>
    <row r="856" ht="39.75" hidden="1" customHeight="1">
      <c r="A856" s="1"/>
      <c r="B856" s="2" t="s">
        <v>36</v>
      </c>
      <c r="C856" s="21"/>
      <c r="D856" s="21"/>
      <c r="E856" s="21"/>
      <c r="F856" s="46"/>
      <c r="G856" s="62">
        <f>SUMIF(B5:B837,"*정철원*",G5:G837)</f>
        <v>19</v>
      </c>
      <c r="H856" s="47"/>
      <c r="I856" s="47"/>
      <c r="J856" s="48"/>
      <c r="K856" s="47"/>
      <c r="L856" s="49"/>
      <c r="M856" s="49"/>
      <c r="N856" s="49"/>
    </row>
    <row r="857" ht="39.75" hidden="1" customHeight="1">
      <c r="A857" s="1"/>
      <c r="B857" s="2" t="s">
        <v>38</v>
      </c>
      <c r="C857" s="21"/>
      <c r="D857" s="21"/>
      <c r="E857" s="21"/>
      <c r="F857" s="46"/>
      <c r="G857" s="62">
        <f>SUMIF(B5:B837,"*김진광*",G5:G837)</f>
        <v>26</v>
      </c>
      <c r="H857" s="47"/>
      <c r="I857" s="47"/>
      <c r="J857" s="48"/>
      <c r="K857" s="47"/>
      <c r="L857" s="49"/>
      <c r="M857" s="49"/>
      <c r="N857" s="49"/>
    </row>
    <row r="858" ht="39.75" hidden="1" customHeight="1">
      <c r="A858" s="1"/>
      <c r="B858" s="2" t="s">
        <v>41</v>
      </c>
      <c r="C858" s="21"/>
      <c r="D858" s="21"/>
      <c r="E858" s="21"/>
      <c r="F858" s="46"/>
      <c r="G858" s="62">
        <f>SUMIF(B5:B837,"*조용희*",G5:G837)</f>
        <v>0</v>
      </c>
      <c r="H858" s="47"/>
      <c r="I858" s="47"/>
      <c r="J858" s="48"/>
      <c r="K858" s="47"/>
      <c r="L858" s="49"/>
      <c r="M858" s="49"/>
      <c r="N858" s="49"/>
    </row>
    <row r="859" ht="39.75" hidden="1" customHeight="1">
      <c r="A859" s="1"/>
      <c r="B859" s="2" t="s">
        <v>42</v>
      </c>
      <c r="C859" s="21"/>
      <c r="D859" s="21"/>
      <c r="E859" s="21"/>
      <c r="F859" s="46"/>
      <c r="G859" s="62">
        <f>SUMIF(B5:B837,"*이완근*",G5:G837)</f>
        <v>7</v>
      </c>
      <c r="H859" s="47"/>
      <c r="I859" s="47"/>
      <c r="J859" s="48"/>
      <c r="K859" s="47"/>
      <c r="L859" s="49"/>
      <c r="M859" s="49"/>
      <c r="N859" s="49"/>
    </row>
    <row r="860" ht="39.75" hidden="1" customHeight="1">
      <c r="A860" s="1"/>
      <c r="B860" s="2" t="s">
        <v>43</v>
      </c>
      <c r="C860" s="21"/>
      <c r="D860" s="21"/>
      <c r="E860" s="21"/>
      <c r="F860" s="46"/>
      <c r="G860" s="62">
        <f>SUMIF(B5:B837,"*박대권*",G5:G837)</f>
        <v>15</v>
      </c>
      <c r="H860" s="47"/>
      <c r="I860" s="47"/>
      <c r="J860" s="48"/>
      <c r="K860" s="47"/>
      <c r="L860" s="49"/>
      <c r="M860" s="49"/>
      <c r="N860" s="49"/>
    </row>
    <row r="861" ht="39.75" hidden="1" customHeight="1">
      <c r="A861" s="1"/>
      <c r="B861" s="2" t="s">
        <v>45</v>
      </c>
      <c r="C861" s="21"/>
      <c r="D861" s="21"/>
      <c r="E861" s="21"/>
      <c r="F861" s="46"/>
      <c r="G861" s="62">
        <f>SUMIF(B5:B837,"*김대호*",G5:G837)</f>
        <v>24</v>
      </c>
      <c r="H861" s="47"/>
      <c r="I861" s="47"/>
      <c r="J861" s="48"/>
      <c r="K861" s="47"/>
      <c r="L861" s="49"/>
      <c r="M861" s="49"/>
      <c r="N861" s="49"/>
    </row>
    <row r="862" ht="39.75" hidden="1" customHeight="1">
      <c r="A862" s="1"/>
      <c r="B862" s="2" t="s">
        <v>46</v>
      </c>
      <c r="C862" s="21"/>
      <c r="D862" s="21"/>
      <c r="E862" s="21"/>
      <c r="F862" s="46"/>
      <c r="G862" s="62">
        <f>SUMIF(B5:B837,"*이현일*",G5:G837)</f>
        <v>16</v>
      </c>
      <c r="H862" s="47"/>
      <c r="I862" s="47"/>
      <c r="J862" s="48"/>
      <c r="K862" s="47"/>
      <c r="L862" s="49"/>
      <c r="M862" s="49"/>
      <c r="N862" s="49"/>
    </row>
    <row r="863" ht="39.75" hidden="1" customHeight="1">
      <c r="A863" s="1"/>
      <c r="B863" s="2" t="s">
        <v>47</v>
      </c>
      <c r="C863" s="21"/>
      <c r="D863" s="21"/>
      <c r="E863" s="21"/>
      <c r="F863" s="46"/>
      <c r="G863" s="62">
        <f>SUMIF(B5:B837,"*유연경*",G5:G837)</f>
        <v>30</v>
      </c>
      <c r="H863" s="47"/>
      <c r="I863" s="47"/>
      <c r="J863" s="48"/>
      <c r="K863" s="47"/>
      <c r="L863" s="49"/>
      <c r="M863" s="49"/>
      <c r="N863" s="49"/>
    </row>
    <row r="864" ht="39.75" hidden="1" customHeight="1">
      <c r="A864" s="1"/>
      <c r="B864" s="2" t="s">
        <v>48</v>
      </c>
      <c r="C864" s="21"/>
      <c r="D864" s="21"/>
      <c r="E864" s="21"/>
      <c r="F864" s="46"/>
      <c r="G864" s="62">
        <f>SUMIF(B5:B837,"*정재우*",G5:G837)</f>
        <v>27</v>
      </c>
      <c r="H864" s="47"/>
      <c r="I864" s="47"/>
      <c r="J864" s="48"/>
      <c r="K864" s="47"/>
      <c r="L864" s="49"/>
      <c r="M864" s="49"/>
      <c r="N864" s="49"/>
    </row>
  </sheetData>
  <mergeCells count="31">
    <mergeCell ref="L2:N27"/>
    <mergeCell ref="L29:N54"/>
    <mergeCell ref="L56:N81"/>
    <mergeCell ref="L83:N108"/>
    <mergeCell ref="L110:N135"/>
    <mergeCell ref="L137:N162"/>
    <mergeCell ref="L164:N189"/>
    <mergeCell ref="L191:N216"/>
    <mergeCell ref="L218:N243"/>
    <mergeCell ref="L245:N270"/>
    <mergeCell ref="L272:N297"/>
    <mergeCell ref="L299:N324"/>
    <mergeCell ref="L326:N351"/>
    <mergeCell ref="L353:N378"/>
    <mergeCell ref="L380:N405"/>
    <mergeCell ref="L407:N432"/>
    <mergeCell ref="L434:N459"/>
    <mergeCell ref="L461:N486"/>
    <mergeCell ref="L488:N513"/>
    <mergeCell ref="L515:N540"/>
    <mergeCell ref="L542:N567"/>
    <mergeCell ref="L758:N783"/>
    <mergeCell ref="L785:N810"/>
    <mergeCell ref="L812:N837"/>
    <mergeCell ref="L569:N594"/>
    <mergeCell ref="L596:N621"/>
    <mergeCell ref="L623:N648"/>
    <mergeCell ref="L650:N675"/>
    <mergeCell ref="L677:N702"/>
    <mergeCell ref="L704:N729"/>
    <mergeCell ref="L731:N756"/>
  </mergeCells>
  <conditionalFormatting sqref="B2:I864">
    <cfRule type="expression" dxfId="6" priority="1">
      <formula>$C2="휴가"</formula>
    </cfRule>
  </conditionalFormatting>
  <conditionalFormatting sqref="B2:I864">
    <cfRule type="expression" dxfId="6" priority="2">
      <formula>$C2="휴무"</formula>
    </cfRule>
  </conditionalFormatting>
  <conditionalFormatting sqref="B2:I864">
    <cfRule type="expression" dxfId="6" priority="3">
      <formula>$C2="제크"</formula>
    </cfRule>
  </conditionalFormatting>
  <conditionalFormatting sqref="B2:I864">
    <cfRule type="expression" dxfId="7" priority="4">
      <formula>$C2="야퇴"</formula>
    </cfRule>
  </conditionalFormatting>
  <conditionalFormatting sqref="B2:I864">
    <cfRule type="expression" dxfId="8" priority="5">
      <formula>$C2="대통령실"</formula>
    </cfRule>
  </conditionalFormatting>
  <conditionalFormatting sqref="B2:I864">
    <cfRule type="expression" dxfId="8" priority="6">
      <formula>$C2="헌법재판소"</formula>
    </cfRule>
  </conditionalFormatting>
  <hyperlinks>
    <hyperlink r:id="rId1" ref="F26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tableParts count="2">
    <tablePart r:id="rId5"/>
    <tablePart r:id="rId6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8.25"/>
    <col customWidth="1" min="3" max="3" width="10.75"/>
    <col customWidth="1" min="4" max="5" width="8.88"/>
    <col customWidth="1" min="6" max="6" width="50.13"/>
    <col customWidth="1" min="7" max="7" width="8.88"/>
    <col customWidth="1" min="8" max="8" width="10.63"/>
    <col customWidth="1" min="9" max="9" width="11.38"/>
    <col customWidth="1" min="10" max="10" width="8.5"/>
    <col customWidth="1" min="11" max="11" width="11.38"/>
    <col customWidth="1" min="12" max="14" width="12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36"/>
      <c r="K1" s="2" t="s">
        <v>1160</v>
      </c>
      <c r="L1" s="37" t="s">
        <v>490</v>
      </c>
      <c r="M1" s="38" t="s">
        <v>10</v>
      </c>
      <c r="N1" s="39" t="s">
        <v>11</v>
      </c>
    </row>
    <row r="2" ht="39.75" customHeight="1">
      <c r="A2" s="1">
        <v>1.0</v>
      </c>
      <c r="B2" s="2" t="s">
        <v>268</v>
      </c>
      <c r="C2" s="2" t="s">
        <v>63</v>
      </c>
      <c r="D2" s="40"/>
      <c r="E2" s="40"/>
      <c r="F2" s="44" t="s">
        <v>4749</v>
      </c>
      <c r="G2" s="43">
        <v>1.0</v>
      </c>
      <c r="H2" s="43">
        <v>1.0</v>
      </c>
      <c r="I2" s="42"/>
      <c r="J2" s="14" t="s">
        <v>4797</v>
      </c>
      <c r="K2" s="43"/>
      <c r="L2" s="15" t="s">
        <v>15</v>
      </c>
    </row>
    <row r="3" ht="39.75" hidden="1" customHeight="1">
      <c r="A3" s="1">
        <v>2.0</v>
      </c>
      <c r="B3" s="2" t="s">
        <v>16</v>
      </c>
      <c r="C3" s="2" t="s">
        <v>13</v>
      </c>
      <c r="D3" s="13"/>
      <c r="E3" s="13"/>
      <c r="F3" s="44"/>
      <c r="G3" s="42"/>
      <c r="H3" s="42"/>
      <c r="I3" s="42"/>
      <c r="J3" s="14" t="s">
        <v>15</v>
      </c>
      <c r="K3" s="43"/>
    </row>
    <row r="4" ht="39.75" hidden="1" customHeight="1">
      <c r="A4" s="1">
        <v>3.0</v>
      </c>
      <c r="B4" s="2" t="s">
        <v>116</v>
      </c>
      <c r="C4" s="2" t="s">
        <v>13</v>
      </c>
      <c r="D4" s="13"/>
      <c r="E4" s="13"/>
      <c r="F4" s="44"/>
      <c r="G4" s="42"/>
      <c r="H4" s="42"/>
      <c r="I4" s="42"/>
      <c r="J4" s="14" t="s">
        <v>149</v>
      </c>
      <c r="K4" s="43"/>
    </row>
    <row r="5" ht="39.75" hidden="1" customHeight="1">
      <c r="A5" s="1">
        <v>4.0</v>
      </c>
      <c r="B5" s="2" t="s">
        <v>17</v>
      </c>
      <c r="C5" s="2" t="s">
        <v>13</v>
      </c>
      <c r="D5" s="13"/>
      <c r="E5" s="13"/>
      <c r="F5" s="44"/>
      <c r="G5" s="42"/>
      <c r="H5" s="42"/>
      <c r="I5" s="42"/>
      <c r="J5" s="14" t="s">
        <v>165</v>
      </c>
      <c r="K5" s="43"/>
    </row>
    <row r="6" ht="39.75" hidden="1" customHeight="1">
      <c r="A6" s="1">
        <v>5.0</v>
      </c>
      <c r="B6" s="2" t="s">
        <v>331</v>
      </c>
      <c r="C6" s="2" t="s">
        <v>13</v>
      </c>
      <c r="D6" s="13"/>
      <c r="E6" s="13"/>
      <c r="F6" s="45"/>
      <c r="G6" s="42"/>
      <c r="H6" s="42"/>
      <c r="I6" s="42"/>
      <c r="J6" s="14" t="s">
        <v>2637</v>
      </c>
      <c r="K6" s="43"/>
    </row>
    <row r="7" ht="39.75" customHeight="1">
      <c r="A7" s="1">
        <v>6.0</v>
      </c>
      <c r="B7" s="2" t="s">
        <v>21</v>
      </c>
      <c r="C7" s="2" t="s">
        <v>63</v>
      </c>
      <c r="D7" s="13"/>
      <c r="E7" s="13"/>
      <c r="F7" s="44" t="s">
        <v>4749</v>
      </c>
      <c r="G7" s="43">
        <v>1.0</v>
      </c>
      <c r="H7" s="43">
        <v>1.0</v>
      </c>
      <c r="I7" s="42"/>
      <c r="J7" s="14" t="s">
        <v>2638</v>
      </c>
      <c r="K7" s="43"/>
    </row>
    <row r="8" ht="39.75" hidden="1" customHeight="1">
      <c r="A8" s="1">
        <v>7.0</v>
      </c>
      <c r="B8" s="2" t="s">
        <v>22</v>
      </c>
      <c r="C8" s="2" t="s">
        <v>13</v>
      </c>
      <c r="D8" s="13"/>
      <c r="E8" s="13"/>
      <c r="F8" s="44"/>
      <c r="G8" s="42"/>
      <c r="H8" s="42"/>
      <c r="I8" s="42"/>
      <c r="J8" s="14"/>
      <c r="K8" s="43"/>
    </row>
    <row r="9" ht="39.75" customHeight="1">
      <c r="A9" s="1">
        <v>8.0</v>
      </c>
      <c r="B9" s="2" t="s">
        <v>23</v>
      </c>
      <c r="C9" s="2" t="s">
        <v>27</v>
      </c>
      <c r="D9" s="13"/>
      <c r="E9" s="13"/>
      <c r="F9" s="44" t="s">
        <v>4798</v>
      </c>
      <c r="G9" s="43">
        <v>1.0</v>
      </c>
      <c r="H9" s="42"/>
      <c r="I9" s="43"/>
      <c r="J9" s="14"/>
      <c r="K9" s="43"/>
    </row>
    <row r="10" ht="39.75" customHeight="1">
      <c r="A10" s="1">
        <v>9.0</v>
      </c>
      <c r="B10" s="2" t="s">
        <v>24</v>
      </c>
      <c r="C10" s="2" t="s">
        <v>63</v>
      </c>
      <c r="D10" s="13"/>
      <c r="E10" s="13"/>
      <c r="F10" s="44" t="s">
        <v>4764</v>
      </c>
      <c r="G10" s="42"/>
      <c r="H10" s="43"/>
      <c r="I10" s="43"/>
      <c r="J10" s="14"/>
      <c r="K10" s="43"/>
    </row>
    <row r="11" ht="39.75" hidden="1" customHeight="1">
      <c r="A11" s="1">
        <v>10.0</v>
      </c>
      <c r="B11" s="2" t="s">
        <v>25</v>
      </c>
      <c r="C11" s="2" t="s">
        <v>13</v>
      </c>
      <c r="D11" s="13"/>
      <c r="E11" s="13"/>
      <c r="F11" s="45"/>
      <c r="G11" s="42"/>
      <c r="H11" s="42"/>
      <c r="I11" s="42"/>
      <c r="J11" s="14"/>
      <c r="K11" s="43"/>
    </row>
    <row r="12" ht="39.75" customHeight="1">
      <c r="A12" s="1">
        <v>11.0</v>
      </c>
      <c r="B12" s="2" t="s">
        <v>26</v>
      </c>
      <c r="C12" s="2"/>
      <c r="D12" s="13"/>
      <c r="E12" s="51">
        <v>0.8958333333333334</v>
      </c>
      <c r="F12" s="44" t="s">
        <v>4790</v>
      </c>
      <c r="G12" s="43">
        <v>1.0</v>
      </c>
      <c r="H12" s="43">
        <v>1.0</v>
      </c>
      <c r="I12" s="42"/>
      <c r="J12" s="14"/>
      <c r="K12" s="43"/>
    </row>
    <row r="13" ht="39.75" customHeight="1">
      <c r="A13" s="1">
        <v>12.0</v>
      </c>
      <c r="B13" s="2" t="s">
        <v>29</v>
      </c>
      <c r="C13" s="2"/>
      <c r="D13" s="13"/>
      <c r="E13" s="13"/>
      <c r="F13" s="44" t="s">
        <v>4799</v>
      </c>
      <c r="G13" s="43">
        <v>1.0</v>
      </c>
      <c r="H13" s="42"/>
      <c r="I13" s="43">
        <v>1.0</v>
      </c>
      <c r="J13" s="14"/>
      <c r="K13" s="43"/>
    </row>
    <row r="14" ht="39.75" hidden="1" customHeight="1">
      <c r="A14" s="1">
        <v>13.0</v>
      </c>
      <c r="B14" s="2" t="s">
        <v>30</v>
      </c>
      <c r="C14" s="2" t="s">
        <v>13</v>
      </c>
      <c r="D14" s="13"/>
      <c r="E14" s="13"/>
      <c r="F14" s="44"/>
      <c r="G14" s="42"/>
      <c r="H14" s="42"/>
      <c r="I14" s="42"/>
      <c r="J14" s="14"/>
      <c r="K14" s="43"/>
    </row>
    <row r="15" ht="39.75" hidden="1" customHeight="1">
      <c r="A15" s="1">
        <v>14.0</v>
      </c>
      <c r="B15" s="2" t="s">
        <v>31</v>
      </c>
      <c r="C15" s="2" t="s">
        <v>13</v>
      </c>
      <c r="D15" s="13"/>
      <c r="E15" s="13"/>
      <c r="F15" s="45"/>
      <c r="G15" s="42"/>
      <c r="H15" s="42"/>
      <c r="I15" s="42"/>
      <c r="J15" s="14"/>
      <c r="K15" s="43"/>
    </row>
    <row r="16" ht="39.75" hidden="1" customHeight="1">
      <c r="A16" s="1">
        <v>15.0</v>
      </c>
      <c r="B16" s="2" t="s">
        <v>32</v>
      </c>
      <c r="C16" s="2" t="s">
        <v>13</v>
      </c>
      <c r="D16" s="13"/>
      <c r="E16" s="13"/>
      <c r="F16" s="45"/>
      <c r="G16" s="42"/>
      <c r="H16" s="42"/>
      <c r="I16" s="42"/>
      <c r="J16" s="14"/>
      <c r="K16" s="43"/>
    </row>
    <row r="17" ht="39.75" customHeight="1">
      <c r="A17" s="1">
        <v>16.0</v>
      </c>
      <c r="B17" s="2" t="s">
        <v>67</v>
      </c>
      <c r="C17" s="2"/>
      <c r="D17" s="40"/>
      <c r="E17" s="51">
        <v>0.9375</v>
      </c>
      <c r="F17" s="44" t="s">
        <v>4800</v>
      </c>
      <c r="G17" s="43">
        <v>1.0</v>
      </c>
      <c r="H17" s="43">
        <v>1.0</v>
      </c>
      <c r="I17" s="43"/>
      <c r="J17" s="14"/>
      <c r="K17" s="43"/>
    </row>
    <row r="18" ht="39.75" customHeight="1">
      <c r="A18" s="1">
        <v>17.0</v>
      </c>
      <c r="B18" s="2" t="s">
        <v>35</v>
      </c>
      <c r="C18" s="2" t="s">
        <v>44</v>
      </c>
      <c r="D18" s="13"/>
      <c r="E18" s="13"/>
      <c r="F18" s="45"/>
      <c r="G18" s="42"/>
      <c r="H18" s="42"/>
      <c r="I18" s="42"/>
      <c r="J18" s="14"/>
      <c r="K18" s="43"/>
    </row>
    <row r="19" ht="39.75" hidden="1" customHeight="1">
      <c r="A19" s="1">
        <v>18.0</v>
      </c>
      <c r="B19" s="2" t="s">
        <v>36</v>
      </c>
      <c r="C19" s="2" t="s">
        <v>13</v>
      </c>
      <c r="D19" s="13"/>
      <c r="E19" s="13"/>
      <c r="F19" s="44"/>
      <c r="G19" s="42"/>
      <c r="H19" s="42"/>
      <c r="I19" s="42"/>
      <c r="J19" s="14"/>
      <c r="K19" s="43"/>
    </row>
    <row r="20" ht="39.75" hidden="1" customHeight="1">
      <c r="A20" s="1">
        <v>19.0</v>
      </c>
      <c r="B20" s="2" t="s">
        <v>38</v>
      </c>
      <c r="C20" s="2" t="s">
        <v>13</v>
      </c>
      <c r="D20" s="13"/>
      <c r="E20" s="13"/>
      <c r="F20" s="44"/>
      <c r="G20" s="42"/>
      <c r="H20" s="42"/>
      <c r="I20" s="42"/>
      <c r="J20" s="14"/>
      <c r="K20" s="43"/>
    </row>
    <row r="21" ht="39.75" hidden="1" customHeight="1">
      <c r="A21" s="1">
        <v>20.0</v>
      </c>
      <c r="B21" s="2" t="s">
        <v>41</v>
      </c>
      <c r="C21" s="2" t="s">
        <v>13</v>
      </c>
      <c r="D21" s="13"/>
      <c r="E21" s="13"/>
      <c r="F21" s="44"/>
      <c r="G21" s="42"/>
      <c r="H21" s="42"/>
      <c r="I21" s="42"/>
      <c r="J21" s="14"/>
      <c r="K21" s="43"/>
    </row>
    <row r="22" ht="39.75" customHeight="1">
      <c r="A22" s="1">
        <v>21.0</v>
      </c>
      <c r="B22" s="2" t="s">
        <v>267</v>
      </c>
      <c r="C22" s="2" t="s">
        <v>272</v>
      </c>
      <c r="D22" s="13"/>
      <c r="E22" s="13"/>
      <c r="F22" s="44" t="s">
        <v>1186</v>
      </c>
      <c r="G22" s="42"/>
      <c r="H22" s="42"/>
      <c r="I22" s="42"/>
      <c r="J22" s="14"/>
      <c r="K22" s="43"/>
    </row>
    <row r="23" ht="39.75" hidden="1" customHeight="1">
      <c r="A23" s="1">
        <v>22.0</v>
      </c>
      <c r="B23" s="2" t="s">
        <v>43</v>
      </c>
      <c r="C23" s="2" t="s">
        <v>13</v>
      </c>
      <c r="D23" s="13"/>
      <c r="E23" s="13"/>
      <c r="F23" s="45"/>
      <c r="G23" s="42"/>
      <c r="H23" s="42"/>
      <c r="I23" s="42"/>
      <c r="J23" s="14"/>
      <c r="K23" s="43"/>
    </row>
    <row r="24" ht="39.75" customHeight="1">
      <c r="A24" s="1">
        <v>23.0</v>
      </c>
      <c r="B24" s="2" t="s">
        <v>45</v>
      </c>
      <c r="C24" s="2" t="s">
        <v>49</v>
      </c>
      <c r="D24" s="13"/>
      <c r="E24" s="51">
        <v>0.8888888888888888</v>
      </c>
      <c r="F24" s="44" t="s">
        <v>4801</v>
      </c>
      <c r="G24" s="43">
        <v>2.0</v>
      </c>
      <c r="H24" s="42"/>
      <c r="I24" s="42"/>
      <c r="J24" s="14"/>
      <c r="K24" s="43"/>
    </row>
    <row r="25" ht="39.75" customHeight="1">
      <c r="A25" s="1">
        <v>24.0</v>
      </c>
      <c r="B25" s="2" t="s">
        <v>46</v>
      </c>
      <c r="C25" s="2"/>
      <c r="D25" s="40">
        <v>0.375</v>
      </c>
      <c r="E25" s="13"/>
      <c r="F25" s="44" t="s">
        <v>4802</v>
      </c>
      <c r="G25" s="43">
        <v>2.0</v>
      </c>
      <c r="H25" s="42"/>
      <c r="I25" s="43">
        <v>1.0</v>
      </c>
      <c r="J25" s="14"/>
      <c r="K25" s="43"/>
    </row>
    <row r="26" ht="39.75" customHeight="1">
      <c r="A26" s="1">
        <v>25.0</v>
      </c>
      <c r="B26" s="2" t="s">
        <v>47</v>
      </c>
      <c r="C26" s="2"/>
      <c r="D26" s="13"/>
      <c r="E26" s="51">
        <v>0.875</v>
      </c>
      <c r="F26" s="44" t="s">
        <v>4803</v>
      </c>
      <c r="G26" s="43">
        <v>1.0</v>
      </c>
      <c r="H26" s="43">
        <v>1.0</v>
      </c>
      <c r="I26" s="42"/>
      <c r="J26" s="14"/>
      <c r="K26" s="43"/>
    </row>
    <row r="27" ht="39.75" hidden="1" customHeight="1">
      <c r="A27" s="1">
        <v>26.0</v>
      </c>
      <c r="B27" s="2" t="s">
        <v>48</v>
      </c>
      <c r="C27" s="2" t="s">
        <v>13</v>
      </c>
      <c r="D27" s="13"/>
      <c r="E27" s="13"/>
      <c r="F27" s="45"/>
      <c r="G27" s="42"/>
      <c r="H27" s="42"/>
      <c r="I27" s="42"/>
      <c r="J27" s="14"/>
      <c r="K27" s="43"/>
    </row>
    <row r="28" ht="39.75" customHeight="1">
      <c r="A28" s="1">
        <v>27.0</v>
      </c>
      <c r="B28" s="21"/>
      <c r="C28" s="21"/>
      <c r="D28" s="21"/>
      <c r="E28" s="21"/>
      <c r="F28" s="46"/>
      <c r="G28" s="47"/>
      <c r="H28" s="47"/>
      <c r="I28" s="47"/>
      <c r="J28" s="48"/>
      <c r="K28" s="47"/>
      <c r="L28" s="49"/>
      <c r="M28" s="49"/>
      <c r="N28" s="49"/>
    </row>
    <row r="29" ht="39.75" hidden="1" customHeight="1">
      <c r="A29" s="1">
        <v>28.0</v>
      </c>
      <c r="B29" s="2" t="s">
        <v>12</v>
      </c>
      <c r="C29" s="2" t="s">
        <v>13</v>
      </c>
      <c r="D29" s="13"/>
      <c r="E29" s="13"/>
      <c r="F29" s="45"/>
      <c r="G29" s="42"/>
      <c r="H29" s="42"/>
      <c r="I29" s="42"/>
      <c r="J29" s="14" t="s">
        <v>4797</v>
      </c>
      <c r="K29" s="43"/>
      <c r="L29" s="15" t="s">
        <v>52</v>
      </c>
    </row>
    <row r="30" ht="39.75" customHeight="1">
      <c r="A30" s="1">
        <v>29.0</v>
      </c>
      <c r="B30" s="2" t="s">
        <v>16</v>
      </c>
      <c r="C30" s="2"/>
      <c r="D30" s="40"/>
      <c r="E30" s="13"/>
      <c r="F30" s="44" t="s">
        <v>4804</v>
      </c>
      <c r="G30" s="43">
        <v>2.0</v>
      </c>
      <c r="H30" s="42"/>
      <c r="I30" s="43">
        <v>2.0</v>
      </c>
      <c r="J30" s="14" t="s">
        <v>52</v>
      </c>
      <c r="K30" s="43"/>
    </row>
    <row r="31" ht="39.75" customHeight="1">
      <c r="A31" s="1">
        <v>30.0</v>
      </c>
      <c r="B31" s="2" t="s">
        <v>267</v>
      </c>
      <c r="C31" s="2" t="s">
        <v>272</v>
      </c>
      <c r="D31" s="13"/>
      <c r="E31" s="13"/>
      <c r="F31" s="45"/>
      <c r="G31" s="42"/>
      <c r="H31" s="42"/>
      <c r="I31" s="42"/>
      <c r="J31" s="14" t="s">
        <v>19</v>
      </c>
      <c r="K31" s="43"/>
    </row>
    <row r="32" ht="70.5" customHeight="1">
      <c r="A32" s="1">
        <v>31.0</v>
      </c>
      <c r="B32" s="2" t="s">
        <v>17</v>
      </c>
      <c r="C32" s="2"/>
      <c r="D32" s="40">
        <v>0.375</v>
      </c>
      <c r="E32" s="13"/>
      <c r="F32" s="44" t="s">
        <v>4805</v>
      </c>
      <c r="G32" s="43">
        <v>1.0</v>
      </c>
      <c r="H32" s="42"/>
      <c r="I32" s="42"/>
      <c r="J32" s="14" t="s">
        <v>165</v>
      </c>
      <c r="K32" s="43"/>
    </row>
    <row r="33" ht="39.75" hidden="1" customHeight="1">
      <c r="A33" s="1">
        <v>32.0</v>
      </c>
      <c r="B33" s="2" t="s">
        <v>331</v>
      </c>
      <c r="C33" s="2" t="s">
        <v>13</v>
      </c>
      <c r="D33" s="13"/>
      <c r="E33" s="13"/>
      <c r="F33" s="45"/>
      <c r="G33" s="42"/>
      <c r="H33" s="42"/>
      <c r="I33" s="42"/>
      <c r="J33" s="14" t="s">
        <v>166</v>
      </c>
      <c r="K33" s="43"/>
    </row>
    <row r="34" ht="39.75" hidden="1" customHeight="1">
      <c r="A34" s="1">
        <v>33.0</v>
      </c>
      <c r="B34" s="2" t="s">
        <v>21</v>
      </c>
      <c r="C34" s="2" t="s">
        <v>13</v>
      </c>
      <c r="D34" s="13"/>
      <c r="E34" s="13"/>
      <c r="F34" s="44"/>
      <c r="G34" s="42"/>
      <c r="H34" s="42"/>
      <c r="I34" s="42"/>
      <c r="J34" s="14" t="s">
        <v>167</v>
      </c>
      <c r="K34" s="43"/>
    </row>
    <row r="35" ht="39.75" hidden="1" customHeight="1">
      <c r="A35" s="1">
        <v>34.0</v>
      </c>
      <c r="B35" s="2" t="s">
        <v>22</v>
      </c>
      <c r="C35" s="2" t="s">
        <v>13</v>
      </c>
      <c r="D35" s="13"/>
      <c r="E35" s="13"/>
      <c r="F35" s="45"/>
      <c r="G35" s="42"/>
      <c r="H35" s="42"/>
      <c r="I35" s="42"/>
      <c r="J35" s="14"/>
      <c r="K35" s="43"/>
    </row>
    <row r="36" ht="73.5" customHeight="1">
      <c r="A36" s="1">
        <v>35.0</v>
      </c>
      <c r="B36" s="2" t="s">
        <v>23</v>
      </c>
      <c r="C36" s="2" t="s">
        <v>44</v>
      </c>
      <c r="D36" s="13"/>
      <c r="E36" s="13"/>
      <c r="F36" s="45"/>
      <c r="G36" s="42"/>
      <c r="H36" s="42"/>
      <c r="I36" s="42"/>
      <c r="J36" s="14"/>
      <c r="K36" s="43"/>
    </row>
    <row r="37" ht="39.75" customHeight="1">
      <c r="A37" s="1">
        <v>36.0</v>
      </c>
      <c r="B37" s="2" t="s">
        <v>24</v>
      </c>
      <c r="C37" s="2" t="s">
        <v>63</v>
      </c>
      <c r="D37" s="13"/>
      <c r="E37" s="13"/>
      <c r="F37" s="44"/>
      <c r="G37" s="42"/>
      <c r="H37" s="42"/>
      <c r="I37" s="42"/>
      <c r="J37" s="14"/>
      <c r="K37" s="43"/>
    </row>
    <row r="38" ht="39.75" hidden="1" customHeight="1">
      <c r="A38" s="1">
        <v>37.0</v>
      </c>
      <c r="B38" s="2" t="s">
        <v>25</v>
      </c>
      <c r="C38" s="2" t="s">
        <v>13</v>
      </c>
      <c r="D38" s="13"/>
      <c r="E38" s="13"/>
      <c r="F38" s="45"/>
      <c r="G38" s="42"/>
      <c r="H38" s="42"/>
      <c r="I38" s="42"/>
      <c r="J38" s="14"/>
      <c r="K38" s="43"/>
    </row>
    <row r="39" ht="39.75" hidden="1" customHeight="1">
      <c r="A39" s="1">
        <v>38.0</v>
      </c>
      <c r="B39" s="2" t="s">
        <v>26</v>
      </c>
      <c r="C39" s="2" t="s">
        <v>13</v>
      </c>
      <c r="D39" s="13"/>
      <c r="E39" s="13"/>
      <c r="F39" s="45"/>
      <c r="G39" s="42"/>
      <c r="H39" s="42"/>
      <c r="I39" s="42"/>
      <c r="J39" s="14"/>
      <c r="K39" s="43"/>
    </row>
    <row r="40" ht="39.75" hidden="1" customHeight="1">
      <c r="A40" s="1">
        <v>39.0</v>
      </c>
      <c r="B40" s="2" t="s">
        <v>29</v>
      </c>
      <c r="C40" s="2" t="s">
        <v>13</v>
      </c>
      <c r="D40" s="13"/>
      <c r="E40" s="13"/>
      <c r="F40" s="44"/>
      <c r="G40" s="43"/>
      <c r="H40" s="42"/>
      <c r="I40" s="43"/>
      <c r="J40" s="14"/>
      <c r="K40" s="43"/>
    </row>
    <row r="41" ht="39.75" customHeight="1">
      <c r="A41" s="1">
        <v>40.0</v>
      </c>
      <c r="B41" s="2" t="s">
        <v>30</v>
      </c>
      <c r="C41" s="2" t="s">
        <v>49</v>
      </c>
      <c r="D41" s="13"/>
      <c r="E41" s="13"/>
      <c r="F41" s="44" t="s">
        <v>4806</v>
      </c>
      <c r="G41" s="43">
        <v>1.0</v>
      </c>
      <c r="H41" s="42"/>
      <c r="I41" s="43">
        <v>1.0</v>
      </c>
      <c r="J41" s="14"/>
      <c r="K41" s="43"/>
    </row>
    <row r="42" ht="39.75" hidden="1" customHeight="1">
      <c r="A42" s="1">
        <v>41.0</v>
      </c>
      <c r="B42" s="2" t="s">
        <v>31</v>
      </c>
      <c r="C42" s="2" t="s">
        <v>13</v>
      </c>
      <c r="D42" s="13"/>
      <c r="E42" s="13"/>
      <c r="F42" s="45"/>
      <c r="G42" s="42"/>
      <c r="H42" s="42"/>
      <c r="I42" s="42"/>
      <c r="J42" s="14"/>
      <c r="K42" s="43"/>
    </row>
    <row r="43" ht="39.75" hidden="1" customHeight="1">
      <c r="A43" s="1">
        <v>42.0</v>
      </c>
      <c r="B43" s="2" t="s">
        <v>32</v>
      </c>
      <c r="C43" s="2" t="s">
        <v>13</v>
      </c>
      <c r="D43" s="13"/>
      <c r="E43" s="13"/>
      <c r="F43" s="45"/>
      <c r="G43" s="42"/>
      <c r="H43" s="42"/>
      <c r="I43" s="42"/>
      <c r="J43" s="14"/>
      <c r="K43" s="43"/>
    </row>
    <row r="44" ht="39.75" hidden="1" customHeight="1">
      <c r="A44" s="1">
        <v>43.0</v>
      </c>
      <c r="B44" s="2" t="s">
        <v>67</v>
      </c>
      <c r="C44" s="2" t="s">
        <v>13</v>
      </c>
      <c r="D44" s="13"/>
      <c r="E44" s="13"/>
      <c r="F44" s="45"/>
      <c r="G44" s="42"/>
      <c r="H44" s="42"/>
      <c r="I44" s="42"/>
      <c r="J44" s="14"/>
      <c r="K44" s="43"/>
    </row>
    <row r="45" ht="39.75" customHeight="1">
      <c r="A45" s="1">
        <v>44.0</v>
      </c>
      <c r="B45" s="2" t="s">
        <v>35</v>
      </c>
      <c r="C45" s="2" t="s">
        <v>27</v>
      </c>
      <c r="D45" s="13"/>
      <c r="E45" s="13"/>
      <c r="F45" s="45"/>
      <c r="G45" s="42"/>
      <c r="H45" s="42"/>
      <c r="I45" s="42"/>
      <c r="J45" s="14"/>
      <c r="K45" s="43"/>
    </row>
    <row r="46" ht="39.75" hidden="1" customHeight="1">
      <c r="A46" s="1">
        <v>45.0</v>
      </c>
      <c r="B46" s="2" t="s">
        <v>36</v>
      </c>
      <c r="C46" s="2" t="s">
        <v>13</v>
      </c>
      <c r="D46" s="13"/>
      <c r="E46" s="13"/>
      <c r="F46" s="45"/>
      <c r="G46" s="42"/>
      <c r="H46" s="42"/>
      <c r="I46" s="42"/>
      <c r="J46" s="14"/>
      <c r="K46" s="43"/>
    </row>
    <row r="47" ht="39.75" hidden="1" customHeight="1">
      <c r="A47" s="1">
        <v>46.0</v>
      </c>
      <c r="B47" s="2" t="s">
        <v>38</v>
      </c>
      <c r="C47" s="2" t="s">
        <v>13</v>
      </c>
      <c r="D47" s="13"/>
      <c r="E47" s="13"/>
      <c r="F47" s="45"/>
      <c r="G47" s="42"/>
      <c r="H47" s="42"/>
      <c r="I47" s="42"/>
      <c r="J47" s="14"/>
      <c r="K47" s="43"/>
    </row>
    <row r="48" ht="39.75" hidden="1" customHeight="1">
      <c r="A48" s="1">
        <v>47.0</v>
      </c>
      <c r="B48" s="2" t="s">
        <v>41</v>
      </c>
      <c r="C48" s="2" t="s">
        <v>13</v>
      </c>
      <c r="D48" s="13"/>
      <c r="E48" s="13"/>
      <c r="F48" s="45"/>
      <c r="G48" s="42"/>
      <c r="H48" s="42"/>
      <c r="I48" s="42"/>
      <c r="J48" s="14"/>
      <c r="K48" s="43"/>
    </row>
    <row r="49" ht="39.75" hidden="1" customHeight="1">
      <c r="A49" s="1">
        <v>48.0</v>
      </c>
      <c r="B49" s="2" t="s">
        <v>42</v>
      </c>
      <c r="C49" s="2" t="s">
        <v>13</v>
      </c>
      <c r="D49" s="13"/>
      <c r="E49" s="13"/>
      <c r="F49" s="45"/>
      <c r="G49" s="42"/>
      <c r="H49" s="42"/>
      <c r="I49" s="42"/>
      <c r="J49" s="14"/>
      <c r="K49" s="43"/>
    </row>
    <row r="50" ht="39.75" customHeight="1">
      <c r="A50" s="1">
        <v>49.0</v>
      </c>
      <c r="B50" s="2" t="s">
        <v>43</v>
      </c>
      <c r="C50" s="2"/>
      <c r="D50" s="53">
        <v>0.25</v>
      </c>
      <c r="E50" s="13"/>
      <c r="F50" s="44" t="s">
        <v>4807</v>
      </c>
      <c r="G50" s="43">
        <v>2.0</v>
      </c>
      <c r="H50" s="42"/>
      <c r="I50" s="43">
        <v>1.0</v>
      </c>
      <c r="J50" s="14"/>
      <c r="K50" s="43"/>
    </row>
    <row r="51" ht="39.75" hidden="1" customHeight="1">
      <c r="A51" s="1">
        <v>50.0</v>
      </c>
      <c r="B51" s="2" t="s">
        <v>45</v>
      </c>
      <c r="C51" s="2" t="s">
        <v>13</v>
      </c>
      <c r="D51" s="13"/>
      <c r="E51" s="13"/>
      <c r="F51" s="45"/>
      <c r="G51" s="42"/>
      <c r="H51" s="42"/>
      <c r="I51" s="42"/>
      <c r="J51" s="14"/>
      <c r="K51" s="43"/>
    </row>
    <row r="52" ht="39.75" hidden="1" customHeight="1">
      <c r="A52" s="1">
        <v>51.0</v>
      </c>
      <c r="B52" s="2" t="s">
        <v>46</v>
      </c>
      <c r="C52" s="2" t="s">
        <v>13</v>
      </c>
      <c r="D52" s="13"/>
      <c r="E52" s="13"/>
      <c r="F52" s="45"/>
      <c r="G52" s="42"/>
      <c r="H52" s="42"/>
      <c r="I52" s="42"/>
      <c r="J52" s="14"/>
      <c r="K52" s="43"/>
    </row>
    <row r="53" ht="39.75" hidden="1" customHeight="1">
      <c r="A53" s="1">
        <v>52.0</v>
      </c>
      <c r="B53" s="2" t="s">
        <v>47</v>
      </c>
      <c r="C53" s="2" t="s">
        <v>13</v>
      </c>
      <c r="D53" s="13"/>
      <c r="E53" s="13"/>
      <c r="F53" s="45"/>
      <c r="G53" s="42"/>
      <c r="H53" s="42"/>
      <c r="I53" s="42"/>
      <c r="J53" s="14"/>
      <c r="K53" s="43"/>
    </row>
    <row r="54" ht="39.75" hidden="1" customHeight="1">
      <c r="A54" s="1">
        <v>53.0</v>
      </c>
      <c r="B54" s="2" t="s">
        <v>48</v>
      </c>
      <c r="C54" s="2" t="s">
        <v>13</v>
      </c>
      <c r="D54" s="13"/>
      <c r="E54" s="13"/>
      <c r="F54" s="45"/>
      <c r="G54" s="42"/>
      <c r="H54" s="42"/>
      <c r="I54" s="42"/>
      <c r="J54" s="14"/>
      <c r="K54" s="43"/>
    </row>
    <row r="55" ht="39.75" customHeight="1">
      <c r="A55" s="1">
        <v>54.0</v>
      </c>
      <c r="B55" s="21"/>
      <c r="C55" s="21"/>
      <c r="D55" s="21"/>
      <c r="E55" s="21"/>
      <c r="F55" s="46"/>
      <c r="G55" s="47"/>
      <c r="H55" s="47"/>
      <c r="I55" s="47"/>
      <c r="J55" s="48"/>
      <c r="K55" s="47"/>
      <c r="L55" s="49"/>
      <c r="M55" s="49"/>
      <c r="N55" s="49"/>
    </row>
    <row r="56" ht="39.75" hidden="1" customHeight="1">
      <c r="A56" s="1">
        <v>55.0</v>
      </c>
      <c r="B56" s="2" t="s">
        <v>12</v>
      </c>
      <c r="C56" s="2" t="s">
        <v>58</v>
      </c>
      <c r="D56" s="13"/>
      <c r="E56" s="13"/>
      <c r="F56" s="45"/>
      <c r="G56" s="42"/>
      <c r="H56" s="42"/>
      <c r="I56" s="42"/>
      <c r="J56" s="14" t="s">
        <v>4797</v>
      </c>
      <c r="K56" s="43"/>
      <c r="L56" s="15" t="s">
        <v>74</v>
      </c>
    </row>
    <row r="57" ht="39.75" hidden="1" customHeight="1">
      <c r="A57" s="1">
        <v>56.0</v>
      </c>
      <c r="B57" s="2" t="s">
        <v>16</v>
      </c>
      <c r="C57" s="2" t="s">
        <v>66</v>
      </c>
      <c r="D57" s="13"/>
      <c r="E57" s="13"/>
      <c r="F57" s="45"/>
      <c r="G57" s="42"/>
      <c r="H57" s="42"/>
      <c r="I57" s="42"/>
      <c r="J57" s="14" t="s">
        <v>74</v>
      </c>
      <c r="K57" s="43"/>
    </row>
    <row r="58" ht="39.75" hidden="1" customHeight="1">
      <c r="A58" s="1">
        <v>57.0</v>
      </c>
      <c r="B58" s="2" t="s">
        <v>116</v>
      </c>
      <c r="C58" s="2" t="s">
        <v>58</v>
      </c>
      <c r="D58" s="13"/>
      <c r="E58" s="13"/>
      <c r="F58" s="45"/>
      <c r="G58" s="42"/>
      <c r="H58" s="42"/>
      <c r="I58" s="42"/>
      <c r="J58" s="14" t="s">
        <v>56</v>
      </c>
      <c r="K58" s="43"/>
    </row>
    <row r="59" ht="39.75" hidden="1" customHeight="1">
      <c r="A59" s="1">
        <v>58.0</v>
      </c>
      <c r="B59" s="2" t="s">
        <v>17</v>
      </c>
      <c r="C59" s="2" t="s">
        <v>66</v>
      </c>
      <c r="D59" s="13"/>
      <c r="E59" s="13"/>
      <c r="F59" s="45"/>
      <c r="G59" s="42"/>
      <c r="H59" s="42"/>
      <c r="I59" s="42"/>
      <c r="J59" s="14"/>
      <c r="K59" s="43"/>
    </row>
    <row r="60" ht="39.75" hidden="1" customHeight="1">
      <c r="A60" s="1">
        <v>59.0</v>
      </c>
      <c r="B60" s="2" t="s">
        <v>331</v>
      </c>
      <c r="C60" s="2" t="s">
        <v>58</v>
      </c>
      <c r="D60" s="13"/>
      <c r="E60" s="13"/>
      <c r="F60" s="45"/>
      <c r="G60" s="42"/>
      <c r="H60" s="42"/>
      <c r="I60" s="42"/>
      <c r="J60" s="14"/>
      <c r="K60" s="43"/>
    </row>
    <row r="61" ht="39.75" hidden="1" customHeight="1">
      <c r="A61" s="1">
        <v>60.0</v>
      </c>
      <c r="B61" s="2" t="s">
        <v>21</v>
      </c>
      <c r="C61" s="2" t="s">
        <v>58</v>
      </c>
      <c r="D61" s="13"/>
      <c r="E61" s="13"/>
      <c r="F61" s="45"/>
      <c r="G61" s="42"/>
      <c r="H61" s="42"/>
      <c r="I61" s="42"/>
      <c r="J61" s="14"/>
      <c r="K61" s="43"/>
    </row>
    <row r="62" ht="92.25" customHeight="1">
      <c r="A62" s="1">
        <v>61.0</v>
      </c>
      <c r="B62" s="2" t="s">
        <v>22</v>
      </c>
      <c r="C62" s="2" t="s">
        <v>54</v>
      </c>
      <c r="D62" s="13"/>
      <c r="E62" s="13"/>
      <c r="F62" s="44" t="s">
        <v>4808</v>
      </c>
      <c r="G62" s="43">
        <v>1.0</v>
      </c>
      <c r="H62" s="42"/>
      <c r="I62" s="42"/>
      <c r="J62" s="14"/>
      <c r="K62" s="43"/>
    </row>
    <row r="63" ht="79.5" customHeight="1">
      <c r="A63" s="1">
        <v>62.0</v>
      </c>
      <c r="B63" s="2" t="s">
        <v>23</v>
      </c>
      <c r="C63" s="2" t="s">
        <v>39</v>
      </c>
      <c r="D63" s="13"/>
      <c r="E63" s="13"/>
      <c r="F63" s="44" t="s">
        <v>4809</v>
      </c>
      <c r="G63" s="43">
        <v>2.0</v>
      </c>
      <c r="H63" s="42"/>
      <c r="I63" s="43">
        <v>2.0</v>
      </c>
      <c r="J63" s="14"/>
      <c r="K63" s="43"/>
    </row>
    <row r="64" ht="39.75" customHeight="1">
      <c r="A64" s="1">
        <v>63.0</v>
      </c>
      <c r="B64" s="2" t="s">
        <v>24</v>
      </c>
      <c r="C64" s="2" t="s">
        <v>63</v>
      </c>
      <c r="D64" s="13"/>
      <c r="E64" s="13"/>
      <c r="F64" s="45"/>
      <c r="G64" s="42"/>
      <c r="H64" s="42"/>
      <c r="I64" s="42"/>
      <c r="J64" s="14"/>
      <c r="K64" s="43"/>
    </row>
    <row r="65" ht="39.75" customHeight="1">
      <c r="A65" s="1">
        <v>64.0</v>
      </c>
      <c r="B65" s="2" t="s">
        <v>25</v>
      </c>
      <c r="C65" s="2" t="s">
        <v>69</v>
      </c>
      <c r="D65" s="13"/>
      <c r="E65" s="13"/>
      <c r="F65" s="44" t="s">
        <v>3319</v>
      </c>
      <c r="G65" s="42"/>
      <c r="H65" s="42"/>
      <c r="I65" s="42"/>
      <c r="J65" s="14"/>
      <c r="K65" s="43"/>
    </row>
    <row r="66" ht="61.5" customHeight="1">
      <c r="A66" s="1">
        <v>65.0</v>
      </c>
      <c r="B66" s="2" t="s">
        <v>26</v>
      </c>
      <c r="C66" s="2"/>
      <c r="D66" s="53">
        <v>0.3541666666666667</v>
      </c>
      <c r="E66" s="13"/>
      <c r="F66" s="44" t="s">
        <v>4810</v>
      </c>
      <c r="G66" s="43">
        <v>1.0</v>
      </c>
      <c r="H66" s="42"/>
      <c r="I66" s="43">
        <v>1.0</v>
      </c>
      <c r="J66" s="14"/>
      <c r="K66" s="43"/>
    </row>
    <row r="67" ht="83.25" customHeight="1">
      <c r="A67" s="1">
        <v>66.0</v>
      </c>
      <c r="B67" s="2" t="s">
        <v>29</v>
      </c>
      <c r="C67" s="2" t="s">
        <v>54</v>
      </c>
      <c r="D67" s="13"/>
      <c r="E67" s="13"/>
      <c r="F67" s="44" t="s">
        <v>4811</v>
      </c>
      <c r="G67" s="43">
        <v>1.0</v>
      </c>
      <c r="H67" s="42"/>
      <c r="I67" s="43">
        <v>1.0</v>
      </c>
      <c r="J67" s="14"/>
      <c r="K67" s="43"/>
    </row>
    <row r="68" ht="39.75" customHeight="1">
      <c r="A68" s="1">
        <v>67.0</v>
      </c>
      <c r="B68" s="2" t="s">
        <v>30</v>
      </c>
      <c r="C68" s="2" t="s">
        <v>64</v>
      </c>
      <c r="D68" s="13"/>
      <c r="E68" s="13"/>
      <c r="F68" s="44" t="s">
        <v>2592</v>
      </c>
      <c r="G68" s="43">
        <v>1.0</v>
      </c>
      <c r="H68" s="42"/>
      <c r="I68" s="43">
        <v>1.0</v>
      </c>
      <c r="J68" s="14"/>
      <c r="K68" s="43"/>
    </row>
    <row r="69" ht="39.75" customHeight="1">
      <c r="A69" s="1">
        <v>68.0</v>
      </c>
      <c r="B69" s="2" t="s">
        <v>31</v>
      </c>
      <c r="C69" s="2" t="s">
        <v>69</v>
      </c>
      <c r="D69" s="13"/>
      <c r="E69" s="13"/>
      <c r="F69" s="44" t="s">
        <v>3365</v>
      </c>
      <c r="G69" s="43">
        <v>1.0</v>
      </c>
      <c r="H69" s="42"/>
      <c r="I69" s="43">
        <v>1.0</v>
      </c>
      <c r="J69" s="14"/>
      <c r="K69" s="43"/>
    </row>
    <row r="70" ht="39.75" customHeight="1">
      <c r="A70" s="1">
        <v>69.0</v>
      </c>
      <c r="B70" s="2" t="s">
        <v>32</v>
      </c>
      <c r="C70" s="2"/>
      <c r="D70" s="13"/>
      <c r="E70" s="13"/>
      <c r="F70" s="44" t="s">
        <v>4812</v>
      </c>
      <c r="G70" s="43">
        <v>2.0</v>
      </c>
      <c r="H70" s="42"/>
      <c r="I70" s="43">
        <v>2.0</v>
      </c>
      <c r="J70" s="14"/>
      <c r="K70" s="43"/>
    </row>
    <row r="71" ht="39.75" customHeight="1">
      <c r="A71" s="1">
        <v>70.0</v>
      </c>
      <c r="B71" s="2" t="s">
        <v>67</v>
      </c>
      <c r="C71" s="2" t="s">
        <v>39</v>
      </c>
      <c r="D71" s="59">
        <v>0.3333333333333333</v>
      </c>
      <c r="E71" s="13"/>
      <c r="F71" s="44" t="s">
        <v>4813</v>
      </c>
      <c r="G71" s="43">
        <v>1.0</v>
      </c>
      <c r="H71" s="42"/>
      <c r="I71" s="42"/>
      <c r="J71" s="14"/>
      <c r="K71" s="43"/>
    </row>
    <row r="72" ht="39.75" customHeight="1">
      <c r="A72" s="1">
        <v>71.0</v>
      </c>
      <c r="B72" s="2" t="s">
        <v>35</v>
      </c>
      <c r="C72" s="30" t="s">
        <v>44</v>
      </c>
      <c r="D72" s="13"/>
      <c r="E72" s="13"/>
      <c r="F72" s="52" t="s">
        <v>4814</v>
      </c>
      <c r="G72" s="56">
        <v>1.0</v>
      </c>
      <c r="H72" s="42"/>
      <c r="I72" s="56">
        <v>1.0</v>
      </c>
      <c r="J72" s="14"/>
      <c r="K72" s="43"/>
    </row>
    <row r="73" ht="39.75" customHeight="1">
      <c r="A73" s="1">
        <v>72.0</v>
      </c>
      <c r="B73" s="2" t="s">
        <v>36</v>
      </c>
      <c r="C73" s="2"/>
      <c r="D73" s="13"/>
      <c r="E73" s="13"/>
      <c r="F73" s="44" t="s">
        <v>4815</v>
      </c>
      <c r="G73" s="43">
        <v>1.0</v>
      </c>
      <c r="H73" s="42"/>
      <c r="I73" s="43">
        <v>1.0</v>
      </c>
      <c r="J73" s="14"/>
      <c r="K73" s="43"/>
    </row>
    <row r="74" ht="39.75" customHeight="1">
      <c r="A74" s="1">
        <v>73.0</v>
      </c>
      <c r="B74" s="2" t="s">
        <v>38</v>
      </c>
      <c r="C74" s="2"/>
      <c r="D74" s="13"/>
      <c r="E74" s="13"/>
      <c r="F74" s="44" t="s">
        <v>4816</v>
      </c>
      <c r="G74" s="43">
        <v>1.0</v>
      </c>
      <c r="H74" s="42"/>
      <c r="I74" s="42"/>
      <c r="J74" s="14"/>
      <c r="K74" s="43"/>
    </row>
    <row r="75" ht="39.75" hidden="1" customHeight="1">
      <c r="A75" s="1">
        <v>74.0</v>
      </c>
      <c r="B75" s="2" t="s">
        <v>41</v>
      </c>
      <c r="C75" s="2" t="s">
        <v>58</v>
      </c>
      <c r="D75" s="13"/>
      <c r="E75" s="13"/>
      <c r="F75" s="45"/>
      <c r="G75" s="42"/>
      <c r="H75" s="42"/>
      <c r="I75" s="42"/>
      <c r="J75" s="14"/>
      <c r="K75" s="43"/>
    </row>
    <row r="76" ht="39.75" customHeight="1">
      <c r="A76" s="1">
        <v>75.0</v>
      </c>
      <c r="B76" s="2" t="s">
        <v>42</v>
      </c>
      <c r="C76" s="2" t="s">
        <v>54</v>
      </c>
      <c r="D76" s="13"/>
      <c r="E76" s="13"/>
      <c r="F76" s="44" t="s">
        <v>4817</v>
      </c>
      <c r="G76" s="43">
        <v>1.0</v>
      </c>
      <c r="H76" s="42"/>
      <c r="I76" s="42"/>
      <c r="J76" s="14"/>
      <c r="K76" s="43"/>
    </row>
    <row r="77" ht="39.75" customHeight="1">
      <c r="A77" s="1">
        <v>76.0</v>
      </c>
      <c r="B77" s="2" t="s">
        <v>43</v>
      </c>
      <c r="C77" s="2"/>
      <c r="D77" s="40"/>
      <c r="E77" s="13"/>
      <c r="F77" s="44" t="s">
        <v>4818</v>
      </c>
      <c r="G77" s="43">
        <v>1.0</v>
      </c>
      <c r="H77" s="42"/>
      <c r="I77" s="42"/>
      <c r="J77" s="14"/>
      <c r="K77" s="43"/>
    </row>
    <row r="78" ht="39.75" customHeight="1">
      <c r="A78" s="1">
        <v>77.0</v>
      </c>
      <c r="B78" s="2" t="s">
        <v>45</v>
      </c>
      <c r="C78" s="2" t="s">
        <v>27</v>
      </c>
      <c r="D78" s="13"/>
      <c r="E78" s="13"/>
      <c r="F78" s="44" t="s">
        <v>3319</v>
      </c>
      <c r="G78" s="43">
        <v>1.0</v>
      </c>
      <c r="H78" s="42"/>
      <c r="I78" s="42"/>
      <c r="J78" s="14"/>
      <c r="K78" s="43"/>
    </row>
    <row r="79" ht="39.75" customHeight="1">
      <c r="A79" s="1">
        <v>78.0</v>
      </c>
      <c r="B79" s="2" t="s">
        <v>46</v>
      </c>
      <c r="C79" s="2" t="s">
        <v>54</v>
      </c>
      <c r="D79" s="13"/>
      <c r="E79" s="13"/>
      <c r="F79" s="44" t="s">
        <v>4819</v>
      </c>
      <c r="G79" s="43">
        <v>2.0</v>
      </c>
      <c r="H79" s="42"/>
      <c r="I79" s="43">
        <v>2.0</v>
      </c>
      <c r="J79" s="14"/>
      <c r="K79" s="43"/>
    </row>
    <row r="80" ht="39.75" customHeight="1">
      <c r="A80" s="1">
        <v>79.0</v>
      </c>
      <c r="B80" s="2" t="s">
        <v>47</v>
      </c>
      <c r="C80" s="2" t="s">
        <v>69</v>
      </c>
      <c r="D80" s="13"/>
      <c r="E80" s="13"/>
      <c r="F80" s="44" t="s">
        <v>4820</v>
      </c>
      <c r="G80" s="43">
        <v>1.0</v>
      </c>
      <c r="H80" s="42"/>
      <c r="I80" s="43">
        <v>1.0</v>
      </c>
      <c r="J80" s="14"/>
      <c r="K80" s="43"/>
    </row>
    <row r="81" ht="39.75" hidden="1" customHeight="1">
      <c r="A81" s="1">
        <v>80.0</v>
      </c>
      <c r="B81" s="2" t="s">
        <v>48</v>
      </c>
      <c r="C81" s="2" t="s">
        <v>58</v>
      </c>
      <c r="D81" s="13"/>
      <c r="E81" s="13"/>
      <c r="F81" s="45"/>
      <c r="G81" s="42"/>
      <c r="H81" s="42"/>
      <c r="I81" s="42"/>
      <c r="J81" s="14"/>
      <c r="K81" s="43"/>
    </row>
    <row r="82" ht="39.75" customHeight="1">
      <c r="A82" s="1">
        <v>81.0</v>
      </c>
      <c r="B82" s="21"/>
      <c r="C82" s="21"/>
      <c r="D82" s="21"/>
      <c r="E82" s="21"/>
      <c r="F82" s="46"/>
      <c r="G82" s="47"/>
      <c r="H82" s="47"/>
      <c r="I82" s="47"/>
      <c r="J82" s="48"/>
      <c r="K82" s="47"/>
      <c r="L82" s="49"/>
      <c r="M82" s="49"/>
      <c r="N82" s="49"/>
    </row>
    <row r="83" ht="39.75" hidden="1" customHeight="1">
      <c r="A83" s="1">
        <v>82.0</v>
      </c>
      <c r="B83" s="2" t="s">
        <v>12</v>
      </c>
      <c r="C83" s="2" t="s">
        <v>58</v>
      </c>
      <c r="D83" s="13"/>
      <c r="E83" s="13"/>
      <c r="F83" s="45"/>
      <c r="G83" s="42"/>
      <c r="H83" s="42"/>
      <c r="I83" s="42"/>
      <c r="J83" s="14" t="s">
        <v>4797</v>
      </c>
      <c r="K83" s="43"/>
      <c r="L83" s="15" t="s">
        <v>94</v>
      </c>
    </row>
    <row r="84" ht="39.75" customHeight="1">
      <c r="A84" s="1">
        <v>83.0</v>
      </c>
      <c r="B84" s="2" t="s">
        <v>16</v>
      </c>
      <c r="C84" s="2" t="s">
        <v>27</v>
      </c>
      <c r="D84" s="13"/>
      <c r="E84" s="13"/>
      <c r="F84" s="44" t="s">
        <v>4821</v>
      </c>
      <c r="G84" s="43">
        <v>1.0</v>
      </c>
      <c r="H84" s="42"/>
      <c r="I84" s="43">
        <v>1.0</v>
      </c>
      <c r="J84" s="14" t="s">
        <v>94</v>
      </c>
      <c r="K84" s="43"/>
    </row>
    <row r="85" ht="39.75" customHeight="1">
      <c r="A85" s="1">
        <v>84.0</v>
      </c>
      <c r="B85" s="2" t="s">
        <v>116</v>
      </c>
      <c r="C85" s="2" t="s">
        <v>69</v>
      </c>
      <c r="D85" s="13"/>
      <c r="E85" s="13"/>
      <c r="F85" s="44"/>
      <c r="G85" s="42"/>
      <c r="H85" s="42"/>
      <c r="I85" s="42"/>
      <c r="J85" s="14" t="s">
        <v>77</v>
      </c>
      <c r="K85" s="43"/>
    </row>
    <row r="86" ht="39.75" customHeight="1">
      <c r="A86" s="1">
        <v>85.0</v>
      </c>
      <c r="B86" s="2" t="s">
        <v>17</v>
      </c>
      <c r="C86" s="2" t="s">
        <v>69</v>
      </c>
      <c r="D86" s="13"/>
      <c r="E86" s="13"/>
      <c r="F86" s="44" t="s">
        <v>4822</v>
      </c>
      <c r="G86" s="43">
        <v>1.0</v>
      </c>
      <c r="H86" s="42"/>
      <c r="I86" s="43">
        <v>1.0</v>
      </c>
      <c r="J86" s="14"/>
      <c r="K86" s="43"/>
    </row>
    <row r="87" ht="39.75" hidden="1" customHeight="1">
      <c r="A87" s="1">
        <v>86.0</v>
      </c>
      <c r="B87" s="2" t="s">
        <v>331</v>
      </c>
      <c r="C87" s="2" t="s">
        <v>58</v>
      </c>
      <c r="D87" s="13"/>
      <c r="E87" s="13"/>
      <c r="F87" s="45"/>
      <c r="G87" s="42"/>
      <c r="H87" s="42"/>
      <c r="I87" s="42"/>
      <c r="J87" s="14"/>
      <c r="K87" s="43"/>
    </row>
    <row r="88" ht="39.75" hidden="1" customHeight="1">
      <c r="A88" s="1">
        <v>87.0</v>
      </c>
      <c r="B88" s="2" t="s">
        <v>21</v>
      </c>
      <c r="C88" s="2" t="s">
        <v>58</v>
      </c>
      <c r="D88" s="13"/>
      <c r="E88" s="13"/>
      <c r="F88" s="45"/>
      <c r="G88" s="42"/>
      <c r="H88" s="42"/>
      <c r="I88" s="42"/>
      <c r="J88" s="14"/>
      <c r="K88" s="43"/>
    </row>
    <row r="89" ht="39.75" customHeight="1">
      <c r="A89" s="1">
        <v>88.0</v>
      </c>
      <c r="B89" s="2" t="s">
        <v>22</v>
      </c>
      <c r="C89" s="2" t="s">
        <v>54</v>
      </c>
      <c r="D89" s="13"/>
      <c r="E89" s="13"/>
      <c r="F89" s="45"/>
      <c r="G89" s="42"/>
      <c r="H89" s="42"/>
      <c r="I89" s="42"/>
      <c r="J89" s="14"/>
      <c r="K89" s="43"/>
    </row>
    <row r="90" ht="39.75" customHeight="1">
      <c r="A90" s="1">
        <v>89.0</v>
      </c>
      <c r="B90" s="2" t="s">
        <v>23</v>
      </c>
      <c r="C90" s="13"/>
      <c r="D90" s="13"/>
      <c r="E90" s="13"/>
      <c r="F90" s="45"/>
      <c r="G90" s="42"/>
      <c r="H90" s="42"/>
      <c r="I90" s="42"/>
      <c r="J90" s="14"/>
      <c r="K90" s="43"/>
    </row>
    <row r="91" ht="39.75" customHeight="1">
      <c r="A91" s="1">
        <v>90.0</v>
      </c>
      <c r="B91" s="2" t="s">
        <v>24</v>
      </c>
      <c r="C91" s="2" t="s">
        <v>63</v>
      </c>
      <c r="D91" s="13"/>
      <c r="E91" s="13"/>
      <c r="F91" s="45"/>
      <c r="G91" s="42"/>
      <c r="H91" s="42"/>
      <c r="I91" s="42"/>
      <c r="J91" s="14"/>
      <c r="K91" s="43"/>
    </row>
    <row r="92" ht="39.75" customHeight="1">
      <c r="A92" s="1">
        <v>91.0</v>
      </c>
      <c r="B92" s="2" t="s">
        <v>25</v>
      </c>
      <c r="C92" s="2"/>
      <c r="D92" s="13"/>
      <c r="E92" s="13"/>
      <c r="F92" s="44" t="s">
        <v>4823</v>
      </c>
      <c r="G92" s="43">
        <v>1.0</v>
      </c>
      <c r="H92" s="42"/>
      <c r="I92" s="43">
        <v>1.0</v>
      </c>
      <c r="J92" s="14"/>
      <c r="K92" s="43"/>
    </row>
    <row r="93" ht="39.75" customHeight="1">
      <c r="A93" s="1">
        <v>92.0</v>
      </c>
      <c r="B93" s="2" t="s">
        <v>26</v>
      </c>
      <c r="C93" s="2"/>
      <c r="D93" s="13"/>
      <c r="E93" s="13"/>
      <c r="F93" s="44" t="s">
        <v>4824</v>
      </c>
      <c r="G93" s="43">
        <v>1.0</v>
      </c>
      <c r="H93" s="42"/>
      <c r="I93" s="42"/>
      <c r="J93" s="14"/>
      <c r="K93" s="43"/>
    </row>
    <row r="94" ht="39.75" customHeight="1">
      <c r="A94" s="1">
        <v>93.0</v>
      </c>
      <c r="B94" s="2" t="s">
        <v>29</v>
      </c>
      <c r="C94" s="2" t="s">
        <v>54</v>
      </c>
      <c r="D94" s="13"/>
      <c r="E94" s="13"/>
      <c r="F94" s="44" t="s">
        <v>4825</v>
      </c>
      <c r="G94" s="43">
        <v>1.0</v>
      </c>
      <c r="H94" s="42"/>
      <c r="I94" s="43">
        <v>1.0</v>
      </c>
      <c r="J94" s="14"/>
      <c r="K94" s="43"/>
    </row>
    <row r="95" ht="39.75" customHeight="1">
      <c r="A95" s="1">
        <v>94.0</v>
      </c>
      <c r="B95" s="2" t="s">
        <v>30</v>
      </c>
      <c r="C95" s="2" t="s">
        <v>64</v>
      </c>
      <c r="D95" s="13"/>
      <c r="E95" s="13"/>
      <c r="F95" s="44" t="s">
        <v>2592</v>
      </c>
      <c r="G95" s="43">
        <v>1.0</v>
      </c>
      <c r="H95" s="42"/>
      <c r="I95" s="43">
        <v>1.0</v>
      </c>
      <c r="J95" s="14"/>
      <c r="K95" s="43"/>
    </row>
    <row r="96" ht="39.75" hidden="1" customHeight="1">
      <c r="A96" s="1">
        <v>95.0</v>
      </c>
      <c r="B96" s="2" t="s">
        <v>31</v>
      </c>
      <c r="C96" s="2" t="s">
        <v>58</v>
      </c>
      <c r="D96" s="13"/>
      <c r="E96" s="13"/>
      <c r="F96" s="45"/>
      <c r="G96" s="42"/>
      <c r="H96" s="42"/>
      <c r="I96" s="42"/>
      <c r="J96" s="14"/>
      <c r="K96" s="43"/>
    </row>
    <row r="97" ht="39.75" customHeight="1">
      <c r="A97" s="1">
        <v>96.0</v>
      </c>
      <c r="B97" s="2" t="s">
        <v>32</v>
      </c>
      <c r="C97" s="2"/>
      <c r="D97" s="13"/>
      <c r="E97" s="13"/>
      <c r="F97" s="44" t="s">
        <v>4826</v>
      </c>
      <c r="G97" s="43">
        <v>1.0</v>
      </c>
      <c r="H97" s="42"/>
      <c r="I97" s="42"/>
      <c r="J97" s="14"/>
      <c r="K97" s="43"/>
    </row>
    <row r="98" ht="39.75" customHeight="1">
      <c r="A98" s="1">
        <v>97.0</v>
      </c>
      <c r="B98" s="2" t="s">
        <v>67</v>
      </c>
      <c r="C98" s="2" t="s">
        <v>39</v>
      </c>
      <c r="D98" s="40">
        <v>0.2916666666666667</v>
      </c>
      <c r="E98" s="13"/>
      <c r="F98" s="44" t="s">
        <v>2664</v>
      </c>
      <c r="G98" s="43">
        <v>1.0</v>
      </c>
      <c r="H98" s="42"/>
      <c r="I98" s="43">
        <v>1.0</v>
      </c>
      <c r="J98" s="14"/>
      <c r="K98" s="43"/>
    </row>
    <row r="99" ht="39.75" customHeight="1">
      <c r="A99" s="1">
        <v>98.0</v>
      </c>
      <c r="B99" s="2" t="s">
        <v>35</v>
      </c>
      <c r="C99" s="2" t="s">
        <v>69</v>
      </c>
      <c r="D99" s="13"/>
      <c r="E99" s="40">
        <v>0.8680555555555556</v>
      </c>
      <c r="F99" s="44" t="s">
        <v>4827</v>
      </c>
      <c r="G99" s="43">
        <v>2.0</v>
      </c>
      <c r="H99" s="42"/>
      <c r="I99" s="43">
        <v>1.0</v>
      </c>
      <c r="J99" s="14"/>
      <c r="K99" s="43"/>
    </row>
    <row r="100" ht="39.75" customHeight="1">
      <c r="A100" s="1">
        <v>99.0</v>
      </c>
      <c r="B100" s="2" t="s">
        <v>36</v>
      </c>
      <c r="C100" s="2"/>
      <c r="D100" s="13"/>
      <c r="E100" s="13"/>
      <c r="F100" s="44" t="s">
        <v>4828</v>
      </c>
      <c r="G100" s="43">
        <v>1.0</v>
      </c>
      <c r="H100" s="42"/>
      <c r="I100" s="42"/>
      <c r="J100" s="14"/>
      <c r="K100" s="43"/>
    </row>
    <row r="101" ht="39.75" hidden="1" customHeight="1">
      <c r="A101" s="1">
        <v>100.0</v>
      </c>
      <c r="B101" s="2" t="s">
        <v>38</v>
      </c>
      <c r="C101" s="2" t="s">
        <v>58</v>
      </c>
      <c r="D101" s="13"/>
      <c r="E101" s="13"/>
      <c r="F101" s="45"/>
      <c r="G101" s="42"/>
      <c r="H101" s="42"/>
      <c r="I101" s="42"/>
      <c r="J101" s="14"/>
      <c r="K101" s="43"/>
    </row>
    <row r="102" ht="39.75" hidden="1" customHeight="1">
      <c r="A102" s="1">
        <v>101.0</v>
      </c>
      <c r="B102" s="2" t="s">
        <v>41</v>
      </c>
      <c r="C102" s="2" t="s">
        <v>58</v>
      </c>
      <c r="D102" s="13"/>
      <c r="E102" s="13"/>
      <c r="F102" s="45"/>
      <c r="G102" s="42"/>
      <c r="H102" s="42"/>
      <c r="I102" s="42"/>
      <c r="J102" s="14"/>
      <c r="K102" s="43"/>
    </row>
    <row r="103" ht="39.75" customHeight="1">
      <c r="A103" s="1">
        <v>102.0</v>
      </c>
      <c r="B103" s="2" t="s">
        <v>42</v>
      </c>
      <c r="C103" s="2" t="s">
        <v>54</v>
      </c>
      <c r="D103" s="13"/>
      <c r="E103" s="13"/>
      <c r="F103" s="44" t="s">
        <v>4829</v>
      </c>
      <c r="G103" s="43">
        <v>1.0</v>
      </c>
      <c r="H103" s="42"/>
      <c r="I103" s="42"/>
      <c r="J103" s="14"/>
      <c r="K103" s="43"/>
    </row>
    <row r="104" ht="39.75" customHeight="1">
      <c r="A104" s="1">
        <v>103.0</v>
      </c>
      <c r="B104" s="2" t="s">
        <v>43</v>
      </c>
      <c r="C104" s="2" t="s">
        <v>39</v>
      </c>
      <c r="D104" s="40">
        <v>0.2916666666666667</v>
      </c>
      <c r="E104" s="13"/>
      <c r="F104" s="44" t="s">
        <v>4830</v>
      </c>
      <c r="G104" s="43">
        <v>1.0</v>
      </c>
      <c r="H104" s="42"/>
      <c r="I104" s="42"/>
      <c r="J104" s="14"/>
      <c r="K104" s="43"/>
    </row>
    <row r="105" ht="39.75" customHeight="1">
      <c r="A105" s="1">
        <v>104.0</v>
      </c>
      <c r="B105" s="2" t="s">
        <v>45</v>
      </c>
      <c r="C105" s="2" t="s">
        <v>44</v>
      </c>
      <c r="D105" s="13"/>
      <c r="E105" s="13"/>
      <c r="F105" s="45"/>
      <c r="G105" s="42"/>
      <c r="H105" s="42"/>
      <c r="I105" s="42"/>
      <c r="J105" s="14"/>
      <c r="K105" s="43"/>
    </row>
    <row r="106" ht="39.75" customHeight="1">
      <c r="A106" s="1">
        <v>105.0</v>
      </c>
      <c r="B106" s="2" t="s">
        <v>46</v>
      </c>
      <c r="C106" s="2" t="s">
        <v>54</v>
      </c>
      <c r="D106" s="13"/>
      <c r="E106" s="13"/>
      <c r="F106" s="44" t="s">
        <v>4831</v>
      </c>
      <c r="G106" s="43">
        <v>2.0</v>
      </c>
      <c r="H106" s="42"/>
      <c r="I106" s="43">
        <v>2.0</v>
      </c>
      <c r="J106" s="14"/>
      <c r="K106" s="43"/>
    </row>
    <row r="107" ht="39.75" hidden="1" customHeight="1">
      <c r="A107" s="1">
        <v>106.0</v>
      </c>
      <c r="B107" s="2" t="s">
        <v>47</v>
      </c>
      <c r="C107" s="2" t="s">
        <v>58</v>
      </c>
      <c r="D107" s="13"/>
      <c r="E107" s="13"/>
      <c r="F107" s="45"/>
      <c r="G107" s="42"/>
      <c r="H107" s="42"/>
      <c r="I107" s="42"/>
      <c r="J107" s="14"/>
      <c r="K107" s="43"/>
    </row>
    <row r="108" ht="39.75" customHeight="1">
      <c r="A108" s="1">
        <v>107.0</v>
      </c>
      <c r="B108" s="2" t="s">
        <v>48</v>
      </c>
      <c r="C108" s="2"/>
      <c r="D108" s="13"/>
      <c r="E108" s="13"/>
      <c r="F108" s="44" t="s">
        <v>4832</v>
      </c>
      <c r="G108" s="43">
        <v>1.0</v>
      </c>
      <c r="H108" s="42"/>
      <c r="I108" s="43">
        <v>1.0</v>
      </c>
      <c r="J108" s="14"/>
      <c r="K108" s="43"/>
    </row>
    <row r="109" ht="39.75" customHeight="1">
      <c r="A109" s="1">
        <v>108.0</v>
      </c>
      <c r="B109" s="21"/>
      <c r="C109" s="21"/>
      <c r="D109" s="21"/>
      <c r="E109" s="21"/>
      <c r="F109" s="46"/>
      <c r="G109" s="47"/>
      <c r="H109" s="47"/>
      <c r="I109" s="47"/>
      <c r="J109" s="54"/>
      <c r="K109" s="72"/>
      <c r="L109" s="49"/>
      <c r="M109" s="49"/>
      <c r="N109" s="49"/>
    </row>
    <row r="110" ht="39.75" customHeight="1">
      <c r="A110" s="1">
        <v>109.0</v>
      </c>
      <c r="B110" s="2" t="s">
        <v>12</v>
      </c>
      <c r="C110" s="2" t="s">
        <v>62</v>
      </c>
      <c r="D110" s="13"/>
      <c r="E110" s="13"/>
      <c r="F110" s="45"/>
      <c r="G110" s="42"/>
      <c r="H110" s="42"/>
      <c r="I110" s="42"/>
      <c r="J110" s="27" t="s">
        <v>4797</v>
      </c>
      <c r="K110" s="43"/>
      <c r="L110" s="15" t="s">
        <v>109</v>
      </c>
    </row>
    <row r="111" ht="39.75" customHeight="1">
      <c r="A111" s="1">
        <v>110.0</v>
      </c>
      <c r="B111" s="2" t="s">
        <v>16</v>
      </c>
      <c r="C111" s="2" t="s">
        <v>44</v>
      </c>
      <c r="D111" s="13"/>
      <c r="E111" s="13"/>
      <c r="F111" s="45"/>
      <c r="G111" s="42"/>
      <c r="H111" s="42"/>
      <c r="I111" s="42"/>
      <c r="J111" s="27" t="s">
        <v>109</v>
      </c>
      <c r="K111" s="43"/>
    </row>
    <row r="112" ht="39.75" customHeight="1">
      <c r="A112" s="1">
        <v>111.0</v>
      </c>
      <c r="B112" s="2" t="s">
        <v>116</v>
      </c>
      <c r="C112" s="2"/>
      <c r="D112" s="13"/>
      <c r="E112" s="13"/>
      <c r="F112" s="44" t="s">
        <v>4826</v>
      </c>
      <c r="G112" s="43">
        <v>1.0</v>
      </c>
      <c r="H112" s="42"/>
      <c r="I112" s="42"/>
      <c r="J112" s="27" t="s">
        <v>95</v>
      </c>
      <c r="K112" s="43"/>
    </row>
    <row r="113" ht="39.75" customHeight="1">
      <c r="A113" s="1">
        <v>112.0</v>
      </c>
      <c r="B113" s="2" t="s">
        <v>17</v>
      </c>
      <c r="C113" s="2" t="s">
        <v>69</v>
      </c>
      <c r="D113" s="13"/>
      <c r="E113" s="13"/>
      <c r="F113" s="44" t="s">
        <v>2741</v>
      </c>
      <c r="G113" s="43">
        <v>1.0</v>
      </c>
      <c r="H113" s="42"/>
      <c r="I113" s="43">
        <v>1.0</v>
      </c>
      <c r="J113" s="22"/>
      <c r="K113" s="42"/>
    </row>
    <row r="114" ht="39.75" customHeight="1">
      <c r="A114" s="1">
        <v>113.0</v>
      </c>
      <c r="B114" s="2" t="s">
        <v>331</v>
      </c>
      <c r="C114" s="2" t="s">
        <v>542</v>
      </c>
      <c r="D114" s="13"/>
      <c r="E114" s="13"/>
      <c r="F114" s="45"/>
      <c r="G114" s="42"/>
      <c r="H114" s="42"/>
      <c r="I114" s="42"/>
      <c r="J114" s="22"/>
      <c r="K114" s="42"/>
    </row>
    <row r="115" ht="39.75" hidden="1" customHeight="1">
      <c r="A115" s="1">
        <v>114.0</v>
      </c>
      <c r="B115" s="2" t="s">
        <v>21</v>
      </c>
      <c r="C115" s="2" t="s">
        <v>58</v>
      </c>
      <c r="D115" s="13"/>
      <c r="E115" s="13"/>
      <c r="F115" s="45"/>
      <c r="G115" s="42"/>
      <c r="H115" s="42"/>
      <c r="I115" s="42"/>
      <c r="J115" s="22"/>
      <c r="K115" s="42"/>
    </row>
    <row r="116" ht="39.75" customHeight="1">
      <c r="A116" s="1">
        <v>115.0</v>
      </c>
      <c r="B116" s="2" t="s">
        <v>22</v>
      </c>
      <c r="C116" s="2" t="s">
        <v>39</v>
      </c>
      <c r="D116" s="13"/>
      <c r="E116" s="13"/>
      <c r="F116" s="44" t="s">
        <v>2691</v>
      </c>
      <c r="G116" s="43">
        <v>1.0</v>
      </c>
      <c r="H116" s="42"/>
      <c r="I116" s="43">
        <v>1.0</v>
      </c>
      <c r="J116" s="22"/>
      <c r="K116" s="42"/>
    </row>
    <row r="117" ht="39.75" customHeight="1">
      <c r="A117" s="1">
        <v>116.0</v>
      </c>
      <c r="B117" s="2" t="s">
        <v>23</v>
      </c>
      <c r="C117" s="2" t="s">
        <v>39</v>
      </c>
      <c r="D117" s="13"/>
      <c r="E117" s="13"/>
      <c r="F117" s="44" t="s">
        <v>4833</v>
      </c>
      <c r="G117" s="43">
        <v>1.0</v>
      </c>
      <c r="H117" s="42"/>
      <c r="I117" s="43">
        <v>1.0</v>
      </c>
      <c r="J117" s="22"/>
      <c r="K117" s="42"/>
    </row>
    <row r="118" ht="39.75" customHeight="1">
      <c r="A118" s="1">
        <v>117.0</v>
      </c>
      <c r="B118" s="2" t="s">
        <v>24</v>
      </c>
      <c r="C118" s="2" t="s">
        <v>63</v>
      </c>
      <c r="D118" s="13"/>
      <c r="E118" s="13"/>
      <c r="F118" s="45"/>
      <c r="G118" s="42"/>
      <c r="H118" s="42"/>
      <c r="I118" s="42"/>
      <c r="J118" s="22"/>
      <c r="K118" s="42"/>
    </row>
    <row r="119" ht="39.75" customHeight="1">
      <c r="A119" s="1">
        <v>118.0</v>
      </c>
      <c r="B119" s="2" t="s">
        <v>25</v>
      </c>
      <c r="C119" s="2"/>
      <c r="D119" s="13"/>
      <c r="E119" s="13"/>
      <c r="F119" s="44" t="s">
        <v>4834</v>
      </c>
      <c r="G119" s="43">
        <v>1.0</v>
      </c>
      <c r="H119" s="42"/>
      <c r="I119" s="43">
        <v>1.0</v>
      </c>
      <c r="J119" s="22"/>
      <c r="K119" s="42"/>
    </row>
    <row r="120" ht="39.75" customHeight="1">
      <c r="A120" s="1">
        <v>119.0</v>
      </c>
      <c r="B120" s="2" t="s">
        <v>26</v>
      </c>
      <c r="C120" s="2" t="s">
        <v>54</v>
      </c>
      <c r="D120" s="13"/>
      <c r="E120" s="51">
        <v>0.8611111111111112</v>
      </c>
      <c r="F120" s="44" t="s">
        <v>4835</v>
      </c>
      <c r="G120" s="43">
        <v>1.0</v>
      </c>
      <c r="H120" s="42"/>
      <c r="I120" s="42"/>
      <c r="J120" s="22"/>
      <c r="K120" s="42"/>
    </row>
    <row r="121" ht="39.75" customHeight="1">
      <c r="A121" s="1">
        <v>120.0</v>
      </c>
      <c r="B121" s="2" t="s">
        <v>29</v>
      </c>
      <c r="C121" s="2" t="s">
        <v>54</v>
      </c>
      <c r="D121" s="13"/>
      <c r="E121" s="13"/>
      <c r="F121" s="44" t="s">
        <v>4836</v>
      </c>
      <c r="G121" s="43">
        <v>2.0</v>
      </c>
      <c r="H121" s="42"/>
      <c r="I121" s="43">
        <v>1.0</v>
      </c>
      <c r="J121" s="22"/>
      <c r="K121" s="42"/>
    </row>
    <row r="122" ht="39.75" customHeight="1">
      <c r="A122" s="1">
        <v>121.0</v>
      </c>
      <c r="B122" s="2" t="s">
        <v>30</v>
      </c>
      <c r="C122" s="2" t="s">
        <v>64</v>
      </c>
      <c r="D122" s="13"/>
      <c r="E122" s="13"/>
      <c r="F122" s="44" t="s">
        <v>2592</v>
      </c>
      <c r="G122" s="43">
        <v>1.0</v>
      </c>
      <c r="H122" s="42"/>
      <c r="I122" s="43">
        <v>1.0</v>
      </c>
      <c r="J122" s="22"/>
      <c r="K122" s="42"/>
    </row>
    <row r="123" ht="39.75" customHeight="1">
      <c r="A123" s="1">
        <v>122.0</v>
      </c>
      <c r="B123" s="2" t="s">
        <v>31</v>
      </c>
      <c r="C123" s="13"/>
      <c r="D123" s="13"/>
      <c r="E123" s="13"/>
      <c r="F123" s="44" t="s">
        <v>4837</v>
      </c>
      <c r="G123" s="43">
        <v>1.0</v>
      </c>
      <c r="H123" s="42"/>
      <c r="I123" s="42"/>
      <c r="J123" s="22"/>
      <c r="K123" s="42"/>
    </row>
    <row r="124" ht="39.75" customHeight="1">
      <c r="A124" s="1">
        <v>123.0</v>
      </c>
      <c r="B124" s="2" t="s">
        <v>32</v>
      </c>
      <c r="C124" s="2" t="s">
        <v>69</v>
      </c>
      <c r="D124" s="13"/>
      <c r="E124" s="13"/>
      <c r="F124" s="44" t="s">
        <v>4838</v>
      </c>
      <c r="G124" s="43">
        <v>1.0</v>
      </c>
      <c r="H124" s="42"/>
      <c r="I124" s="42"/>
      <c r="J124" s="22"/>
      <c r="K124" s="42"/>
    </row>
    <row r="125" ht="39.75" customHeight="1">
      <c r="A125" s="1">
        <v>124.0</v>
      </c>
      <c r="B125" s="2" t="s">
        <v>67</v>
      </c>
      <c r="C125" s="2"/>
      <c r="D125" s="13"/>
      <c r="E125" s="13"/>
      <c r="F125" s="44" t="s">
        <v>4839</v>
      </c>
      <c r="G125" s="43">
        <v>1.0</v>
      </c>
      <c r="H125" s="42"/>
      <c r="I125" s="43">
        <v>1.0</v>
      </c>
      <c r="J125" s="22"/>
      <c r="K125" s="42"/>
    </row>
    <row r="126" ht="39.75" hidden="1" customHeight="1">
      <c r="A126" s="1">
        <v>125.0</v>
      </c>
      <c r="B126" s="2" t="s">
        <v>35</v>
      </c>
      <c r="C126" s="2" t="s">
        <v>58</v>
      </c>
      <c r="D126" s="13"/>
      <c r="E126" s="13"/>
      <c r="F126" s="45"/>
      <c r="G126" s="42"/>
      <c r="H126" s="42"/>
      <c r="I126" s="42"/>
      <c r="J126" s="22"/>
      <c r="K126" s="42"/>
    </row>
    <row r="127" ht="39.75" customHeight="1">
      <c r="A127" s="1">
        <v>126.0</v>
      </c>
      <c r="B127" s="2" t="s">
        <v>36</v>
      </c>
      <c r="C127" s="2"/>
      <c r="D127" s="13"/>
      <c r="E127" s="13"/>
      <c r="F127" s="44" t="s">
        <v>4840</v>
      </c>
      <c r="G127" s="43">
        <v>1.0</v>
      </c>
      <c r="H127" s="42"/>
      <c r="I127" s="42"/>
      <c r="J127" s="22"/>
      <c r="K127" s="42"/>
    </row>
    <row r="128" ht="39.75" customHeight="1">
      <c r="A128" s="1">
        <v>127.0</v>
      </c>
      <c r="B128" s="2" t="s">
        <v>38</v>
      </c>
      <c r="C128" s="2" t="s">
        <v>69</v>
      </c>
      <c r="D128" s="13"/>
      <c r="E128" s="13"/>
      <c r="F128" s="44" t="s">
        <v>4841</v>
      </c>
      <c r="G128" s="43">
        <v>1.0</v>
      </c>
      <c r="H128" s="42"/>
      <c r="I128" s="42"/>
      <c r="J128" s="22"/>
      <c r="K128" s="42"/>
    </row>
    <row r="129" ht="39.75" hidden="1" customHeight="1">
      <c r="A129" s="1">
        <v>128.0</v>
      </c>
      <c r="B129" s="2" t="s">
        <v>41</v>
      </c>
      <c r="C129" s="2" t="s">
        <v>58</v>
      </c>
      <c r="D129" s="13"/>
      <c r="E129" s="13"/>
      <c r="F129" s="45"/>
      <c r="G129" s="42"/>
      <c r="H129" s="42"/>
      <c r="I129" s="42"/>
      <c r="J129" s="22"/>
      <c r="K129" s="42"/>
    </row>
    <row r="130" ht="39.75" customHeight="1">
      <c r="A130" s="1">
        <v>129.0</v>
      </c>
      <c r="B130" s="2" t="s">
        <v>42</v>
      </c>
      <c r="C130" s="2" t="s">
        <v>54</v>
      </c>
      <c r="D130" s="53">
        <v>0.2916666666666667</v>
      </c>
      <c r="E130" s="13"/>
      <c r="F130" s="44" t="s">
        <v>4842</v>
      </c>
      <c r="G130" s="43">
        <v>1.0</v>
      </c>
      <c r="H130" s="43">
        <v>1.0</v>
      </c>
      <c r="I130" s="42"/>
      <c r="J130" s="22"/>
      <c r="K130" s="42"/>
    </row>
    <row r="131" ht="39.75" hidden="1" customHeight="1">
      <c r="A131" s="1">
        <v>130.0</v>
      </c>
      <c r="B131" s="2" t="s">
        <v>43</v>
      </c>
      <c r="C131" s="2" t="s">
        <v>58</v>
      </c>
      <c r="D131" s="13"/>
      <c r="E131" s="13"/>
      <c r="F131" s="45"/>
      <c r="G131" s="42"/>
      <c r="H131" s="42"/>
      <c r="I131" s="42"/>
      <c r="J131" s="22"/>
      <c r="K131" s="42"/>
    </row>
    <row r="132" ht="39.75" hidden="1" customHeight="1">
      <c r="A132" s="1">
        <v>131.0</v>
      </c>
      <c r="B132" s="2" t="s">
        <v>45</v>
      </c>
      <c r="C132" s="2" t="s">
        <v>58</v>
      </c>
      <c r="D132" s="13"/>
      <c r="E132" s="13"/>
      <c r="F132" s="45"/>
      <c r="G132" s="42"/>
      <c r="H132" s="42"/>
      <c r="I132" s="42"/>
      <c r="J132" s="22"/>
      <c r="K132" s="42"/>
    </row>
    <row r="133" ht="39.75" customHeight="1">
      <c r="A133" s="1">
        <v>132.0</v>
      </c>
      <c r="B133" s="2" t="s">
        <v>46</v>
      </c>
      <c r="C133" s="2" t="s">
        <v>54</v>
      </c>
      <c r="D133" s="40">
        <v>0.6041666666666666</v>
      </c>
      <c r="E133" s="13"/>
      <c r="F133" s="44" t="s">
        <v>4843</v>
      </c>
      <c r="G133" s="43">
        <v>1.0</v>
      </c>
      <c r="H133" s="43">
        <v>1.0</v>
      </c>
      <c r="I133" s="42"/>
      <c r="J133" s="22"/>
      <c r="K133" s="42"/>
    </row>
    <row r="134" ht="39.75" customHeight="1">
      <c r="A134" s="1">
        <v>133.0</v>
      </c>
      <c r="B134" s="2" t="s">
        <v>47</v>
      </c>
      <c r="C134" s="2"/>
      <c r="D134" s="13"/>
      <c r="E134" s="13"/>
      <c r="F134" s="44" t="s">
        <v>4844</v>
      </c>
      <c r="G134" s="43">
        <v>2.0</v>
      </c>
      <c r="H134" s="42"/>
      <c r="I134" s="43">
        <v>1.0</v>
      </c>
      <c r="J134" s="22"/>
      <c r="K134" s="42"/>
    </row>
    <row r="135" ht="39.75" customHeight="1">
      <c r="A135" s="1">
        <v>134.0</v>
      </c>
      <c r="B135" s="2" t="s">
        <v>48</v>
      </c>
      <c r="C135" s="2" t="s">
        <v>27</v>
      </c>
      <c r="D135" s="13"/>
      <c r="E135" s="13"/>
      <c r="F135" s="44" t="s">
        <v>4845</v>
      </c>
      <c r="G135" s="43">
        <v>1.0</v>
      </c>
      <c r="H135" s="42"/>
      <c r="I135" s="43">
        <v>1.0</v>
      </c>
      <c r="J135" s="22"/>
      <c r="K135" s="42"/>
    </row>
    <row r="136" ht="39.75" customHeight="1">
      <c r="A136" s="1">
        <v>135.0</v>
      </c>
      <c r="B136" s="21"/>
      <c r="C136" s="21"/>
      <c r="D136" s="21"/>
      <c r="E136" s="21"/>
      <c r="F136" s="46"/>
      <c r="G136" s="47"/>
      <c r="H136" s="47"/>
      <c r="I136" s="47"/>
      <c r="J136" s="48"/>
      <c r="K136" s="47"/>
      <c r="L136" s="49"/>
      <c r="M136" s="49"/>
      <c r="N136" s="49"/>
    </row>
    <row r="137" ht="39.75" customHeight="1">
      <c r="A137" s="1">
        <v>136.0</v>
      </c>
      <c r="B137" s="2" t="s">
        <v>12</v>
      </c>
      <c r="C137" s="2" t="s">
        <v>62</v>
      </c>
      <c r="D137" s="13"/>
      <c r="E137" s="13"/>
      <c r="F137" s="44" t="s">
        <v>1543</v>
      </c>
      <c r="G137" s="43">
        <v>1.0</v>
      </c>
      <c r="H137" s="42"/>
      <c r="I137" s="43">
        <v>1.0</v>
      </c>
      <c r="J137" s="27" t="s">
        <v>4797</v>
      </c>
      <c r="K137" s="43"/>
      <c r="L137" s="15" t="s">
        <v>128</v>
      </c>
    </row>
    <row r="138" ht="39.75" hidden="1" customHeight="1">
      <c r="A138" s="1">
        <v>137.0</v>
      </c>
      <c r="B138" s="2" t="s">
        <v>16</v>
      </c>
      <c r="C138" s="2" t="s">
        <v>58</v>
      </c>
      <c r="D138" s="13"/>
      <c r="E138" s="13"/>
      <c r="F138" s="45"/>
      <c r="G138" s="42"/>
      <c r="H138" s="42"/>
      <c r="I138" s="42"/>
      <c r="J138" s="27" t="s">
        <v>128</v>
      </c>
      <c r="K138" s="43"/>
    </row>
    <row r="139" ht="39.75" customHeight="1">
      <c r="A139" s="1">
        <v>138.0</v>
      </c>
      <c r="B139" s="2" t="s">
        <v>116</v>
      </c>
      <c r="C139" s="2"/>
      <c r="D139" s="53">
        <v>0.3333333333333333</v>
      </c>
      <c r="E139" s="40">
        <v>0.7291666666666666</v>
      </c>
      <c r="F139" s="44" t="s">
        <v>4846</v>
      </c>
      <c r="G139" s="43">
        <v>2.0</v>
      </c>
      <c r="H139" s="42"/>
      <c r="I139" s="42"/>
      <c r="J139" s="27" t="s">
        <v>111</v>
      </c>
      <c r="K139" s="43"/>
    </row>
    <row r="140" ht="39.75" customHeight="1">
      <c r="A140" s="1">
        <v>139.0</v>
      </c>
      <c r="B140" s="2" t="s">
        <v>17</v>
      </c>
      <c r="C140" s="2" t="s">
        <v>69</v>
      </c>
      <c r="D140" s="13"/>
      <c r="E140" s="40">
        <v>0.8194444444444444</v>
      </c>
      <c r="F140" s="44" t="s">
        <v>4847</v>
      </c>
      <c r="G140" s="43">
        <v>1.0</v>
      </c>
      <c r="H140" s="42"/>
      <c r="I140" s="43">
        <v>1.0</v>
      </c>
      <c r="J140" s="27"/>
      <c r="K140" s="43"/>
    </row>
    <row r="141" ht="39.75" customHeight="1">
      <c r="A141" s="1">
        <v>140.0</v>
      </c>
      <c r="B141" s="2" t="s">
        <v>331</v>
      </c>
      <c r="C141" s="2" t="s">
        <v>542</v>
      </c>
      <c r="D141" s="13"/>
      <c r="E141" s="51">
        <v>0.8055555555555556</v>
      </c>
      <c r="F141" s="44" t="s">
        <v>4848</v>
      </c>
      <c r="G141" s="43">
        <v>1.0</v>
      </c>
      <c r="H141" s="42"/>
      <c r="I141" s="43">
        <v>1.0</v>
      </c>
      <c r="J141" s="27"/>
      <c r="K141" s="43"/>
    </row>
    <row r="142" ht="39.75" customHeight="1">
      <c r="A142" s="1">
        <v>141.0</v>
      </c>
      <c r="B142" s="2" t="s">
        <v>21</v>
      </c>
      <c r="C142" s="2" t="s">
        <v>63</v>
      </c>
      <c r="D142" s="13"/>
      <c r="E142" s="13"/>
      <c r="F142" s="45"/>
      <c r="G142" s="42"/>
      <c r="H142" s="42"/>
      <c r="I142" s="42"/>
      <c r="J142" s="27"/>
      <c r="K142" s="43"/>
    </row>
    <row r="143" ht="39.75" customHeight="1">
      <c r="A143" s="1">
        <v>142.0</v>
      </c>
      <c r="B143" s="2" t="s">
        <v>22</v>
      </c>
      <c r="C143" s="2"/>
      <c r="D143" s="13"/>
      <c r="E143" s="13"/>
      <c r="F143" s="44" t="s">
        <v>4849</v>
      </c>
      <c r="G143" s="42"/>
      <c r="H143" s="42"/>
      <c r="I143" s="42"/>
      <c r="J143" s="22"/>
      <c r="K143" s="42"/>
    </row>
    <row r="144" ht="39.75" customHeight="1">
      <c r="A144" s="1">
        <v>143.0</v>
      </c>
      <c r="B144" s="2" t="s">
        <v>23</v>
      </c>
      <c r="C144" s="13"/>
      <c r="D144" s="13"/>
      <c r="E144" s="13"/>
      <c r="F144" s="44" t="s">
        <v>4850</v>
      </c>
      <c r="G144" s="43">
        <v>2.0</v>
      </c>
      <c r="H144" s="42"/>
      <c r="I144" s="42"/>
      <c r="J144" s="22"/>
      <c r="K144" s="42"/>
    </row>
    <row r="145" ht="39.75" hidden="1" customHeight="1">
      <c r="A145" s="1">
        <v>144.0</v>
      </c>
      <c r="B145" s="2" t="s">
        <v>24</v>
      </c>
      <c r="C145" s="2" t="s">
        <v>58</v>
      </c>
      <c r="D145" s="13"/>
      <c r="E145" s="13"/>
      <c r="F145" s="45"/>
      <c r="G145" s="42"/>
      <c r="H145" s="42"/>
      <c r="I145" s="42"/>
      <c r="J145" s="22"/>
      <c r="K145" s="42"/>
    </row>
    <row r="146" ht="39.75" customHeight="1">
      <c r="A146" s="1">
        <v>145.0</v>
      </c>
      <c r="B146" s="2" t="s">
        <v>25</v>
      </c>
      <c r="C146" s="2"/>
      <c r="D146" s="13"/>
      <c r="E146" s="13"/>
      <c r="F146" s="44" t="s">
        <v>4851</v>
      </c>
      <c r="G146" s="43">
        <v>1.0</v>
      </c>
      <c r="H146" s="42"/>
      <c r="I146" s="42"/>
      <c r="J146" s="22"/>
      <c r="K146" s="42"/>
    </row>
    <row r="147" ht="39.75" hidden="1" customHeight="1">
      <c r="A147" s="1">
        <v>146.0</v>
      </c>
      <c r="B147" s="2" t="s">
        <v>26</v>
      </c>
      <c r="C147" s="2" t="s">
        <v>58</v>
      </c>
      <c r="D147" s="13"/>
      <c r="E147" s="13"/>
      <c r="F147" s="45"/>
      <c r="G147" s="42"/>
      <c r="H147" s="42"/>
      <c r="I147" s="42"/>
      <c r="J147" s="22"/>
      <c r="K147" s="42"/>
    </row>
    <row r="148" ht="39.75" customHeight="1">
      <c r="A148" s="1">
        <v>147.0</v>
      </c>
      <c r="B148" s="2" t="s">
        <v>29</v>
      </c>
      <c r="C148" s="2" t="s">
        <v>54</v>
      </c>
      <c r="D148" s="13"/>
      <c r="E148" s="51">
        <v>0.8194444444444444</v>
      </c>
      <c r="F148" s="44" t="s">
        <v>4852</v>
      </c>
      <c r="G148" s="43">
        <v>2.0</v>
      </c>
      <c r="H148" s="42"/>
      <c r="I148" s="43">
        <v>1.0</v>
      </c>
      <c r="J148" s="22"/>
      <c r="K148" s="42"/>
    </row>
    <row r="149" ht="39.75" customHeight="1">
      <c r="A149" s="1">
        <v>148.0</v>
      </c>
      <c r="B149" s="2" t="s">
        <v>30</v>
      </c>
      <c r="C149" s="2" t="s">
        <v>64</v>
      </c>
      <c r="D149" s="13"/>
      <c r="E149" s="13"/>
      <c r="F149" s="44" t="s">
        <v>2592</v>
      </c>
      <c r="G149" s="43">
        <v>1.0</v>
      </c>
      <c r="H149" s="42"/>
      <c r="I149" s="43">
        <v>1.0</v>
      </c>
      <c r="J149" s="22"/>
      <c r="K149" s="42"/>
    </row>
    <row r="150" ht="39.75" customHeight="1">
      <c r="A150" s="1">
        <v>149.0</v>
      </c>
      <c r="B150" s="2" t="s">
        <v>31</v>
      </c>
      <c r="C150" s="13"/>
      <c r="D150" s="13"/>
      <c r="E150" s="13"/>
      <c r="F150" s="44" t="s">
        <v>4853</v>
      </c>
      <c r="G150" s="43">
        <v>2.0</v>
      </c>
      <c r="H150" s="42"/>
      <c r="I150" s="43">
        <v>1.0</v>
      </c>
      <c r="J150" s="22"/>
      <c r="K150" s="42"/>
    </row>
    <row r="151" ht="39.75" customHeight="1">
      <c r="A151" s="1">
        <v>150.0</v>
      </c>
      <c r="B151" s="2" t="s">
        <v>32</v>
      </c>
      <c r="C151" s="2" t="s">
        <v>27</v>
      </c>
      <c r="D151" s="13"/>
      <c r="E151" s="13"/>
      <c r="F151" s="44" t="s">
        <v>4854</v>
      </c>
      <c r="G151" s="43">
        <v>1.0</v>
      </c>
      <c r="H151" s="42"/>
      <c r="I151" s="43">
        <v>1.0</v>
      </c>
      <c r="J151" s="22"/>
      <c r="K151" s="42"/>
    </row>
    <row r="152" ht="39.75" hidden="1" customHeight="1">
      <c r="A152" s="1">
        <v>151.0</v>
      </c>
      <c r="B152" s="2" t="s">
        <v>67</v>
      </c>
      <c r="C152" s="2" t="s">
        <v>66</v>
      </c>
      <c r="D152" s="13"/>
      <c r="E152" s="13"/>
      <c r="F152" s="45"/>
      <c r="G152" s="42"/>
      <c r="H152" s="42"/>
      <c r="I152" s="42"/>
      <c r="J152" s="22"/>
      <c r="K152" s="42"/>
    </row>
    <row r="153" ht="39.75" customHeight="1">
      <c r="A153" s="1">
        <v>152.0</v>
      </c>
      <c r="B153" s="2" t="s">
        <v>35</v>
      </c>
      <c r="C153" s="2" t="s">
        <v>69</v>
      </c>
      <c r="D153" s="13"/>
      <c r="E153" s="40">
        <v>0.8333333333333334</v>
      </c>
      <c r="F153" s="44" t="s">
        <v>4855</v>
      </c>
      <c r="G153" s="43">
        <v>3.0</v>
      </c>
      <c r="H153" s="42"/>
      <c r="I153" s="43">
        <v>2.0</v>
      </c>
      <c r="J153" s="22"/>
      <c r="K153" s="42"/>
    </row>
    <row r="154" ht="39.75" customHeight="1">
      <c r="A154" s="1">
        <v>153.0</v>
      </c>
      <c r="B154" s="2" t="s">
        <v>36</v>
      </c>
      <c r="C154" s="2"/>
      <c r="D154" s="13"/>
      <c r="E154" s="13"/>
      <c r="F154" s="44" t="s">
        <v>4856</v>
      </c>
      <c r="G154" s="43">
        <v>1.0</v>
      </c>
      <c r="H154" s="42"/>
      <c r="I154" s="43">
        <v>1.0</v>
      </c>
      <c r="J154" s="22"/>
      <c r="K154" s="42"/>
    </row>
    <row r="155" ht="39.75" customHeight="1">
      <c r="A155" s="1">
        <v>154.0</v>
      </c>
      <c r="B155" s="2" t="s">
        <v>38</v>
      </c>
      <c r="C155" s="2" t="s">
        <v>39</v>
      </c>
      <c r="D155" s="13"/>
      <c r="E155" s="13"/>
      <c r="F155" s="44" t="s">
        <v>4857</v>
      </c>
      <c r="G155" s="43">
        <v>2.0</v>
      </c>
      <c r="H155" s="42"/>
      <c r="I155" s="43">
        <v>2.0</v>
      </c>
      <c r="J155" s="22"/>
      <c r="K155" s="42"/>
    </row>
    <row r="156" ht="39.75" hidden="1" customHeight="1">
      <c r="A156" s="1">
        <v>155.0</v>
      </c>
      <c r="B156" s="2" t="s">
        <v>41</v>
      </c>
      <c r="C156" s="2" t="s">
        <v>58</v>
      </c>
      <c r="D156" s="13"/>
      <c r="E156" s="13"/>
      <c r="F156" s="45"/>
      <c r="G156" s="42"/>
      <c r="H156" s="42"/>
      <c r="I156" s="42"/>
      <c r="J156" s="22"/>
      <c r="K156" s="42"/>
    </row>
    <row r="157" ht="39.75" customHeight="1">
      <c r="A157" s="1">
        <v>156.0</v>
      </c>
      <c r="B157" s="2" t="s">
        <v>42</v>
      </c>
      <c r="C157" s="2" t="s">
        <v>54</v>
      </c>
      <c r="D157" s="40">
        <v>0.5</v>
      </c>
      <c r="E157" s="51">
        <v>0.875</v>
      </c>
      <c r="F157" s="44" t="s">
        <v>4858</v>
      </c>
      <c r="G157" s="43">
        <v>1.0</v>
      </c>
      <c r="H157" s="43">
        <v>1.0</v>
      </c>
      <c r="I157" s="43">
        <v>1.0</v>
      </c>
      <c r="J157" s="22"/>
      <c r="K157" s="42"/>
    </row>
    <row r="158" ht="39.75" customHeight="1">
      <c r="A158" s="1">
        <v>157.0</v>
      </c>
      <c r="B158" s="2" t="s">
        <v>43</v>
      </c>
      <c r="C158" s="2" t="s">
        <v>69</v>
      </c>
      <c r="D158" s="13"/>
      <c r="E158" s="40">
        <v>0.875</v>
      </c>
      <c r="F158" s="44" t="s">
        <v>4859</v>
      </c>
      <c r="G158" s="43">
        <v>1.0</v>
      </c>
      <c r="H158" s="42"/>
      <c r="I158" s="42"/>
      <c r="J158" s="22"/>
      <c r="K158" s="42"/>
    </row>
    <row r="159" ht="39.75" customHeight="1">
      <c r="A159" s="1">
        <v>158.0</v>
      </c>
      <c r="B159" s="2" t="s">
        <v>45</v>
      </c>
      <c r="C159" s="2" t="s">
        <v>39</v>
      </c>
      <c r="D159" s="13"/>
      <c r="E159" s="13"/>
      <c r="F159" s="44" t="s">
        <v>4860</v>
      </c>
      <c r="G159" s="43">
        <v>2.0</v>
      </c>
      <c r="H159" s="42"/>
      <c r="I159" s="43">
        <v>2.0</v>
      </c>
      <c r="J159" s="22"/>
      <c r="K159" s="42"/>
    </row>
    <row r="160" ht="39.75" customHeight="1">
      <c r="A160" s="1">
        <v>159.0</v>
      </c>
      <c r="B160" s="2" t="s">
        <v>46</v>
      </c>
      <c r="C160" s="2" t="s">
        <v>54</v>
      </c>
      <c r="D160" s="13"/>
      <c r="E160" s="13"/>
      <c r="F160" s="44" t="s">
        <v>4843</v>
      </c>
      <c r="G160" s="43">
        <v>1.0</v>
      </c>
      <c r="H160" s="43">
        <v>1.0</v>
      </c>
      <c r="I160" s="42"/>
      <c r="J160" s="22"/>
      <c r="K160" s="42"/>
    </row>
    <row r="161" ht="39.75" customHeight="1">
      <c r="A161" s="1">
        <v>160.0</v>
      </c>
      <c r="B161" s="2" t="s">
        <v>47</v>
      </c>
      <c r="C161" s="2" t="s">
        <v>54</v>
      </c>
      <c r="D161" s="53">
        <v>0.3333333333333333</v>
      </c>
      <c r="E161" s="13"/>
      <c r="F161" s="44" t="s">
        <v>4861</v>
      </c>
      <c r="G161" s="43">
        <v>2.0</v>
      </c>
      <c r="H161" s="42"/>
      <c r="I161" s="43">
        <v>1.0</v>
      </c>
      <c r="J161" s="22"/>
      <c r="K161" s="42"/>
    </row>
    <row r="162" ht="39.75" customHeight="1">
      <c r="A162" s="1">
        <v>161.0</v>
      </c>
      <c r="B162" s="2" t="s">
        <v>48</v>
      </c>
      <c r="C162" s="2" t="s">
        <v>44</v>
      </c>
      <c r="D162" s="13"/>
      <c r="E162" s="13"/>
      <c r="F162" s="45"/>
      <c r="G162" s="42"/>
      <c r="H162" s="42"/>
      <c r="I162" s="42"/>
      <c r="J162" s="22"/>
      <c r="K162" s="42"/>
    </row>
    <row r="163" ht="39.75" customHeight="1">
      <c r="A163" s="1">
        <v>162.0</v>
      </c>
      <c r="B163" s="21"/>
      <c r="C163" s="21"/>
      <c r="D163" s="21"/>
      <c r="E163" s="21"/>
      <c r="F163" s="46"/>
      <c r="G163" s="47"/>
      <c r="H163" s="47"/>
      <c r="I163" s="47"/>
      <c r="J163" s="48"/>
      <c r="K163" s="47"/>
      <c r="L163" s="49"/>
      <c r="M163" s="49"/>
      <c r="N163" s="49"/>
    </row>
    <row r="164" ht="39.75" customHeight="1">
      <c r="A164" s="1">
        <v>163.0</v>
      </c>
      <c r="B164" s="2" t="s">
        <v>12</v>
      </c>
      <c r="C164" s="2" t="s">
        <v>62</v>
      </c>
      <c r="D164" s="13"/>
      <c r="E164" s="13"/>
      <c r="F164" s="44" t="s">
        <v>1543</v>
      </c>
      <c r="G164" s="43">
        <v>1.0</v>
      </c>
      <c r="H164" s="42"/>
      <c r="I164" s="43">
        <v>1.0</v>
      </c>
      <c r="J164" s="27" t="s">
        <v>4797</v>
      </c>
      <c r="K164" s="43"/>
      <c r="L164" s="15" t="s">
        <v>147</v>
      </c>
    </row>
    <row r="165" ht="39.75" customHeight="1">
      <c r="A165" s="1">
        <v>164.0</v>
      </c>
      <c r="B165" s="2" t="s">
        <v>16</v>
      </c>
      <c r="C165" s="2" t="s">
        <v>39</v>
      </c>
      <c r="D165" s="13"/>
      <c r="E165" s="13"/>
      <c r="F165" s="44" t="s">
        <v>4862</v>
      </c>
      <c r="G165" s="43">
        <v>2.0</v>
      </c>
      <c r="H165" s="42"/>
      <c r="I165" s="43">
        <v>1.0</v>
      </c>
      <c r="J165" s="27" t="s">
        <v>147</v>
      </c>
      <c r="K165" s="43"/>
    </row>
    <row r="166" ht="39.75" customHeight="1">
      <c r="A166" s="1">
        <v>165.0</v>
      </c>
      <c r="B166" s="2" t="s">
        <v>116</v>
      </c>
      <c r="C166" s="2" t="s">
        <v>69</v>
      </c>
      <c r="D166" s="13"/>
      <c r="E166" s="13"/>
      <c r="F166" s="44" t="s">
        <v>4863</v>
      </c>
      <c r="G166" s="43">
        <v>2.0</v>
      </c>
      <c r="H166" s="42"/>
      <c r="I166" s="43">
        <v>1.0</v>
      </c>
      <c r="J166" s="27" t="s">
        <v>131</v>
      </c>
      <c r="K166" s="43"/>
    </row>
    <row r="167" ht="39.75" customHeight="1">
      <c r="A167" s="1">
        <v>166.0</v>
      </c>
      <c r="B167" s="2" t="s">
        <v>17</v>
      </c>
      <c r="C167" s="2" t="s">
        <v>27</v>
      </c>
      <c r="D167" s="13"/>
      <c r="E167" s="13"/>
      <c r="F167" s="44" t="s">
        <v>4864</v>
      </c>
      <c r="G167" s="43">
        <v>1.0</v>
      </c>
      <c r="H167" s="42"/>
      <c r="I167" s="43"/>
      <c r="J167" s="27"/>
      <c r="K167" s="43"/>
    </row>
    <row r="168" ht="39.75" customHeight="1">
      <c r="A168" s="1">
        <v>167.0</v>
      </c>
      <c r="B168" s="2" t="s">
        <v>331</v>
      </c>
      <c r="C168" s="2" t="s">
        <v>542</v>
      </c>
      <c r="D168" s="53">
        <v>0.22916666666666666</v>
      </c>
      <c r="E168" s="40">
        <v>0.5208333333333334</v>
      </c>
      <c r="F168" s="44" t="s">
        <v>4865</v>
      </c>
      <c r="G168" s="43">
        <v>1.0</v>
      </c>
      <c r="H168" s="42"/>
      <c r="I168" s="42"/>
      <c r="J168" s="27"/>
      <c r="K168" s="43"/>
    </row>
    <row r="169" ht="39.75" customHeight="1">
      <c r="A169" s="1">
        <v>168.0</v>
      </c>
      <c r="B169" s="2" t="s">
        <v>21</v>
      </c>
      <c r="C169" s="2" t="s">
        <v>63</v>
      </c>
      <c r="D169" s="13"/>
      <c r="E169" s="13"/>
      <c r="F169" s="45"/>
      <c r="G169" s="42"/>
      <c r="H169" s="42"/>
      <c r="I169" s="42"/>
      <c r="J169" s="27"/>
      <c r="K169" s="43"/>
    </row>
    <row r="170" ht="39.75" customHeight="1">
      <c r="A170" s="1">
        <v>169.0</v>
      </c>
      <c r="B170" s="2" t="s">
        <v>22</v>
      </c>
      <c r="C170" s="2"/>
      <c r="D170" s="13"/>
      <c r="E170" s="13"/>
      <c r="F170" s="44" t="s">
        <v>4849</v>
      </c>
      <c r="G170" s="42"/>
      <c r="H170" s="42"/>
      <c r="I170" s="42"/>
      <c r="J170" s="22"/>
      <c r="K170" s="42"/>
    </row>
    <row r="171" ht="39.75" customHeight="1">
      <c r="A171" s="1">
        <v>170.0</v>
      </c>
      <c r="B171" s="2" t="s">
        <v>23</v>
      </c>
      <c r="C171" s="2" t="s">
        <v>69</v>
      </c>
      <c r="D171" s="13"/>
      <c r="E171" s="13"/>
      <c r="F171" s="44" t="s">
        <v>4866</v>
      </c>
      <c r="G171" s="43">
        <v>2.0</v>
      </c>
      <c r="H171" s="42"/>
      <c r="I171" s="42"/>
      <c r="J171" s="22"/>
      <c r="K171" s="42"/>
    </row>
    <row r="172" ht="39.75" hidden="1" customHeight="1">
      <c r="A172" s="1">
        <v>171.0</v>
      </c>
      <c r="B172" s="2" t="s">
        <v>24</v>
      </c>
      <c r="C172" s="2" t="s">
        <v>58</v>
      </c>
      <c r="D172" s="13"/>
      <c r="E172" s="13"/>
      <c r="F172" s="45"/>
      <c r="G172" s="42"/>
      <c r="H172" s="42"/>
      <c r="I172" s="42"/>
      <c r="J172" s="22"/>
      <c r="K172" s="42"/>
    </row>
    <row r="173" ht="39.75" hidden="1" customHeight="1">
      <c r="A173" s="1">
        <v>172.0</v>
      </c>
      <c r="B173" s="2" t="s">
        <v>25</v>
      </c>
      <c r="C173" s="2" t="s">
        <v>66</v>
      </c>
      <c r="D173" s="13"/>
      <c r="E173" s="13"/>
      <c r="F173" s="45"/>
      <c r="G173" s="42"/>
      <c r="H173" s="42"/>
      <c r="I173" s="42"/>
      <c r="J173" s="22"/>
      <c r="K173" s="42"/>
    </row>
    <row r="174" ht="39.75" hidden="1" customHeight="1">
      <c r="A174" s="1">
        <v>173.0</v>
      </c>
      <c r="B174" s="2" t="s">
        <v>26</v>
      </c>
      <c r="C174" s="2" t="s">
        <v>58</v>
      </c>
      <c r="D174" s="13"/>
      <c r="E174" s="13"/>
      <c r="F174" s="45"/>
      <c r="G174" s="42"/>
      <c r="H174" s="42"/>
      <c r="I174" s="42"/>
      <c r="J174" s="22"/>
      <c r="K174" s="42"/>
    </row>
    <row r="175" ht="39.75" hidden="1" customHeight="1">
      <c r="A175" s="1">
        <v>174.0</v>
      </c>
      <c r="B175" s="2" t="s">
        <v>29</v>
      </c>
      <c r="C175" s="2" t="s">
        <v>66</v>
      </c>
      <c r="D175" s="13"/>
      <c r="E175" s="13"/>
      <c r="F175" s="45"/>
      <c r="G175" s="42"/>
      <c r="H175" s="42"/>
      <c r="I175" s="42"/>
      <c r="J175" s="22"/>
      <c r="K175" s="42"/>
    </row>
    <row r="176" ht="39.75" customHeight="1">
      <c r="A176" s="1">
        <v>175.0</v>
      </c>
      <c r="B176" s="2" t="s">
        <v>30</v>
      </c>
      <c r="C176" s="2" t="s">
        <v>64</v>
      </c>
      <c r="D176" s="13"/>
      <c r="E176" s="13"/>
      <c r="F176" s="44" t="s">
        <v>2592</v>
      </c>
      <c r="G176" s="43">
        <v>1.0</v>
      </c>
      <c r="H176" s="42"/>
      <c r="I176" s="43">
        <v>1.0</v>
      </c>
      <c r="J176" s="22"/>
      <c r="K176" s="42"/>
    </row>
    <row r="177" ht="39.75" customHeight="1">
      <c r="A177" s="1">
        <v>176.0</v>
      </c>
      <c r="B177" s="2" t="s">
        <v>31</v>
      </c>
      <c r="C177" s="2" t="s">
        <v>39</v>
      </c>
      <c r="D177" s="13"/>
      <c r="E177" s="13"/>
      <c r="F177" s="44" t="s">
        <v>4867</v>
      </c>
      <c r="G177" s="43">
        <v>1.0</v>
      </c>
      <c r="H177" s="42"/>
      <c r="I177" s="42"/>
      <c r="J177" s="22"/>
      <c r="K177" s="42"/>
    </row>
    <row r="178" ht="39.75" customHeight="1">
      <c r="A178" s="1">
        <v>177.0</v>
      </c>
      <c r="B178" s="2" t="s">
        <v>32</v>
      </c>
      <c r="C178" s="2" t="s">
        <v>44</v>
      </c>
      <c r="D178" s="13"/>
      <c r="E178" s="13"/>
      <c r="F178" s="45"/>
      <c r="G178" s="42"/>
      <c r="H178" s="42"/>
      <c r="I178" s="42"/>
      <c r="J178" s="22"/>
      <c r="K178" s="42"/>
    </row>
    <row r="179" ht="39.75" hidden="1" customHeight="1">
      <c r="A179" s="1">
        <v>178.0</v>
      </c>
      <c r="B179" s="2" t="s">
        <v>67</v>
      </c>
      <c r="C179" s="2" t="s">
        <v>58</v>
      </c>
      <c r="D179" s="13"/>
      <c r="E179" s="13"/>
      <c r="F179" s="45"/>
      <c r="G179" s="42"/>
      <c r="H179" s="42"/>
      <c r="I179" s="42"/>
      <c r="J179" s="22"/>
      <c r="K179" s="42"/>
    </row>
    <row r="180" ht="39.75" customHeight="1">
      <c r="A180" s="1">
        <v>179.0</v>
      </c>
      <c r="B180" s="2" t="s">
        <v>35</v>
      </c>
      <c r="C180" s="2" t="s">
        <v>54</v>
      </c>
      <c r="D180" s="13"/>
      <c r="E180" s="13"/>
      <c r="F180" s="44" t="s">
        <v>4868</v>
      </c>
      <c r="G180" s="43">
        <v>1.0</v>
      </c>
      <c r="H180" s="42"/>
      <c r="I180" s="43">
        <v>1.0</v>
      </c>
      <c r="J180" s="22"/>
      <c r="K180" s="42"/>
    </row>
    <row r="181" ht="39.75" customHeight="1">
      <c r="A181" s="1">
        <v>180.0</v>
      </c>
      <c r="B181" s="2" t="s">
        <v>36</v>
      </c>
      <c r="C181" s="2" t="s">
        <v>69</v>
      </c>
      <c r="D181" s="13"/>
      <c r="E181" s="13"/>
      <c r="F181" s="44" t="s">
        <v>2741</v>
      </c>
      <c r="G181" s="43">
        <v>1.0</v>
      </c>
      <c r="H181" s="42"/>
      <c r="I181" s="43">
        <v>1.0</v>
      </c>
      <c r="J181" s="22"/>
      <c r="K181" s="42"/>
    </row>
    <row r="182" ht="39.75" customHeight="1">
      <c r="A182" s="1">
        <v>181.0</v>
      </c>
      <c r="B182" s="2" t="s">
        <v>38</v>
      </c>
      <c r="C182" s="2"/>
      <c r="D182" s="13"/>
      <c r="E182" s="13"/>
      <c r="F182" s="44" t="s">
        <v>4869</v>
      </c>
      <c r="G182" s="43">
        <v>1.0</v>
      </c>
      <c r="H182" s="42"/>
      <c r="I182" s="42"/>
      <c r="J182" s="22"/>
      <c r="K182" s="42"/>
    </row>
    <row r="183" ht="39.75" hidden="1" customHeight="1">
      <c r="A183" s="1">
        <v>182.0</v>
      </c>
      <c r="B183" s="2" t="s">
        <v>41</v>
      </c>
      <c r="C183" s="2" t="s">
        <v>58</v>
      </c>
      <c r="D183" s="13"/>
      <c r="E183" s="13"/>
      <c r="F183" s="45"/>
      <c r="G183" s="42"/>
      <c r="H183" s="42"/>
      <c r="I183" s="42"/>
      <c r="J183" s="22"/>
      <c r="K183" s="42"/>
    </row>
    <row r="184" ht="39.75" customHeight="1">
      <c r="A184" s="1">
        <v>183.0</v>
      </c>
      <c r="B184" s="2" t="s">
        <v>42</v>
      </c>
      <c r="C184" s="2" t="s">
        <v>54</v>
      </c>
      <c r="D184" s="13"/>
      <c r="E184" s="13"/>
      <c r="F184" s="44" t="s">
        <v>4870</v>
      </c>
      <c r="G184" s="43">
        <v>1.0</v>
      </c>
      <c r="H184" s="42"/>
      <c r="I184" s="42"/>
      <c r="J184" s="22"/>
      <c r="K184" s="42"/>
    </row>
    <row r="185" ht="39.75" customHeight="1">
      <c r="A185" s="1">
        <v>184.0</v>
      </c>
      <c r="B185" s="2" t="s">
        <v>43</v>
      </c>
      <c r="C185" s="2"/>
      <c r="D185" s="13"/>
      <c r="E185" s="13"/>
      <c r="F185" s="44" t="s">
        <v>4871</v>
      </c>
      <c r="G185" s="43">
        <v>1.0</v>
      </c>
      <c r="H185" s="42"/>
      <c r="I185" s="42"/>
      <c r="J185" s="22"/>
      <c r="K185" s="42"/>
    </row>
    <row r="186" ht="39.75" customHeight="1">
      <c r="A186" s="1">
        <v>185.0</v>
      </c>
      <c r="B186" s="2" t="s">
        <v>45</v>
      </c>
      <c r="C186" s="2" t="s">
        <v>54</v>
      </c>
      <c r="D186" s="13"/>
      <c r="E186" s="40"/>
      <c r="F186" s="44" t="s">
        <v>4872</v>
      </c>
      <c r="G186" s="43">
        <v>1.0</v>
      </c>
      <c r="H186" s="43">
        <v>1.0</v>
      </c>
      <c r="I186" s="42"/>
      <c r="J186" s="22"/>
      <c r="K186" s="42"/>
    </row>
    <row r="187" ht="39.75" customHeight="1">
      <c r="A187" s="1">
        <v>186.0</v>
      </c>
      <c r="B187" s="2" t="s">
        <v>46</v>
      </c>
      <c r="C187" s="2" t="s">
        <v>54</v>
      </c>
      <c r="D187" s="13"/>
      <c r="E187" s="51">
        <v>0.9791666666666666</v>
      </c>
      <c r="F187" s="44" t="s">
        <v>4843</v>
      </c>
      <c r="G187" s="43">
        <v>1.0</v>
      </c>
      <c r="H187" s="43">
        <v>1.0</v>
      </c>
      <c r="I187" s="42"/>
      <c r="J187" s="22"/>
      <c r="K187" s="42"/>
    </row>
    <row r="188" ht="39.75" customHeight="1">
      <c r="A188" s="1">
        <v>187.0</v>
      </c>
      <c r="B188" s="2" t="s">
        <v>47</v>
      </c>
      <c r="C188" s="2"/>
      <c r="D188" s="13"/>
      <c r="E188" s="13"/>
      <c r="F188" s="44" t="s">
        <v>4873</v>
      </c>
      <c r="G188" s="43">
        <v>1.0</v>
      </c>
      <c r="H188" s="42"/>
      <c r="I188" s="42"/>
      <c r="J188" s="22"/>
      <c r="K188" s="42"/>
    </row>
    <row r="189" ht="39.75" customHeight="1">
      <c r="A189" s="1">
        <v>188.0</v>
      </c>
      <c r="B189" s="2" t="s">
        <v>48</v>
      </c>
      <c r="C189" s="2"/>
      <c r="D189" s="13"/>
      <c r="E189" s="13"/>
      <c r="F189" s="44" t="s">
        <v>4874</v>
      </c>
      <c r="G189" s="43">
        <v>1.0</v>
      </c>
      <c r="H189" s="42"/>
      <c r="I189" s="42"/>
      <c r="J189" s="22"/>
      <c r="K189" s="42"/>
    </row>
    <row r="190" ht="39.75" customHeight="1">
      <c r="A190" s="1">
        <v>189.0</v>
      </c>
      <c r="B190" s="21"/>
      <c r="C190" s="21"/>
      <c r="D190" s="21"/>
      <c r="E190" s="21"/>
      <c r="F190" s="46"/>
      <c r="G190" s="47"/>
      <c r="H190" s="47"/>
      <c r="I190" s="47"/>
      <c r="J190" s="48"/>
      <c r="K190" s="47"/>
      <c r="L190" s="49"/>
      <c r="M190" s="49"/>
      <c r="N190" s="49"/>
    </row>
    <row r="191" ht="39.75" customHeight="1">
      <c r="A191" s="1">
        <v>190.0</v>
      </c>
      <c r="B191" s="2" t="s">
        <v>12</v>
      </c>
      <c r="C191" s="2"/>
      <c r="D191" s="53">
        <v>0.3402777777777778</v>
      </c>
      <c r="E191" s="13"/>
      <c r="F191" s="44" t="s">
        <v>4875</v>
      </c>
      <c r="G191" s="43">
        <v>1.0</v>
      </c>
      <c r="H191" s="42"/>
      <c r="I191" s="43">
        <v>1.0</v>
      </c>
      <c r="J191" s="27" t="s">
        <v>4797</v>
      </c>
      <c r="K191" s="42"/>
      <c r="L191" s="15" t="s">
        <v>163</v>
      </c>
    </row>
    <row r="192" ht="39.75" customHeight="1">
      <c r="A192" s="1">
        <v>191.0</v>
      </c>
      <c r="B192" s="2" t="s">
        <v>268</v>
      </c>
      <c r="C192" s="2" t="s">
        <v>63</v>
      </c>
      <c r="D192" s="13"/>
      <c r="E192" s="13"/>
      <c r="F192" s="45"/>
      <c r="G192" s="42"/>
      <c r="H192" s="42"/>
      <c r="I192" s="42"/>
      <c r="J192" s="27" t="s">
        <v>163</v>
      </c>
      <c r="K192" s="43"/>
    </row>
    <row r="193" ht="39.75" hidden="1" customHeight="1">
      <c r="A193" s="1">
        <v>192.0</v>
      </c>
      <c r="B193" s="2" t="s">
        <v>116</v>
      </c>
      <c r="C193" s="2" t="s">
        <v>13</v>
      </c>
      <c r="D193" s="13"/>
      <c r="E193" s="13"/>
      <c r="F193" s="45"/>
      <c r="G193" s="42"/>
      <c r="H193" s="42"/>
      <c r="I193" s="42"/>
      <c r="J193" s="27" t="s">
        <v>149</v>
      </c>
      <c r="K193" s="42"/>
    </row>
    <row r="194" ht="39.75" customHeight="1">
      <c r="A194" s="1">
        <v>193.0</v>
      </c>
      <c r="B194" s="2" t="s">
        <v>17</v>
      </c>
      <c r="C194" s="2" t="s">
        <v>44</v>
      </c>
      <c r="D194" s="13"/>
      <c r="E194" s="13"/>
      <c r="F194" s="44"/>
      <c r="G194" s="42"/>
      <c r="H194" s="42"/>
      <c r="I194" s="42"/>
      <c r="J194" s="27" t="s">
        <v>151</v>
      </c>
      <c r="K194" s="42"/>
    </row>
    <row r="195" ht="39.75" hidden="1" customHeight="1">
      <c r="A195" s="1">
        <v>194.0</v>
      </c>
      <c r="B195" s="2" t="s">
        <v>331</v>
      </c>
      <c r="C195" s="2" t="s">
        <v>13</v>
      </c>
      <c r="D195" s="13"/>
      <c r="E195" s="13"/>
      <c r="F195" s="45"/>
      <c r="G195" s="42"/>
      <c r="H195" s="42"/>
      <c r="I195" s="42"/>
      <c r="J195" s="27" t="s">
        <v>152</v>
      </c>
      <c r="K195" s="42"/>
    </row>
    <row r="196" ht="39.75" hidden="1" customHeight="1">
      <c r="A196" s="1">
        <v>195.0</v>
      </c>
      <c r="B196" s="2" t="s">
        <v>21</v>
      </c>
      <c r="C196" s="2" t="s">
        <v>13</v>
      </c>
      <c r="D196" s="13"/>
      <c r="E196" s="13"/>
      <c r="F196" s="45"/>
      <c r="G196" s="42"/>
      <c r="H196" s="42"/>
      <c r="I196" s="42"/>
      <c r="J196" s="27" t="s">
        <v>154</v>
      </c>
      <c r="K196" s="42"/>
    </row>
    <row r="197" ht="39.75" hidden="1" customHeight="1">
      <c r="A197" s="1">
        <v>196.0</v>
      </c>
      <c r="B197" s="2" t="s">
        <v>22</v>
      </c>
      <c r="C197" s="2" t="s">
        <v>13</v>
      </c>
      <c r="D197" s="13"/>
      <c r="E197" s="13"/>
      <c r="F197" s="45"/>
      <c r="G197" s="42"/>
      <c r="H197" s="42"/>
      <c r="I197" s="42"/>
      <c r="J197" s="22"/>
      <c r="K197" s="42"/>
    </row>
    <row r="198" ht="39.75" hidden="1" customHeight="1">
      <c r="A198" s="1">
        <v>197.0</v>
      </c>
      <c r="B198" s="2" t="s">
        <v>23</v>
      </c>
      <c r="C198" s="2" t="s">
        <v>13</v>
      </c>
      <c r="D198" s="13"/>
      <c r="E198" s="13"/>
      <c r="F198" s="45"/>
      <c r="G198" s="42"/>
      <c r="H198" s="42"/>
      <c r="I198" s="42"/>
      <c r="J198" s="22"/>
      <c r="K198" s="42"/>
    </row>
    <row r="199" ht="39.75" hidden="1" customHeight="1">
      <c r="A199" s="1">
        <v>198.0</v>
      </c>
      <c r="B199" s="2" t="s">
        <v>24</v>
      </c>
      <c r="C199" s="2" t="s">
        <v>13</v>
      </c>
      <c r="D199" s="13"/>
      <c r="E199" s="13"/>
      <c r="F199" s="45"/>
      <c r="G199" s="42"/>
      <c r="H199" s="42"/>
      <c r="I199" s="42"/>
      <c r="J199" s="22"/>
      <c r="K199" s="42"/>
    </row>
    <row r="200" ht="39.75" hidden="1" customHeight="1">
      <c r="A200" s="1">
        <v>199.0</v>
      </c>
      <c r="B200" s="2" t="s">
        <v>25</v>
      </c>
      <c r="C200" s="2" t="s">
        <v>13</v>
      </c>
      <c r="D200" s="13"/>
      <c r="E200" s="13"/>
      <c r="F200" s="45"/>
      <c r="G200" s="42"/>
      <c r="H200" s="42"/>
      <c r="I200" s="42"/>
      <c r="J200" s="22"/>
      <c r="K200" s="42"/>
    </row>
    <row r="201" ht="39.75" hidden="1" customHeight="1">
      <c r="A201" s="1">
        <v>200.0</v>
      </c>
      <c r="B201" s="2" t="s">
        <v>26</v>
      </c>
      <c r="C201" s="2" t="s">
        <v>13</v>
      </c>
      <c r="D201" s="13"/>
      <c r="E201" s="13"/>
      <c r="F201" s="45"/>
      <c r="G201" s="42"/>
      <c r="H201" s="42"/>
      <c r="I201" s="42"/>
      <c r="J201" s="22"/>
      <c r="K201" s="42"/>
    </row>
    <row r="202" ht="39.75" hidden="1" customHeight="1">
      <c r="A202" s="1">
        <v>201.0</v>
      </c>
      <c r="B202" s="2" t="s">
        <v>29</v>
      </c>
      <c r="C202" s="2" t="s">
        <v>13</v>
      </c>
      <c r="D202" s="13"/>
      <c r="E202" s="13"/>
      <c r="F202" s="45"/>
      <c r="G202" s="42"/>
      <c r="H202" s="42"/>
      <c r="I202" s="42"/>
      <c r="J202" s="22"/>
      <c r="K202" s="42"/>
    </row>
    <row r="203" ht="39.75" customHeight="1">
      <c r="A203" s="1">
        <v>202.0</v>
      </c>
      <c r="B203" s="2" t="s">
        <v>30</v>
      </c>
      <c r="C203" s="2" t="s">
        <v>27</v>
      </c>
      <c r="D203" s="13"/>
      <c r="E203" s="13"/>
      <c r="F203" s="44" t="s">
        <v>4876</v>
      </c>
      <c r="G203" s="43">
        <v>2.0</v>
      </c>
      <c r="H203" s="42"/>
      <c r="I203" s="42"/>
      <c r="J203" s="22"/>
      <c r="K203" s="42"/>
    </row>
    <row r="204" ht="39.75" customHeight="1">
      <c r="A204" s="1">
        <v>203.0</v>
      </c>
      <c r="B204" s="2" t="s">
        <v>31</v>
      </c>
      <c r="C204" s="2" t="s">
        <v>49</v>
      </c>
      <c r="D204" s="53">
        <v>0.3819444444444444</v>
      </c>
      <c r="E204" s="13"/>
      <c r="F204" s="44" t="s">
        <v>4877</v>
      </c>
      <c r="G204" s="43">
        <v>1.0</v>
      </c>
      <c r="H204" s="42"/>
      <c r="I204" s="43">
        <v>1.0</v>
      </c>
      <c r="J204" s="22"/>
      <c r="K204" s="42"/>
    </row>
    <row r="205" ht="39.75" customHeight="1">
      <c r="A205" s="1">
        <v>204.0</v>
      </c>
      <c r="B205" s="2" t="s">
        <v>32</v>
      </c>
      <c r="C205" s="2"/>
      <c r="D205" s="40">
        <v>0.375</v>
      </c>
      <c r="E205" s="13"/>
      <c r="F205" s="44" t="s">
        <v>4878</v>
      </c>
      <c r="G205" s="43">
        <v>2.0</v>
      </c>
      <c r="H205" s="42"/>
      <c r="I205" s="43">
        <v>1.0</v>
      </c>
      <c r="J205" s="22"/>
      <c r="K205" s="42"/>
    </row>
    <row r="206" ht="39.75" customHeight="1">
      <c r="A206" s="1">
        <v>205.0</v>
      </c>
      <c r="B206" s="2" t="s">
        <v>34</v>
      </c>
      <c r="C206" s="2" t="s">
        <v>272</v>
      </c>
      <c r="D206" s="13"/>
      <c r="E206" s="13"/>
      <c r="F206" s="44" t="s">
        <v>1186</v>
      </c>
      <c r="G206" s="43">
        <v>1.0</v>
      </c>
      <c r="H206" s="42"/>
      <c r="I206" s="43">
        <v>1.0</v>
      </c>
      <c r="J206" s="22"/>
      <c r="K206" s="42"/>
    </row>
    <row r="207" ht="39.75" hidden="1" customHeight="1">
      <c r="A207" s="1">
        <v>206.0</v>
      </c>
      <c r="B207" s="2" t="s">
        <v>35</v>
      </c>
      <c r="C207" s="2" t="s">
        <v>13</v>
      </c>
      <c r="D207" s="40"/>
      <c r="E207" s="13"/>
      <c r="F207" s="45"/>
      <c r="G207" s="42"/>
      <c r="H207" s="42"/>
      <c r="I207" s="42"/>
      <c r="J207" s="22"/>
      <c r="K207" s="42"/>
    </row>
    <row r="208" ht="39.75" hidden="1" customHeight="1">
      <c r="A208" s="1">
        <v>207.0</v>
      </c>
      <c r="B208" s="2" t="s">
        <v>36</v>
      </c>
      <c r="C208" s="2" t="s">
        <v>13</v>
      </c>
      <c r="D208" s="13"/>
      <c r="E208" s="13"/>
      <c r="F208" s="45"/>
      <c r="G208" s="42"/>
      <c r="H208" s="42"/>
      <c r="I208" s="42"/>
      <c r="J208" s="22"/>
      <c r="K208" s="42"/>
    </row>
    <row r="209" ht="39.75" hidden="1" customHeight="1">
      <c r="A209" s="1">
        <v>208.0</v>
      </c>
      <c r="B209" s="2" t="s">
        <v>38</v>
      </c>
      <c r="C209" s="2" t="s">
        <v>13</v>
      </c>
      <c r="D209" s="13"/>
      <c r="E209" s="13"/>
      <c r="F209" s="45"/>
      <c r="G209" s="42"/>
      <c r="H209" s="42"/>
      <c r="I209" s="42"/>
      <c r="J209" s="22"/>
      <c r="K209" s="42"/>
    </row>
    <row r="210" ht="39.75" hidden="1" customHeight="1">
      <c r="A210" s="1">
        <v>209.0</v>
      </c>
      <c r="B210" s="2" t="s">
        <v>41</v>
      </c>
      <c r="C210" s="2" t="s">
        <v>13</v>
      </c>
      <c r="D210" s="13"/>
      <c r="E210" s="13"/>
      <c r="F210" s="45"/>
      <c r="G210" s="42"/>
      <c r="H210" s="42"/>
      <c r="I210" s="42"/>
      <c r="J210" s="22"/>
      <c r="K210" s="42"/>
    </row>
    <row r="211" ht="39.75" hidden="1" customHeight="1">
      <c r="A211" s="1">
        <v>210.0</v>
      </c>
      <c r="B211" s="2" t="s">
        <v>42</v>
      </c>
      <c r="C211" s="2" t="s">
        <v>13</v>
      </c>
      <c r="D211" s="13"/>
      <c r="E211" s="13"/>
      <c r="F211" s="45"/>
      <c r="G211" s="42"/>
      <c r="H211" s="42"/>
      <c r="I211" s="42"/>
      <c r="J211" s="22"/>
      <c r="K211" s="42"/>
    </row>
    <row r="212" ht="39.75" hidden="1" customHeight="1">
      <c r="A212" s="1">
        <v>211.0</v>
      </c>
      <c r="B212" s="2" t="s">
        <v>43</v>
      </c>
      <c r="C212" s="2" t="s">
        <v>13</v>
      </c>
      <c r="D212" s="13"/>
      <c r="E212" s="13"/>
      <c r="F212" s="45"/>
      <c r="G212" s="42"/>
      <c r="H212" s="42"/>
      <c r="I212" s="42"/>
      <c r="J212" s="22"/>
      <c r="K212" s="42"/>
    </row>
    <row r="213" ht="39.75" customHeight="1">
      <c r="A213" s="1">
        <v>212.0</v>
      </c>
      <c r="B213" s="2" t="s">
        <v>45</v>
      </c>
      <c r="C213" s="2"/>
      <c r="D213" s="13"/>
      <c r="E213" s="51">
        <v>0.7916666666666666</v>
      </c>
      <c r="F213" s="44" t="s">
        <v>4872</v>
      </c>
      <c r="G213" s="43">
        <v>1.0</v>
      </c>
      <c r="H213" s="43">
        <v>1.0</v>
      </c>
      <c r="I213" s="42"/>
      <c r="J213" s="22"/>
      <c r="K213" s="42"/>
    </row>
    <row r="214" ht="39.75" hidden="1" customHeight="1">
      <c r="A214" s="1">
        <v>213.0</v>
      </c>
      <c r="B214" s="2" t="s">
        <v>46</v>
      </c>
      <c r="C214" s="2" t="s">
        <v>13</v>
      </c>
      <c r="D214" s="13"/>
      <c r="E214" s="13"/>
      <c r="F214" s="45"/>
      <c r="G214" s="42"/>
      <c r="H214" s="42"/>
      <c r="I214" s="42"/>
      <c r="J214" s="22"/>
      <c r="K214" s="42"/>
    </row>
    <row r="215" ht="39.75" hidden="1" customHeight="1">
      <c r="A215" s="1">
        <v>214.0</v>
      </c>
      <c r="B215" s="2" t="s">
        <v>47</v>
      </c>
      <c r="C215" s="2" t="s">
        <v>13</v>
      </c>
      <c r="D215" s="13"/>
      <c r="E215" s="13"/>
      <c r="F215" s="45"/>
      <c r="G215" s="42"/>
      <c r="H215" s="42"/>
      <c r="I215" s="42"/>
      <c r="J215" s="22"/>
      <c r="K215" s="42"/>
    </row>
    <row r="216" ht="39.75" customHeight="1">
      <c r="A216" s="1">
        <v>215.0</v>
      </c>
      <c r="B216" s="2" t="s">
        <v>48</v>
      </c>
      <c r="C216" s="2" t="s">
        <v>39</v>
      </c>
      <c r="D216" s="53">
        <v>0.2708333333333333</v>
      </c>
      <c r="E216" s="40">
        <v>0.5625</v>
      </c>
      <c r="F216" s="44" t="s">
        <v>4879</v>
      </c>
      <c r="G216" s="43">
        <v>1.0</v>
      </c>
      <c r="H216" s="42"/>
      <c r="I216" s="42"/>
      <c r="J216" s="22"/>
      <c r="K216" s="42"/>
    </row>
    <row r="217" ht="39.75" customHeight="1">
      <c r="A217" s="1">
        <v>216.0</v>
      </c>
      <c r="B217" s="21"/>
      <c r="C217" s="21"/>
      <c r="D217" s="21"/>
      <c r="E217" s="21"/>
      <c r="F217" s="46"/>
      <c r="G217" s="47"/>
      <c r="H217" s="47"/>
      <c r="I217" s="47"/>
      <c r="J217" s="48"/>
      <c r="K217" s="47"/>
      <c r="L217" s="49"/>
      <c r="M217" s="49"/>
      <c r="N217" s="49"/>
    </row>
    <row r="218" ht="39.75" customHeight="1">
      <c r="A218" s="1">
        <v>217.0</v>
      </c>
      <c r="B218" s="2" t="s">
        <v>268</v>
      </c>
      <c r="C218" s="2" t="s">
        <v>63</v>
      </c>
      <c r="D218" s="13"/>
      <c r="E218" s="13"/>
      <c r="F218" s="45"/>
      <c r="G218" s="42"/>
      <c r="H218" s="42"/>
      <c r="I218" s="42"/>
      <c r="J218" s="27" t="s">
        <v>4797</v>
      </c>
      <c r="K218" s="42"/>
      <c r="L218" s="15" t="s">
        <v>175</v>
      </c>
    </row>
    <row r="219" ht="39.75" hidden="1" customHeight="1">
      <c r="A219" s="1">
        <v>218.0</v>
      </c>
      <c r="B219" s="2" t="s">
        <v>16</v>
      </c>
      <c r="C219" s="2" t="s">
        <v>13</v>
      </c>
      <c r="D219" s="13"/>
      <c r="E219" s="13"/>
      <c r="F219" s="45"/>
      <c r="G219" s="42"/>
      <c r="H219" s="42"/>
      <c r="I219" s="42"/>
      <c r="J219" s="27" t="s">
        <v>175</v>
      </c>
      <c r="K219" s="43"/>
    </row>
    <row r="220" ht="39.75" hidden="1" customHeight="1">
      <c r="A220" s="1">
        <v>219.0</v>
      </c>
      <c r="B220" s="2" t="s">
        <v>116</v>
      </c>
      <c r="C220" s="2" t="s">
        <v>13</v>
      </c>
      <c r="D220" s="13"/>
      <c r="E220" s="13"/>
      <c r="F220" s="45"/>
      <c r="G220" s="42"/>
      <c r="H220" s="42"/>
      <c r="I220" s="42"/>
      <c r="J220" s="27" t="s">
        <v>19</v>
      </c>
      <c r="K220" s="42"/>
    </row>
    <row r="221" ht="39.75" hidden="1" customHeight="1">
      <c r="A221" s="1">
        <v>220.0</v>
      </c>
      <c r="B221" s="2" t="s">
        <v>17</v>
      </c>
      <c r="C221" s="2" t="s">
        <v>13</v>
      </c>
      <c r="D221" s="13"/>
      <c r="E221" s="13"/>
      <c r="F221" s="44"/>
      <c r="G221" s="42"/>
      <c r="H221" s="42"/>
      <c r="I221" s="42"/>
      <c r="J221" s="27" t="s">
        <v>165</v>
      </c>
      <c r="K221" s="42"/>
    </row>
    <row r="222" ht="39.75" hidden="1" customHeight="1">
      <c r="A222" s="1">
        <v>221.0</v>
      </c>
      <c r="B222" s="2" t="s">
        <v>331</v>
      </c>
      <c r="C222" s="2" t="s">
        <v>13</v>
      </c>
      <c r="D222" s="13"/>
      <c r="E222" s="13"/>
      <c r="F222" s="45"/>
      <c r="G222" s="42"/>
      <c r="H222" s="42"/>
      <c r="I222" s="42"/>
      <c r="J222" s="27" t="s">
        <v>166</v>
      </c>
      <c r="K222" s="42"/>
    </row>
    <row r="223" ht="39.75" hidden="1" customHeight="1">
      <c r="A223" s="1">
        <v>222.0</v>
      </c>
      <c r="B223" s="2" t="s">
        <v>21</v>
      </c>
      <c r="C223" s="2" t="s">
        <v>13</v>
      </c>
      <c r="D223" s="13"/>
      <c r="E223" s="13"/>
      <c r="F223" s="45"/>
      <c r="G223" s="42"/>
      <c r="H223" s="42"/>
      <c r="I223" s="42"/>
      <c r="J223" s="27" t="s">
        <v>167</v>
      </c>
      <c r="K223" s="42"/>
    </row>
    <row r="224" ht="56.25" customHeight="1">
      <c r="A224" s="1">
        <v>223.0</v>
      </c>
      <c r="B224" s="2" t="s">
        <v>22</v>
      </c>
      <c r="C224" s="2" t="s">
        <v>49</v>
      </c>
      <c r="D224" s="13"/>
      <c r="E224" s="13"/>
      <c r="F224" s="44" t="s">
        <v>4880</v>
      </c>
      <c r="G224" s="43">
        <v>1.0</v>
      </c>
      <c r="H224" s="42"/>
      <c r="I224" s="43">
        <v>1.0</v>
      </c>
      <c r="J224" s="22"/>
      <c r="K224" s="42"/>
    </row>
    <row r="225" ht="39.75" hidden="1" customHeight="1">
      <c r="A225" s="1">
        <v>224.0</v>
      </c>
      <c r="B225" s="2" t="s">
        <v>23</v>
      </c>
      <c r="C225" s="2" t="s">
        <v>13</v>
      </c>
      <c r="D225" s="13"/>
      <c r="E225" s="13"/>
      <c r="F225" s="45"/>
      <c r="G225" s="42"/>
      <c r="H225" s="42"/>
      <c r="I225" s="42"/>
      <c r="J225" s="22"/>
      <c r="K225" s="42"/>
    </row>
    <row r="226" ht="39.75" hidden="1" customHeight="1">
      <c r="A226" s="1">
        <v>225.0</v>
      </c>
      <c r="B226" s="2" t="s">
        <v>24</v>
      </c>
      <c r="C226" s="2" t="s">
        <v>13</v>
      </c>
      <c r="D226" s="13"/>
      <c r="E226" s="13"/>
      <c r="F226" s="45"/>
      <c r="G226" s="42"/>
      <c r="H226" s="42"/>
      <c r="I226" s="42"/>
      <c r="J226" s="22"/>
      <c r="K226" s="42"/>
    </row>
    <row r="227" ht="39.75" hidden="1" customHeight="1">
      <c r="A227" s="1">
        <v>226.0</v>
      </c>
      <c r="B227" s="2" t="s">
        <v>25</v>
      </c>
      <c r="C227" s="2" t="s">
        <v>13</v>
      </c>
      <c r="D227" s="13"/>
      <c r="E227" s="13"/>
      <c r="F227" s="45"/>
      <c r="G227" s="42"/>
      <c r="H227" s="42"/>
      <c r="I227" s="42"/>
      <c r="J227" s="22"/>
      <c r="K227" s="42"/>
    </row>
    <row r="228" ht="39.75" customHeight="1">
      <c r="A228" s="1">
        <v>227.0</v>
      </c>
      <c r="B228" s="2" t="s">
        <v>26</v>
      </c>
      <c r="C228" s="2"/>
      <c r="D228" s="40">
        <v>0.375</v>
      </c>
      <c r="E228" s="13"/>
      <c r="F228" s="45"/>
      <c r="G228" s="42"/>
      <c r="H228" s="42"/>
      <c r="I228" s="42"/>
      <c r="J228" s="22"/>
      <c r="K228" s="42"/>
    </row>
    <row r="229" ht="39.75" hidden="1" customHeight="1">
      <c r="A229" s="1">
        <v>228.0</v>
      </c>
      <c r="B229" s="2" t="s">
        <v>29</v>
      </c>
      <c r="C229" s="2" t="s">
        <v>13</v>
      </c>
      <c r="D229" s="13"/>
      <c r="E229" s="13"/>
      <c r="F229" s="45"/>
      <c r="G229" s="42"/>
      <c r="H229" s="42"/>
      <c r="I229" s="42"/>
      <c r="J229" s="22"/>
      <c r="K229" s="42"/>
    </row>
    <row r="230" ht="39.75" customHeight="1">
      <c r="A230" s="1">
        <v>229.0</v>
      </c>
      <c r="B230" s="2" t="s">
        <v>30</v>
      </c>
      <c r="C230" s="2" t="s">
        <v>44</v>
      </c>
      <c r="D230" s="13"/>
      <c r="E230" s="13"/>
      <c r="F230" s="45"/>
      <c r="G230" s="42"/>
      <c r="H230" s="42"/>
      <c r="I230" s="42"/>
      <c r="J230" s="22"/>
      <c r="K230" s="42"/>
    </row>
    <row r="231" ht="39.75" hidden="1" customHeight="1">
      <c r="A231" s="1">
        <v>230.0</v>
      </c>
      <c r="B231" s="2" t="s">
        <v>31</v>
      </c>
      <c r="C231" s="2" t="s">
        <v>13</v>
      </c>
      <c r="D231" s="13"/>
      <c r="E231" s="13"/>
      <c r="F231" s="45"/>
      <c r="G231" s="42"/>
      <c r="H231" s="42"/>
      <c r="I231" s="42"/>
      <c r="J231" s="22"/>
      <c r="K231" s="42"/>
    </row>
    <row r="232" ht="39.75" hidden="1" customHeight="1">
      <c r="A232" s="1">
        <v>231.0</v>
      </c>
      <c r="B232" s="2" t="s">
        <v>32</v>
      </c>
      <c r="C232" s="2" t="s">
        <v>13</v>
      </c>
      <c r="D232" s="40"/>
      <c r="E232" s="13"/>
      <c r="F232" s="45"/>
      <c r="G232" s="42"/>
      <c r="H232" s="42"/>
      <c r="I232" s="42"/>
      <c r="J232" s="22"/>
      <c r="K232" s="42"/>
    </row>
    <row r="233" ht="39.75" hidden="1" customHeight="1">
      <c r="A233" s="1">
        <v>232.0</v>
      </c>
      <c r="B233" s="2" t="s">
        <v>67</v>
      </c>
      <c r="C233" s="2" t="s">
        <v>13</v>
      </c>
      <c r="D233" s="13"/>
      <c r="E233" s="13"/>
      <c r="F233" s="45"/>
      <c r="G233" s="42"/>
      <c r="H233" s="42"/>
      <c r="I233" s="42"/>
      <c r="J233" s="22"/>
      <c r="K233" s="42"/>
    </row>
    <row r="234" ht="39.75" customHeight="1">
      <c r="A234" s="1">
        <v>233.0</v>
      </c>
      <c r="B234" s="2" t="s">
        <v>35</v>
      </c>
      <c r="C234" s="2"/>
      <c r="D234" s="40">
        <v>0.375</v>
      </c>
      <c r="E234" s="13"/>
      <c r="F234" s="45"/>
      <c r="G234" s="42"/>
      <c r="H234" s="42"/>
      <c r="I234" s="42"/>
      <c r="J234" s="22"/>
      <c r="K234" s="42"/>
    </row>
    <row r="235" ht="39.75" hidden="1" customHeight="1">
      <c r="A235" s="1">
        <v>234.0</v>
      </c>
      <c r="B235" s="2" t="s">
        <v>36</v>
      </c>
      <c r="C235" s="2" t="s">
        <v>13</v>
      </c>
      <c r="D235" s="13"/>
      <c r="E235" s="13"/>
      <c r="F235" s="45"/>
      <c r="G235" s="42"/>
      <c r="H235" s="42"/>
      <c r="I235" s="42"/>
      <c r="J235" s="22"/>
      <c r="K235" s="42"/>
    </row>
    <row r="236" ht="39.75" hidden="1" customHeight="1">
      <c r="A236" s="1">
        <v>235.0</v>
      </c>
      <c r="B236" s="2" t="s">
        <v>38</v>
      </c>
      <c r="C236" s="2" t="s">
        <v>13</v>
      </c>
      <c r="D236" s="13"/>
      <c r="E236" s="13"/>
      <c r="F236" s="45"/>
      <c r="G236" s="42"/>
      <c r="H236" s="42"/>
      <c r="I236" s="42"/>
      <c r="J236" s="22"/>
      <c r="K236" s="42"/>
    </row>
    <row r="237" ht="39.75" hidden="1" customHeight="1">
      <c r="A237" s="1">
        <v>236.0</v>
      </c>
      <c r="B237" s="2" t="s">
        <v>41</v>
      </c>
      <c r="C237" s="2" t="s">
        <v>13</v>
      </c>
      <c r="D237" s="13"/>
      <c r="E237" s="13"/>
      <c r="F237" s="45"/>
      <c r="G237" s="42"/>
      <c r="H237" s="42"/>
      <c r="I237" s="42"/>
      <c r="J237" s="22"/>
      <c r="K237" s="42"/>
    </row>
    <row r="238" ht="39.75" customHeight="1">
      <c r="A238" s="1">
        <v>237.0</v>
      </c>
      <c r="B238" s="2" t="s">
        <v>42</v>
      </c>
      <c r="C238" s="2" t="s">
        <v>27</v>
      </c>
      <c r="D238" s="13"/>
      <c r="E238" s="13"/>
      <c r="F238" s="45"/>
      <c r="G238" s="42"/>
      <c r="H238" s="42"/>
      <c r="I238" s="42"/>
      <c r="J238" s="22"/>
      <c r="K238" s="42"/>
    </row>
    <row r="239" ht="39.75" customHeight="1">
      <c r="A239" s="1">
        <v>238.0</v>
      </c>
      <c r="B239" s="2" t="s">
        <v>267</v>
      </c>
      <c r="C239" s="2" t="s">
        <v>272</v>
      </c>
      <c r="D239" s="13"/>
      <c r="E239" s="13"/>
      <c r="F239" s="44" t="s">
        <v>1186</v>
      </c>
      <c r="G239" s="43">
        <v>1.0</v>
      </c>
      <c r="H239" s="42"/>
      <c r="I239" s="43">
        <v>1.0</v>
      </c>
      <c r="J239" s="22"/>
      <c r="K239" s="42"/>
    </row>
    <row r="240" ht="39.75" customHeight="1">
      <c r="A240" s="1">
        <v>239.0</v>
      </c>
      <c r="B240" s="2" t="s">
        <v>45</v>
      </c>
      <c r="C240" s="2"/>
      <c r="D240" s="13"/>
      <c r="E240" s="51">
        <v>0.9097222222222222</v>
      </c>
      <c r="F240" s="44" t="s">
        <v>4872</v>
      </c>
      <c r="G240" s="43">
        <v>1.0</v>
      </c>
      <c r="H240" s="43">
        <v>1.0</v>
      </c>
      <c r="I240" s="42"/>
      <c r="J240" s="22"/>
      <c r="K240" s="42"/>
    </row>
    <row r="241" ht="39.75" hidden="1" customHeight="1">
      <c r="A241" s="1">
        <v>240.0</v>
      </c>
      <c r="B241" s="2" t="s">
        <v>46</v>
      </c>
      <c r="C241" s="2" t="s">
        <v>13</v>
      </c>
      <c r="D241" s="13"/>
      <c r="E241" s="13"/>
      <c r="F241" s="45"/>
      <c r="G241" s="42"/>
      <c r="H241" s="42"/>
      <c r="I241" s="42"/>
      <c r="J241" s="22"/>
      <c r="K241" s="42"/>
    </row>
    <row r="242" ht="39.75" customHeight="1">
      <c r="A242" s="1">
        <v>241.0</v>
      </c>
      <c r="B242" s="2" t="s">
        <v>47</v>
      </c>
      <c r="C242" s="2" t="s">
        <v>39</v>
      </c>
      <c r="D242" s="13"/>
      <c r="E242" s="13"/>
      <c r="F242" s="44" t="s">
        <v>926</v>
      </c>
      <c r="G242" s="43">
        <v>1.0</v>
      </c>
      <c r="H242" s="42"/>
      <c r="I242" s="43">
        <v>1.0</v>
      </c>
      <c r="J242" s="22"/>
      <c r="K242" s="42"/>
    </row>
    <row r="243" ht="39.75" hidden="1" customHeight="1">
      <c r="A243" s="1">
        <v>242.0</v>
      </c>
      <c r="B243" s="2" t="s">
        <v>48</v>
      </c>
      <c r="C243" s="2" t="s">
        <v>13</v>
      </c>
      <c r="D243" s="13"/>
      <c r="E243" s="13"/>
      <c r="F243" s="45"/>
      <c r="G243" s="42"/>
      <c r="H243" s="42"/>
      <c r="I243" s="42"/>
      <c r="J243" s="22"/>
      <c r="K243" s="42"/>
    </row>
    <row r="244" ht="39.75" customHeight="1">
      <c r="A244" s="1">
        <v>243.0</v>
      </c>
      <c r="B244" s="21"/>
      <c r="C244" s="21"/>
      <c r="D244" s="21"/>
      <c r="E244" s="21"/>
      <c r="F244" s="46"/>
      <c r="G244" s="47"/>
      <c r="H244" s="47"/>
      <c r="I244" s="47"/>
      <c r="J244" s="48"/>
      <c r="K244" s="47"/>
      <c r="L244" s="49"/>
      <c r="M244" s="49"/>
      <c r="N244" s="49"/>
    </row>
    <row r="245" ht="39.75" customHeight="1">
      <c r="A245" s="1">
        <v>244.0</v>
      </c>
      <c r="B245" s="2" t="s">
        <v>12</v>
      </c>
      <c r="C245" s="2" t="s">
        <v>62</v>
      </c>
      <c r="D245" s="13"/>
      <c r="E245" s="13"/>
      <c r="F245" s="44" t="s">
        <v>1543</v>
      </c>
      <c r="G245" s="43">
        <v>1.0</v>
      </c>
      <c r="H245" s="42"/>
      <c r="I245" s="43">
        <v>1.0</v>
      </c>
      <c r="J245" s="27" t="s">
        <v>4797</v>
      </c>
      <c r="K245" s="42"/>
      <c r="L245" s="15" t="s">
        <v>192</v>
      </c>
    </row>
    <row r="246" ht="39.75" customHeight="1">
      <c r="A246" s="1">
        <v>245.0</v>
      </c>
      <c r="B246" s="2" t="s">
        <v>16</v>
      </c>
      <c r="C246" s="2" t="s">
        <v>54</v>
      </c>
      <c r="D246" s="13"/>
      <c r="E246" s="13"/>
      <c r="F246" s="44" t="s">
        <v>4881</v>
      </c>
      <c r="G246" s="43">
        <v>1.0</v>
      </c>
      <c r="H246" s="42"/>
      <c r="I246" s="42"/>
      <c r="J246" s="27" t="s">
        <v>192</v>
      </c>
      <c r="K246" s="43"/>
    </row>
    <row r="247" ht="39.75" customHeight="1">
      <c r="A247" s="1">
        <v>246.0</v>
      </c>
      <c r="B247" s="2" t="s">
        <v>116</v>
      </c>
      <c r="C247" s="2"/>
      <c r="D247" s="53">
        <v>0.3125</v>
      </c>
      <c r="E247" s="51">
        <v>0.8541666666666666</v>
      </c>
      <c r="F247" s="44" t="s">
        <v>4882</v>
      </c>
      <c r="G247" s="43">
        <v>1.0</v>
      </c>
      <c r="H247" s="42"/>
      <c r="I247" s="43">
        <v>1.0</v>
      </c>
      <c r="J247" s="27" t="s">
        <v>56</v>
      </c>
      <c r="K247" s="42"/>
    </row>
    <row r="248" ht="39.75" hidden="1" customHeight="1">
      <c r="A248" s="1">
        <v>247.0</v>
      </c>
      <c r="B248" s="2" t="s">
        <v>17</v>
      </c>
      <c r="C248" s="2" t="s">
        <v>58</v>
      </c>
      <c r="D248" s="13"/>
      <c r="E248" s="13"/>
      <c r="F248" s="44" t="s">
        <v>4883</v>
      </c>
      <c r="G248" s="42"/>
      <c r="H248" s="42"/>
      <c r="I248" s="42"/>
      <c r="J248" s="22"/>
      <c r="K248" s="42"/>
    </row>
    <row r="249" ht="39.75" customHeight="1">
      <c r="A249" s="1">
        <v>248.0</v>
      </c>
      <c r="B249" s="2" t="s">
        <v>331</v>
      </c>
      <c r="C249" s="2" t="s">
        <v>542</v>
      </c>
      <c r="D249" s="13"/>
      <c r="E249" s="13"/>
      <c r="F249" s="45"/>
      <c r="G249" s="42"/>
      <c r="H249" s="42"/>
      <c r="I249" s="42"/>
      <c r="J249" s="22"/>
      <c r="K249" s="42"/>
    </row>
    <row r="250" ht="39.75" customHeight="1">
      <c r="A250" s="1">
        <v>249.0</v>
      </c>
      <c r="B250" s="2" t="s">
        <v>21</v>
      </c>
      <c r="C250" s="2" t="s">
        <v>63</v>
      </c>
      <c r="D250" s="13"/>
      <c r="E250" s="13"/>
      <c r="F250" s="45"/>
      <c r="G250" s="42"/>
      <c r="H250" s="42"/>
      <c r="I250" s="42"/>
      <c r="J250" s="22"/>
      <c r="K250" s="42"/>
    </row>
    <row r="251" ht="39.75" customHeight="1">
      <c r="A251" s="1">
        <v>250.0</v>
      </c>
      <c r="B251" s="2" t="s">
        <v>22</v>
      </c>
      <c r="C251" s="2" t="s">
        <v>39</v>
      </c>
      <c r="D251" s="13"/>
      <c r="E251" s="13"/>
      <c r="F251" s="44" t="s">
        <v>4884</v>
      </c>
      <c r="G251" s="43">
        <v>1.0</v>
      </c>
      <c r="H251" s="42"/>
      <c r="I251" s="43">
        <v>1.0</v>
      </c>
      <c r="J251" s="22"/>
      <c r="K251" s="42"/>
    </row>
    <row r="252" ht="39.75" hidden="1" customHeight="1">
      <c r="A252" s="1">
        <v>251.0</v>
      </c>
      <c r="B252" s="2" t="s">
        <v>23</v>
      </c>
      <c r="C252" s="2" t="s">
        <v>58</v>
      </c>
      <c r="D252" s="13"/>
      <c r="E252" s="13"/>
      <c r="F252" s="45"/>
      <c r="G252" s="42"/>
      <c r="H252" s="42"/>
      <c r="I252" s="42"/>
      <c r="J252" s="22"/>
      <c r="K252" s="42"/>
    </row>
    <row r="253" ht="39.75" customHeight="1">
      <c r="A253" s="1">
        <v>252.0</v>
      </c>
      <c r="B253" s="2" t="s">
        <v>24</v>
      </c>
      <c r="C253" s="2"/>
      <c r="D253" s="13"/>
      <c r="E253" s="13"/>
      <c r="F253" s="44" t="s">
        <v>4885</v>
      </c>
      <c r="G253" s="43">
        <v>2.0</v>
      </c>
      <c r="H253" s="42"/>
      <c r="I253" s="42"/>
      <c r="J253" s="22"/>
      <c r="K253" s="42"/>
    </row>
    <row r="254" ht="39.75" hidden="1" customHeight="1">
      <c r="A254" s="1">
        <v>253.0</v>
      </c>
      <c r="B254" s="2" t="s">
        <v>25</v>
      </c>
      <c r="C254" s="2" t="s">
        <v>58</v>
      </c>
      <c r="D254" s="13"/>
      <c r="E254" s="13"/>
      <c r="F254" s="45"/>
      <c r="G254" s="42"/>
      <c r="H254" s="42"/>
      <c r="I254" s="42"/>
      <c r="J254" s="22"/>
      <c r="K254" s="42"/>
    </row>
    <row r="255" ht="39.75" customHeight="1">
      <c r="A255" s="1">
        <v>254.0</v>
      </c>
      <c r="B255" s="2" t="s">
        <v>26</v>
      </c>
      <c r="C255" s="2" t="s">
        <v>69</v>
      </c>
      <c r="D255" s="13"/>
      <c r="E255" s="13"/>
      <c r="F255" s="44" t="s">
        <v>2741</v>
      </c>
      <c r="G255" s="43">
        <v>1.0</v>
      </c>
      <c r="H255" s="42"/>
      <c r="I255" s="43">
        <v>1.0</v>
      </c>
      <c r="J255" s="22"/>
      <c r="K255" s="42"/>
    </row>
    <row r="256" ht="39.75" customHeight="1">
      <c r="A256" s="1">
        <v>255.0</v>
      </c>
      <c r="B256" s="2" t="s">
        <v>29</v>
      </c>
      <c r="C256" s="2" t="s">
        <v>27</v>
      </c>
      <c r="D256" s="13"/>
      <c r="E256" s="13"/>
      <c r="F256" s="44" t="s">
        <v>4886</v>
      </c>
      <c r="G256" s="43">
        <v>1.0</v>
      </c>
      <c r="H256" s="42"/>
      <c r="I256" s="42"/>
      <c r="J256" s="22"/>
      <c r="K256" s="42"/>
    </row>
    <row r="257" ht="39.75" hidden="1" customHeight="1">
      <c r="A257" s="1">
        <v>256.0</v>
      </c>
      <c r="B257" s="2" t="s">
        <v>30</v>
      </c>
      <c r="C257" s="2" t="s">
        <v>58</v>
      </c>
      <c r="D257" s="13"/>
      <c r="E257" s="13"/>
      <c r="F257" s="45"/>
      <c r="G257" s="42"/>
      <c r="H257" s="42"/>
      <c r="I257" s="42"/>
      <c r="J257" s="22"/>
      <c r="K257" s="42"/>
    </row>
    <row r="258" ht="39.75" customHeight="1">
      <c r="A258" s="1">
        <v>257.0</v>
      </c>
      <c r="B258" s="2" t="s">
        <v>31</v>
      </c>
      <c r="C258" s="2" t="s">
        <v>54</v>
      </c>
      <c r="D258" s="13"/>
      <c r="E258" s="13"/>
      <c r="F258" s="44" t="s">
        <v>4887</v>
      </c>
      <c r="G258" s="43">
        <v>1.0</v>
      </c>
      <c r="H258" s="42"/>
      <c r="I258" s="43">
        <v>1.0</v>
      </c>
      <c r="J258" s="22"/>
      <c r="K258" s="42"/>
    </row>
    <row r="259" ht="39.75" hidden="1" customHeight="1">
      <c r="A259" s="1">
        <v>258.0</v>
      </c>
      <c r="B259" s="2" t="s">
        <v>32</v>
      </c>
      <c r="C259" s="2" t="s">
        <v>66</v>
      </c>
      <c r="D259" s="13"/>
      <c r="E259" s="13"/>
      <c r="F259" s="45"/>
      <c r="G259" s="42"/>
      <c r="H259" s="42"/>
      <c r="I259" s="42"/>
      <c r="J259" s="22"/>
      <c r="K259" s="42"/>
    </row>
    <row r="260" ht="39.75" customHeight="1">
      <c r="A260" s="1">
        <v>259.0</v>
      </c>
      <c r="B260" s="2" t="s">
        <v>67</v>
      </c>
      <c r="C260" s="2"/>
      <c r="D260" s="13"/>
      <c r="E260" s="13"/>
      <c r="F260" s="44" t="s">
        <v>4888</v>
      </c>
      <c r="G260" s="43">
        <v>2.0</v>
      </c>
      <c r="H260" s="42"/>
      <c r="I260" s="43">
        <v>1.0</v>
      </c>
      <c r="J260" s="22"/>
      <c r="K260" s="42"/>
    </row>
    <row r="261" ht="39.75" customHeight="1">
      <c r="A261" s="1">
        <v>260.0</v>
      </c>
      <c r="B261" s="2" t="s">
        <v>35</v>
      </c>
      <c r="C261" s="2" t="s">
        <v>39</v>
      </c>
      <c r="D261" s="13"/>
      <c r="E261" s="13"/>
      <c r="F261" s="44" t="s">
        <v>3191</v>
      </c>
      <c r="G261" s="43">
        <v>1.0</v>
      </c>
      <c r="H261" s="42"/>
      <c r="I261" s="43">
        <v>1.0</v>
      </c>
      <c r="J261" s="22"/>
      <c r="K261" s="42"/>
    </row>
    <row r="262" ht="39.75" customHeight="1">
      <c r="A262" s="1">
        <v>261.0</v>
      </c>
      <c r="B262" s="2" t="s">
        <v>36</v>
      </c>
      <c r="C262" s="2" t="s">
        <v>69</v>
      </c>
      <c r="D262" s="13"/>
      <c r="E262" s="13"/>
      <c r="F262" s="45"/>
      <c r="G262" s="42"/>
      <c r="H262" s="42"/>
      <c r="I262" s="42"/>
      <c r="J262" s="22"/>
      <c r="K262" s="42"/>
    </row>
    <row r="263" ht="39.75" hidden="1" customHeight="1">
      <c r="A263" s="1">
        <v>262.0</v>
      </c>
      <c r="B263" s="2" t="s">
        <v>38</v>
      </c>
      <c r="C263" s="2" t="s">
        <v>66</v>
      </c>
      <c r="D263" s="13"/>
      <c r="E263" s="13"/>
      <c r="F263" s="45"/>
      <c r="G263" s="42"/>
      <c r="H263" s="42"/>
      <c r="I263" s="42"/>
      <c r="J263" s="22"/>
      <c r="K263" s="42"/>
    </row>
    <row r="264" ht="39.75" hidden="1" customHeight="1">
      <c r="A264" s="1">
        <v>263.0</v>
      </c>
      <c r="B264" s="2" t="s">
        <v>41</v>
      </c>
      <c r="C264" s="2" t="s">
        <v>58</v>
      </c>
      <c r="D264" s="13"/>
      <c r="E264" s="13"/>
      <c r="F264" s="45"/>
      <c r="G264" s="42"/>
      <c r="H264" s="42"/>
      <c r="I264" s="42"/>
      <c r="J264" s="22"/>
      <c r="K264" s="42"/>
    </row>
    <row r="265" ht="39.75" customHeight="1">
      <c r="A265" s="1">
        <v>264.0</v>
      </c>
      <c r="B265" s="2" t="s">
        <v>42</v>
      </c>
      <c r="C265" s="2" t="s">
        <v>44</v>
      </c>
      <c r="D265" s="13"/>
      <c r="E265" s="13"/>
      <c r="F265" s="45"/>
      <c r="G265" s="42"/>
      <c r="H265" s="42"/>
      <c r="I265" s="42"/>
      <c r="J265" s="22"/>
      <c r="K265" s="42"/>
    </row>
    <row r="266" ht="39.75" customHeight="1">
      <c r="A266" s="1">
        <v>265.0</v>
      </c>
      <c r="B266" s="2" t="s">
        <v>43</v>
      </c>
      <c r="C266" s="2"/>
      <c r="D266" s="13"/>
      <c r="E266" s="13"/>
      <c r="F266" s="44" t="s">
        <v>1285</v>
      </c>
      <c r="G266" s="43">
        <v>1.0</v>
      </c>
      <c r="H266" s="42"/>
      <c r="I266" s="43">
        <v>1.0</v>
      </c>
      <c r="J266" s="22"/>
      <c r="K266" s="42"/>
    </row>
    <row r="267" ht="39.75" customHeight="1">
      <c r="A267" s="1">
        <v>266.0</v>
      </c>
      <c r="B267" s="2" t="s">
        <v>45</v>
      </c>
      <c r="C267" s="2" t="s">
        <v>69</v>
      </c>
      <c r="D267" s="13"/>
      <c r="E267" s="13"/>
      <c r="F267" s="44" t="s">
        <v>4889</v>
      </c>
      <c r="G267" s="43">
        <v>1.0</v>
      </c>
      <c r="H267" s="42"/>
      <c r="I267" s="42"/>
      <c r="J267" s="22"/>
      <c r="K267" s="42"/>
    </row>
    <row r="268" ht="39.75" customHeight="1">
      <c r="A268" s="1">
        <v>267.0</v>
      </c>
      <c r="B268" s="2" t="s">
        <v>46</v>
      </c>
      <c r="C268" s="2"/>
      <c r="D268" s="13"/>
      <c r="E268" s="13"/>
      <c r="F268" s="44" t="s">
        <v>4890</v>
      </c>
      <c r="G268" s="43">
        <v>1.0</v>
      </c>
      <c r="H268" s="42"/>
      <c r="I268" s="42"/>
      <c r="J268" s="22"/>
      <c r="K268" s="42"/>
    </row>
    <row r="269" ht="39.75" customHeight="1">
      <c r="A269" s="1">
        <v>268.0</v>
      </c>
      <c r="B269" s="2" t="s">
        <v>47</v>
      </c>
      <c r="C269" s="2"/>
      <c r="D269" s="13"/>
      <c r="E269" s="13"/>
      <c r="F269" s="44" t="s">
        <v>4891</v>
      </c>
      <c r="G269" s="42"/>
      <c r="H269" s="42"/>
      <c r="I269" s="42"/>
      <c r="J269" s="22"/>
      <c r="K269" s="42"/>
    </row>
    <row r="270" ht="39.75" customHeight="1">
      <c r="A270" s="1">
        <v>269.0</v>
      </c>
      <c r="B270" s="2" t="s">
        <v>48</v>
      </c>
      <c r="C270" s="2" t="s">
        <v>54</v>
      </c>
      <c r="D270" s="53">
        <v>0.3611111111111111</v>
      </c>
      <c r="E270" s="40">
        <v>0.7916666666666666</v>
      </c>
      <c r="F270" s="44" t="s">
        <v>4892</v>
      </c>
      <c r="G270" s="43">
        <v>1.0</v>
      </c>
      <c r="H270" s="42"/>
      <c r="I270" s="42"/>
      <c r="J270" s="22"/>
      <c r="K270" s="42"/>
    </row>
    <row r="271" ht="39.75" customHeight="1">
      <c r="A271" s="1">
        <v>270.0</v>
      </c>
      <c r="B271" s="21"/>
      <c r="C271" s="21"/>
      <c r="D271" s="21"/>
      <c r="E271" s="21"/>
      <c r="F271" s="46"/>
      <c r="G271" s="47"/>
      <c r="H271" s="47"/>
      <c r="I271" s="47"/>
      <c r="J271" s="48"/>
      <c r="K271" s="47"/>
      <c r="L271" s="49"/>
      <c r="M271" s="49"/>
      <c r="N271" s="49"/>
    </row>
    <row r="272" ht="39.75" hidden="1" customHeight="1">
      <c r="A272" s="1">
        <v>271.0</v>
      </c>
      <c r="B272" s="2" t="s">
        <v>12</v>
      </c>
      <c r="C272" s="2" t="s">
        <v>58</v>
      </c>
      <c r="D272" s="13"/>
      <c r="E272" s="13"/>
      <c r="F272" s="45"/>
      <c r="G272" s="42"/>
      <c r="H272" s="42"/>
      <c r="I272" s="42"/>
      <c r="J272" s="27" t="s">
        <v>4797</v>
      </c>
      <c r="K272" s="42"/>
      <c r="L272" s="15" t="s">
        <v>209</v>
      </c>
    </row>
    <row r="273" ht="39.75" customHeight="1">
      <c r="A273" s="1">
        <v>272.0</v>
      </c>
      <c r="B273" s="2" t="s">
        <v>16</v>
      </c>
      <c r="C273" s="2" t="s">
        <v>54</v>
      </c>
      <c r="D273" s="13"/>
      <c r="E273" s="51">
        <v>0.875</v>
      </c>
      <c r="F273" s="44" t="s">
        <v>4893</v>
      </c>
      <c r="G273" s="43">
        <v>1.0</v>
      </c>
      <c r="H273" s="42"/>
      <c r="I273" s="42"/>
      <c r="J273" s="27" t="s">
        <v>209</v>
      </c>
      <c r="K273" s="43"/>
    </row>
    <row r="274" ht="39.75" customHeight="1">
      <c r="A274" s="1">
        <v>273.0</v>
      </c>
      <c r="B274" s="2" t="s">
        <v>116</v>
      </c>
      <c r="C274" s="2" t="s">
        <v>39</v>
      </c>
      <c r="D274" s="13"/>
      <c r="E274" s="13"/>
      <c r="F274" s="44"/>
      <c r="G274" s="43"/>
      <c r="H274" s="42"/>
      <c r="I274" s="43"/>
      <c r="J274" s="27" t="s">
        <v>77</v>
      </c>
      <c r="K274" s="42"/>
    </row>
    <row r="275" ht="39.75" customHeight="1">
      <c r="A275" s="1">
        <v>274.0</v>
      </c>
      <c r="B275" s="2" t="s">
        <v>17</v>
      </c>
      <c r="C275" s="2" t="s">
        <v>54</v>
      </c>
      <c r="D275" s="13"/>
      <c r="E275" s="13"/>
      <c r="F275" s="44" t="s">
        <v>4894</v>
      </c>
      <c r="G275" s="43">
        <v>1.0</v>
      </c>
      <c r="H275" s="42"/>
      <c r="I275" s="42"/>
      <c r="J275" s="22"/>
      <c r="K275" s="42"/>
    </row>
    <row r="276" ht="39.75" hidden="1" customHeight="1">
      <c r="A276" s="1">
        <v>275.0</v>
      </c>
      <c r="B276" s="2" t="s">
        <v>331</v>
      </c>
      <c r="C276" s="2" t="s">
        <v>66</v>
      </c>
      <c r="D276" s="13"/>
      <c r="E276" s="13"/>
      <c r="F276" s="45"/>
      <c r="G276" s="42"/>
      <c r="H276" s="42"/>
      <c r="I276" s="42"/>
      <c r="J276" s="22"/>
      <c r="K276" s="42"/>
    </row>
    <row r="277" ht="39.75" customHeight="1">
      <c r="A277" s="1">
        <v>276.0</v>
      </c>
      <c r="B277" s="2" t="s">
        <v>21</v>
      </c>
      <c r="C277" s="2" t="s">
        <v>63</v>
      </c>
      <c r="D277" s="13"/>
      <c r="E277" s="13"/>
      <c r="F277" s="45"/>
      <c r="G277" s="42"/>
      <c r="H277" s="42"/>
      <c r="I277" s="42"/>
      <c r="J277" s="22"/>
      <c r="K277" s="42"/>
    </row>
    <row r="278" ht="39.75" customHeight="1">
      <c r="A278" s="1">
        <v>277.0</v>
      </c>
      <c r="B278" s="2" t="s">
        <v>22</v>
      </c>
      <c r="C278" s="2"/>
      <c r="D278" s="13"/>
      <c r="E278" s="13"/>
      <c r="F278" s="45"/>
      <c r="G278" s="42"/>
      <c r="H278" s="42"/>
      <c r="I278" s="42"/>
      <c r="J278" s="22"/>
      <c r="K278" s="42"/>
    </row>
    <row r="279" ht="39.75" customHeight="1">
      <c r="A279" s="1">
        <v>278.0</v>
      </c>
      <c r="B279" s="2" t="s">
        <v>23</v>
      </c>
      <c r="C279" s="2" t="s">
        <v>69</v>
      </c>
      <c r="D279" s="13"/>
      <c r="E279" s="13"/>
      <c r="F279" s="45"/>
      <c r="G279" s="42"/>
      <c r="H279" s="42"/>
      <c r="I279" s="42"/>
      <c r="J279" s="22"/>
      <c r="K279" s="42"/>
    </row>
    <row r="280" ht="39.75" customHeight="1">
      <c r="A280" s="1">
        <v>279.0</v>
      </c>
      <c r="B280" s="2" t="s">
        <v>24</v>
      </c>
      <c r="C280" s="2"/>
      <c r="D280" s="13"/>
      <c r="E280" s="13"/>
      <c r="F280" s="45"/>
      <c r="G280" s="42"/>
      <c r="H280" s="42"/>
      <c r="I280" s="42"/>
      <c r="J280" s="22"/>
      <c r="K280" s="42"/>
    </row>
    <row r="281" ht="39.75" hidden="1" customHeight="1">
      <c r="A281" s="1">
        <v>280.0</v>
      </c>
      <c r="B281" s="2" t="s">
        <v>25</v>
      </c>
      <c r="C281" s="2" t="s">
        <v>58</v>
      </c>
      <c r="D281" s="13"/>
      <c r="E281" s="13"/>
      <c r="F281" s="45"/>
      <c r="G281" s="42"/>
      <c r="H281" s="42"/>
      <c r="I281" s="42"/>
      <c r="J281" s="22"/>
      <c r="K281" s="42"/>
    </row>
    <row r="282" ht="39.75" hidden="1" customHeight="1">
      <c r="A282" s="1">
        <v>281.0</v>
      </c>
      <c r="B282" s="2" t="s">
        <v>26</v>
      </c>
      <c r="C282" s="2" t="s">
        <v>66</v>
      </c>
      <c r="D282" s="13"/>
      <c r="E282" s="13"/>
      <c r="F282" s="45"/>
      <c r="G282" s="42"/>
      <c r="H282" s="42"/>
      <c r="I282" s="42"/>
      <c r="J282" s="22"/>
      <c r="K282" s="42"/>
    </row>
    <row r="283" ht="39.75" customHeight="1">
      <c r="A283" s="1">
        <v>282.0</v>
      </c>
      <c r="B283" s="2" t="s">
        <v>29</v>
      </c>
      <c r="C283" s="2" t="s">
        <v>44</v>
      </c>
      <c r="D283" s="13"/>
      <c r="E283" s="13"/>
      <c r="F283" s="45"/>
      <c r="G283" s="42"/>
      <c r="H283" s="42"/>
      <c r="I283" s="42"/>
      <c r="J283" s="22"/>
      <c r="K283" s="42"/>
    </row>
    <row r="284" ht="39.75" customHeight="1">
      <c r="A284" s="1">
        <v>283.0</v>
      </c>
      <c r="B284" s="2" t="s">
        <v>30</v>
      </c>
      <c r="C284" s="2" t="s">
        <v>64</v>
      </c>
      <c r="D284" s="13"/>
      <c r="E284" s="13"/>
      <c r="F284" s="44" t="s">
        <v>2592</v>
      </c>
      <c r="G284" s="43">
        <v>1.0</v>
      </c>
      <c r="H284" s="42"/>
      <c r="I284" s="43">
        <v>1.0</v>
      </c>
      <c r="J284" s="22"/>
      <c r="K284" s="42"/>
    </row>
    <row r="285" ht="39.75" customHeight="1">
      <c r="A285" s="1">
        <v>284.0</v>
      </c>
      <c r="B285" s="2" t="s">
        <v>31</v>
      </c>
      <c r="C285" s="2" t="s">
        <v>54</v>
      </c>
      <c r="D285" s="13"/>
      <c r="E285" s="13"/>
      <c r="F285" s="44" t="s">
        <v>4895</v>
      </c>
      <c r="G285" s="43">
        <v>1.0</v>
      </c>
      <c r="H285" s="42"/>
      <c r="I285" s="42"/>
      <c r="J285" s="22"/>
      <c r="K285" s="42"/>
    </row>
    <row r="286" ht="39.75" hidden="1" customHeight="1">
      <c r="A286" s="1">
        <v>285.0</v>
      </c>
      <c r="B286" s="2" t="s">
        <v>32</v>
      </c>
      <c r="C286" s="2" t="s">
        <v>58</v>
      </c>
      <c r="D286" s="13"/>
      <c r="E286" s="13"/>
      <c r="F286" s="45"/>
      <c r="G286" s="42"/>
      <c r="H286" s="42"/>
      <c r="I286" s="42"/>
      <c r="J286" s="22"/>
      <c r="K286" s="42"/>
    </row>
    <row r="287" ht="39.75" customHeight="1">
      <c r="A287" s="1">
        <v>286.0</v>
      </c>
      <c r="B287" s="2" t="s">
        <v>67</v>
      </c>
      <c r="C287" s="2" t="s">
        <v>69</v>
      </c>
      <c r="D287" s="13"/>
      <c r="E287" s="13"/>
      <c r="F287" s="44" t="s">
        <v>2741</v>
      </c>
      <c r="G287" s="43">
        <v>1.0</v>
      </c>
      <c r="H287" s="42"/>
      <c r="I287" s="43">
        <v>1.0</v>
      </c>
      <c r="J287" s="22"/>
      <c r="K287" s="42"/>
    </row>
    <row r="288" ht="39.75" customHeight="1">
      <c r="A288" s="1">
        <v>287.0</v>
      </c>
      <c r="B288" s="2" t="s">
        <v>35</v>
      </c>
      <c r="C288" s="2"/>
      <c r="D288" s="13"/>
      <c r="E288" s="13"/>
      <c r="F288" s="44" t="s">
        <v>4896</v>
      </c>
      <c r="G288" s="43">
        <v>1.0</v>
      </c>
      <c r="H288" s="42"/>
      <c r="I288" s="42"/>
      <c r="J288" s="22"/>
      <c r="K288" s="42"/>
    </row>
    <row r="289" ht="39.75" customHeight="1">
      <c r="A289" s="1">
        <v>288.0</v>
      </c>
      <c r="B289" s="2" t="s">
        <v>36</v>
      </c>
      <c r="C289" s="2"/>
      <c r="D289" s="13"/>
      <c r="E289" s="13"/>
      <c r="F289" s="45"/>
      <c r="G289" s="42"/>
      <c r="H289" s="42"/>
      <c r="I289" s="42"/>
      <c r="J289" s="22"/>
      <c r="K289" s="42"/>
    </row>
    <row r="290" ht="39.75" customHeight="1">
      <c r="A290" s="1">
        <v>289.0</v>
      </c>
      <c r="B290" s="2" t="s">
        <v>38</v>
      </c>
      <c r="C290" s="2"/>
      <c r="D290" s="13"/>
      <c r="E290" s="13"/>
      <c r="F290" s="44" t="s">
        <v>4897</v>
      </c>
      <c r="G290" s="43">
        <v>1.0</v>
      </c>
      <c r="H290" s="42"/>
      <c r="I290" s="42"/>
      <c r="J290" s="22"/>
      <c r="K290" s="42"/>
    </row>
    <row r="291" ht="39.75" hidden="1" customHeight="1">
      <c r="A291" s="1">
        <v>290.0</v>
      </c>
      <c r="B291" s="2" t="s">
        <v>41</v>
      </c>
      <c r="C291" s="2" t="s">
        <v>58</v>
      </c>
      <c r="D291" s="13"/>
      <c r="E291" s="13"/>
      <c r="F291" s="45"/>
      <c r="G291" s="42"/>
      <c r="H291" s="42"/>
      <c r="I291" s="42"/>
      <c r="J291" s="22"/>
      <c r="K291" s="42"/>
    </row>
    <row r="292" ht="39.75" customHeight="1">
      <c r="A292" s="1">
        <v>291.0</v>
      </c>
      <c r="B292" s="2" t="s">
        <v>42</v>
      </c>
      <c r="C292" s="2" t="s">
        <v>27</v>
      </c>
      <c r="D292" s="13"/>
      <c r="E292" s="13"/>
      <c r="F292" s="44" t="s">
        <v>4898</v>
      </c>
      <c r="G292" s="43">
        <v>2.0</v>
      </c>
      <c r="H292" s="42"/>
      <c r="I292" s="43">
        <v>1.0</v>
      </c>
      <c r="J292" s="22"/>
      <c r="K292" s="42"/>
    </row>
    <row r="293" ht="39.75" customHeight="1">
      <c r="A293" s="1">
        <v>292.0</v>
      </c>
      <c r="B293" s="2" t="s">
        <v>43</v>
      </c>
      <c r="C293" s="2" t="s">
        <v>69</v>
      </c>
      <c r="D293" s="13"/>
      <c r="E293" s="13"/>
      <c r="F293" s="44" t="s">
        <v>4899</v>
      </c>
      <c r="G293" s="43">
        <v>1.0</v>
      </c>
      <c r="H293" s="42"/>
      <c r="I293" s="42"/>
      <c r="J293" s="22"/>
      <c r="K293" s="42"/>
    </row>
    <row r="294" ht="39.75" customHeight="1">
      <c r="A294" s="1">
        <v>293.0</v>
      </c>
      <c r="B294" s="2" t="s">
        <v>45</v>
      </c>
      <c r="C294" s="2" t="s">
        <v>39</v>
      </c>
      <c r="D294" s="13"/>
      <c r="E294" s="13"/>
      <c r="F294" s="44" t="s">
        <v>2691</v>
      </c>
      <c r="G294" s="43">
        <v>1.0</v>
      </c>
      <c r="H294" s="42"/>
      <c r="I294" s="43">
        <v>1.0</v>
      </c>
      <c r="J294" s="22"/>
      <c r="K294" s="42"/>
    </row>
    <row r="295" ht="39.75" hidden="1" customHeight="1">
      <c r="A295" s="1">
        <v>294.0</v>
      </c>
      <c r="B295" s="2" t="s">
        <v>46</v>
      </c>
      <c r="C295" s="2" t="s">
        <v>58</v>
      </c>
      <c r="D295" s="13"/>
      <c r="E295" s="13"/>
      <c r="F295" s="45"/>
      <c r="G295" s="42"/>
      <c r="H295" s="42"/>
      <c r="I295" s="42"/>
      <c r="J295" s="22"/>
      <c r="K295" s="42"/>
    </row>
    <row r="296" ht="39.75" hidden="1" customHeight="1">
      <c r="A296" s="1">
        <v>295.0</v>
      </c>
      <c r="B296" s="2" t="s">
        <v>47</v>
      </c>
      <c r="C296" s="2" t="s">
        <v>58</v>
      </c>
      <c r="D296" s="13"/>
      <c r="E296" s="13"/>
      <c r="F296" s="45"/>
      <c r="G296" s="42"/>
      <c r="H296" s="42"/>
      <c r="I296" s="42"/>
      <c r="J296" s="22"/>
      <c r="K296" s="42"/>
    </row>
    <row r="297" ht="39.75" customHeight="1">
      <c r="A297" s="1">
        <v>296.0</v>
      </c>
      <c r="B297" s="2" t="s">
        <v>48</v>
      </c>
      <c r="C297" s="2" t="s">
        <v>54</v>
      </c>
      <c r="D297" s="13"/>
      <c r="E297" s="13"/>
      <c r="F297" s="44" t="s">
        <v>4900</v>
      </c>
      <c r="G297" s="43">
        <v>1.0</v>
      </c>
      <c r="H297" s="42"/>
      <c r="I297" s="42"/>
      <c r="J297" s="22"/>
      <c r="K297" s="42"/>
    </row>
    <row r="298" ht="39.75" customHeight="1">
      <c r="A298" s="1">
        <v>297.0</v>
      </c>
      <c r="B298" s="21"/>
      <c r="C298" s="21"/>
      <c r="D298" s="21"/>
      <c r="E298" s="21"/>
      <c r="F298" s="46"/>
      <c r="G298" s="47"/>
      <c r="H298" s="47"/>
      <c r="I298" s="47"/>
      <c r="J298" s="48"/>
      <c r="K298" s="47"/>
      <c r="L298" s="49"/>
      <c r="M298" s="49"/>
      <c r="N298" s="49"/>
    </row>
    <row r="299" ht="39.75" customHeight="1">
      <c r="A299" s="1">
        <v>298.0</v>
      </c>
      <c r="B299" s="2" t="s">
        <v>12</v>
      </c>
      <c r="C299" s="2" t="s">
        <v>62</v>
      </c>
      <c r="D299" s="13"/>
      <c r="E299" s="13"/>
      <c r="F299" s="45"/>
      <c r="G299" s="42"/>
      <c r="H299" s="42"/>
      <c r="I299" s="42"/>
      <c r="J299" s="27" t="s">
        <v>4797</v>
      </c>
      <c r="K299" s="42"/>
      <c r="L299" s="15" t="s">
        <v>228</v>
      </c>
    </row>
    <row r="300" ht="39.75" customHeight="1">
      <c r="A300" s="1">
        <v>299.0</v>
      </c>
      <c r="B300" s="2" t="s">
        <v>16</v>
      </c>
      <c r="C300" s="2" t="s">
        <v>54</v>
      </c>
      <c r="D300" s="13"/>
      <c r="E300" s="13"/>
      <c r="F300" s="45"/>
      <c r="G300" s="42"/>
      <c r="H300" s="42"/>
      <c r="I300" s="42"/>
      <c r="J300" s="27" t="s">
        <v>228</v>
      </c>
      <c r="K300" s="43"/>
    </row>
    <row r="301" ht="39.75" customHeight="1">
      <c r="A301" s="1">
        <v>300.0</v>
      </c>
      <c r="B301" s="2" t="s">
        <v>116</v>
      </c>
      <c r="C301" s="2" t="s">
        <v>69</v>
      </c>
      <c r="D301" s="13"/>
      <c r="E301" s="13"/>
      <c r="F301" s="45"/>
      <c r="G301" s="42"/>
      <c r="H301" s="42"/>
      <c r="I301" s="42"/>
      <c r="J301" s="27" t="s">
        <v>95</v>
      </c>
      <c r="K301" s="42"/>
    </row>
    <row r="302" ht="39.75" customHeight="1">
      <c r="A302" s="1">
        <v>301.0</v>
      </c>
      <c r="B302" s="2" t="s">
        <v>17</v>
      </c>
      <c r="C302" s="2" t="s">
        <v>54</v>
      </c>
      <c r="D302" s="13"/>
      <c r="E302" s="13"/>
      <c r="F302" s="44" t="s">
        <v>4901</v>
      </c>
      <c r="G302" s="43">
        <v>1.0</v>
      </c>
      <c r="H302" s="42"/>
      <c r="I302" s="42"/>
      <c r="J302" s="22"/>
      <c r="K302" s="42"/>
    </row>
    <row r="303" ht="39.75" customHeight="1">
      <c r="A303" s="1">
        <v>302.0</v>
      </c>
      <c r="B303" s="2" t="s">
        <v>331</v>
      </c>
      <c r="C303" s="2" t="s">
        <v>542</v>
      </c>
      <c r="D303" s="13"/>
      <c r="E303" s="13"/>
      <c r="F303" s="45"/>
      <c r="G303" s="42"/>
      <c r="H303" s="42"/>
      <c r="I303" s="42"/>
      <c r="J303" s="22"/>
      <c r="K303" s="42"/>
    </row>
    <row r="304" ht="39.75" customHeight="1">
      <c r="A304" s="1">
        <v>303.0</v>
      </c>
      <c r="B304" s="2" t="s">
        <v>21</v>
      </c>
      <c r="C304" s="2" t="s">
        <v>63</v>
      </c>
      <c r="D304" s="13"/>
      <c r="E304" s="13"/>
      <c r="F304" s="45"/>
      <c r="G304" s="42"/>
      <c r="H304" s="42"/>
      <c r="I304" s="42"/>
      <c r="J304" s="22"/>
      <c r="K304" s="42"/>
    </row>
    <row r="305" ht="39.75" customHeight="1">
      <c r="A305" s="1">
        <v>304.0</v>
      </c>
      <c r="B305" s="2" t="s">
        <v>22</v>
      </c>
      <c r="C305" s="2"/>
      <c r="D305" s="53">
        <v>0.22916666666666666</v>
      </c>
      <c r="E305" s="13"/>
      <c r="F305" s="44" t="s">
        <v>4902</v>
      </c>
      <c r="G305" s="43">
        <v>1.0</v>
      </c>
      <c r="H305" s="43">
        <v>1.0</v>
      </c>
      <c r="I305" s="42"/>
      <c r="J305" s="22"/>
      <c r="K305" s="42"/>
    </row>
    <row r="306" ht="59.25" customHeight="1">
      <c r="A306" s="1">
        <v>305.0</v>
      </c>
      <c r="B306" s="2" t="s">
        <v>23</v>
      </c>
      <c r="C306" s="13"/>
      <c r="D306" s="13"/>
      <c r="E306" s="13"/>
      <c r="F306" s="44" t="s">
        <v>4903</v>
      </c>
      <c r="G306" s="43">
        <v>1.0</v>
      </c>
      <c r="H306" s="42"/>
      <c r="I306" s="43">
        <v>1.0</v>
      </c>
      <c r="J306" s="22"/>
      <c r="K306" s="42"/>
    </row>
    <row r="307" ht="39.75" hidden="1" customHeight="1">
      <c r="A307" s="1">
        <v>306.0</v>
      </c>
      <c r="B307" s="2" t="s">
        <v>24</v>
      </c>
      <c r="C307" s="2" t="s">
        <v>58</v>
      </c>
      <c r="D307" s="13"/>
      <c r="E307" s="13"/>
      <c r="F307" s="45"/>
      <c r="G307" s="42"/>
      <c r="H307" s="42"/>
      <c r="I307" s="42"/>
      <c r="J307" s="22"/>
      <c r="K307" s="42"/>
    </row>
    <row r="308" ht="60.75" customHeight="1">
      <c r="A308" s="1">
        <v>307.0</v>
      </c>
      <c r="B308" s="2" t="s">
        <v>25</v>
      </c>
      <c r="C308" s="2" t="s">
        <v>69</v>
      </c>
      <c r="D308" s="13"/>
      <c r="E308" s="13"/>
      <c r="F308" s="44" t="s">
        <v>4904</v>
      </c>
      <c r="G308" s="43">
        <v>1.0</v>
      </c>
      <c r="H308" s="42"/>
      <c r="I308" s="43">
        <v>1.0</v>
      </c>
      <c r="J308" s="22"/>
      <c r="K308" s="42"/>
    </row>
    <row r="309" ht="39.75" customHeight="1">
      <c r="A309" s="1">
        <v>308.0</v>
      </c>
      <c r="B309" s="2" t="s">
        <v>26</v>
      </c>
      <c r="C309" s="2" t="s">
        <v>27</v>
      </c>
      <c r="D309" s="13"/>
      <c r="E309" s="13"/>
      <c r="F309" s="44" t="s">
        <v>4905</v>
      </c>
      <c r="G309" s="43">
        <v>1.0</v>
      </c>
      <c r="H309" s="42"/>
      <c r="I309" s="42"/>
      <c r="J309" s="22"/>
      <c r="K309" s="42"/>
    </row>
    <row r="310" ht="60.0" customHeight="1">
      <c r="A310" s="1">
        <v>309.0</v>
      </c>
      <c r="B310" s="2" t="s">
        <v>29</v>
      </c>
      <c r="C310" s="2"/>
      <c r="D310" s="13"/>
      <c r="E310" s="13"/>
      <c r="F310" s="44" t="s">
        <v>4906</v>
      </c>
      <c r="G310" s="43">
        <v>1.0</v>
      </c>
      <c r="H310" s="42"/>
      <c r="I310" s="42"/>
      <c r="J310" s="22"/>
      <c r="K310" s="42"/>
    </row>
    <row r="311" ht="39.75" customHeight="1">
      <c r="A311" s="1">
        <v>310.0</v>
      </c>
      <c r="B311" s="2" t="s">
        <v>30</v>
      </c>
      <c r="C311" s="2" t="s">
        <v>64</v>
      </c>
      <c r="D311" s="13"/>
      <c r="E311" s="13"/>
      <c r="F311" s="44" t="s">
        <v>2592</v>
      </c>
      <c r="G311" s="43">
        <v>1.0</v>
      </c>
      <c r="H311" s="42"/>
      <c r="I311" s="43">
        <v>1.0</v>
      </c>
      <c r="J311" s="22"/>
      <c r="K311" s="42"/>
    </row>
    <row r="312" ht="39.75" customHeight="1">
      <c r="A312" s="1">
        <v>311.0</v>
      </c>
      <c r="B312" s="2" t="s">
        <v>31</v>
      </c>
      <c r="C312" s="2" t="s">
        <v>54</v>
      </c>
      <c r="D312" s="13"/>
      <c r="E312" s="2"/>
      <c r="F312" s="44" t="s">
        <v>3365</v>
      </c>
      <c r="G312" s="43">
        <v>1.0</v>
      </c>
      <c r="H312" s="42"/>
      <c r="I312" s="43">
        <v>1.0</v>
      </c>
      <c r="J312" s="22"/>
      <c r="K312" s="42"/>
    </row>
    <row r="313" ht="39.75" customHeight="1">
      <c r="A313" s="1">
        <v>312.0</v>
      </c>
      <c r="B313" s="2" t="s">
        <v>32</v>
      </c>
      <c r="C313" s="2" t="s">
        <v>39</v>
      </c>
      <c r="D313" s="13"/>
      <c r="E313" s="13"/>
      <c r="F313" s="44" t="s">
        <v>4907</v>
      </c>
      <c r="G313" s="43">
        <v>1.0</v>
      </c>
      <c r="H313" s="42"/>
      <c r="I313" s="43">
        <v>1.0</v>
      </c>
      <c r="J313" s="22"/>
      <c r="K313" s="42"/>
    </row>
    <row r="314" ht="39.75" customHeight="1">
      <c r="A314" s="1">
        <v>313.0</v>
      </c>
      <c r="B314" s="2" t="s">
        <v>67</v>
      </c>
      <c r="C314" s="2"/>
      <c r="D314" s="13"/>
      <c r="E314" s="13"/>
      <c r="F314" s="44" t="s">
        <v>4908</v>
      </c>
      <c r="G314" s="43">
        <v>1.0</v>
      </c>
      <c r="H314" s="42"/>
      <c r="I314" s="42"/>
      <c r="J314" s="22"/>
      <c r="K314" s="42"/>
    </row>
    <row r="315" ht="39.75" customHeight="1">
      <c r="A315" s="1">
        <v>314.0</v>
      </c>
      <c r="B315" s="2" t="s">
        <v>35</v>
      </c>
      <c r="C315" s="2"/>
      <c r="D315" s="13"/>
      <c r="E315" s="13"/>
      <c r="F315" s="44" t="s">
        <v>2664</v>
      </c>
      <c r="G315" s="43">
        <v>1.0</v>
      </c>
      <c r="H315" s="42"/>
      <c r="I315" s="43">
        <v>1.0</v>
      </c>
      <c r="J315" s="22"/>
      <c r="K315" s="42"/>
    </row>
    <row r="316" ht="39.75" hidden="1" customHeight="1">
      <c r="A316" s="1">
        <v>315.0</v>
      </c>
      <c r="B316" s="2" t="s">
        <v>36</v>
      </c>
      <c r="C316" s="2" t="s">
        <v>58</v>
      </c>
      <c r="D316" s="13"/>
      <c r="E316" s="13"/>
      <c r="F316" s="45"/>
      <c r="G316" s="42"/>
      <c r="H316" s="42"/>
      <c r="I316" s="42"/>
      <c r="J316" s="22"/>
      <c r="K316" s="42"/>
    </row>
    <row r="317" ht="39.75" customHeight="1">
      <c r="A317" s="1">
        <v>316.0</v>
      </c>
      <c r="B317" s="2" t="s">
        <v>38</v>
      </c>
      <c r="C317" s="2" t="s">
        <v>39</v>
      </c>
      <c r="D317" s="13"/>
      <c r="E317" s="13"/>
      <c r="F317" s="44" t="s">
        <v>4909</v>
      </c>
      <c r="G317" s="43">
        <v>2.0</v>
      </c>
      <c r="H317" s="42"/>
      <c r="I317" s="43">
        <v>2.0</v>
      </c>
      <c r="J317" s="22"/>
      <c r="K317" s="42"/>
    </row>
    <row r="318" ht="39.75" hidden="1" customHeight="1">
      <c r="A318" s="1">
        <v>317.0</v>
      </c>
      <c r="B318" s="2" t="s">
        <v>41</v>
      </c>
      <c r="C318" s="2" t="s">
        <v>58</v>
      </c>
      <c r="D318" s="13"/>
      <c r="E318" s="13"/>
      <c r="F318" s="45"/>
      <c r="G318" s="42"/>
      <c r="H318" s="42"/>
      <c r="I318" s="42"/>
      <c r="J318" s="22"/>
      <c r="K318" s="42"/>
    </row>
    <row r="319" ht="39.75" customHeight="1">
      <c r="A319" s="1">
        <v>318.0</v>
      </c>
      <c r="B319" s="2" t="s">
        <v>42</v>
      </c>
      <c r="C319" s="2" t="s">
        <v>44</v>
      </c>
      <c r="D319" s="13"/>
      <c r="E319" s="13"/>
      <c r="F319" s="52" t="s">
        <v>4910</v>
      </c>
      <c r="G319" s="56">
        <v>1.0</v>
      </c>
      <c r="H319" s="42"/>
      <c r="I319" s="56">
        <v>1.0</v>
      </c>
      <c r="J319" s="22"/>
      <c r="K319" s="42"/>
    </row>
    <row r="320" ht="39.75" customHeight="1">
      <c r="A320" s="1">
        <v>319.0</v>
      </c>
      <c r="B320" s="2" t="s">
        <v>43</v>
      </c>
      <c r="C320" s="2"/>
      <c r="D320" s="13"/>
      <c r="E320" s="13"/>
      <c r="F320" s="44" t="s">
        <v>4911</v>
      </c>
      <c r="G320" s="43">
        <v>1.0</v>
      </c>
      <c r="H320" s="42"/>
      <c r="I320" s="42"/>
      <c r="J320" s="22"/>
      <c r="K320" s="42"/>
    </row>
    <row r="321" ht="39.75" customHeight="1">
      <c r="A321" s="1">
        <v>320.0</v>
      </c>
      <c r="B321" s="2" t="s">
        <v>45</v>
      </c>
      <c r="C321" s="2" t="s">
        <v>69</v>
      </c>
      <c r="D321" s="13"/>
      <c r="E321" s="40">
        <v>0.8402777777777778</v>
      </c>
      <c r="F321" s="44" t="s">
        <v>4912</v>
      </c>
      <c r="G321" s="43">
        <v>1.0</v>
      </c>
      <c r="H321" s="42"/>
      <c r="I321" s="43"/>
      <c r="J321" s="22"/>
      <c r="K321" s="42"/>
    </row>
    <row r="322" ht="39.75" hidden="1" customHeight="1">
      <c r="A322" s="1">
        <v>321.0</v>
      </c>
      <c r="B322" s="2" t="s">
        <v>46</v>
      </c>
      <c r="C322" s="2" t="s">
        <v>66</v>
      </c>
      <c r="D322" s="13"/>
      <c r="E322" s="13"/>
      <c r="F322" s="45"/>
      <c r="G322" s="42"/>
      <c r="H322" s="42"/>
      <c r="I322" s="42"/>
      <c r="J322" s="22"/>
      <c r="K322" s="42"/>
    </row>
    <row r="323" ht="39.75" hidden="1" customHeight="1">
      <c r="A323" s="1">
        <v>322.0</v>
      </c>
      <c r="B323" s="2" t="s">
        <v>47</v>
      </c>
      <c r="C323" s="2" t="s">
        <v>58</v>
      </c>
      <c r="D323" s="13"/>
      <c r="E323" s="13"/>
      <c r="F323" s="45"/>
      <c r="G323" s="42"/>
      <c r="H323" s="42"/>
      <c r="I323" s="42"/>
      <c r="J323" s="22"/>
      <c r="K323" s="42"/>
    </row>
    <row r="324" ht="39.75" customHeight="1">
      <c r="A324" s="1">
        <v>323.0</v>
      </c>
      <c r="B324" s="2" t="s">
        <v>48</v>
      </c>
      <c r="C324" s="2" t="s">
        <v>54</v>
      </c>
      <c r="D324" s="13"/>
      <c r="E324" s="13"/>
      <c r="F324" s="44" t="s">
        <v>4913</v>
      </c>
      <c r="G324" s="43">
        <v>1.0</v>
      </c>
      <c r="H324" s="42"/>
      <c r="I324" s="42"/>
      <c r="J324" s="22"/>
      <c r="K324" s="42"/>
    </row>
    <row r="325" ht="39.75" customHeight="1">
      <c r="A325" s="1">
        <v>324.0</v>
      </c>
      <c r="B325" s="21"/>
      <c r="C325" s="21"/>
      <c r="D325" s="21"/>
      <c r="E325" s="21"/>
      <c r="F325" s="46"/>
      <c r="G325" s="47"/>
      <c r="H325" s="47"/>
      <c r="I325" s="47"/>
      <c r="J325" s="48"/>
      <c r="K325" s="47"/>
      <c r="L325" s="49"/>
      <c r="M325" s="49"/>
      <c r="N325" s="49"/>
    </row>
    <row r="326" ht="39.75" customHeight="1">
      <c r="A326" s="1">
        <v>325.0</v>
      </c>
      <c r="B326" s="2" t="s">
        <v>12</v>
      </c>
      <c r="C326" s="2" t="s">
        <v>62</v>
      </c>
      <c r="D326" s="13"/>
      <c r="E326" s="13"/>
      <c r="F326" s="44" t="s">
        <v>1543</v>
      </c>
      <c r="G326" s="43">
        <v>1.0</v>
      </c>
      <c r="H326" s="42"/>
      <c r="I326" s="43">
        <v>1.0</v>
      </c>
      <c r="J326" s="27" t="s">
        <v>4797</v>
      </c>
      <c r="K326" s="42"/>
      <c r="L326" s="15" t="s">
        <v>244</v>
      </c>
    </row>
    <row r="327" ht="39.75" customHeight="1">
      <c r="A327" s="1">
        <v>326.0</v>
      </c>
      <c r="B327" s="2" t="s">
        <v>16</v>
      </c>
      <c r="C327" s="2" t="s">
        <v>54</v>
      </c>
      <c r="D327" s="13"/>
      <c r="E327" s="13"/>
      <c r="F327" s="44" t="s">
        <v>4914</v>
      </c>
      <c r="G327" s="43">
        <v>1.0</v>
      </c>
      <c r="H327" s="43">
        <v>1.0</v>
      </c>
      <c r="I327" s="42"/>
      <c r="J327" s="27" t="s">
        <v>244</v>
      </c>
      <c r="K327" s="43"/>
    </row>
    <row r="328" ht="39.75" customHeight="1">
      <c r="A328" s="1">
        <v>327.0</v>
      </c>
      <c r="B328" s="2" t="s">
        <v>116</v>
      </c>
      <c r="C328" s="2"/>
      <c r="D328" s="13"/>
      <c r="E328" s="13"/>
      <c r="F328" s="44" t="s">
        <v>4915</v>
      </c>
      <c r="G328" s="43">
        <v>1.0</v>
      </c>
      <c r="H328" s="42"/>
      <c r="I328" s="42"/>
      <c r="J328" s="27" t="s">
        <v>111</v>
      </c>
      <c r="K328" s="42"/>
    </row>
    <row r="329" ht="39.75" customHeight="1">
      <c r="A329" s="1">
        <v>328.0</v>
      </c>
      <c r="B329" s="2" t="s">
        <v>17</v>
      </c>
      <c r="C329" s="2" t="s">
        <v>54</v>
      </c>
      <c r="D329" s="53">
        <v>0.3125</v>
      </c>
      <c r="E329" s="13"/>
      <c r="F329" s="44" t="s">
        <v>4916</v>
      </c>
      <c r="G329" s="43">
        <v>2.0</v>
      </c>
      <c r="H329" s="42"/>
      <c r="I329" s="42"/>
      <c r="J329" s="22"/>
      <c r="K329" s="42"/>
    </row>
    <row r="330" ht="39.75" customHeight="1">
      <c r="A330" s="1">
        <v>329.0</v>
      </c>
      <c r="B330" s="2" t="s">
        <v>331</v>
      </c>
      <c r="C330" s="2" t="s">
        <v>542</v>
      </c>
      <c r="D330" s="53">
        <v>0.2916666666666667</v>
      </c>
      <c r="E330" s="13"/>
      <c r="F330" s="44" t="s">
        <v>4917</v>
      </c>
      <c r="G330" s="43">
        <v>2.0</v>
      </c>
      <c r="H330" s="42"/>
      <c r="I330" s="43">
        <v>1.0</v>
      </c>
      <c r="J330" s="22"/>
      <c r="K330" s="42"/>
    </row>
    <row r="331" ht="39.75" customHeight="1">
      <c r="A331" s="1">
        <v>330.0</v>
      </c>
      <c r="B331" s="2" t="s">
        <v>21</v>
      </c>
      <c r="C331" s="2" t="s">
        <v>63</v>
      </c>
      <c r="D331" s="13"/>
      <c r="E331" s="13"/>
      <c r="F331" s="45"/>
      <c r="G331" s="42"/>
      <c r="H331" s="42"/>
      <c r="I331" s="42"/>
      <c r="J331" s="22"/>
      <c r="K331" s="42"/>
    </row>
    <row r="332" ht="39.75" customHeight="1">
      <c r="A332" s="1">
        <v>331.0</v>
      </c>
      <c r="B332" s="2" t="s">
        <v>22</v>
      </c>
      <c r="C332" s="2"/>
      <c r="D332" s="13"/>
      <c r="E332" s="13"/>
      <c r="F332" s="44" t="s">
        <v>4902</v>
      </c>
      <c r="G332" s="43">
        <v>1.0</v>
      </c>
      <c r="H332" s="43">
        <v>1.0</v>
      </c>
      <c r="I332" s="42"/>
      <c r="J332" s="22"/>
      <c r="K332" s="42"/>
    </row>
    <row r="333" ht="39.75" customHeight="1">
      <c r="A333" s="1">
        <v>332.0</v>
      </c>
      <c r="B333" s="2" t="s">
        <v>23</v>
      </c>
      <c r="C333" s="13"/>
      <c r="D333" s="13"/>
      <c r="E333" s="13"/>
      <c r="F333" s="44" t="s">
        <v>4918</v>
      </c>
      <c r="G333" s="43">
        <v>3.0</v>
      </c>
      <c r="H333" s="42"/>
      <c r="I333" s="43">
        <v>2.0</v>
      </c>
      <c r="J333" s="22"/>
      <c r="K333" s="42"/>
    </row>
    <row r="334" ht="39.75" hidden="1" customHeight="1">
      <c r="A334" s="1">
        <v>333.0</v>
      </c>
      <c r="B334" s="2" t="s">
        <v>24</v>
      </c>
      <c r="C334" s="2" t="s">
        <v>58</v>
      </c>
      <c r="D334" s="13"/>
      <c r="E334" s="13"/>
      <c r="F334" s="45"/>
      <c r="G334" s="42"/>
      <c r="H334" s="42"/>
      <c r="I334" s="42"/>
      <c r="J334" s="22"/>
      <c r="K334" s="42"/>
    </row>
    <row r="335" ht="39.75" customHeight="1">
      <c r="A335" s="1">
        <v>334.0</v>
      </c>
      <c r="B335" s="2" t="s">
        <v>25</v>
      </c>
      <c r="C335" s="2"/>
      <c r="D335" s="13"/>
      <c r="E335" s="13"/>
      <c r="F335" s="44" t="s">
        <v>4919</v>
      </c>
      <c r="G335" s="43">
        <v>2.0</v>
      </c>
      <c r="H335" s="42"/>
      <c r="I335" s="42"/>
      <c r="J335" s="22"/>
      <c r="K335" s="42"/>
    </row>
    <row r="336" ht="39.75" customHeight="1">
      <c r="A336" s="1">
        <v>335.0</v>
      </c>
      <c r="B336" s="2" t="s">
        <v>26</v>
      </c>
      <c r="C336" s="2" t="s">
        <v>44</v>
      </c>
      <c r="D336" s="13"/>
      <c r="E336" s="55">
        <v>0.3263888888888889</v>
      </c>
      <c r="F336" s="52" t="s">
        <v>4920</v>
      </c>
      <c r="G336" s="56">
        <v>1.0</v>
      </c>
      <c r="H336" s="42"/>
      <c r="I336" s="42"/>
      <c r="J336" s="22"/>
      <c r="K336" s="42"/>
    </row>
    <row r="337" ht="39.75" customHeight="1">
      <c r="A337" s="1">
        <v>336.0</v>
      </c>
      <c r="B337" s="2" t="s">
        <v>29</v>
      </c>
      <c r="C337" s="2"/>
      <c r="D337" s="13"/>
      <c r="E337" s="13"/>
      <c r="F337" s="44" t="s">
        <v>2788</v>
      </c>
      <c r="G337" s="43">
        <v>1.0</v>
      </c>
      <c r="H337" s="42"/>
      <c r="I337" s="43">
        <v>1.0</v>
      </c>
      <c r="J337" s="22"/>
      <c r="K337" s="42"/>
    </row>
    <row r="338" ht="39.75" customHeight="1">
      <c r="A338" s="1">
        <v>337.0</v>
      </c>
      <c r="B338" s="2" t="s">
        <v>30</v>
      </c>
      <c r="C338" s="2" t="s">
        <v>64</v>
      </c>
      <c r="D338" s="13"/>
      <c r="E338" s="13"/>
      <c r="F338" s="44" t="s">
        <v>2592</v>
      </c>
      <c r="G338" s="43">
        <v>1.0</v>
      </c>
      <c r="H338" s="42"/>
      <c r="I338" s="43">
        <v>1.0</v>
      </c>
      <c r="J338" s="22"/>
      <c r="K338" s="42"/>
    </row>
    <row r="339" ht="39.75" customHeight="1">
      <c r="A339" s="1">
        <v>338.0</v>
      </c>
      <c r="B339" s="2" t="s">
        <v>31</v>
      </c>
      <c r="C339" s="2" t="s">
        <v>54</v>
      </c>
      <c r="D339" s="53">
        <v>0.375</v>
      </c>
      <c r="E339" s="13"/>
      <c r="F339" s="44" t="s">
        <v>4921</v>
      </c>
      <c r="G339" s="43">
        <v>2.0</v>
      </c>
      <c r="H339" s="42"/>
      <c r="I339" s="43">
        <v>2.0</v>
      </c>
      <c r="J339" s="22"/>
      <c r="K339" s="42"/>
    </row>
    <row r="340" ht="39.75" customHeight="1">
      <c r="A340" s="1">
        <v>339.0</v>
      </c>
      <c r="B340" s="2" t="s">
        <v>32</v>
      </c>
      <c r="C340" s="2"/>
      <c r="D340" s="13"/>
      <c r="E340" s="13"/>
      <c r="F340" s="44" t="s">
        <v>4922</v>
      </c>
      <c r="G340" s="43">
        <v>1.0</v>
      </c>
      <c r="H340" s="42"/>
      <c r="I340" s="43">
        <v>1.0</v>
      </c>
      <c r="J340" s="22"/>
      <c r="K340" s="42"/>
    </row>
    <row r="341" ht="39.75" customHeight="1">
      <c r="A341" s="1">
        <v>340.0</v>
      </c>
      <c r="B341" s="2" t="s">
        <v>67</v>
      </c>
      <c r="C341" s="2" t="s">
        <v>27</v>
      </c>
      <c r="D341" s="13"/>
      <c r="E341" s="13"/>
      <c r="F341" s="44" t="s">
        <v>4923</v>
      </c>
      <c r="G341" s="43">
        <v>2.0</v>
      </c>
      <c r="H341" s="42"/>
      <c r="I341" s="43">
        <v>1.0</v>
      </c>
      <c r="J341" s="22"/>
      <c r="K341" s="42"/>
    </row>
    <row r="342" ht="39.75" customHeight="1">
      <c r="A342" s="1">
        <v>341.0</v>
      </c>
      <c r="B342" s="2" t="s">
        <v>35</v>
      </c>
      <c r="C342" s="2" t="s">
        <v>69</v>
      </c>
      <c r="D342" s="13"/>
      <c r="E342" s="40">
        <v>0.9097222222222222</v>
      </c>
      <c r="F342" s="44" t="s">
        <v>4924</v>
      </c>
      <c r="G342" s="43">
        <v>2.0</v>
      </c>
      <c r="H342" s="42"/>
      <c r="I342" s="43">
        <v>1.0</v>
      </c>
      <c r="J342" s="22"/>
      <c r="K342" s="42"/>
    </row>
    <row r="343" ht="39.75" customHeight="1">
      <c r="A343" s="1">
        <v>342.0</v>
      </c>
      <c r="B343" s="2" t="s">
        <v>36</v>
      </c>
      <c r="C343" s="2" t="s">
        <v>39</v>
      </c>
      <c r="D343" s="13"/>
      <c r="E343" s="13"/>
      <c r="F343" s="44" t="s">
        <v>4925</v>
      </c>
      <c r="G343" s="43">
        <v>2.0</v>
      </c>
      <c r="H343" s="42"/>
      <c r="I343" s="43">
        <v>1.0</v>
      </c>
      <c r="J343" s="22"/>
      <c r="K343" s="42"/>
    </row>
    <row r="344" ht="39.75" customHeight="1">
      <c r="A344" s="1">
        <v>343.0</v>
      </c>
      <c r="B344" s="2" t="s">
        <v>38</v>
      </c>
      <c r="C344" s="2" t="s">
        <v>69</v>
      </c>
      <c r="D344" s="13"/>
      <c r="E344" s="13"/>
      <c r="F344" s="44" t="s">
        <v>4926</v>
      </c>
      <c r="G344" s="43">
        <v>1.0</v>
      </c>
      <c r="H344" s="42"/>
      <c r="I344" s="42"/>
      <c r="J344" s="22"/>
      <c r="K344" s="42"/>
    </row>
    <row r="345" ht="39.75" hidden="1" customHeight="1">
      <c r="A345" s="1">
        <v>344.0</v>
      </c>
      <c r="B345" s="2" t="s">
        <v>41</v>
      </c>
      <c r="C345" s="2" t="s">
        <v>58</v>
      </c>
      <c r="D345" s="13"/>
      <c r="E345" s="13"/>
      <c r="F345" s="45"/>
      <c r="G345" s="42"/>
      <c r="H345" s="42"/>
      <c r="I345" s="42"/>
      <c r="J345" s="22"/>
      <c r="K345" s="42"/>
    </row>
    <row r="346" ht="39.75" customHeight="1">
      <c r="A346" s="1">
        <v>345.0</v>
      </c>
      <c r="B346" s="2" t="s">
        <v>42</v>
      </c>
      <c r="C346" s="2" t="s">
        <v>69</v>
      </c>
      <c r="D346" s="13"/>
      <c r="E346" s="13"/>
      <c r="F346" s="44" t="s">
        <v>4927</v>
      </c>
      <c r="G346" s="43">
        <v>1.0</v>
      </c>
      <c r="H346" s="42"/>
      <c r="I346" s="42"/>
      <c r="J346" s="22"/>
      <c r="K346" s="42"/>
    </row>
    <row r="347" ht="39.75" customHeight="1">
      <c r="A347" s="1">
        <v>346.0</v>
      </c>
      <c r="B347" s="2" t="s">
        <v>43</v>
      </c>
      <c r="C347" s="2" t="s">
        <v>39</v>
      </c>
      <c r="D347" s="13"/>
      <c r="E347" s="51">
        <v>0.6944444444444444</v>
      </c>
      <c r="F347" s="44" t="s">
        <v>4928</v>
      </c>
      <c r="G347" s="43">
        <v>2.0</v>
      </c>
      <c r="H347" s="42"/>
      <c r="I347" s="43">
        <v>1.0</v>
      </c>
      <c r="J347" s="22"/>
      <c r="K347" s="42"/>
    </row>
    <row r="348" ht="39.75" hidden="1" customHeight="1">
      <c r="A348" s="1">
        <v>347.0</v>
      </c>
      <c r="B348" s="2" t="s">
        <v>45</v>
      </c>
      <c r="C348" s="2" t="s">
        <v>58</v>
      </c>
      <c r="D348" s="13"/>
      <c r="E348" s="13"/>
      <c r="F348" s="45"/>
      <c r="G348" s="42"/>
      <c r="H348" s="42"/>
      <c r="I348" s="42"/>
      <c r="J348" s="22"/>
      <c r="K348" s="42"/>
    </row>
    <row r="349" ht="39.75" hidden="1" customHeight="1">
      <c r="A349" s="1">
        <v>348.0</v>
      </c>
      <c r="B349" s="2" t="s">
        <v>46</v>
      </c>
      <c r="C349" s="2" t="s">
        <v>58</v>
      </c>
      <c r="D349" s="13"/>
      <c r="E349" s="13"/>
      <c r="F349" s="45"/>
      <c r="G349" s="42"/>
      <c r="H349" s="42"/>
      <c r="I349" s="42"/>
      <c r="J349" s="22"/>
      <c r="K349" s="42"/>
    </row>
    <row r="350" ht="39.75" hidden="1" customHeight="1">
      <c r="A350" s="1">
        <v>349.0</v>
      </c>
      <c r="B350" s="2" t="s">
        <v>47</v>
      </c>
      <c r="C350" s="2" t="s">
        <v>66</v>
      </c>
      <c r="D350" s="13"/>
      <c r="E350" s="13"/>
      <c r="F350" s="45"/>
      <c r="G350" s="42"/>
      <c r="H350" s="42"/>
      <c r="I350" s="42"/>
      <c r="J350" s="22"/>
      <c r="K350" s="42"/>
    </row>
    <row r="351" ht="39.75" customHeight="1">
      <c r="A351" s="1">
        <v>350.0</v>
      </c>
      <c r="B351" s="2" t="s">
        <v>48</v>
      </c>
      <c r="C351" s="2" t="s">
        <v>54</v>
      </c>
      <c r="D351" s="53">
        <v>0.2916666666666667</v>
      </c>
      <c r="E351" s="13"/>
      <c r="F351" s="44" t="s">
        <v>4929</v>
      </c>
      <c r="G351" s="43">
        <v>2.0</v>
      </c>
      <c r="H351" s="42"/>
      <c r="I351" s="42"/>
      <c r="J351" s="22"/>
      <c r="K351" s="42"/>
    </row>
    <row r="352" ht="39.75" customHeight="1">
      <c r="A352" s="1">
        <v>351.0</v>
      </c>
      <c r="B352" s="21"/>
      <c r="C352" s="21"/>
      <c r="D352" s="21"/>
      <c r="E352" s="21"/>
      <c r="F352" s="46"/>
      <c r="G352" s="47"/>
      <c r="H352" s="47"/>
      <c r="I352" s="47"/>
      <c r="J352" s="48"/>
      <c r="K352" s="47"/>
      <c r="L352" s="49"/>
      <c r="M352" s="49"/>
      <c r="N352" s="49"/>
    </row>
    <row r="353" ht="39.75" customHeight="1">
      <c r="A353" s="1">
        <v>352.0</v>
      </c>
      <c r="B353" s="2" t="s">
        <v>12</v>
      </c>
      <c r="C353" s="2" t="s">
        <v>62</v>
      </c>
      <c r="D353" s="13"/>
      <c r="E353" s="13"/>
      <c r="F353" s="44" t="s">
        <v>4930</v>
      </c>
      <c r="G353" s="43">
        <v>1.0</v>
      </c>
      <c r="H353" s="42"/>
      <c r="I353" s="43">
        <v>1.0</v>
      </c>
      <c r="J353" s="27" t="s">
        <v>4797</v>
      </c>
      <c r="K353" s="42"/>
      <c r="L353" s="15" t="s">
        <v>260</v>
      </c>
    </row>
    <row r="354" ht="39.75" customHeight="1">
      <c r="A354" s="1">
        <v>353.0</v>
      </c>
      <c r="B354" s="2" t="s">
        <v>16</v>
      </c>
      <c r="C354" s="2" t="s">
        <v>54</v>
      </c>
      <c r="D354" s="13"/>
      <c r="E354" s="51">
        <v>0.0</v>
      </c>
      <c r="F354" s="44" t="s">
        <v>4931</v>
      </c>
      <c r="G354" s="43">
        <v>1.0</v>
      </c>
      <c r="H354" s="43">
        <v>1.0</v>
      </c>
      <c r="I354" s="42"/>
      <c r="J354" s="27" t="s">
        <v>260</v>
      </c>
      <c r="K354" s="43"/>
    </row>
    <row r="355" ht="39.75" customHeight="1">
      <c r="A355" s="1">
        <v>354.0</v>
      </c>
      <c r="B355" s="2" t="s">
        <v>116</v>
      </c>
      <c r="C355" s="2"/>
      <c r="D355" s="13"/>
      <c r="E355" s="13"/>
      <c r="F355" s="44" t="s">
        <v>4932</v>
      </c>
      <c r="G355" s="43">
        <v>1.0</v>
      </c>
      <c r="H355" s="42"/>
      <c r="I355" s="42"/>
      <c r="J355" s="27" t="s">
        <v>131</v>
      </c>
      <c r="K355" s="42"/>
    </row>
    <row r="356" ht="39.75" customHeight="1">
      <c r="A356" s="1">
        <v>355.0</v>
      </c>
      <c r="B356" s="2" t="s">
        <v>17</v>
      </c>
      <c r="C356" s="2" t="s">
        <v>54</v>
      </c>
      <c r="D356" s="13"/>
      <c r="E356" s="13"/>
      <c r="F356" s="44"/>
      <c r="G356" s="42"/>
      <c r="H356" s="42"/>
      <c r="I356" s="42"/>
      <c r="J356" s="22"/>
      <c r="K356" s="42"/>
    </row>
    <row r="357" ht="39.75" hidden="1" customHeight="1">
      <c r="A357" s="1">
        <v>356.0</v>
      </c>
      <c r="B357" s="2" t="s">
        <v>331</v>
      </c>
      <c r="C357" s="2" t="s">
        <v>58</v>
      </c>
      <c r="D357" s="13"/>
      <c r="E357" s="13"/>
      <c r="F357" s="45"/>
      <c r="G357" s="42"/>
      <c r="H357" s="42"/>
      <c r="I357" s="42"/>
      <c r="J357" s="22"/>
      <c r="K357" s="42"/>
    </row>
    <row r="358" ht="39.75" customHeight="1">
      <c r="A358" s="1">
        <v>357.0</v>
      </c>
      <c r="B358" s="2" t="s">
        <v>21</v>
      </c>
      <c r="C358" s="2" t="s">
        <v>63</v>
      </c>
      <c r="D358" s="13"/>
      <c r="E358" s="13"/>
      <c r="F358" s="45"/>
      <c r="G358" s="42"/>
      <c r="H358" s="42"/>
      <c r="I358" s="42"/>
      <c r="J358" s="22"/>
      <c r="K358" s="42"/>
    </row>
    <row r="359" ht="39.75" customHeight="1">
      <c r="A359" s="1">
        <v>358.0</v>
      </c>
      <c r="B359" s="2" t="s">
        <v>22</v>
      </c>
      <c r="C359" s="2"/>
      <c r="D359" s="13"/>
      <c r="E359" s="51">
        <v>0.8055555555555556</v>
      </c>
      <c r="F359" s="44" t="s">
        <v>4902</v>
      </c>
      <c r="G359" s="43">
        <v>1.0</v>
      </c>
      <c r="H359" s="43">
        <v>1.0</v>
      </c>
      <c r="I359" s="42"/>
      <c r="J359" s="22"/>
      <c r="K359" s="42"/>
    </row>
    <row r="360" ht="39.75" customHeight="1">
      <c r="A360" s="1">
        <v>359.0</v>
      </c>
      <c r="B360" s="2" t="s">
        <v>23</v>
      </c>
      <c r="C360" s="2" t="s">
        <v>69</v>
      </c>
      <c r="D360" s="13"/>
      <c r="E360" s="13"/>
      <c r="F360" s="45"/>
      <c r="G360" s="42"/>
      <c r="H360" s="42"/>
      <c r="I360" s="42"/>
      <c r="J360" s="22"/>
      <c r="K360" s="42"/>
    </row>
    <row r="361" ht="39.75" hidden="1" customHeight="1">
      <c r="A361" s="1">
        <v>360.0</v>
      </c>
      <c r="B361" s="2" t="s">
        <v>24</v>
      </c>
      <c r="C361" s="2" t="s">
        <v>66</v>
      </c>
      <c r="D361" s="13"/>
      <c r="E361" s="13"/>
      <c r="F361" s="45"/>
      <c r="G361" s="42"/>
      <c r="H361" s="42"/>
      <c r="I361" s="42"/>
      <c r="J361" s="22"/>
      <c r="K361" s="42"/>
    </row>
    <row r="362" ht="39.75" customHeight="1">
      <c r="A362" s="1">
        <v>361.0</v>
      </c>
      <c r="B362" s="2" t="s">
        <v>25</v>
      </c>
      <c r="C362" s="2" t="s">
        <v>39</v>
      </c>
      <c r="D362" s="13"/>
      <c r="E362" s="13"/>
      <c r="F362" s="44" t="s">
        <v>2664</v>
      </c>
      <c r="G362" s="43">
        <v>1.0</v>
      </c>
      <c r="H362" s="42"/>
      <c r="I362" s="43">
        <v>1.0</v>
      </c>
      <c r="J362" s="22"/>
      <c r="K362" s="42"/>
    </row>
    <row r="363" ht="39.75" hidden="1" customHeight="1">
      <c r="A363" s="1">
        <v>362.0</v>
      </c>
      <c r="B363" s="2" t="s">
        <v>26</v>
      </c>
      <c r="C363" s="2" t="s">
        <v>58</v>
      </c>
      <c r="D363" s="13"/>
      <c r="E363" s="13"/>
      <c r="F363" s="45"/>
      <c r="G363" s="42"/>
      <c r="H363" s="42"/>
      <c r="I363" s="42"/>
      <c r="J363" s="22"/>
      <c r="K363" s="42"/>
    </row>
    <row r="364" ht="39.75" hidden="1" customHeight="1">
      <c r="A364" s="1">
        <v>363.0</v>
      </c>
      <c r="B364" s="2" t="s">
        <v>29</v>
      </c>
      <c r="C364" s="2" t="s">
        <v>58</v>
      </c>
      <c r="D364" s="13"/>
      <c r="E364" s="13"/>
      <c r="F364" s="45"/>
      <c r="G364" s="42"/>
      <c r="H364" s="42"/>
      <c r="I364" s="42"/>
      <c r="J364" s="22"/>
      <c r="K364" s="42"/>
    </row>
    <row r="365" ht="39.75" customHeight="1">
      <c r="A365" s="1">
        <v>364.0</v>
      </c>
      <c r="B365" s="2" t="s">
        <v>30</v>
      </c>
      <c r="C365" s="2" t="s">
        <v>64</v>
      </c>
      <c r="D365" s="13"/>
      <c r="E365" s="13"/>
      <c r="F365" s="44" t="s">
        <v>2592</v>
      </c>
      <c r="G365" s="43">
        <v>1.0</v>
      </c>
      <c r="H365" s="42"/>
      <c r="I365" s="43">
        <v>1.0</v>
      </c>
      <c r="J365" s="22"/>
      <c r="K365" s="42"/>
    </row>
    <row r="366" ht="39.75" customHeight="1">
      <c r="A366" s="1">
        <v>365.0</v>
      </c>
      <c r="B366" s="2" t="s">
        <v>31</v>
      </c>
      <c r="C366" s="2" t="s">
        <v>54</v>
      </c>
      <c r="D366" s="13"/>
      <c r="E366" s="13"/>
      <c r="F366" s="44" t="s">
        <v>472</v>
      </c>
      <c r="G366" s="42"/>
      <c r="H366" s="42"/>
      <c r="I366" s="42"/>
      <c r="J366" s="22"/>
      <c r="K366" s="42"/>
    </row>
    <row r="367" ht="39.75" customHeight="1">
      <c r="A367" s="1">
        <v>366.0</v>
      </c>
      <c r="B367" s="2" t="s">
        <v>32</v>
      </c>
      <c r="C367" s="2"/>
      <c r="D367" s="13"/>
      <c r="E367" s="13"/>
      <c r="F367" s="44" t="s">
        <v>4933</v>
      </c>
      <c r="G367" s="43">
        <v>1.0</v>
      </c>
      <c r="H367" s="42"/>
      <c r="I367" s="42"/>
      <c r="J367" s="22"/>
      <c r="K367" s="42"/>
    </row>
    <row r="368" ht="39.75" customHeight="1">
      <c r="A368" s="1">
        <v>367.0</v>
      </c>
      <c r="B368" s="2" t="s">
        <v>67</v>
      </c>
      <c r="C368" s="2" t="s">
        <v>44</v>
      </c>
      <c r="D368" s="13"/>
      <c r="E368" s="13"/>
      <c r="F368" s="52" t="s">
        <v>4934</v>
      </c>
      <c r="G368" s="56">
        <v>1.0</v>
      </c>
      <c r="H368" s="42"/>
      <c r="I368" s="42"/>
      <c r="J368" s="22"/>
      <c r="K368" s="42"/>
    </row>
    <row r="369" ht="39.75" customHeight="1">
      <c r="A369" s="1">
        <v>368.0</v>
      </c>
      <c r="B369" s="2" t="s">
        <v>35</v>
      </c>
      <c r="C369" s="2"/>
      <c r="D369" s="13"/>
      <c r="E369" s="13"/>
      <c r="F369" s="44"/>
      <c r="G369" s="43"/>
      <c r="H369" s="42"/>
      <c r="I369" s="42"/>
      <c r="J369" s="22"/>
      <c r="K369" s="42"/>
    </row>
    <row r="370" ht="39.75" customHeight="1">
      <c r="A370" s="1">
        <v>369.0</v>
      </c>
      <c r="B370" s="2" t="s">
        <v>36</v>
      </c>
      <c r="C370" s="2" t="s">
        <v>69</v>
      </c>
      <c r="D370" s="13"/>
      <c r="E370" s="13"/>
      <c r="F370" s="45"/>
      <c r="G370" s="42"/>
      <c r="H370" s="42"/>
      <c r="I370" s="42"/>
      <c r="J370" s="22"/>
      <c r="K370" s="42"/>
    </row>
    <row r="371" ht="39.75" customHeight="1">
      <c r="A371" s="1">
        <v>370.0</v>
      </c>
      <c r="B371" s="2" t="s">
        <v>38</v>
      </c>
      <c r="C371" s="2"/>
      <c r="D371" s="13"/>
      <c r="E371" s="13"/>
      <c r="F371" s="44" t="s">
        <v>4935</v>
      </c>
      <c r="G371" s="43">
        <v>1.0</v>
      </c>
      <c r="H371" s="42"/>
      <c r="I371" s="42"/>
      <c r="J371" s="22"/>
      <c r="K371" s="42"/>
    </row>
    <row r="372" ht="39.75" hidden="1" customHeight="1">
      <c r="A372" s="1">
        <v>371.0</v>
      </c>
      <c r="B372" s="2" t="s">
        <v>41</v>
      </c>
      <c r="C372" s="2" t="s">
        <v>58</v>
      </c>
      <c r="D372" s="13"/>
      <c r="E372" s="13"/>
      <c r="F372" s="45"/>
      <c r="G372" s="42"/>
      <c r="H372" s="42"/>
      <c r="I372" s="42"/>
      <c r="J372" s="22"/>
      <c r="K372" s="42"/>
    </row>
    <row r="373" ht="39.75" customHeight="1">
      <c r="A373" s="1">
        <v>372.0</v>
      </c>
      <c r="B373" s="2" t="s">
        <v>42</v>
      </c>
      <c r="C373" s="2" t="s">
        <v>39</v>
      </c>
      <c r="D373" s="13"/>
      <c r="E373" s="13"/>
      <c r="F373" s="44" t="s">
        <v>4936</v>
      </c>
      <c r="G373" s="43">
        <v>2.0</v>
      </c>
      <c r="H373" s="42"/>
      <c r="I373" s="43">
        <v>1.0</v>
      </c>
      <c r="J373" s="22"/>
      <c r="K373" s="42"/>
    </row>
    <row r="374" ht="39.75" customHeight="1">
      <c r="A374" s="1">
        <v>373.0</v>
      </c>
      <c r="B374" s="2" t="s">
        <v>43</v>
      </c>
      <c r="C374" s="2" t="s">
        <v>27</v>
      </c>
      <c r="D374" s="13"/>
      <c r="E374" s="13"/>
      <c r="F374" s="44" t="s">
        <v>4937</v>
      </c>
      <c r="G374" s="43">
        <v>1.0</v>
      </c>
      <c r="H374" s="42"/>
      <c r="I374" s="43">
        <v>1.0</v>
      </c>
      <c r="J374" s="22"/>
      <c r="K374" s="42"/>
    </row>
    <row r="375" ht="39.75" hidden="1" customHeight="1">
      <c r="A375" s="1">
        <v>374.0</v>
      </c>
      <c r="B375" s="2" t="s">
        <v>45</v>
      </c>
      <c r="C375" s="2" t="s">
        <v>66</v>
      </c>
      <c r="D375" s="13"/>
      <c r="E375" s="13"/>
      <c r="F375" s="45"/>
      <c r="G375" s="42"/>
      <c r="H375" s="42"/>
      <c r="I375" s="42"/>
      <c r="J375" s="22"/>
      <c r="K375" s="42"/>
    </row>
    <row r="376" ht="39.75" hidden="1" customHeight="1">
      <c r="A376" s="1">
        <v>375.0</v>
      </c>
      <c r="B376" s="2" t="s">
        <v>46</v>
      </c>
      <c r="C376" s="2" t="s">
        <v>58</v>
      </c>
      <c r="D376" s="13"/>
      <c r="E376" s="13"/>
      <c r="F376" s="45"/>
      <c r="G376" s="42"/>
      <c r="H376" s="42"/>
      <c r="I376" s="42"/>
      <c r="J376" s="22"/>
      <c r="K376" s="42"/>
    </row>
    <row r="377" ht="39.75" customHeight="1">
      <c r="A377" s="1">
        <v>376.0</v>
      </c>
      <c r="B377" s="2" t="s">
        <v>47</v>
      </c>
      <c r="C377" s="2" t="s">
        <v>69</v>
      </c>
      <c r="D377" s="13"/>
      <c r="E377" s="13"/>
      <c r="F377" s="44" t="s">
        <v>4938</v>
      </c>
      <c r="G377" s="43">
        <v>3.0</v>
      </c>
      <c r="H377" s="42"/>
      <c r="I377" s="43">
        <v>3.0</v>
      </c>
      <c r="J377" s="22"/>
      <c r="K377" s="42"/>
    </row>
    <row r="378" ht="39.75" customHeight="1">
      <c r="A378" s="1">
        <v>377.0</v>
      </c>
      <c r="B378" s="2" t="s">
        <v>48</v>
      </c>
      <c r="C378" s="2" t="s">
        <v>54</v>
      </c>
      <c r="D378" s="13"/>
      <c r="E378" s="13"/>
      <c r="F378" s="44" t="s">
        <v>4939</v>
      </c>
      <c r="G378" s="43">
        <v>1.0</v>
      </c>
      <c r="H378" s="42"/>
      <c r="I378" s="43">
        <v>1.0</v>
      </c>
      <c r="J378" s="22"/>
      <c r="K378" s="42"/>
    </row>
    <row r="379" ht="39.75" customHeight="1">
      <c r="A379" s="1">
        <v>378.0</v>
      </c>
      <c r="B379" s="21"/>
      <c r="C379" s="21"/>
      <c r="D379" s="21"/>
      <c r="E379" s="21"/>
      <c r="F379" s="46"/>
      <c r="G379" s="47"/>
      <c r="H379" s="47"/>
      <c r="I379" s="47"/>
      <c r="J379" s="48"/>
      <c r="K379" s="47"/>
      <c r="L379" s="49"/>
      <c r="M379" s="49"/>
      <c r="N379" s="49"/>
    </row>
    <row r="380" ht="39.75" hidden="1" customHeight="1">
      <c r="A380" s="1">
        <v>379.0</v>
      </c>
      <c r="B380" s="2" t="s">
        <v>12</v>
      </c>
      <c r="C380" s="2" t="s">
        <v>13</v>
      </c>
      <c r="D380" s="13"/>
      <c r="E380" s="13"/>
      <c r="F380" s="45"/>
      <c r="G380" s="42"/>
      <c r="H380" s="42"/>
      <c r="I380" s="42"/>
      <c r="J380" s="27" t="s">
        <v>4797</v>
      </c>
      <c r="K380" s="42"/>
      <c r="L380" s="15" t="s">
        <v>269</v>
      </c>
    </row>
    <row r="381" ht="39.75" customHeight="1">
      <c r="A381" s="1">
        <v>380.0</v>
      </c>
      <c r="B381" s="2" t="s">
        <v>16</v>
      </c>
      <c r="C381" s="2"/>
      <c r="D381" s="13"/>
      <c r="E381" s="40">
        <v>0.5625</v>
      </c>
      <c r="F381" s="44" t="s">
        <v>4940</v>
      </c>
      <c r="G381" s="43">
        <v>1.0</v>
      </c>
      <c r="H381" s="43">
        <v>1.0</v>
      </c>
      <c r="I381" s="43">
        <v>1.0</v>
      </c>
      <c r="J381" s="27" t="s">
        <v>269</v>
      </c>
      <c r="K381" s="43"/>
    </row>
    <row r="382" ht="39.75" hidden="1" customHeight="1">
      <c r="A382" s="1">
        <v>381.0</v>
      </c>
      <c r="B382" s="2" t="s">
        <v>116</v>
      </c>
      <c r="C382" s="2" t="s">
        <v>13</v>
      </c>
      <c r="D382" s="13"/>
      <c r="E382" s="13"/>
      <c r="F382" s="45"/>
      <c r="G382" s="42"/>
      <c r="H382" s="42"/>
      <c r="I382" s="42"/>
      <c r="J382" s="27" t="s">
        <v>149</v>
      </c>
      <c r="K382" s="42"/>
    </row>
    <row r="383" ht="39.75" customHeight="1">
      <c r="A383" s="1">
        <v>382.0</v>
      </c>
      <c r="B383" s="2" t="s">
        <v>263</v>
      </c>
      <c r="C383" s="2" t="s">
        <v>272</v>
      </c>
      <c r="D383" s="13"/>
      <c r="E383" s="13"/>
      <c r="F383" s="44" t="s">
        <v>1186</v>
      </c>
      <c r="G383" s="43">
        <v>1.0</v>
      </c>
      <c r="H383" s="42"/>
      <c r="I383" s="43">
        <v>1.0</v>
      </c>
      <c r="J383" s="27" t="s">
        <v>410</v>
      </c>
      <c r="K383" s="42"/>
    </row>
    <row r="384" ht="39.75" hidden="1" customHeight="1">
      <c r="A384" s="1">
        <v>383.0</v>
      </c>
      <c r="B384" s="2" t="s">
        <v>331</v>
      </c>
      <c r="C384" s="2" t="s">
        <v>13</v>
      </c>
      <c r="D384" s="13"/>
      <c r="E384" s="13"/>
      <c r="F384" s="45"/>
      <c r="G384" s="42"/>
      <c r="H384" s="42"/>
      <c r="I384" s="42"/>
      <c r="J384" s="27" t="s">
        <v>412</v>
      </c>
      <c r="K384" s="42"/>
    </row>
    <row r="385" ht="39.75" hidden="1" customHeight="1">
      <c r="A385" s="1">
        <v>384.0</v>
      </c>
      <c r="B385" s="2" t="s">
        <v>21</v>
      </c>
      <c r="C385" s="2" t="s">
        <v>13</v>
      </c>
      <c r="D385" s="13"/>
      <c r="E385" s="13"/>
      <c r="F385" s="45"/>
      <c r="G385" s="42"/>
      <c r="H385" s="42"/>
      <c r="I385" s="42"/>
      <c r="J385" s="27" t="s">
        <v>413</v>
      </c>
      <c r="K385" s="42"/>
    </row>
    <row r="386" ht="39.75" hidden="1" customHeight="1">
      <c r="A386" s="1">
        <v>385.0</v>
      </c>
      <c r="B386" s="2" t="s">
        <v>22</v>
      </c>
      <c r="C386" s="2" t="s">
        <v>13</v>
      </c>
      <c r="D386" s="13"/>
      <c r="E386" s="13"/>
      <c r="F386" s="45"/>
      <c r="G386" s="42"/>
      <c r="H386" s="42"/>
      <c r="I386" s="42"/>
      <c r="J386" s="22"/>
      <c r="K386" s="42"/>
    </row>
    <row r="387" ht="39.75" customHeight="1">
      <c r="A387" s="1">
        <v>386.0</v>
      </c>
      <c r="B387" s="2" t="s">
        <v>23</v>
      </c>
      <c r="C387" s="13"/>
      <c r="D387" s="40">
        <v>0.375</v>
      </c>
      <c r="E387" s="13"/>
      <c r="F387" s="44" t="s">
        <v>4941</v>
      </c>
      <c r="G387" s="43">
        <v>1.0</v>
      </c>
      <c r="H387" s="42"/>
      <c r="I387" s="43">
        <v>1.0</v>
      </c>
      <c r="J387" s="22"/>
      <c r="K387" s="42"/>
    </row>
    <row r="388" ht="39.75" customHeight="1">
      <c r="A388" s="1">
        <v>387.0</v>
      </c>
      <c r="B388" s="2" t="s">
        <v>24</v>
      </c>
      <c r="C388" s="2" t="s">
        <v>63</v>
      </c>
      <c r="D388" s="13"/>
      <c r="E388" s="13"/>
      <c r="F388" s="45"/>
      <c r="G388" s="42"/>
      <c r="H388" s="42"/>
      <c r="I388" s="42"/>
      <c r="J388" s="22"/>
      <c r="K388" s="42"/>
    </row>
    <row r="389" ht="39.75" customHeight="1">
      <c r="A389" s="1">
        <v>388.0</v>
      </c>
      <c r="B389" s="2" t="s">
        <v>25</v>
      </c>
      <c r="C389" s="2" t="s">
        <v>27</v>
      </c>
      <c r="D389" s="13"/>
      <c r="E389" s="13"/>
      <c r="F389" s="45"/>
      <c r="G389" s="42"/>
      <c r="H389" s="42"/>
      <c r="I389" s="42"/>
      <c r="J389" s="22"/>
      <c r="K389" s="42"/>
    </row>
    <row r="390" ht="39.75" hidden="1" customHeight="1">
      <c r="A390" s="1">
        <v>389.0</v>
      </c>
      <c r="B390" s="2" t="s">
        <v>26</v>
      </c>
      <c r="C390" s="2" t="s">
        <v>13</v>
      </c>
      <c r="D390" s="13"/>
      <c r="E390" s="13"/>
      <c r="F390" s="45"/>
      <c r="G390" s="42"/>
      <c r="H390" s="42"/>
      <c r="I390" s="42"/>
      <c r="J390" s="22"/>
      <c r="K390" s="42"/>
    </row>
    <row r="391" ht="39.75" hidden="1" customHeight="1">
      <c r="A391" s="1">
        <v>390.0</v>
      </c>
      <c r="B391" s="2" t="s">
        <v>29</v>
      </c>
      <c r="C391" s="2" t="s">
        <v>13</v>
      </c>
      <c r="D391" s="13"/>
      <c r="E391" s="13"/>
      <c r="F391" s="45"/>
      <c r="G391" s="42"/>
      <c r="H391" s="42"/>
      <c r="I391" s="42"/>
      <c r="J391" s="22"/>
      <c r="K391" s="42"/>
    </row>
    <row r="392" ht="39.75" hidden="1" customHeight="1">
      <c r="A392" s="1">
        <v>391.0</v>
      </c>
      <c r="B392" s="2" t="s">
        <v>30</v>
      </c>
      <c r="C392" s="2" t="s">
        <v>13</v>
      </c>
      <c r="D392" s="13"/>
      <c r="E392" s="13"/>
      <c r="F392" s="45"/>
      <c r="G392" s="42"/>
      <c r="H392" s="42"/>
      <c r="I392" s="42"/>
      <c r="J392" s="22"/>
      <c r="K392" s="42"/>
    </row>
    <row r="393" ht="39.75" hidden="1" customHeight="1">
      <c r="A393" s="1">
        <v>392.0</v>
      </c>
      <c r="B393" s="2" t="s">
        <v>31</v>
      </c>
      <c r="C393" s="2" t="s">
        <v>13</v>
      </c>
      <c r="D393" s="13"/>
      <c r="E393" s="13"/>
      <c r="F393" s="45"/>
      <c r="G393" s="42"/>
      <c r="H393" s="42"/>
      <c r="I393" s="42"/>
      <c r="J393" s="22"/>
      <c r="K393" s="42"/>
    </row>
    <row r="394" ht="39.75" hidden="1" customHeight="1">
      <c r="A394" s="1">
        <v>393.0</v>
      </c>
      <c r="B394" s="2" t="s">
        <v>32</v>
      </c>
      <c r="C394" s="2" t="s">
        <v>13</v>
      </c>
      <c r="D394" s="13"/>
      <c r="E394" s="13"/>
      <c r="F394" s="45"/>
      <c r="G394" s="42"/>
      <c r="H394" s="42"/>
      <c r="I394" s="42"/>
      <c r="J394" s="22"/>
      <c r="K394" s="42"/>
    </row>
    <row r="395" ht="39.75" hidden="1" customHeight="1">
      <c r="A395" s="1">
        <v>394.0</v>
      </c>
      <c r="B395" s="2" t="s">
        <v>67</v>
      </c>
      <c r="C395" s="2" t="s">
        <v>13</v>
      </c>
      <c r="D395" s="13"/>
      <c r="E395" s="13"/>
      <c r="F395" s="45"/>
      <c r="G395" s="42"/>
      <c r="H395" s="42"/>
      <c r="I395" s="42"/>
      <c r="J395" s="22"/>
      <c r="K395" s="42"/>
    </row>
    <row r="396" ht="39.75" hidden="1" customHeight="1">
      <c r="A396" s="1">
        <v>395.0</v>
      </c>
      <c r="B396" s="2" t="s">
        <v>35</v>
      </c>
      <c r="C396" s="2" t="s">
        <v>13</v>
      </c>
      <c r="D396" s="13"/>
      <c r="E396" s="13"/>
      <c r="F396" s="45"/>
      <c r="G396" s="42"/>
      <c r="H396" s="42"/>
      <c r="I396" s="42"/>
      <c r="J396" s="22"/>
      <c r="K396" s="42"/>
    </row>
    <row r="397" ht="39.75" hidden="1" customHeight="1">
      <c r="A397" s="1">
        <v>396.0</v>
      </c>
      <c r="B397" s="2" t="s">
        <v>36</v>
      </c>
      <c r="C397" s="2" t="s">
        <v>13</v>
      </c>
      <c r="D397" s="13"/>
      <c r="E397" s="13"/>
      <c r="F397" s="45"/>
      <c r="G397" s="42"/>
      <c r="H397" s="42"/>
      <c r="I397" s="42"/>
      <c r="J397" s="22"/>
      <c r="K397" s="42"/>
    </row>
    <row r="398" ht="39.75" customHeight="1">
      <c r="A398" s="1">
        <v>397.0</v>
      </c>
      <c r="B398" s="2" t="s">
        <v>38</v>
      </c>
      <c r="C398" s="2" t="s">
        <v>39</v>
      </c>
      <c r="D398" s="53">
        <v>0.2708333333333333</v>
      </c>
      <c r="E398" s="51">
        <v>0.9166666666666666</v>
      </c>
      <c r="F398" s="44" t="s">
        <v>4942</v>
      </c>
      <c r="G398" s="43">
        <v>1.0</v>
      </c>
      <c r="H398" s="43">
        <v>1.0</v>
      </c>
      <c r="I398" s="42"/>
      <c r="J398" s="22"/>
      <c r="K398" s="42"/>
    </row>
    <row r="399" ht="39.75" hidden="1" customHeight="1">
      <c r="A399" s="1">
        <v>398.0</v>
      </c>
      <c r="B399" s="2" t="s">
        <v>41</v>
      </c>
      <c r="C399" s="2" t="s">
        <v>13</v>
      </c>
      <c r="D399" s="13"/>
      <c r="E399" s="13"/>
      <c r="F399" s="45"/>
      <c r="G399" s="42"/>
      <c r="H399" s="42"/>
      <c r="I399" s="42"/>
      <c r="J399" s="22"/>
      <c r="K399" s="42"/>
    </row>
    <row r="400" ht="39.75" customHeight="1">
      <c r="A400" s="1">
        <v>399.0</v>
      </c>
      <c r="B400" s="2" t="s">
        <v>42</v>
      </c>
      <c r="C400" s="2" t="s">
        <v>49</v>
      </c>
      <c r="D400" s="13"/>
      <c r="E400" s="13"/>
      <c r="F400" s="45"/>
      <c r="G400" s="42"/>
      <c r="H400" s="42"/>
      <c r="I400" s="42"/>
      <c r="J400" s="22"/>
      <c r="K400" s="42"/>
    </row>
    <row r="401" ht="39.75" customHeight="1">
      <c r="A401" s="1">
        <v>400.0</v>
      </c>
      <c r="B401" s="2" t="s">
        <v>43</v>
      </c>
      <c r="C401" s="2" t="s">
        <v>44</v>
      </c>
      <c r="D401" s="13"/>
      <c r="E401" s="13"/>
      <c r="F401" s="45"/>
      <c r="G401" s="42"/>
      <c r="H401" s="42"/>
      <c r="I401" s="42"/>
      <c r="J401" s="22"/>
      <c r="K401" s="42"/>
    </row>
    <row r="402" ht="39.75" customHeight="1">
      <c r="A402" s="1">
        <v>401.0</v>
      </c>
      <c r="B402" s="2" t="s">
        <v>45</v>
      </c>
      <c r="C402" s="2"/>
      <c r="D402" s="40">
        <v>0.375</v>
      </c>
      <c r="E402" s="13"/>
      <c r="F402" s="44" t="s">
        <v>4943</v>
      </c>
      <c r="G402" s="43">
        <v>1.0</v>
      </c>
      <c r="H402" s="42"/>
      <c r="I402" s="42"/>
      <c r="J402" s="22"/>
      <c r="K402" s="42"/>
    </row>
    <row r="403" ht="39.75" hidden="1" customHeight="1">
      <c r="A403" s="1">
        <v>402.0</v>
      </c>
      <c r="B403" s="2" t="s">
        <v>46</v>
      </c>
      <c r="C403" s="2" t="s">
        <v>13</v>
      </c>
      <c r="D403" s="13"/>
      <c r="E403" s="13"/>
      <c r="F403" s="45"/>
      <c r="G403" s="42"/>
      <c r="H403" s="42"/>
      <c r="I403" s="42"/>
      <c r="J403" s="22"/>
      <c r="K403" s="42"/>
    </row>
    <row r="404" ht="39.75" hidden="1" customHeight="1">
      <c r="A404" s="1">
        <v>403.0</v>
      </c>
      <c r="B404" s="2" t="s">
        <v>47</v>
      </c>
      <c r="C404" s="2" t="s">
        <v>13</v>
      </c>
      <c r="D404" s="13"/>
      <c r="E404" s="13"/>
      <c r="F404" s="45"/>
      <c r="G404" s="42"/>
      <c r="H404" s="42"/>
      <c r="I404" s="42"/>
      <c r="J404" s="22"/>
      <c r="K404" s="42"/>
    </row>
    <row r="405" ht="39.75" hidden="1" customHeight="1">
      <c r="A405" s="1">
        <v>404.0</v>
      </c>
      <c r="B405" s="2" t="s">
        <v>48</v>
      </c>
      <c r="C405" s="2" t="s">
        <v>13</v>
      </c>
      <c r="D405" s="13"/>
      <c r="E405" s="13"/>
      <c r="F405" s="45"/>
      <c r="G405" s="42"/>
      <c r="H405" s="42"/>
      <c r="I405" s="42"/>
      <c r="J405" s="22"/>
      <c r="K405" s="42"/>
    </row>
    <row r="406" ht="39.75" customHeight="1">
      <c r="A406" s="1">
        <v>405.0</v>
      </c>
      <c r="B406" s="21"/>
      <c r="C406" s="21"/>
      <c r="D406" s="21"/>
      <c r="E406" s="21"/>
      <c r="F406" s="46"/>
      <c r="G406" s="47"/>
      <c r="H406" s="47"/>
      <c r="I406" s="47"/>
      <c r="J406" s="48"/>
      <c r="K406" s="47"/>
      <c r="L406" s="49"/>
      <c r="M406" s="49"/>
      <c r="N406" s="49"/>
    </row>
    <row r="407" ht="39.75" customHeight="1">
      <c r="A407" s="1">
        <v>406.0</v>
      </c>
      <c r="B407" s="2" t="s">
        <v>268</v>
      </c>
      <c r="C407" s="2" t="s">
        <v>63</v>
      </c>
      <c r="D407" s="40"/>
      <c r="E407" s="40"/>
      <c r="F407" s="45"/>
      <c r="G407" s="42"/>
      <c r="H407" s="42"/>
      <c r="I407" s="42"/>
      <c r="J407" s="27" t="s">
        <v>4797</v>
      </c>
      <c r="K407" s="42"/>
      <c r="L407" s="15" t="s">
        <v>274</v>
      </c>
    </row>
    <row r="408" ht="39.75" hidden="1" customHeight="1">
      <c r="A408" s="1">
        <v>407.0</v>
      </c>
      <c r="B408" s="2" t="s">
        <v>16</v>
      </c>
      <c r="C408" s="2" t="s">
        <v>13</v>
      </c>
      <c r="D408" s="13"/>
      <c r="E408" s="13"/>
      <c r="F408" s="44"/>
      <c r="G408" s="42"/>
      <c r="H408" s="42"/>
      <c r="I408" s="42"/>
      <c r="J408" s="27" t="s">
        <v>274</v>
      </c>
      <c r="K408" s="43"/>
    </row>
    <row r="409" ht="39.75" customHeight="1">
      <c r="A409" s="1">
        <v>408.0</v>
      </c>
      <c r="B409" s="2" t="s">
        <v>116</v>
      </c>
      <c r="C409" s="2"/>
      <c r="D409" s="40">
        <v>0.375</v>
      </c>
      <c r="E409" s="13"/>
      <c r="F409" s="44"/>
      <c r="G409" s="42"/>
      <c r="H409" s="42"/>
      <c r="I409" s="42"/>
      <c r="J409" s="27" t="s">
        <v>19</v>
      </c>
      <c r="K409" s="42"/>
    </row>
    <row r="410" ht="39.75" customHeight="1">
      <c r="A410" s="1">
        <v>409.0</v>
      </c>
      <c r="B410" s="2" t="s">
        <v>17</v>
      </c>
      <c r="C410" s="2" t="s">
        <v>49</v>
      </c>
      <c r="D410" s="13"/>
      <c r="E410" s="13"/>
      <c r="F410" s="44" t="s">
        <v>4944</v>
      </c>
      <c r="G410" s="43">
        <v>2.0</v>
      </c>
      <c r="H410" s="42"/>
      <c r="I410" s="43">
        <v>2.0</v>
      </c>
      <c r="J410" s="27" t="s">
        <v>165</v>
      </c>
      <c r="K410" s="42"/>
    </row>
    <row r="411" ht="39.75" hidden="1" customHeight="1">
      <c r="A411" s="1">
        <v>410.0</v>
      </c>
      <c r="B411" s="2" t="s">
        <v>331</v>
      </c>
      <c r="C411" s="2" t="s">
        <v>13</v>
      </c>
      <c r="D411" s="13"/>
      <c r="E411" s="13"/>
      <c r="F411" s="45"/>
      <c r="G411" s="42"/>
      <c r="H411" s="42"/>
      <c r="I411" s="42"/>
      <c r="J411" s="27" t="s">
        <v>166</v>
      </c>
      <c r="K411" s="42"/>
    </row>
    <row r="412" ht="39.75" hidden="1" customHeight="1">
      <c r="A412" s="1">
        <v>411.0</v>
      </c>
      <c r="B412" s="2" t="s">
        <v>21</v>
      </c>
      <c r="C412" s="2" t="s">
        <v>13</v>
      </c>
      <c r="D412" s="13"/>
      <c r="E412" s="13"/>
      <c r="F412" s="45"/>
      <c r="G412" s="42"/>
      <c r="H412" s="42"/>
      <c r="I412" s="42"/>
      <c r="J412" s="27" t="s">
        <v>167</v>
      </c>
      <c r="K412" s="42"/>
    </row>
    <row r="413" ht="39.75" hidden="1" customHeight="1">
      <c r="A413" s="1">
        <v>412.0</v>
      </c>
      <c r="B413" s="2" t="s">
        <v>22</v>
      </c>
      <c r="C413" s="2" t="s">
        <v>13</v>
      </c>
      <c r="D413" s="13"/>
      <c r="E413" s="13"/>
      <c r="F413" s="44"/>
      <c r="G413" s="42"/>
      <c r="H413" s="42"/>
      <c r="I413" s="42"/>
      <c r="J413" s="22"/>
      <c r="K413" s="42"/>
    </row>
    <row r="414" ht="39.75" hidden="1" customHeight="1">
      <c r="A414" s="1">
        <v>413.0</v>
      </c>
      <c r="B414" s="2" t="s">
        <v>23</v>
      </c>
      <c r="C414" s="2" t="s">
        <v>13</v>
      </c>
      <c r="D414" s="13"/>
      <c r="E414" s="13"/>
      <c r="F414" s="45"/>
      <c r="G414" s="42"/>
      <c r="H414" s="42"/>
      <c r="I414" s="42"/>
      <c r="J414" s="22"/>
      <c r="K414" s="42"/>
    </row>
    <row r="415" ht="39.75" hidden="1" customHeight="1">
      <c r="A415" s="1">
        <v>414.0</v>
      </c>
      <c r="B415" s="2" t="s">
        <v>24</v>
      </c>
      <c r="C415" s="2" t="s">
        <v>13</v>
      </c>
      <c r="D415" s="13"/>
      <c r="E415" s="13"/>
      <c r="F415" s="44"/>
      <c r="G415" s="42"/>
      <c r="H415" s="43"/>
      <c r="I415" s="43"/>
      <c r="J415" s="22"/>
      <c r="K415" s="42"/>
    </row>
    <row r="416" ht="39.75" customHeight="1">
      <c r="A416" s="1">
        <v>415.0</v>
      </c>
      <c r="B416" s="2" t="s">
        <v>25</v>
      </c>
      <c r="C416" s="2" t="s">
        <v>44</v>
      </c>
      <c r="D416" s="13"/>
      <c r="E416" s="13"/>
      <c r="F416" s="45"/>
      <c r="G416" s="42"/>
      <c r="H416" s="42"/>
      <c r="I416" s="42"/>
      <c r="J416" s="22"/>
      <c r="K416" s="42"/>
    </row>
    <row r="417" ht="39.75" hidden="1" customHeight="1">
      <c r="A417" s="1">
        <v>416.0</v>
      </c>
      <c r="B417" s="2" t="s">
        <v>26</v>
      </c>
      <c r="C417" s="2" t="s">
        <v>13</v>
      </c>
      <c r="D417" s="13"/>
      <c r="E417" s="13"/>
      <c r="F417" s="44"/>
      <c r="G417" s="42"/>
      <c r="H417" s="42"/>
      <c r="I417" s="42"/>
      <c r="J417" s="22"/>
      <c r="K417" s="42"/>
    </row>
    <row r="418" ht="39.75" hidden="1" customHeight="1">
      <c r="A418" s="1">
        <v>417.0</v>
      </c>
      <c r="B418" s="2" t="s">
        <v>29</v>
      </c>
      <c r="C418" s="2" t="s">
        <v>13</v>
      </c>
      <c r="D418" s="13"/>
      <c r="E418" s="13"/>
      <c r="F418" s="44"/>
      <c r="G418" s="42"/>
      <c r="H418" s="42"/>
      <c r="I418" s="42"/>
      <c r="J418" s="22"/>
      <c r="K418" s="42"/>
    </row>
    <row r="419" ht="39.75" hidden="1" customHeight="1">
      <c r="A419" s="1">
        <v>418.0</v>
      </c>
      <c r="B419" s="2" t="s">
        <v>30</v>
      </c>
      <c r="C419" s="2" t="s">
        <v>13</v>
      </c>
      <c r="D419" s="13"/>
      <c r="E419" s="13"/>
      <c r="F419" s="44"/>
      <c r="G419" s="42"/>
      <c r="H419" s="42"/>
      <c r="I419" s="42"/>
      <c r="J419" s="22"/>
      <c r="K419" s="42"/>
    </row>
    <row r="420" ht="39.75" customHeight="1">
      <c r="A420" s="1">
        <v>419.0</v>
      </c>
      <c r="B420" s="2" t="s">
        <v>33</v>
      </c>
      <c r="C420" s="2" t="s">
        <v>272</v>
      </c>
      <c r="D420" s="13"/>
      <c r="E420" s="13"/>
      <c r="F420" s="44" t="s">
        <v>1186</v>
      </c>
      <c r="G420" s="43">
        <v>1.0</v>
      </c>
      <c r="H420" s="42"/>
      <c r="I420" s="43">
        <v>1.0</v>
      </c>
      <c r="J420" s="22"/>
      <c r="K420" s="42"/>
    </row>
    <row r="421" ht="39.75" hidden="1" customHeight="1">
      <c r="A421" s="1">
        <v>420.0</v>
      </c>
      <c r="B421" s="2" t="s">
        <v>32</v>
      </c>
      <c r="C421" s="2" t="s">
        <v>13</v>
      </c>
      <c r="D421" s="13"/>
      <c r="E421" s="13"/>
      <c r="F421" s="45"/>
      <c r="G421" s="42"/>
      <c r="H421" s="42"/>
      <c r="I421" s="42"/>
      <c r="J421" s="22"/>
      <c r="K421" s="42"/>
    </row>
    <row r="422" ht="39.75" hidden="1" customHeight="1">
      <c r="A422" s="1">
        <v>421.0</v>
      </c>
      <c r="B422" s="2" t="s">
        <v>67</v>
      </c>
      <c r="C422" s="2" t="s">
        <v>13</v>
      </c>
      <c r="D422" s="13"/>
      <c r="E422" s="13"/>
      <c r="F422" s="44"/>
      <c r="G422" s="42"/>
      <c r="H422" s="43"/>
      <c r="I422" s="43"/>
      <c r="J422" s="22"/>
      <c r="K422" s="42"/>
    </row>
    <row r="423" ht="39.75" customHeight="1">
      <c r="A423" s="1">
        <v>422.0</v>
      </c>
      <c r="B423" s="2" t="s">
        <v>35</v>
      </c>
      <c r="C423" s="2" t="s">
        <v>39</v>
      </c>
      <c r="D423" s="53">
        <v>0.3541666666666667</v>
      </c>
      <c r="E423" s="13"/>
      <c r="F423" s="44" t="s">
        <v>4945</v>
      </c>
      <c r="G423" s="43">
        <v>1.0</v>
      </c>
      <c r="H423" s="42"/>
      <c r="I423" s="43">
        <v>1.0</v>
      </c>
      <c r="J423" s="22"/>
      <c r="K423" s="42"/>
    </row>
    <row r="424" ht="39.75" hidden="1" customHeight="1">
      <c r="A424" s="1">
        <v>423.0</v>
      </c>
      <c r="B424" s="2" t="s">
        <v>36</v>
      </c>
      <c r="C424" s="2" t="s">
        <v>13</v>
      </c>
      <c r="D424" s="13"/>
      <c r="E424" s="13"/>
      <c r="F424" s="44"/>
      <c r="G424" s="42"/>
      <c r="H424" s="42"/>
      <c r="I424" s="42"/>
      <c r="J424" s="22"/>
      <c r="K424" s="42"/>
    </row>
    <row r="425" ht="39.75" customHeight="1">
      <c r="A425" s="1">
        <v>424.0</v>
      </c>
      <c r="B425" s="2" t="s">
        <v>38</v>
      </c>
      <c r="C425" s="2"/>
      <c r="D425" s="53">
        <v>0.20833333333333334</v>
      </c>
      <c r="E425" s="13"/>
      <c r="F425" s="44" t="s">
        <v>4946</v>
      </c>
      <c r="G425" s="43">
        <v>1.0</v>
      </c>
      <c r="H425" s="43">
        <v>1.0</v>
      </c>
      <c r="I425" s="42"/>
      <c r="J425" s="22"/>
      <c r="K425" s="42"/>
    </row>
    <row r="426" ht="39.75" hidden="1" customHeight="1">
      <c r="A426" s="1">
        <v>425.0</v>
      </c>
      <c r="B426" s="2" t="s">
        <v>41</v>
      </c>
      <c r="C426" s="2" t="s">
        <v>13</v>
      </c>
      <c r="D426" s="13"/>
      <c r="E426" s="13"/>
      <c r="F426" s="44"/>
      <c r="G426" s="42"/>
      <c r="H426" s="42"/>
      <c r="I426" s="42"/>
      <c r="J426" s="22"/>
      <c r="K426" s="42"/>
    </row>
    <row r="427" ht="39.75" hidden="1" customHeight="1">
      <c r="A427" s="1">
        <v>426.0</v>
      </c>
      <c r="B427" s="2" t="s">
        <v>42</v>
      </c>
      <c r="C427" s="2" t="s">
        <v>13</v>
      </c>
      <c r="D427" s="13"/>
      <c r="E427" s="13"/>
      <c r="F427" s="45"/>
      <c r="G427" s="42"/>
      <c r="H427" s="42"/>
      <c r="I427" s="42"/>
      <c r="J427" s="22"/>
      <c r="K427" s="42"/>
    </row>
    <row r="428" ht="39.75" hidden="1" customHeight="1">
      <c r="A428" s="1">
        <v>427.0</v>
      </c>
      <c r="B428" s="2" t="s">
        <v>43</v>
      </c>
      <c r="C428" s="2" t="s">
        <v>13</v>
      </c>
      <c r="D428" s="13"/>
      <c r="E428" s="13"/>
      <c r="F428" s="45"/>
      <c r="G428" s="42"/>
      <c r="H428" s="42"/>
      <c r="I428" s="42"/>
      <c r="J428" s="22"/>
      <c r="K428" s="42"/>
    </row>
    <row r="429" ht="39.75" customHeight="1">
      <c r="A429" s="1">
        <v>428.0</v>
      </c>
      <c r="B429" s="2" t="s">
        <v>45</v>
      </c>
      <c r="C429" s="2" t="s">
        <v>27</v>
      </c>
      <c r="D429" s="13"/>
      <c r="E429" s="13"/>
      <c r="F429" s="44" t="s">
        <v>4947</v>
      </c>
      <c r="G429" s="43">
        <v>1.0</v>
      </c>
      <c r="H429" s="42"/>
      <c r="I429" s="42"/>
      <c r="J429" s="22"/>
      <c r="K429" s="42"/>
    </row>
    <row r="430" ht="39.75" customHeight="1">
      <c r="A430" s="1">
        <v>429.0</v>
      </c>
      <c r="B430" s="2" t="s">
        <v>46</v>
      </c>
      <c r="C430" s="2"/>
      <c r="D430" s="40">
        <v>0.375</v>
      </c>
      <c r="E430" s="13"/>
      <c r="F430" s="44" t="s">
        <v>2785</v>
      </c>
      <c r="G430" s="43">
        <v>1.0</v>
      </c>
      <c r="H430" s="42"/>
      <c r="I430" s="43">
        <v>1.0</v>
      </c>
      <c r="J430" s="22"/>
      <c r="K430" s="42"/>
    </row>
    <row r="431" ht="39.75" hidden="1" customHeight="1">
      <c r="A431" s="1">
        <v>430.0</v>
      </c>
      <c r="B431" s="2" t="s">
        <v>47</v>
      </c>
      <c r="C431" s="2" t="s">
        <v>13</v>
      </c>
      <c r="D431" s="13"/>
      <c r="E431" s="13"/>
      <c r="F431" s="45"/>
      <c r="G431" s="42"/>
      <c r="H431" s="42"/>
      <c r="I431" s="42"/>
      <c r="J431" s="22"/>
      <c r="K431" s="42"/>
    </row>
    <row r="432" ht="39.75" hidden="1" customHeight="1">
      <c r="A432" s="1">
        <v>431.0</v>
      </c>
      <c r="B432" s="2" t="s">
        <v>48</v>
      </c>
      <c r="C432" s="2" t="s">
        <v>13</v>
      </c>
      <c r="D432" s="13"/>
      <c r="E432" s="13"/>
      <c r="F432" s="45"/>
      <c r="G432" s="42"/>
      <c r="H432" s="42"/>
      <c r="I432" s="42"/>
      <c r="J432" s="22"/>
      <c r="K432" s="42"/>
    </row>
    <row r="433" ht="39.75" customHeight="1">
      <c r="A433" s="1">
        <v>432.0</v>
      </c>
      <c r="B433" s="21"/>
      <c r="C433" s="21"/>
      <c r="D433" s="21"/>
      <c r="E433" s="21"/>
      <c r="F433" s="46"/>
      <c r="G433" s="47"/>
      <c r="H433" s="47"/>
      <c r="I433" s="47"/>
      <c r="J433" s="48"/>
      <c r="K433" s="47"/>
      <c r="L433" s="49"/>
      <c r="M433" s="49"/>
      <c r="N433" s="49"/>
    </row>
    <row r="434" ht="39.75" customHeight="1">
      <c r="A434" s="1">
        <v>433.0</v>
      </c>
      <c r="B434" s="2" t="s">
        <v>12</v>
      </c>
      <c r="C434" s="2" t="s">
        <v>62</v>
      </c>
      <c r="D434" s="13"/>
      <c r="E434" s="13"/>
      <c r="F434" s="44" t="s">
        <v>1543</v>
      </c>
      <c r="G434" s="43">
        <v>1.0</v>
      </c>
      <c r="H434" s="42"/>
      <c r="I434" s="43">
        <v>1.0</v>
      </c>
      <c r="J434" s="27" t="s">
        <v>4797</v>
      </c>
      <c r="K434" s="42"/>
      <c r="L434" s="15" t="s">
        <v>294</v>
      </c>
    </row>
    <row r="435" ht="39.75" hidden="1" customHeight="1">
      <c r="A435" s="1">
        <v>434.0</v>
      </c>
      <c r="B435" s="2" t="s">
        <v>16</v>
      </c>
      <c r="C435" s="2" t="s">
        <v>58</v>
      </c>
      <c r="D435" s="13"/>
      <c r="E435" s="13"/>
      <c r="F435" s="45"/>
      <c r="G435" s="42"/>
      <c r="H435" s="42"/>
      <c r="I435" s="42"/>
      <c r="J435" s="27" t="s">
        <v>294</v>
      </c>
      <c r="K435" s="43"/>
    </row>
    <row r="436" ht="39.75" customHeight="1">
      <c r="A436" s="1">
        <v>435.0</v>
      </c>
      <c r="B436" s="2" t="s">
        <v>116</v>
      </c>
      <c r="C436" s="2" t="s">
        <v>27</v>
      </c>
      <c r="D436" s="13"/>
      <c r="E436" s="13"/>
      <c r="F436" s="45"/>
      <c r="G436" s="42"/>
      <c r="H436" s="42"/>
      <c r="I436" s="42"/>
      <c r="J436" s="27" t="s">
        <v>56</v>
      </c>
      <c r="K436" s="42"/>
    </row>
    <row r="437" ht="39.75" customHeight="1">
      <c r="A437" s="1">
        <v>436.0</v>
      </c>
      <c r="B437" s="2" t="s">
        <v>17</v>
      </c>
      <c r="C437" s="2" t="s">
        <v>39</v>
      </c>
      <c r="D437" s="13"/>
      <c r="E437" s="13"/>
      <c r="F437" s="44" t="s">
        <v>4948</v>
      </c>
      <c r="G437" s="43">
        <v>2.0</v>
      </c>
      <c r="H437" s="42"/>
      <c r="I437" s="43">
        <v>2.0</v>
      </c>
      <c r="J437" s="22"/>
      <c r="K437" s="42"/>
    </row>
    <row r="438" ht="39.75" customHeight="1">
      <c r="A438" s="1">
        <v>437.0</v>
      </c>
      <c r="B438" s="2" t="s">
        <v>331</v>
      </c>
      <c r="C438" s="2" t="s">
        <v>542</v>
      </c>
      <c r="D438" s="13"/>
      <c r="E438" s="13"/>
      <c r="F438" s="45"/>
      <c r="G438" s="42"/>
      <c r="H438" s="42"/>
      <c r="I438" s="42"/>
      <c r="J438" s="22"/>
      <c r="K438" s="42"/>
    </row>
    <row r="439" ht="39.75" hidden="1" customHeight="1">
      <c r="A439" s="1">
        <v>438.0</v>
      </c>
      <c r="B439" s="2" t="s">
        <v>21</v>
      </c>
      <c r="C439" s="2" t="s">
        <v>58</v>
      </c>
      <c r="D439" s="13"/>
      <c r="E439" s="13"/>
      <c r="F439" s="45"/>
      <c r="G439" s="42"/>
      <c r="H439" s="42"/>
      <c r="I439" s="42"/>
      <c r="J439" s="22"/>
      <c r="K439" s="42"/>
    </row>
    <row r="440" ht="39.75" customHeight="1">
      <c r="A440" s="1">
        <v>439.0</v>
      </c>
      <c r="B440" s="2" t="s">
        <v>22</v>
      </c>
      <c r="C440" s="2" t="s">
        <v>69</v>
      </c>
      <c r="D440" s="13"/>
      <c r="E440" s="13"/>
      <c r="F440" s="44" t="s">
        <v>2664</v>
      </c>
      <c r="G440" s="43">
        <v>1.0</v>
      </c>
      <c r="H440" s="42"/>
      <c r="I440" s="43">
        <v>1.0</v>
      </c>
      <c r="J440" s="22"/>
      <c r="K440" s="42"/>
    </row>
    <row r="441" ht="39.75" customHeight="1">
      <c r="A441" s="1">
        <v>440.0</v>
      </c>
      <c r="B441" s="2" t="s">
        <v>23</v>
      </c>
      <c r="C441" s="2" t="s">
        <v>54</v>
      </c>
      <c r="D441" s="13"/>
      <c r="E441" s="13"/>
      <c r="F441" s="45"/>
      <c r="G441" s="42"/>
      <c r="H441" s="42"/>
      <c r="I441" s="42"/>
      <c r="J441" s="22"/>
      <c r="K441" s="42"/>
    </row>
    <row r="442" ht="39.75" customHeight="1">
      <c r="A442" s="1">
        <v>441.0</v>
      </c>
      <c r="B442" s="2" t="s">
        <v>24</v>
      </c>
      <c r="C442" s="2" t="s">
        <v>63</v>
      </c>
      <c r="D442" s="13"/>
      <c r="E442" s="13"/>
      <c r="F442" s="45"/>
      <c r="G442" s="42"/>
      <c r="H442" s="42"/>
      <c r="I442" s="42"/>
      <c r="J442" s="22"/>
      <c r="K442" s="42"/>
    </row>
    <row r="443" ht="39.75" customHeight="1">
      <c r="A443" s="1">
        <v>442.0</v>
      </c>
      <c r="B443" s="2" t="s">
        <v>25</v>
      </c>
      <c r="C443" s="2" t="s">
        <v>69</v>
      </c>
      <c r="D443" s="13"/>
      <c r="E443" s="13"/>
      <c r="F443" s="45"/>
      <c r="G443" s="42"/>
      <c r="H443" s="42"/>
      <c r="I443" s="42"/>
      <c r="J443" s="22"/>
      <c r="K443" s="42"/>
    </row>
    <row r="444" ht="39.75" hidden="1" customHeight="1">
      <c r="A444" s="1">
        <v>443.0</v>
      </c>
      <c r="B444" s="2" t="s">
        <v>26</v>
      </c>
      <c r="C444" s="2" t="s">
        <v>58</v>
      </c>
      <c r="D444" s="13"/>
      <c r="E444" s="13"/>
      <c r="F444" s="45"/>
      <c r="G444" s="42"/>
      <c r="H444" s="42"/>
      <c r="I444" s="42"/>
      <c r="J444" s="22"/>
      <c r="K444" s="42"/>
    </row>
    <row r="445" ht="39.75" customHeight="1">
      <c r="A445" s="1">
        <v>444.0</v>
      </c>
      <c r="B445" s="2" t="s">
        <v>29</v>
      </c>
      <c r="C445" s="2" t="s">
        <v>39</v>
      </c>
      <c r="D445" s="13"/>
      <c r="E445" s="13"/>
      <c r="F445" s="44" t="s">
        <v>4949</v>
      </c>
      <c r="G445" s="43">
        <v>2.0</v>
      </c>
      <c r="H445" s="42"/>
      <c r="I445" s="43"/>
      <c r="J445" s="22"/>
      <c r="K445" s="42"/>
    </row>
    <row r="446" ht="39.75" customHeight="1">
      <c r="A446" s="1">
        <v>445.0</v>
      </c>
      <c r="B446" s="2" t="s">
        <v>30</v>
      </c>
      <c r="C446" s="2" t="s">
        <v>64</v>
      </c>
      <c r="D446" s="13"/>
      <c r="E446" s="13"/>
      <c r="F446" s="44" t="s">
        <v>2592</v>
      </c>
      <c r="G446" s="43">
        <v>1.0</v>
      </c>
      <c r="H446" s="42"/>
      <c r="I446" s="43">
        <v>1.0</v>
      </c>
      <c r="J446" s="22"/>
      <c r="K446" s="42"/>
    </row>
    <row r="447" ht="39.75" hidden="1" customHeight="1">
      <c r="A447" s="1">
        <v>446.0</v>
      </c>
      <c r="B447" s="2" t="s">
        <v>31</v>
      </c>
      <c r="C447" s="2" t="s">
        <v>66</v>
      </c>
      <c r="D447" s="13"/>
      <c r="E447" s="13"/>
      <c r="F447" s="45"/>
      <c r="G447" s="42"/>
      <c r="H447" s="42"/>
      <c r="I447" s="42"/>
      <c r="J447" s="22"/>
      <c r="K447" s="42"/>
    </row>
    <row r="448" ht="39.75" customHeight="1">
      <c r="A448" s="1">
        <v>447.0</v>
      </c>
      <c r="B448" s="2" t="s">
        <v>32</v>
      </c>
      <c r="C448" s="2"/>
      <c r="D448" s="13"/>
      <c r="E448" s="13"/>
      <c r="F448" s="44" t="s">
        <v>4950</v>
      </c>
      <c r="G448" s="43">
        <v>1.0</v>
      </c>
      <c r="H448" s="42"/>
      <c r="I448" s="42"/>
      <c r="J448" s="22"/>
      <c r="K448" s="42"/>
    </row>
    <row r="449" ht="39.75" customHeight="1">
      <c r="A449" s="1">
        <v>448.0</v>
      </c>
      <c r="B449" s="2" t="s">
        <v>67</v>
      </c>
      <c r="C449" s="2"/>
      <c r="D449" s="13"/>
      <c r="E449" s="13"/>
      <c r="F449" s="45"/>
      <c r="G449" s="42"/>
      <c r="H449" s="42"/>
      <c r="I449" s="42"/>
      <c r="J449" s="22"/>
      <c r="K449" s="42"/>
    </row>
    <row r="450" ht="39.75" customHeight="1">
      <c r="A450" s="1">
        <v>449.0</v>
      </c>
      <c r="B450" s="2" t="s">
        <v>35</v>
      </c>
      <c r="C450" s="2" t="s">
        <v>54</v>
      </c>
      <c r="D450" s="53">
        <v>0.3055555555555556</v>
      </c>
      <c r="E450" s="51">
        <v>0.875</v>
      </c>
      <c r="F450" s="44" t="s">
        <v>4951</v>
      </c>
      <c r="G450" s="43">
        <v>1.0</v>
      </c>
      <c r="H450" s="43">
        <v>1.0</v>
      </c>
      <c r="I450" s="42"/>
      <c r="J450" s="22"/>
      <c r="K450" s="42"/>
    </row>
    <row r="451" ht="39.75" customHeight="1">
      <c r="A451" s="1">
        <v>450.0</v>
      </c>
      <c r="B451" s="2" t="s">
        <v>36</v>
      </c>
      <c r="C451" s="2"/>
      <c r="D451" s="13"/>
      <c r="E451" s="13"/>
      <c r="F451" s="45"/>
      <c r="G451" s="42"/>
      <c r="H451" s="42"/>
      <c r="I451" s="42"/>
      <c r="J451" s="22"/>
      <c r="K451" s="42"/>
    </row>
    <row r="452" ht="39.75" customHeight="1">
      <c r="A452" s="1">
        <v>451.0</v>
      </c>
      <c r="B452" s="2" t="s">
        <v>38</v>
      </c>
      <c r="C452" s="2" t="s">
        <v>54</v>
      </c>
      <c r="D452" s="13"/>
      <c r="E452" s="13"/>
      <c r="F452" s="44" t="s">
        <v>4952</v>
      </c>
      <c r="G452" s="43">
        <v>1.0</v>
      </c>
      <c r="H452" s="42"/>
      <c r="I452" s="42"/>
      <c r="J452" s="22"/>
      <c r="K452" s="42"/>
    </row>
    <row r="453" ht="39.75" hidden="1" customHeight="1">
      <c r="A453" s="1">
        <v>452.0</v>
      </c>
      <c r="B453" s="2" t="s">
        <v>41</v>
      </c>
      <c r="C453" s="2" t="s">
        <v>58</v>
      </c>
      <c r="D453" s="13"/>
      <c r="E453" s="13"/>
      <c r="F453" s="45"/>
      <c r="G453" s="42"/>
      <c r="H453" s="42"/>
      <c r="I453" s="42"/>
      <c r="J453" s="22"/>
      <c r="K453" s="42"/>
    </row>
    <row r="454" ht="39.75" hidden="1" customHeight="1">
      <c r="A454" s="1">
        <v>453.0</v>
      </c>
      <c r="B454" s="2" t="s">
        <v>42</v>
      </c>
      <c r="C454" s="2" t="s">
        <v>58</v>
      </c>
      <c r="D454" s="13"/>
      <c r="E454" s="13"/>
      <c r="F454" s="45"/>
      <c r="G454" s="42"/>
      <c r="H454" s="42"/>
      <c r="I454" s="42"/>
      <c r="J454" s="22"/>
      <c r="K454" s="42"/>
    </row>
    <row r="455" ht="39.75" customHeight="1">
      <c r="A455" s="1">
        <v>454.0</v>
      </c>
      <c r="B455" s="2" t="s">
        <v>43</v>
      </c>
      <c r="C455" s="2" t="s">
        <v>69</v>
      </c>
      <c r="D455" s="13"/>
      <c r="E455" s="13"/>
      <c r="F455" s="44" t="s">
        <v>4953</v>
      </c>
      <c r="G455" s="43">
        <v>2.0</v>
      </c>
      <c r="H455" s="42"/>
      <c r="I455" s="43">
        <v>1.0</v>
      </c>
      <c r="J455" s="22"/>
      <c r="K455" s="42"/>
    </row>
    <row r="456" ht="39.75" customHeight="1">
      <c r="A456" s="1">
        <v>455.0</v>
      </c>
      <c r="B456" s="2" t="s">
        <v>45</v>
      </c>
      <c r="C456" s="2" t="s">
        <v>44</v>
      </c>
      <c r="D456" s="13"/>
      <c r="E456" s="13"/>
      <c r="F456" s="45"/>
      <c r="G456" s="42"/>
      <c r="H456" s="42"/>
      <c r="I456" s="42"/>
      <c r="J456" s="22"/>
      <c r="K456" s="42"/>
    </row>
    <row r="457" ht="39.75" customHeight="1">
      <c r="A457" s="1">
        <v>456.0</v>
      </c>
      <c r="B457" s="2" t="s">
        <v>46</v>
      </c>
      <c r="C457" s="158" t="s">
        <v>4954</v>
      </c>
      <c r="D457" s="59">
        <v>0.3819444444444444</v>
      </c>
      <c r="E457" s="13"/>
      <c r="F457" s="44" t="s">
        <v>4955</v>
      </c>
      <c r="G457" s="43">
        <v>1.0</v>
      </c>
      <c r="H457" s="42"/>
      <c r="I457" s="42"/>
      <c r="J457" s="22"/>
      <c r="K457" s="42"/>
    </row>
    <row r="458" ht="39.75" customHeight="1">
      <c r="A458" s="1">
        <v>457.0</v>
      </c>
      <c r="B458" s="2" t="s">
        <v>47</v>
      </c>
      <c r="C458" s="2" t="s">
        <v>54</v>
      </c>
      <c r="D458" s="13"/>
      <c r="E458" s="13"/>
      <c r="F458" s="159" t="s">
        <v>4956</v>
      </c>
      <c r="G458" s="43">
        <v>1.0</v>
      </c>
      <c r="H458" s="42"/>
      <c r="I458" s="42"/>
      <c r="J458" s="22"/>
      <c r="K458" s="42"/>
    </row>
    <row r="459" ht="39.75" customHeight="1">
      <c r="A459" s="1">
        <v>458.0</v>
      </c>
      <c r="B459" s="2" t="s">
        <v>48</v>
      </c>
      <c r="C459" s="2"/>
      <c r="D459" s="13"/>
      <c r="E459" s="13"/>
      <c r="F459" s="44" t="s">
        <v>4957</v>
      </c>
      <c r="G459" s="43">
        <v>1.0</v>
      </c>
      <c r="H459" s="42"/>
      <c r="I459" s="42"/>
      <c r="J459" s="22"/>
      <c r="K459" s="42"/>
    </row>
    <row r="460" ht="39.75" customHeight="1">
      <c r="A460" s="1">
        <v>459.0</v>
      </c>
      <c r="B460" s="21"/>
      <c r="C460" s="21"/>
      <c r="D460" s="21"/>
      <c r="E460" s="21"/>
      <c r="F460" s="46"/>
      <c r="G460" s="47"/>
      <c r="H460" s="47"/>
      <c r="I460" s="47"/>
      <c r="J460" s="48"/>
      <c r="K460" s="47"/>
      <c r="L460" s="49"/>
      <c r="M460" s="49"/>
      <c r="N460" s="49"/>
    </row>
    <row r="461" ht="39.75" customHeight="1">
      <c r="A461" s="1">
        <v>460.0</v>
      </c>
      <c r="B461" s="2" t="s">
        <v>12</v>
      </c>
      <c r="C461" s="2" t="s">
        <v>62</v>
      </c>
      <c r="D461" s="13"/>
      <c r="E461" s="13"/>
      <c r="F461" s="44" t="s">
        <v>1543</v>
      </c>
      <c r="G461" s="43">
        <v>1.0</v>
      </c>
      <c r="H461" s="42"/>
      <c r="I461" s="43">
        <v>1.0</v>
      </c>
      <c r="J461" s="27" t="s">
        <v>4797</v>
      </c>
      <c r="K461" s="42"/>
      <c r="L461" s="15" t="s">
        <v>309</v>
      </c>
    </row>
    <row r="462" ht="39.75" customHeight="1">
      <c r="A462" s="1">
        <v>461.0</v>
      </c>
      <c r="B462" s="2" t="s">
        <v>16</v>
      </c>
      <c r="C462" s="2" t="s">
        <v>69</v>
      </c>
      <c r="D462" s="13"/>
      <c r="E462" s="13"/>
      <c r="F462" s="44" t="s">
        <v>2770</v>
      </c>
      <c r="G462" s="43">
        <v>1.0</v>
      </c>
      <c r="H462" s="42"/>
      <c r="I462" s="43">
        <v>1.0</v>
      </c>
      <c r="J462" s="27" t="s">
        <v>309</v>
      </c>
      <c r="K462" s="43"/>
    </row>
    <row r="463" ht="39.75" customHeight="1">
      <c r="A463" s="1">
        <v>462.0</v>
      </c>
      <c r="B463" s="2" t="s">
        <v>116</v>
      </c>
      <c r="C463" s="2" t="s">
        <v>44</v>
      </c>
      <c r="D463" s="13"/>
      <c r="E463" s="13"/>
      <c r="F463" s="45"/>
      <c r="G463" s="42"/>
      <c r="H463" s="42"/>
      <c r="I463" s="42"/>
      <c r="J463" s="27" t="s">
        <v>77</v>
      </c>
      <c r="K463" s="42"/>
    </row>
    <row r="464" ht="39.75" customHeight="1">
      <c r="A464" s="1">
        <v>463.0</v>
      </c>
      <c r="B464" s="2" t="s">
        <v>17</v>
      </c>
      <c r="C464" s="2" t="s">
        <v>27</v>
      </c>
      <c r="D464" s="13"/>
      <c r="E464" s="13"/>
      <c r="F464" s="44" t="s">
        <v>4958</v>
      </c>
      <c r="G464" s="43">
        <v>1.0</v>
      </c>
      <c r="H464" s="42"/>
      <c r="I464" s="42"/>
      <c r="J464" s="22"/>
      <c r="K464" s="42"/>
    </row>
    <row r="465" ht="39.75" customHeight="1">
      <c r="A465" s="1">
        <v>464.0</v>
      </c>
      <c r="B465" s="2" t="s">
        <v>331</v>
      </c>
      <c r="C465" s="2" t="s">
        <v>542</v>
      </c>
      <c r="D465" s="13"/>
      <c r="E465" s="13"/>
      <c r="F465" s="44" t="s">
        <v>4959</v>
      </c>
      <c r="G465" s="43">
        <v>1.0</v>
      </c>
      <c r="H465" s="42"/>
      <c r="I465" s="42"/>
      <c r="J465" s="22"/>
      <c r="K465" s="42"/>
    </row>
    <row r="466" ht="39.75" hidden="1" customHeight="1">
      <c r="A466" s="1">
        <v>465.0</v>
      </c>
      <c r="B466" s="2" t="s">
        <v>21</v>
      </c>
      <c r="C466" s="2" t="s">
        <v>58</v>
      </c>
      <c r="D466" s="13"/>
      <c r="E466" s="13"/>
      <c r="F466" s="45"/>
      <c r="G466" s="42"/>
      <c r="H466" s="42"/>
      <c r="I466" s="42"/>
      <c r="J466" s="22"/>
      <c r="K466" s="42"/>
    </row>
    <row r="467" ht="39.75" customHeight="1">
      <c r="A467" s="1">
        <v>466.0</v>
      </c>
      <c r="B467" s="2" t="s">
        <v>22</v>
      </c>
      <c r="C467" s="2"/>
      <c r="D467" s="13"/>
      <c r="E467" s="13"/>
      <c r="F467" s="44" t="s">
        <v>4960</v>
      </c>
      <c r="G467" s="43">
        <v>1.0</v>
      </c>
      <c r="H467" s="42"/>
      <c r="I467" s="42"/>
      <c r="J467" s="22"/>
      <c r="K467" s="42"/>
    </row>
    <row r="468" ht="60.0" customHeight="1">
      <c r="A468" s="1">
        <v>467.0</v>
      </c>
      <c r="B468" s="2" t="s">
        <v>23</v>
      </c>
      <c r="C468" s="2" t="s">
        <v>69</v>
      </c>
      <c r="D468" s="13"/>
      <c r="E468" s="13"/>
      <c r="F468" s="44" t="s">
        <v>4961</v>
      </c>
      <c r="G468" s="43">
        <v>1.0</v>
      </c>
      <c r="H468" s="42"/>
      <c r="I468" s="42"/>
      <c r="J468" s="22"/>
      <c r="K468" s="42"/>
    </row>
    <row r="469" ht="39.75" customHeight="1">
      <c r="A469" s="1">
        <v>468.0</v>
      </c>
      <c r="B469" s="2" t="s">
        <v>24</v>
      </c>
      <c r="C469" s="2" t="s">
        <v>63</v>
      </c>
      <c r="D469" s="13"/>
      <c r="E469" s="13"/>
      <c r="F469" s="45"/>
      <c r="G469" s="42"/>
      <c r="H469" s="42"/>
      <c r="I469" s="42"/>
      <c r="J469" s="22"/>
      <c r="K469" s="42"/>
    </row>
    <row r="470" ht="39.75" customHeight="1">
      <c r="A470" s="1">
        <v>469.0</v>
      </c>
      <c r="B470" s="2" t="s">
        <v>25</v>
      </c>
      <c r="C470" s="2"/>
      <c r="D470" s="13"/>
      <c r="E470" s="13"/>
      <c r="F470" s="44" t="s">
        <v>4962</v>
      </c>
      <c r="G470" s="43">
        <v>1.0</v>
      </c>
      <c r="H470" s="42"/>
      <c r="I470" s="42"/>
      <c r="J470" s="22"/>
      <c r="K470" s="42"/>
    </row>
    <row r="471" ht="39.75" customHeight="1">
      <c r="A471" s="1">
        <v>470.0</v>
      </c>
      <c r="B471" s="2" t="s">
        <v>26</v>
      </c>
      <c r="C471" s="2" t="s">
        <v>39</v>
      </c>
      <c r="D471" s="53">
        <v>0.22916666666666666</v>
      </c>
      <c r="E471" s="40">
        <v>0.5833333333333334</v>
      </c>
      <c r="F471" s="44" t="s">
        <v>4963</v>
      </c>
      <c r="G471" s="43">
        <v>1.0</v>
      </c>
      <c r="H471" s="42"/>
      <c r="I471" s="42"/>
      <c r="J471" s="22"/>
      <c r="K471" s="42"/>
    </row>
    <row r="472" ht="39.75" customHeight="1">
      <c r="A472" s="1">
        <v>471.0</v>
      </c>
      <c r="B472" s="2" t="s">
        <v>29</v>
      </c>
      <c r="C472" s="2"/>
      <c r="D472" s="13"/>
      <c r="E472" s="13"/>
      <c r="F472" s="44" t="s">
        <v>4964</v>
      </c>
      <c r="G472" s="43">
        <v>1.0</v>
      </c>
      <c r="H472" s="42"/>
      <c r="I472" s="42"/>
      <c r="J472" s="22"/>
      <c r="K472" s="42"/>
    </row>
    <row r="473" ht="39.75" hidden="1" customHeight="1">
      <c r="A473" s="1">
        <v>472.0</v>
      </c>
      <c r="B473" s="2" t="s">
        <v>30</v>
      </c>
      <c r="C473" s="2" t="s">
        <v>66</v>
      </c>
      <c r="D473" s="13"/>
      <c r="E473" s="13"/>
      <c r="F473" s="44" t="s">
        <v>4965</v>
      </c>
      <c r="G473" s="42"/>
      <c r="H473" s="42"/>
      <c r="I473" s="42"/>
      <c r="J473" s="22"/>
      <c r="K473" s="42"/>
    </row>
    <row r="474" ht="39.75" hidden="1" customHeight="1">
      <c r="A474" s="1">
        <v>473.0</v>
      </c>
      <c r="B474" s="2" t="s">
        <v>31</v>
      </c>
      <c r="C474" s="2" t="s">
        <v>58</v>
      </c>
      <c r="D474" s="13"/>
      <c r="E474" s="13"/>
      <c r="F474" s="45"/>
      <c r="G474" s="42"/>
      <c r="H474" s="42"/>
      <c r="I474" s="42"/>
      <c r="J474" s="22"/>
      <c r="K474" s="42"/>
    </row>
    <row r="475" ht="39.75" customHeight="1">
      <c r="A475" s="1">
        <v>474.0</v>
      </c>
      <c r="B475" s="2" t="s">
        <v>32</v>
      </c>
      <c r="C475" s="2" t="s">
        <v>69</v>
      </c>
      <c r="D475" s="13"/>
      <c r="E475" s="13"/>
      <c r="F475" s="44" t="s">
        <v>4966</v>
      </c>
      <c r="G475" s="43">
        <v>1.0</v>
      </c>
      <c r="H475" s="42"/>
      <c r="I475" s="43">
        <v>1.0</v>
      </c>
      <c r="J475" s="22"/>
      <c r="K475" s="42"/>
    </row>
    <row r="476" ht="39.75" customHeight="1">
      <c r="A476" s="1">
        <v>475.0</v>
      </c>
      <c r="B476" s="2" t="s">
        <v>67</v>
      </c>
      <c r="C476" s="2"/>
      <c r="D476" s="13"/>
      <c r="E476" s="13"/>
      <c r="F476" s="44" t="s">
        <v>1285</v>
      </c>
      <c r="G476" s="43">
        <v>1.0</v>
      </c>
      <c r="H476" s="42"/>
      <c r="I476" s="43">
        <v>1.0</v>
      </c>
      <c r="J476" s="22"/>
      <c r="K476" s="42"/>
    </row>
    <row r="477" ht="39.75" customHeight="1">
      <c r="A477" s="1">
        <v>476.0</v>
      </c>
      <c r="B477" s="2" t="s">
        <v>35</v>
      </c>
      <c r="C477" s="2" t="s">
        <v>54</v>
      </c>
      <c r="D477" s="13"/>
      <c r="E477" s="13"/>
      <c r="F477" s="45"/>
      <c r="G477" s="42"/>
      <c r="H477" s="42"/>
      <c r="I477" s="42"/>
      <c r="J477" s="22"/>
      <c r="K477" s="42"/>
    </row>
    <row r="478" ht="39.75" customHeight="1">
      <c r="A478" s="1">
        <v>477.0</v>
      </c>
      <c r="B478" s="2" t="s">
        <v>36</v>
      </c>
      <c r="C478" s="2"/>
      <c r="D478" s="40">
        <v>0.3770833333333333</v>
      </c>
      <c r="E478" s="13"/>
      <c r="F478" s="70" t="s">
        <v>4967</v>
      </c>
      <c r="G478" s="43">
        <v>1.0</v>
      </c>
      <c r="H478" s="42"/>
      <c r="I478" s="42"/>
      <c r="J478" s="22"/>
      <c r="K478" s="42"/>
    </row>
    <row r="479" ht="39.75" customHeight="1">
      <c r="A479" s="1">
        <v>478.0</v>
      </c>
      <c r="B479" s="2" t="s">
        <v>38</v>
      </c>
      <c r="C479" s="2" t="s">
        <v>54</v>
      </c>
      <c r="D479" s="13"/>
      <c r="E479" s="13"/>
      <c r="F479" s="45"/>
      <c r="G479" s="42"/>
      <c r="H479" s="42"/>
      <c r="I479" s="42"/>
      <c r="J479" s="22"/>
      <c r="K479" s="42"/>
    </row>
    <row r="480" ht="39.75" hidden="1" customHeight="1">
      <c r="A480" s="1">
        <v>479.0</v>
      </c>
      <c r="B480" s="2" t="s">
        <v>41</v>
      </c>
      <c r="C480" s="2" t="s">
        <v>58</v>
      </c>
      <c r="D480" s="13"/>
      <c r="E480" s="13"/>
      <c r="F480" s="45"/>
      <c r="G480" s="42"/>
      <c r="H480" s="42"/>
      <c r="I480" s="42"/>
      <c r="J480" s="22"/>
      <c r="K480" s="42"/>
    </row>
    <row r="481" ht="39.75" hidden="1" customHeight="1">
      <c r="A481" s="1">
        <v>480.0</v>
      </c>
      <c r="B481" s="2" t="s">
        <v>42</v>
      </c>
      <c r="C481" s="2" t="s">
        <v>58</v>
      </c>
      <c r="D481" s="13"/>
      <c r="E481" s="13"/>
      <c r="F481" s="45"/>
      <c r="G481" s="42"/>
      <c r="H481" s="42"/>
      <c r="I481" s="42"/>
      <c r="J481" s="22"/>
      <c r="K481" s="42"/>
    </row>
    <row r="482" ht="39.75" customHeight="1">
      <c r="A482" s="1">
        <v>481.0</v>
      </c>
      <c r="B482" s="2" t="s">
        <v>43</v>
      </c>
      <c r="C482" s="2" t="s">
        <v>54</v>
      </c>
      <c r="D482" s="13"/>
      <c r="E482" s="13"/>
      <c r="F482" s="44" t="s">
        <v>4968</v>
      </c>
      <c r="G482" s="43">
        <v>1.0</v>
      </c>
      <c r="H482" s="42"/>
      <c r="I482" s="43">
        <v>1.0</v>
      </c>
      <c r="J482" s="22"/>
      <c r="K482" s="42"/>
    </row>
    <row r="483" ht="39.75" hidden="1" customHeight="1">
      <c r="A483" s="1">
        <v>482.0</v>
      </c>
      <c r="B483" s="2" t="s">
        <v>45</v>
      </c>
      <c r="C483" s="2" t="s">
        <v>58</v>
      </c>
      <c r="D483" s="13"/>
      <c r="E483" s="13"/>
      <c r="F483" s="45"/>
      <c r="G483" s="42"/>
      <c r="H483" s="42"/>
      <c r="I483" s="42"/>
      <c r="J483" s="22"/>
      <c r="K483" s="42"/>
    </row>
    <row r="484" ht="39.75" customHeight="1">
      <c r="A484" s="1">
        <v>483.0</v>
      </c>
      <c r="B484" s="2" t="s">
        <v>46</v>
      </c>
      <c r="C484" s="2" t="s">
        <v>39</v>
      </c>
      <c r="D484" s="13"/>
      <c r="E484" s="13"/>
      <c r="F484" s="44" t="s">
        <v>4969</v>
      </c>
      <c r="G484" s="43">
        <v>3.0</v>
      </c>
      <c r="H484" s="42"/>
      <c r="I484" s="43">
        <v>2.0</v>
      </c>
      <c r="J484" s="22"/>
      <c r="K484" s="42"/>
    </row>
    <row r="485" ht="39.75" customHeight="1">
      <c r="A485" s="1">
        <v>484.0</v>
      </c>
      <c r="B485" s="2" t="s">
        <v>47</v>
      </c>
      <c r="C485" s="2" t="s">
        <v>54</v>
      </c>
      <c r="D485" s="13"/>
      <c r="E485" s="13"/>
      <c r="F485" s="44" t="s">
        <v>4970</v>
      </c>
      <c r="G485" s="43">
        <v>1.0</v>
      </c>
      <c r="H485" s="42"/>
      <c r="I485" s="42"/>
      <c r="J485" s="22"/>
      <c r="K485" s="42"/>
    </row>
    <row r="486" ht="39.75" customHeight="1">
      <c r="A486" s="1">
        <v>485.0</v>
      </c>
      <c r="B486" s="2" t="s">
        <v>48</v>
      </c>
      <c r="C486" s="2"/>
      <c r="D486" s="13"/>
      <c r="E486" s="13"/>
      <c r="F486" s="44" t="s">
        <v>4971</v>
      </c>
      <c r="G486" s="43">
        <v>1.0</v>
      </c>
      <c r="H486" s="42"/>
      <c r="I486" s="42"/>
      <c r="J486" s="22"/>
      <c r="K486" s="42"/>
    </row>
    <row r="487" ht="39.75" customHeight="1">
      <c r="A487" s="1">
        <v>486.0</v>
      </c>
      <c r="B487" s="21"/>
      <c r="C487" s="21"/>
      <c r="D487" s="21"/>
      <c r="E487" s="21"/>
      <c r="F487" s="46"/>
      <c r="G487" s="47"/>
      <c r="H487" s="47"/>
      <c r="I487" s="47"/>
      <c r="J487" s="48"/>
      <c r="K487" s="47"/>
      <c r="L487" s="49"/>
      <c r="M487" s="49"/>
      <c r="N487" s="49"/>
    </row>
    <row r="488" ht="39.75" customHeight="1">
      <c r="A488" s="1">
        <v>487.0</v>
      </c>
      <c r="B488" s="2" t="s">
        <v>12</v>
      </c>
      <c r="C488" s="2" t="s">
        <v>62</v>
      </c>
      <c r="D488" s="13"/>
      <c r="E488" s="13"/>
      <c r="F488" s="45"/>
      <c r="G488" s="42"/>
      <c r="H488" s="42"/>
      <c r="I488" s="42"/>
      <c r="J488" s="27" t="s">
        <v>4797</v>
      </c>
      <c r="K488" s="42"/>
      <c r="L488" s="15" t="s">
        <v>328</v>
      </c>
    </row>
    <row r="489" ht="39.75" customHeight="1">
      <c r="A489" s="1">
        <v>488.0</v>
      </c>
      <c r="B489" s="2" t="s">
        <v>16</v>
      </c>
      <c r="C489" s="2"/>
      <c r="D489" s="13"/>
      <c r="E489" s="13"/>
      <c r="F489" s="44" t="s">
        <v>1218</v>
      </c>
      <c r="G489" s="43">
        <v>1.0</v>
      </c>
      <c r="H489" s="42"/>
      <c r="I489" s="43">
        <v>1.0</v>
      </c>
      <c r="J489" s="27" t="s">
        <v>328</v>
      </c>
      <c r="K489" s="43"/>
    </row>
    <row r="490" ht="39.75" hidden="1" customHeight="1">
      <c r="A490" s="1">
        <v>489.0</v>
      </c>
      <c r="B490" s="2" t="s">
        <v>116</v>
      </c>
      <c r="C490" s="2" t="s">
        <v>66</v>
      </c>
      <c r="D490" s="13"/>
      <c r="E490" s="13"/>
      <c r="F490" s="44"/>
      <c r="G490" s="42"/>
      <c r="H490" s="42"/>
      <c r="I490" s="42"/>
      <c r="J490" s="27" t="s">
        <v>95</v>
      </c>
      <c r="K490" s="42"/>
    </row>
    <row r="491" ht="54.75" customHeight="1">
      <c r="A491" s="1">
        <v>490.0</v>
      </c>
      <c r="B491" s="2" t="s">
        <v>17</v>
      </c>
      <c r="C491" s="2" t="s">
        <v>44</v>
      </c>
      <c r="D491" s="13"/>
      <c r="E491" s="13"/>
      <c r="F491" s="45"/>
      <c r="G491" s="42"/>
      <c r="H491" s="42"/>
      <c r="I491" s="42"/>
      <c r="J491" s="22"/>
      <c r="K491" s="42"/>
    </row>
    <row r="492" ht="39.75" customHeight="1">
      <c r="A492" s="1">
        <v>491.0</v>
      </c>
      <c r="B492" s="2" t="s">
        <v>331</v>
      </c>
      <c r="C492" s="2" t="s">
        <v>542</v>
      </c>
      <c r="D492" s="13"/>
      <c r="E492" s="13"/>
      <c r="F492" s="45"/>
      <c r="G492" s="42"/>
      <c r="H492" s="42"/>
      <c r="I492" s="42"/>
      <c r="J492" s="22"/>
      <c r="K492" s="42"/>
    </row>
    <row r="493" ht="39.75" hidden="1" customHeight="1">
      <c r="A493" s="1">
        <v>492.0</v>
      </c>
      <c r="B493" s="2" t="s">
        <v>21</v>
      </c>
      <c r="C493" s="2" t="s">
        <v>58</v>
      </c>
      <c r="D493" s="13"/>
      <c r="E493" s="13"/>
      <c r="F493" s="45"/>
      <c r="G493" s="42"/>
      <c r="H493" s="42"/>
      <c r="I493" s="42"/>
      <c r="J493" s="22"/>
      <c r="K493" s="42"/>
    </row>
    <row r="494" ht="116.25" customHeight="1">
      <c r="A494" s="1">
        <v>493.0</v>
      </c>
      <c r="B494" s="2" t="s">
        <v>22</v>
      </c>
      <c r="C494" s="2"/>
      <c r="D494" s="13"/>
      <c r="E494" s="13"/>
      <c r="F494" s="44" t="s">
        <v>4972</v>
      </c>
      <c r="G494" s="43">
        <v>1.0</v>
      </c>
      <c r="H494" s="42"/>
      <c r="I494" s="42"/>
      <c r="J494" s="22"/>
      <c r="K494" s="42"/>
    </row>
    <row r="495" ht="39.75" hidden="1" customHeight="1">
      <c r="A495" s="1">
        <v>494.0</v>
      </c>
      <c r="B495" s="2" t="s">
        <v>23</v>
      </c>
      <c r="C495" s="2" t="s">
        <v>58</v>
      </c>
      <c r="D495" s="13"/>
      <c r="E495" s="13"/>
      <c r="F495" s="45"/>
      <c r="G495" s="42"/>
      <c r="H495" s="42"/>
      <c r="I495" s="42"/>
      <c r="J495" s="22"/>
      <c r="K495" s="42"/>
    </row>
    <row r="496" ht="39.75" customHeight="1">
      <c r="A496" s="1">
        <v>495.0</v>
      </c>
      <c r="B496" s="2" t="s">
        <v>24</v>
      </c>
      <c r="C496" s="2" t="s">
        <v>63</v>
      </c>
      <c r="D496" s="13"/>
      <c r="E496" s="13"/>
      <c r="F496" s="45"/>
      <c r="G496" s="42"/>
      <c r="H496" s="42"/>
      <c r="I496" s="42"/>
      <c r="J496" s="22"/>
      <c r="K496" s="42"/>
    </row>
    <row r="497" ht="39.75" customHeight="1">
      <c r="A497" s="1">
        <v>496.0</v>
      </c>
      <c r="B497" s="2" t="s">
        <v>25</v>
      </c>
      <c r="C497" s="2" t="s">
        <v>54</v>
      </c>
      <c r="D497" s="13"/>
      <c r="E497" s="13"/>
      <c r="F497" s="44" t="s">
        <v>4973</v>
      </c>
      <c r="G497" s="43">
        <v>1.0</v>
      </c>
      <c r="H497" s="42"/>
      <c r="I497" s="42"/>
      <c r="J497" s="22"/>
      <c r="K497" s="42"/>
    </row>
    <row r="498" ht="39.75" customHeight="1">
      <c r="A498" s="1">
        <v>497.0</v>
      </c>
      <c r="B498" s="2" t="s">
        <v>26</v>
      </c>
      <c r="C498" s="2" t="s">
        <v>69</v>
      </c>
      <c r="D498" s="13"/>
      <c r="E498" s="13"/>
      <c r="F498" s="45"/>
      <c r="G498" s="42"/>
      <c r="H498" s="42"/>
      <c r="I498" s="42"/>
      <c r="J498" s="22"/>
      <c r="K498" s="42"/>
    </row>
    <row r="499" ht="39.75" customHeight="1">
      <c r="A499" s="1">
        <v>498.0</v>
      </c>
      <c r="B499" s="2" t="s">
        <v>29</v>
      </c>
      <c r="C499" s="2"/>
      <c r="D499" s="13"/>
      <c r="E499" s="13"/>
      <c r="F499" s="44" t="s">
        <v>4974</v>
      </c>
      <c r="G499" s="43">
        <v>1.0</v>
      </c>
      <c r="H499" s="42"/>
      <c r="I499" s="42"/>
      <c r="J499" s="22"/>
      <c r="K499" s="42"/>
    </row>
    <row r="500" ht="39.75" customHeight="1">
      <c r="A500" s="1">
        <v>499.0</v>
      </c>
      <c r="B500" s="2" t="s">
        <v>30</v>
      </c>
      <c r="C500" s="2" t="s">
        <v>64</v>
      </c>
      <c r="D500" s="13"/>
      <c r="E500" s="13"/>
      <c r="F500" s="44" t="s">
        <v>2592</v>
      </c>
      <c r="G500" s="43">
        <v>1.0</v>
      </c>
      <c r="H500" s="42"/>
      <c r="I500" s="43">
        <v>1.0</v>
      </c>
      <c r="J500" s="22"/>
      <c r="K500" s="42"/>
    </row>
    <row r="501" ht="39.75" customHeight="1">
      <c r="A501" s="1">
        <v>500.0</v>
      </c>
      <c r="B501" s="2" t="s">
        <v>31</v>
      </c>
      <c r="C501" s="13"/>
      <c r="D501" s="13"/>
      <c r="E501" s="13"/>
      <c r="F501" s="44" t="s">
        <v>4975</v>
      </c>
      <c r="G501" s="43">
        <v>1.0</v>
      </c>
      <c r="H501" s="43">
        <v>1.0</v>
      </c>
      <c r="I501" s="42"/>
      <c r="J501" s="22"/>
      <c r="K501" s="42"/>
    </row>
    <row r="502" ht="39.75" customHeight="1">
      <c r="A502" s="1">
        <v>501.0</v>
      </c>
      <c r="B502" s="2" t="s">
        <v>32</v>
      </c>
      <c r="C502" s="2" t="s">
        <v>69</v>
      </c>
      <c r="D502" s="13"/>
      <c r="E502" s="13"/>
      <c r="F502" s="44" t="s">
        <v>4976</v>
      </c>
      <c r="G502" s="43">
        <v>1.0</v>
      </c>
      <c r="H502" s="42"/>
      <c r="I502" s="43">
        <v>1.0</v>
      </c>
      <c r="J502" s="22"/>
      <c r="K502" s="42"/>
    </row>
    <row r="503" ht="39.75" customHeight="1">
      <c r="A503" s="1">
        <v>502.0</v>
      </c>
      <c r="B503" s="2" t="s">
        <v>67</v>
      </c>
      <c r="C503" s="2" t="s">
        <v>69</v>
      </c>
      <c r="D503" s="13"/>
      <c r="E503" s="13"/>
      <c r="F503" s="44" t="s">
        <v>4977</v>
      </c>
      <c r="G503" s="43">
        <v>2.0</v>
      </c>
      <c r="H503" s="42"/>
      <c r="I503" s="43">
        <v>1.0</v>
      </c>
      <c r="J503" s="22"/>
      <c r="K503" s="42"/>
    </row>
    <row r="504" ht="39.75" customHeight="1">
      <c r="A504" s="1">
        <v>503.0</v>
      </c>
      <c r="B504" s="2" t="s">
        <v>35</v>
      </c>
      <c r="C504" s="2" t="s">
        <v>39</v>
      </c>
      <c r="D504" s="13"/>
      <c r="E504" s="13"/>
      <c r="F504" s="44" t="s">
        <v>2691</v>
      </c>
      <c r="G504" s="43">
        <v>1.0</v>
      </c>
      <c r="H504" s="42"/>
      <c r="I504" s="43">
        <v>1.0</v>
      </c>
      <c r="J504" s="22"/>
      <c r="K504" s="42"/>
    </row>
    <row r="505" ht="39.75" hidden="1" customHeight="1">
      <c r="A505" s="1">
        <v>504.0</v>
      </c>
      <c r="B505" s="2" t="s">
        <v>36</v>
      </c>
      <c r="C505" s="2" t="s">
        <v>58</v>
      </c>
      <c r="D505" s="13"/>
      <c r="E505" s="13"/>
      <c r="F505" s="45"/>
      <c r="G505" s="42"/>
      <c r="H505" s="42"/>
      <c r="I505" s="42"/>
      <c r="J505" s="22"/>
      <c r="K505" s="42"/>
    </row>
    <row r="506" ht="39.75" customHeight="1">
      <c r="A506" s="1">
        <v>505.0</v>
      </c>
      <c r="B506" s="2" t="s">
        <v>38</v>
      </c>
      <c r="C506" s="2" t="s">
        <v>54</v>
      </c>
      <c r="D506" s="13"/>
      <c r="E506" s="13"/>
      <c r="F506" s="44" t="s">
        <v>4978</v>
      </c>
      <c r="G506" s="43">
        <v>1.0</v>
      </c>
      <c r="H506" s="42"/>
      <c r="I506" s="42"/>
      <c r="J506" s="22"/>
      <c r="K506" s="42"/>
    </row>
    <row r="507" ht="39.75" hidden="1" customHeight="1">
      <c r="A507" s="1">
        <v>506.0</v>
      </c>
      <c r="B507" s="2" t="s">
        <v>41</v>
      </c>
      <c r="C507" s="2" t="s">
        <v>58</v>
      </c>
      <c r="D507" s="13"/>
      <c r="E507" s="13"/>
      <c r="F507" s="45"/>
      <c r="G507" s="42"/>
      <c r="H507" s="42"/>
      <c r="I507" s="42"/>
      <c r="J507" s="22"/>
      <c r="K507" s="42"/>
    </row>
    <row r="508" ht="39.75" hidden="1" customHeight="1">
      <c r="A508" s="1">
        <v>507.0</v>
      </c>
      <c r="B508" s="2" t="s">
        <v>42</v>
      </c>
      <c r="C508" s="2" t="s">
        <v>58</v>
      </c>
      <c r="D508" s="13"/>
      <c r="E508" s="13"/>
      <c r="F508" s="45"/>
      <c r="G508" s="42"/>
      <c r="H508" s="42"/>
      <c r="I508" s="42"/>
      <c r="J508" s="22"/>
      <c r="K508" s="42"/>
    </row>
    <row r="509" ht="39.75" customHeight="1">
      <c r="A509" s="1">
        <v>508.0</v>
      </c>
      <c r="B509" s="2" t="s">
        <v>43</v>
      </c>
      <c r="C509" s="2" t="s">
        <v>27</v>
      </c>
      <c r="D509" s="13"/>
      <c r="E509" s="13"/>
      <c r="F509" s="45"/>
      <c r="G509" s="42"/>
      <c r="H509" s="42"/>
      <c r="I509" s="42"/>
      <c r="J509" s="22"/>
      <c r="K509" s="42"/>
    </row>
    <row r="510" ht="39.75" customHeight="1">
      <c r="A510" s="1">
        <v>509.0</v>
      </c>
      <c r="B510" s="2" t="s">
        <v>45</v>
      </c>
      <c r="C510" s="2" t="s">
        <v>39</v>
      </c>
      <c r="D510" s="13"/>
      <c r="E510" s="13"/>
      <c r="F510" s="44" t="s">
        <v>4979</v>
      </c>
      <c r="G510" s="43">
        <v>4.0</v>
      </c>
      <c r="H510" s="42"/>
      <c r="I510" s="43">
        <v>3.0</v>
      </c>
      <c r="J510" s="22"/>
      <c r="K510" s="42"/>
    </row>
    <row r="511" ht="39.75" customHeight="1">
      <c r="A511" s="1">
        <v>510.0</v>
      </c>
      <c r="B511" s="2" t="s">
        <v>46</v>
      </c>
      <c r="C511" s="2"/>
      <c r="D511" s="13"/>
      <c r="E511" s="13"/>
      <c r="F511" s="44" t="s">
        <v>4980</v>
      </c>
      <c r="G511" s="43">
        <v>1.0</v>
      </c>
      <c r="H511" s="42"/>
      <c r="I511" s="43">
        <v>1.0</v>
      </c>
      <c r="J511" s="22"/>
      <c r="K511" s="42"/>
    </row>
    <row r="512" ht="39.75" customHeight="1">
      <c r="A512" s="1">
        <v>511.0</v>
      </c>
      <c r="B512" s="2" t="s">
        <v>47</v>
      </c>
      <c r="C512" s="2" t="s">
        <v>54</v>
      </c>
      <c r="D512" s="13"/>
      <c r="E512" s="13"/>
      <c r="F512" s="44" t="s">
        <v>4981</v>
      </c>
      <c r="G512" s="43">
        <v>1.0</v>
      </c>
      <c r="H512" s="42"/>
      <c r="I512" s="42"/>
      <c r="J512" s="22"/>
      <c r="K512" s="42"/>
    </row>
    <row r="513" ht="39.75" customHeight="1">
      <c r="A513" s="1">
        <v>512.0</v>
      </c>
      <c r="B513" s="2" t="s">
        <v>48</v>
      </c>
      <c r="C513" s="2" t="s">
        <v>54</v>
      </c>
      <c r="D513" s="13"/>
      <c r="E513" s="160"/>
      <c r="F513" s="44" t="s">
        <v>4982</v>
      </c>
      <c r="G513" s="43">
        <v>2.0</v>
      </c>
      <c r="H513" s="43">
        <v>2.0</v>
      </c>
      <c r="I513" s="42"/>
      <c r="J513" s="22"/>
      <c r="K513" s="42"/>
    </row>
    <row r="514" ht="39.75" customHeight="1">
      <c r="A514" s="1">
        <v>513.0</v>
      </c>
      <c r="B514" s="21"/>
      <c r="C514" s="21"/>
      <c r="D514" s="21"/>
      <c r="E514" s="21"/>
      <c r="F514" s="46"/>
      <c r="G514" s="47"/>
      <c r="H514" s="47"/>
      <c r="I514" s="47"/>
      <c r="J514" s="48"/>
      <c r="K514" s="47"/>
      <c r="L514" s="49"/>
      <c r="M514" s="49"/>
      <c r="N514" s="49"/>
    </row>
    <row r="515" ht="39.75" customHeight="1">
      <c r="A515" s="1">
        <v>514.0</v>
      </c>
      <c r="B515" s="2" t="s">
        <v>12</v>
      </c>
      <c r="C515" s="2" t="s">
        <v>62</v>
      </c>
      <c r="D515" s="13"/>
      <c r="E515" s="13"/>
      <c r="F515" s="44" t="s">
        <v>1543</v>
      </c>
      <c r="G515" s="43">
        <v>1.0</v>
      </c>
      <c r="H515" s="42"/>
      <c r="I515" s="43">
        <v>1.0</v>
      </c>
      <c r="J515" s="27" t="s">
        <v>4797</v>
      </c>
      <c r="K515" s="42"/>
      <c r="L515" s="15" t="s">
        <v>347</v>
      </c>
    </row>
    <row r="516" ht="39.75" customHeight="1">
      <c r="A516" s="1">
        <v>515.0</v>
      </c>
      <c r="B516" s="2" t="s">
        <v>16</v>
      </c>
      <c r="C516" s="2"/>
      <c r="D516" s="13"/>
      <c r="E516" s="13"/>
      <c r="F516" s="44" t="s">
        <v>4983</v>
      </c>
      <c r="G516" s="43">
        <v>1.0</v>
      </c>
      <c r="H516" s="42"/>
      <c r="I516" s="42"/>
      <c r="J516" s="27" t="s">
        <v>347</v>
      </c>
      <c r="K516" s="43"/>
    </row>
    <row r="517" ht="39.75" customHeight="1">
      <c r="A517" s="1">
        <v>516.0</v>
      </c>
      <c r="B517" s="2" t="s">
        <v>116</v>
      </c>
      <c r="C517" s="2"/>
      <c r="D517" s="13"/>
      <c r="E517" s="13"/>
      <c r="F517" s="44" t="s">
        <v>4984</v>
      </c>
      <c r="G517" s="43">
        <v>2.0</v>
      </c>
      <c r="H517" s="42"/>
      <c r="I517" s="42"/>
      <c r="J517" s="27" t="s">
        <v>111</v>
      </c>
      <c r="K517" s="42"/>
    </row>
    <row r="518" ht="68.25" customHeight="1">
      <c r="A518" s="1">
        <v>517.0</v>
      </c>
      <c r="B518" s="2" t="s">
        <v>17</v>
      </c>
      <c r="C518" s="2" t="s">
        <v>39</v>
      </c>
      <c r="D518" s="13"/>
      <c r="E518" s="13"/>
      <c r="F518" s="44" t="s">
        <v>2691</v>
      </c>
      <c r="G518" s="43">
        <v>1.0</v>
      </c>
      <c r="H518" s="42"/>
      <c r="I518" s="43">
        <v>1.0</v>
      </c>
      <c r="J518" s="22"/>
      <c r="K518" s="42"/>
    </row>
    <row r="519" ht="39.75" customHeight="1">
      <c r="A519" s="1">
        <v>518.0</v>
      </c>
      <c r="B519" s="2" t="s">
        <v>331</v>
      </c>
      <c r="C519" s="2" t="s">
        <v>542</v>
      </c>
      <c r="D519" s="13"/>
      <c r="E519" s="13"/>
      <c r="F519" s="44" t="s">
        <v>4985</v>
      </c>
      <c r="G519" s="43">
        <v>1.0</v>
      </c>
      <c r="H519" s="42"/>
      <c r="I519" s="42"/>
      <c r="J519" s="22"/>
      <c r="K519" s="42"/>
    </row>
    <row r="520" ht="39.75" hidden="1" customHeight="1">
      <c r="A520" s="1">
        <v>519.0</v>
      </c>
      <c r="B520" s="2" t="s">
        <v>21</v>
      </c>
      <c r="C520" s="2" t="s">
        <v>58</v>
      </c>
      <c r="D520" s="13"/>
      <c r="E520" s="13"/>
      <c r="F520" s="45"/>
      <c r="G520" s="42"/>
      <c r="H520" s="42"/>
      <c r="I520" s="42"/>
      <c r="J520" s="22"/>
      <c r="K520" s="42"/>
    </row>
    <row r="521" ht="39.75" customHeight="1">
      <c r="A521" s="1">
        <v>520.0</v>
      </c>
      <c r="B521" s="2" t="s">
        <v>22</v>
      </c>
      <c r="C521" s="2" t="s">
        <v>69</v>
      </c>
      <c r="D521" s="13"/>
      <c r="E521" s="13"/>
      <c r="F521" s="44" t="s">
        <v>2741</v>
      </c>
      <c r="G521" s="43">
        <v>1.0</v>
      </c>
      <c r="H521" s="42"/>
      <c r="I521" s="43">
        <v>1.0</v>
      </c>
      <c r="J521" s="22"/>
      <c r="K521" s="42"/>
    </row>
    <row r="522" ht="39.75" hidden="1" customHeight="1">
      <c r="A522" s="1">
        <v>521.0</v>
      </c>
      <c r="B522" s="2" t="s">
        <v>23</v>
      </c>
      <c r="C522" s="2" t="s">
        <v>58</v>
      </c>
      <c r="D522" s="13"/>
      <c r="E522" s="13"/>
      <c r="F522" s="45"/>
      <c r="G522" s="42"/>
      <c r="H522" s="42"/>
      <c r="I522" s="42"/>
      <c r="J522" s="22"/>
      <c r="K522" s="42"/>
    </row>
    <row r="523" ht="39.75" customHeight="1">
      <c r="A523" s="1">
        <v>522.0</v>
      </c>
      <c r="B523" s="2" t="s">
        <v>24</v>
      </c>
      <c r="C523" s="2" t="s">
        <v>63</v>
      </c>
      <c r="D523" s="13"/>
      <c r="E523" s="13"/>
      <c r="F523" s="45"/>
      <c r="G523" s="42"/>
      <c r="H523" s="42"/>
      <c r="I523" s="42"/>
      <c r="J523" s="22"/>
      <c r="K523" s="42"/>
    </row>
    <row r="524" ht="57.0" customHeight="1">
      <c r="A524" s="1">
        <v>523.0</v>
      </c>
      <c r="B524" s="2" t="s">
        <v>25</v>
      </c>
      <c r="C524" s="2" t="s">
        <v>69</v>
      </c>
      <c r="D524" s="13"/>
      <c r="E524" s="13"/>
      <c r="F524" s="44" t="s">
        <v>4986</v>
      </c>
      <c r="G524" s="43">
        <v>1.0</v>
      </c>
      <c r="H524" s="42"/>
      <c r="I524" s="43"/>
      <c r="J524" s="22"/>
      <c r="K524" s="42"/>
    </row>
    <row r="525" ht="39.75" customHeight="1">
      <c r="A525" s="1">
        <v>524.0</v>
      </c>
      <c r="B525" s="2" t="s">
        <v>26</v>
      </c>
      <c r="C525" s="2"/>
      <c r="D525" s="13"/>
      <c r="E525" s="13"/>
      <c r="F525" s="44" t="s">
        <v>1331</v>
      </c>
      <c r="G525" s="43">
        <v>1.0</v>
      </c>
      <c r="H525" s="42"/>
      <c r="I525" s="43">
        <v>1.0</v>
      </c>
      <c r="J525" s="22"/>
      <c r="K525" s="42"/>
    </row>
    <row r="526" ht="39.75" hidden="1" customHeight="1">
      <c r="A526" s="1">
        <v>525.0</v>
      </c>
      <c r="B526" s="2" t="s">
        <v>29</v>
      </c>
      <c r="C526" s="2" t="s">
        <v>58</v>
      </c>
      <c r="D526" s="13"/>
      <c r="E526" s="13"/>
      <c r="F526" s="45"/>
      <c r="G526" s="42"/>
      <c r="H526" s="42"/>
      <c r="I526" s="42"/>
      <c r="J526" s="22"/>
      <c r="K526" s="42"/>
    </row>
    <row r="527" ht="39.75" customHeight="1">
      <c r="A527" s="1">
        <v>526.0</v>
      </c>
      <c r="B527" s="2" t="s">
        <v>30</v>
      </c>
      <c r="C527" s="2" t="s">
        <v>64</v>
      </c>
      <c r="D527" s="13"/>
      <c r="E527" s="13"/>
      <c r="F527" s="44" t="s">
        <v>2592</v>
      </c>
      <c r="G527" s="43">
        <v>1.0</v>
      </c>
      <c r="H527" s="42"/>
      <c r="I527" s="43">
        <v>1.0</v>
      </c>
      <c r="J527" s="22"/>
      <c r="K527" s="42"/>
    </row>
    <row r="528" ht="39.75" customHeight="1">
      <c r="A528" s="1">
        <v>527.0</v>
      </c>
      <c r="B528" s="2" t="s">
        <v>31</v>
      </c>
      <c r="C528" s="13"/>
      <c r="D528" s="13"/>
      <c r="E528" s="13"/>
      <c r="F528" s="44" t="s">
        <v>4975</v>
      </c>
      <c r="G528" s="43">
        <v>1.0</v>
      </c>
      <c r="H528" s="43">
        <v>1.0</v>
      </c>
      <c r="I528" s="42"/>
      <c r="J528" s="22"/>
      <c r="K528" s="42"/>
    </row>
    <row r="529" ht="39.75" customHeight="1">
      <c r="A529" s="1">
        <v>528.0</v>
      </c>
      <c r="B529" s="2" t="s">
        <v>32</v>
      </c>
      <c r="C529" s="2" t="s">
        <v>69</v>
      </c>
      <c r="D529" s="13"/>
      <c r="E529" s="13"/>
      <c r="F529" s="44" t="s">
        <v>4987</v>
      </c>
      <c r="G529" s="43">
        <v>1.0</v>
      </c>
      <c r="H529" s="42"/>
      <c r="I529" s="43">
        <v>1.0</v>
      </c>
      <c r="J529" s="22"/>
      <c r="K529" s="42"/>
    </row>
    <row r="530" ht="39.75" customHeight="1">
      <c r="A530" s="1">
        <v>529.0</v>
      </c>
      <c r="B530" s="2" t="s">
        <v>67</v>
      </c>
      <c r="C530" s="2"/>
      <c r="D530" s="13"/>
      <c r="E530" s="13"/>
      <c r="F530" s="44" t="s">
        <v>4988</v>
      </c>
      <c r="G530" s="43">
        <v>2.0</v>
      </c>
      <c r="H530" s="42"/>
      <c r="I530" s="43">
        <v>1.0</v>
      </c>
      <c r="J530" s="22"/>
      <c r="K530" s="42"/>
    </row>
    <row r="531" ht="39.75" customHeight="1">
      <c r="A531" s="1">
        <v>530.0</v>
      </c>
      <c r="B531" s="2" t="s">
        <v>35</v>
      </c>
      <c r="C531" s="2" t="s">
        <v>54</v>
      </c>
      <c r="D531" s="13"/>
      <c r="E531" s="13"/>
      <c r="F531" s="44" t="s">
        <v>4989</v>
      </c>
      <c r="G531" s="43">
        <v>1.0</v>
      </c>
      <c r="H531" s="42"/>
      <c r="I531" s="42"/>
      <c r="J531" s="22"/>
      <c r="K531" s="42"/>
    </row>
    <row r="532" ht="39.75" hidden="1" customHeight="1">
      <c r="A532" s="1">
        <v>531.0</v>
      </c>
      <c r="B532" s="2" t="s">
        <v>36</v>
      </c>
      <c r="C532" s="2" t="s">
        <v>66</v>
      </c>
      <c r="D532" s="13"/>
      <c r="E532" s="13"/>
      <c r="F532" s="45"/>
      <c r="G532" s="42"/>
      <c r="H532" s="42"/>
      <c r="I532" s="42"/>
      <c r="J532" s="22"/>
      <c r="K532" s="42"/>
    </row>
    <row r="533" ht="39.75" customHeight="1">
      <c r="A533" s="1">
        <v>532.0</v>
      </c>
      <c r="B533" s="2" t="s">
        <v>38</v>
      </c>
      <c r="C533" s="2" t="s">
        <v>54</v>
      </c>
      <c r="D533" s="53">
        <v>0.3541666666666667</v>
      </c>
      <c r="E533" s="51">
        <v>0.9166666666666666</v>
      </c>
      <c r="F533" s="44" t="s">
        <v>4990</v>
      </c>
      <c r="G533" s="43">
        <v>1.0</v>
      </c>
      <c r="H533" s="43">
        <v>1.0</v>
      </c>
      <c r="I533" s="42"/>
      <c r="J533" s="22"/>
      <c r="K533" s="42"/>
    </row>
    <row r="534" ht="39.75" hidden="1" customHeight="1">
      <c r="A534" s="1">
        <v>533.0</v>
      </c>
      <c r="B534" s="2" t="s">
        <v>41</v>
      </c>
      <c r="C534" s="2" t="s">
        <v>58</v>
      </c>
      <c r="D534" s="13"/>
      <c r="E534" s="13"/>
      <c r="F534" s="45"/>
      <c r="G534" s="42"/>
      <c r="H534" s="42"/>
      <c r="I534" s="42"/>
      <c r="J534" s="22"/>
      <c r="K534" s="42"/>
    </row>
    <row r="535" ht="39.75" hidden="1" customHeight="1">
      <c r="A535" s="1">
        <v>534.0</v>
      </c>
      <c r="B535" s="2" t="s">
        <v>42</v>
      </c>
      <c r="C535" s="2" t="s">
        <v>58</v>
      </c>
      <c r="D535" s="13"/>
      <c r="E535" s="13"/>
      <c r="F535" s="45"/>
      <c r="G535" s="42"/>
      <c r="H535" s="42"/>
      <c r="I535" s="42"/>
      <c r="J535" s="22"/>
      <c r="K535" s="42"/>
    </row>
    <row r="536" ht="39.75" customHeight="1">
      <c r="A536" s="1">
        <v>535.0</v>
      </c>
      <c r="B536" s="2" t="s">
        <v>43</v>
      </c>
      <c r="C536" s="2" t="s">
        <v>44</v>
      </c>
      <c r="D536" s="13"/>
      <c r="E536" s="13"/>
      <c r="F536" s="45"/>
      <c r="G536" s="42"/>
      <c r="H536" s="42"/>
      <c r="I536" s="42"/>
      <c r="J536" s="22"/>
      <c r="K536" s="42"/>
    </row>
    <row r="537" ht="39.75" customHeight="1">
      <c r="A537" s="1">
        <v>536.0</v>
      </c>
      <c r="B537" s="2" t="s">
        <v>45</v>
      </c>
      <c r="C537" s="2"/>
      <c r="D537" s="53">
        <v>0.2916666666666667</v>
      </c>
      <c r="E537" s="13"/>
      <c r="F537" s="44" t="s">
        <v>4991</v>
      </c>
      <c r="G537" s="43">
        <v>3.0</v>
      </c>
      <c r="H537" s="42"/>
      <c r="I537" s="43">
        <v>3.0</v>
      </c>
      <c r="J537" s="22"/>
      <c r="K537" s="42"/>
    </row>
    <row r="538" ht="39.75" customHeight="1">
      <c r="A538" s="1">
        <v>537.0</v>
      </c>
      <c r="B538" s="2" t="s">
        <v>46</v>
      </c>
      <c r="C538" s="2" t="s">
        <v>27</v>
      </c>
      <c r="D538" s="13"/>
      <c r="E538" s="13"/>
      <c r="F538" s="44" t="s">
        <v>4992</v>
      </c>
      <c r="G538" s="43">
        <v>1.0</v>
      </c>
      <c r="H538" s="42"/>
      <c r="I538" s="43">
        <v>1.0</v>
      </c>
      <c r="J538" s="22"/>
      <c r="K538" s="42"/>
    </row>
    <row r="539" ht="39.75" customHeight="1">
      <c r="A539" s="1">
        <v>538.0</v>
      </c>
      <c r="B539" s="2" t="s">
        <v>47</v>
      </c>
      <c r="C539" s="2" t="s">
        <v>54</v>
      </c>
      <c r="D539" s="13"/>
      <c r="E539" s="13"/>
      <c r="F539" s="44" t="s">
        <v>4993</v>
      </c>
      <c r="G539" s="43">
        <v>1.0</v>
      </c>
      <c r="H539" s="42"/>
      <c r="I539" s="42"/>
      <c r="J539" s="22"/>
      <c r="K539" s="42"/>
    </row>
    <row r="540" ht="39.75" customHeight="1">
      <c r="A540" s="1">
        <v>539.0</v>
      </c>
      <c r="B540" s="2" t="s">
        <v>48</v>
      </c>
      <c r="C540" s="2" t="s">
        <v>39</v>
      </c>
      <c r="D540" s="53">
        <v>0.25</v>
      </c>
      <c r="E540" s="51">
        <v>0.8472222222222222</v>
      </c>
      <c r="F540" s="44" t="s">
        <v>4994</v>
      </c>
      <c r="G540" s="43">
        <v>1.0</v>
      </c>
      <c r="H540" s="43">
        <v>1.0</v>
      </c>
      <c r="I540" s="42"/>
      <c r="J540" s="22"/>
      <c r="K540" s="42"/>
    </row>
    <row r="541" ht="39.75" customHeight="1">
      <c r="A541" s="1">
        <v>540.0</v>
      </c>
      <c r="B541" s="21"/>
      <c r="C541" s="21"/>
      <c r="D541" s="21"/>
      <c r="E541" s="21"/>
      <c r="F541" s="46"/>
      <c r="G541" s="47"/>
      <c r="H541" s="47"/>
      <c r="I541" s="47"/>
      <c r="J541" s="48"/>
      <c r="K541" s="47"/>
      <c r="L541" s="49"/>
      <c r="M541" s="49"/>
      <c r="N541" s="49"/>
    </row>
    <row r="542" ht="39.75" hidden="1" customHeight="1">
      <c r="A542" s="1">
        <v>541.0</v>
      </c>
      <c r="B542" s="2" t="s">
        <v>12</v>
      </c>
      <c r="C542" s="2" t="s">
        <v>66</v>
      </c>
      <c r="D542" s="13"/>
      <c r="E542" s="13"/>
      <c r="F542" s="45"/>
      <c r="G542" s="42"/>
      <c r="H542" s="42"/>
      <c r="I542" s="42"/>
      <c r="J542" s="27" t="s">
        <v>4797</v>
      </c>
      <c r="K542" s="42"/>
      <c r="L542" s="15" t="s">
        <v>362</v>
      </c>
    </row>
    <row r="543" ht="39.75" customHeight="1">
      <c r="A543" s="1">
        <v>542.0</v>
      </c>
      <c r="B543" s="2" t="s">
        <v>16</v>
      </c>
      <c r="C543" s="2"/>
      <c r="D543" s="13"/>
      <c r="E543" s="13"/>
      <c r="F543" s="44" t="s">
        <v>4995</v>
      </c>
      <c r="G543" s="43">
        <v>2.0</v>
      </c>
      <c r="H543" s="42"/>
      <c r="I543" s="42"/>
      <c r="J543" s="27" t="s">
        <v>362</v>
      </c>
      <c r="K543" s="43"/>
    </row>
    <row r="544" ht="39.75" hidden="1" customHeight="1">
      <c r="A544" s="1">
        <v>543.0</v>
      </c>
      <c r="B544" s="2" t="s">
        <v>116</v>
      </c>
      <c r="C544" s="2" t="s">
        <v>58</v>
      </c>
      <c r="D544" s="13"/>
      <c r="E544" s="13"/>
      <c r="F544" s="45"/>
      <c r="G544" s="42"/>
      <c r="H544" s="42"/>
      <c r="I544" s="42"/>
      <c r="J544" s="27" t="s">
        <v>131</v>
      </c>
      <c r="K544" s="42"/>
    </row>
    <row r="545" ht="63.75" customHeight="1">
      <c r="A545" s="1">
        <v>544.0</v>
      </c>
      <c r="B545" s="2" t="s">
        <v>17</v>
      </c>
      <c r="C545" s="2" t="s">
        <v>69</v>
      </c>
      <c r="D545" s="13"/>
      <c r="E545" s="13"/>
      <c r="F545" s="44" t="s">
        <v>4996</v>
      </c>
      <c r="G545" s="43">
        <v>1.0</v>
      </c>
      <c r="H545" s="42"/>
      <c r="I545" s="43">
        <v>1.0</v>
      </c>
      <c r="J545" s="22"/>
      <c r="K545" s="42"/>
    </row>
    <row r="546" ht="39.75" customHeight="1">
      <c r="A546" s="1">
        <v>545.0</v>
      </c>
      <c r="B546" s="2" t="s">
        <v>331</v>
      </c>
      <c r="C546" s="2" t="s">
        <v>542</v>
      </c>
      <c r="D546" s="53">
        <v>0.25</v>
      </c>
      <c r="E546" s="13"/>
      <c r="F546" s="44" t="s">
        <v>4997</v>
      </c>
      <c r="G546" s="43">
        <v>1.0</v>
      </c>
      <c r="H546" s="42"/>
      <c r="I546" s="42"/>
      <c r="J546" s="22"/>
      <c r="K546" s="42"/>
    </row>
    <row r="547" ht="39.75" hidden="1" customHeight="1">
      <c r="A547" s="1">
        <v>546.0</v>
      </c>
      <c r="B547" s="2" t="s">
        <v>21</v>
      </c>
      <c r="C547" s="2" t="s">
        <v>66</v>
      </c>
      <c r="D547" s="13"/>
      <c r="E547" s="13"/>
      <c r="F547" s="45"/>
      <c r="G547" s="42"/>
      <c r="H547" s="42"/>
      <c r="I547" s="42"/>
      <c r="J547" s="22"/>
      <c r="K547" s="42"/>
    </row>
    <row r="548" ht="39.75" customHeight="1">
      <c r="A548" s="1">
        <v>547.0</v>
      </c>
      <c r="B548" s="2" t="s">
        <v>22</v>
      </c>
      <c r="C548" s="2" t="s">
        <v>39</v>
      </c>
      <c r="D548" s="13"/>
      <c r="E548" s="13"/>
      <c r="F548" s="44" t="s">
        <v>2691</v>
      </c>
      <c r="G548" s="43">
        <v>1.0</v>
      </c>
      <c r="H548" s="42"/>
      <c r="I548" s="43">
        <v>1.0</v>
      </c>
      <c r="J548" s="22"/>
      <c r="K548" s="42"/>
    </row>
    <row r="549" ht="39.75" customHeight="1">
      <c r="A549" s="1">
        <v>548.0</v>
      </c>
      <c r="B549" s="2" t="s">
        <v>23</v>
      </c>
      <c r="C549" s="2" t="s">
        <v>54</v>
      </c>
      <c r="D549" s="13"/>
      <c r="E549" s="13"/>
      <c r="F549" s="44" t="s">
        <v>4998</v>
      </c>
      <c r="G549" s="43">
        <v>1.0</v>
      </c>
      <c r="H549" s="42"/>
      <c r="I549" s="43">
        <v>1.0</v>
      </c>
      <c r="J549" s="22"/>
      <c r="K549" s="42"/>
    </row>
    <row r="550" ht="39.75" customHeight="1">
      <c r="A550" s="1">
        <v>549.0</v>
      </c>
      <c r="B550" s="2" t="s">
        <v>24</v>
      </c>
      <c r="C550" s="2" t="s">
        <v>63</v>
      </c>
      <c r="D550" s="13"/>
      <c r="E550" s="13"/>
      <c r="F550" s="45"/>
      <c r="G550" s="42"/>
      <c r="H550" s="42"/>
      <c r="I550" s="42"/>
      <c r="J550" s="22"/>
      <c r="K550" s="42"/>
    </row>
    <row r="551" ht="39.75" hidden="1" customHeight="1">
      <c r="A551" s="1">
        <v>550.0</v>
      </c>
      <c r="B551" s="2" t="s">
        <v>25</v>
      </c>
      <c r="C551" s="2" t="s">
        <v>58</v>
      </c>
      <c r="D551" s="13"/>
      <c r="E551" s="13"/>
      <c r="F551" s="45"/>
      <c r="G551" s="42"/>
      <c r="H551" s="42"/>
      <c r="I551" s="42"/>
      <c r="J551" s="22"/>
      <c r="K551" s="42"/>
    </row>
    <row r="552" ht="39.75" customHeight="1">
      <c r="A552" s="1">
        <v>551.0</v>
      </c>
      <c r="B552" s="2" t="s">
        <v>26</v>
      </c>
      <c r="C552" s="2" t="s">
        <v>27</v>
      </c>
      <c r="D552" s="13"/>
      <c r="E552" s="13"/>
      <c r="F552" s="44" t="s">
        <v>4999</v>
      </c>
      <c r="G552" s="43">
        <v>1.0</v>
      </c>
      <c r="H552" s="42"/>
      <c r="I552" s="43">
        <v>1.0</v>
      </c>
      <c r="J552" s="22"/>
      <c r="K552" s="42"/>
    </row>
    <row r="553" ht="39.75" customHeight="1">
      <c r="A553" s="1">
        <v>552.0</v>
      </c>
      <c r="B553" s="2" t="s">
        <v>29</v>
      </c>
      <c r="C553" s="2" t="s">
        <v>54</v>
      </c>
      <c r="D553" s="53">
        <v>0.3333333333333333</v>
      </c>
      <c r="E553" s="13"/>
      <c r="F553" s="44" t="s">
        <v>5000</v>
      </c>
      <c r="G553" s="43">
        <v>1.0</v>
      </c>
      <c r="H553" s="42"/>
      <c r="I553" s="42"/>
      <c r="J553" s="22"/>
      <c r="K553" s="42"/>
    </row>
    <row r="554" ht="39.75" customHeight="1">
      <c r="A554" s="1">
        <v>553.0</v>
      </c>
      <c r="B554" s="2" t="s">
        <v>30</v>
      </c>
      <c r="C554" s="2" t="s">
        <v>64</v>
      </c>
      <c r="D554" s="13"/>
      <c r="E554" s="13"/>
      <c r="F554" s="44" t="s">
        <v>2592</v>
      </c>
      <c r="G554" s="43">
        <v>1.0</v>
      </c>
      <c r="H554" s="42"/>
      <c r="I554" s="43">
        <v>1.0</v>
      </c>
      <c r="J554" s="22"/>
      <c r="K554" s="42"/>
    </row>
    <row r="555" ht="39.75" customHeight="1">
      <c r="A555" s="1">
        <v>554.0</v>
      </c>
      <c r="B555" s="2" t="s">
        <v>31</v>
      </c>
      <c r="C555" s="2"/>
      <c r="D555" s="13"/>
      <c r="E555" s="13"/>
      <c r="F555" s="44" t="s">
        <v>4975</v>
      </c>
      <c r="G555" s="43">
        <v>1.0</v>
      </c>
      <c r="H555" s="43">
        <v>1.0</v>
      </c>
      <c r="I555" s="42"/>
      <c r="J555" s="22"/>
      <c r="K555" s="42"/>
    </row>
    <row r="556" ht="39.75" customHeight="1">
      <c r="A556" s="1">
        <v>555.0</v>
      </c>
      <c r="B556" s="2" t="s">
        <v>32</v>
      </c>
      <c r="C556" s="2" t="s">
        <v>39</v>
      </c>
      <c r="D556" s="13"/>
      <c r="E556" s="13"/>
      <c r="F556" s="44" t="s">
        <v>5001</v>
      </c>
      <c r="G556" s="43">
        <v>2.0</v>
      </c>
      <c r="H556" s="42"/>
      <c r="I556" s="43">
        <v>1.0</v>
      </c>
      <c r="J556" s="22"/>
      <c r="K556" s="42"/>
    </row>
    <row r="557" ht="39.75" hidden="1" customHeight="1">
      <c r="A557" s="1">
        <v>556.0</v>
      </c>
      <c r="B557" s="2" t="s">
        <v>67</v>
      </c>
      <c r="C557" s="2" t="s">
        <v>58</v>
      </c>
      <c r="D557" s="13"/>
      <c r="E557" s="13"/>
      <c r="F557" s="45"/>
      <c r="G557" s="42"/>
      <c r="H557" s="42"/>
      <c r="I557" s="42"/>
      <c r="J557" s="22"/>
      <c r="K557" s="42"/>
    </row>
    <row r="558" ht="39.75" hidden="1" customHeight="1">
      <c r="A558" s="1">
        <v>557.0</v>
      </c>
      <c r="B558" s="2" t="s">
        <v>35</v>
      </c>
      <c r="C558" s="2" t="s">
        <v>66</v>
      </c>
      <c r="D558" s="13"/>
      <c r="E558" s="13"/>
      <c r="F558" s="45"/>
      <c r="G558" s="42"/>
      <c r="H558" s="42"/>
      <c r="I558" s="42"/>
      <c r="J558" s="22"/>
      <c r="K558" s="42"/>
    </row>
    <row r="559" ht="39.75" customHeight="1">
      <c r="A559" s="1">
        <v>558.0</v>
      </c>
      <c r="B559" s="2" t="s">
        <v>36</v>
      </c>
      <c r="C559" s="2"/>
      <c r="D559" s="13"/>
      <c r="E559" s="13"/>
      <c r="F559" s="44" t="s">
        <v>5002</v>
      </c>
      <c r="G559" s="43">
        <v>1.0</v>
      </c>
      <c r="H559" s="42"/>
      <c r="I559" s="42"/>
      <c r="J559" s="22"/>
      <c r="K559" s="42"/>
    </row>
    <row r="560" ht="39.75" customHeight="1">
      <c r="A560" s="1">
        <v>559.0</v>
      </c>
      <c r="B560" s="2" t="s">
        <v>38</v>
      </c>
      <c r="C560" s="2" t="s">
        <v>54</v>
      </c>
      <c r="D560" s="13"/>
      <c r="E560" s="13"/>
      <c r="F560" s="44" t="s">
        <v>5003</v>
      </c>
      <c r="G560" s="43">
        <v>1.0</v>
      </c>
      <c r="H560" s="42"/>
      <c r="I560" s="42"/>
      <c r="J560" s="22"/>
      <c r="K560" s="42"/>
    </row>
    <row r="561" ht="39.75" hidden="1" customHeight="1">
      <c r="A561" s="1">
        <v>560.0</v>
      </c>
      <c r="B561" s="2" t="s">
        <v>41</v>
      </c>
      <c r="C561" s="2" t="s">
        <v>58</v>
      </c>
      <c r="D561" s="13"/>
      <c r="E561" s="13"/>
      <c r="F561" s="45"/>
      <c r="G561" s="42"/>
      <c r="H561" s="42"/>
      <c r="I561" s="42"/>
      <c r="J561" s="22"/>
      <c r="K561" s="42"/>
    </row>
    <row r="562" ht="39.75" hidden="1" customHeight="1">
      <c r="A562" s="1">
        <v>561.0</v>
      </c>
      <c r="B562" s="2" t="s">
        <v>42</v>
      </c>
      <c r="C562" s="2" t="s">
        <v>58</v>
      </c>
      <c r="D562" s="13"/>
      <c r="E562" s="13"/>
      <c r="F562" s="45"/>
      <c r="G562" s="42"/>
      <c r="H562" s="42"/>
      <c r="I562" s="42"/>
      <c r="J562" s="22"/>
      <c r="K562" s="42"/>
    </row>
    <row r="563" ht="39.75" hidden="1" customHeight="1">
      <c r="A563" s="1">
        <v>562.0</v>
      </c>
      <c r="B563" s="2" t="s">
        <v>43</v>
      </c>
      <c r="C563" s="2" t="s">
        <v>58</v>
      </c>
      <c r="D563" s="13"/>
      <c r="E563" s="13"/>
      <c r="F563" s="45"/>
      <c r="G563" s="42"/>
      <c r="H563" s="42"/>
      <c r="I563" s="42"/>
      <c r="J563" s="22"/>
      <c r="K563" s="42"/>
    </row>
    <row r="564" ht="39.75" customHeight="1">
      <c r="A564" s="1">
        <v>563.0</v>
      </c>
      <c r="B564" s="2" t="s">
        <v>45</v>
      </c>
      <c r="C564" s="2" t="s">
        <v>69</v>
      </c>
      <c r="D564" s="13"/>
      <c r="E564" s="13"/>
      <c r="F564" s="44" t="s">
        <v>5004</v>
      </c>
      <c r="G564" s="43">
        <v>2.0</v>
      </c>
      <c r="H564" s="42"/>
      <c r="I564" s="43">
        <v>1.0</v>
      </c>
      <c r="J564" s="22"/>
      <c r="K564" s="42"/>
    </row>
    <row r="565" ht="39.75" customHeight="1">
      <c r="A565" s="1">
        <v>564.0</v>
      </c>
      <c r="B565" s="2" t="s">
        <v>46</v>
      </c>
      <c r="C565" s="2" t="s">
        <v>44</v>
      </c>
      <c r="D565" s="13"/>
      <c r="E565" s="13"/>
      <c r="F565" s="45"/>
      <c r="G565" s="42"/>
      <c r="H565" s="42"/>
      <c r="I565" s="42"/>
      <c r="J565" s="22"/>
      <c r="K565" s="42"/>
    </row>
    <row r="566" ht="39.75" customHeight="1">
      <c r="A566" s="1">
        <v>565.0</v>
      </c>
      <c r="B566" s="2" t="s">
        <v>47</v>
      </c>
      <c r="C566" s="2" t="s">
        <v>54</v>
      </c>
      <c r="D566" s="13"/>
      <c r="E566" s="13"/>
      <c r="F566" s="44" t="s">
        <v>5005</v>
      </c>
      <c r="G566" s="43">
        <v>1.0</v>
      </c>
      <c r="H566" s="42"/>
      <c r="I566" s="43">
        <v>1.0</v>
      </c>
      <c r="J566" s="22"/>
      <c r="K566" s="42"/>
    </row>
    <row r="567" ht="39.75" customHeight="1">
      <c r="A567" s="1">
        <v>566.0</v>
      </c>
      <c r="B567" s="2" t="s">
        <v>48</v>
      </c>
      <c r="C567" s="2"/>
      <c r="D567" s="13"/>
      <c r="E567" s="13"/>
      <c r="F567" s="44" t="s">
        <v>5006</v>
      </c>
      <c r="G567" s="43">
        <v>2.0</v>
      </c>
      <c r="H567" s="42"/>
      <c r="I567" s="43">
        <v>1.0</v>
      </c>
      <c r="J567" s="22"/>
      <c r="K567" s="42"/>
    </row>
    <row r="568" ht="39.75" customHeight="1">
      <c r="A568" s="1">
        <v>567.0</v>
      </c>
      <c r="B568" s="21"/>
      <c r="C568" s="21"/>
      <c r="D568" s="21"/>
      <c r="E568" s="21"/>
      <c r="F568" s="46"/>
      <c r="G568" s="47"/>
      <c r="H568" s="47"/>
      <c r="I568" s="47"/>
      <c r="J568" s="48"/>
      <c r="K568" s="47"/>
      <c r="L568" s="49"/>
      <c r="M568" s="49"/>
      <c r="N568" s="49"/>
    </row>
    <row r="569" ht="39.75" hidden="1" customHeight="1">
      <c r="A569" s="1">
        <v>568.0</v>
      </c>
      <c r="B569" s="2" t="s">
        <v>12</v>
      </c>
      <c r="C569" s="2" t="s">
        <v>13</v>
      </c>
      <c r="D569" s="13"/>
      <c r="E569" s="13"/>
      <c r="F569" s="45"/>
      <c r="G569" s="42"/>
      <c r="H569" s="42"/>
      <c r="I569" s="42"/>
      <c r="J569" s="27" t="s">
        <v>4797</v>
      </c>
      <c r="K569" s="42"/>
      <c r="L569" s="15" t="s">
        <v>369</v>
      </c>
    </row>
    <row r="570" ht="39.75" hidden="1" customHeight="1">
      <c r="A570" s="1">
        <v>569.0</v>
      </c>
      <c r="B570" s="2" t="s">
        <v>16</v>
      </c>
      <c r="C570" s="2" t="s">
        <v>13</v>
      </c>
      <c r="D570" s="13"/>
      <c r="E570" s="13"/>
      <c r="F570" s="45"/>
      <c r="G570" s="42"/>
      <c r="H570" s="42"/>
      <c r="I570" s="42"/>
      <c r="J570" s="27" t="s">
        <v>369</v>
      </c>
      <c r="K570" s="43"/>
    </row>
    <row r="571" ht="39.75" hidden="1" customHeight="1">
      <c r="A571" s="1">
        <v>570.0</v>
      </c>
      <c r="B571" s="2" t="s">
        <v>116</v>
      </c>
      <c r="C571" s="2" t="s">
        <v>13</v>
      </c>
      <c r="D571" s="13"/>
      <c r="E571" s="13"/>
      <c r="F571" s="45"/>
      <c r="G571" s="42"/>
      <c r="H571" s="42"/>
      <c r="I571" s="42"/>
      <c r="J571" s="27" t="s">
        <v>149</v>
      </c>
      <c r="K571" s="42"/>
    </row>
    <row r="572" ht="39.75" hidden="1" customHeight="1">
      <c r="A572" s="1">
        <v>571.0</v>
      </c>
      <c r="B572" s="2" t="s">
        <v>17</v>
      </c>
      <c r="C572" s="2" t="s">
        <v>13</v>
      </c>
      <c r="D572" s="13"/>
      <c r="E572" s="13"/>
      <c r="F572" s="44"/>
      <c r="G572" s="42"/>
      <c r="H572" s="42"/>
      <c r="I572" s="42"/>
      <c r="J572" s="27" t="s">
        <v>165</v>
      </c>
      <c r="K572" s="42"/>
    </row>
    <row r="573" ht="39.75" hidden="1" customHeight="1">
      <c r="A573" s="1">
        <v>572.0</v>
      </c>
      <c r="B573" s="2" t="s">
        <v>331</v>
      </c>
      <c r="C573" s="2" t="s">
        <v>13</v>
      </c>
      <c r="D573" s="13"/>
      <c r="E573" s="13"/>
      <c r="F573" s="45"/>
      <c r="G573" s="42"/>
      <c r="H573" s="42"/>
      <c r="I573" s="42"/>
      <c r="J573" s="27" t="s">
        <v>2637</v>
      </c>
      <c r="K573" s="42"/>
    </row>
    <row r="574" ht="39.75" hidden="1" customHeight="1">
      <c r="A574" s="1">
        <v>573.0</v>
      </c>
      <c r="B574" s="2" t="s">
        <v>21</v>
      </c>
      <c r="C574" s="2" t="s">
        <v>13</v>
      </c>
      <c r="D574" s="13"/>
      <c r="E574" s="13"/>
      <c r="F574" s="45"/>
      <c r="G574" s="42"/>
      <c r="H574" s="42"/>
      <c r="I574" s="42"/>
      <c r="J574" s="27" t="s">
        <v>2638</v>
      </c>
      <c r="K574" s="42"/>
    </row>
    <row r="575" ht="39.75" hidden="1" customHeight="1">
      <c r="A575" s="1">
        <v>574.0</v>
      </c>
      <c r="B575" s="2" t="s">
        <v>22</v>
      </c>
      <c r="C575" s="2" t="s">
        <v>13</v>
      </c>
      <c r="D575" s="13"/>
      <c r="E575" s="13"/>
      <c r="F575" s="45"/>
      <c r="G575" s="42"/>
      <c r="H575" s="42"/>
      <c r="I575" s="42"/>
      <c r="J575" s="22"/>
      <c r="K575" s="42"/>
    </row>
    <row r="576" ht="84.75" customHeight="1">
      <c r="A576" s="1">
        <v>575.0</v>
      </c>
      <c r="B576" s="2" t="s">
        <v>23</v>
      </c>
      <c r="C576" s="2" t="s">
        <v>39</v>
      </c>
      <c r="D576" s="13"/>
      <c r="E576" s="13"/>
      <c r="F576" s="44" t="s">
        <v>5007</v>
      </c>
      <c r="G576" s="43">
        <v>1.0</v>
      </c>
      <c r="H576" s="42"/>
      <c r="I576" s="42"/>
      <c r="J576" s="22"/>
      <c r="K576" s="42"/>
    </row>
    <row r="577" ht="39.75" customHeight="1">
      <c r="A577" s="1">
        <v>576.0</v>
      </c>
      <c r="B577" s="2" t="s">
        <v>24</v>
      </c>
      <c r="C577" s="2" t="s">
        <v>63</v>
      </c>
      <c r="D577" s="13"/>
      <c r="E577" s="13"/>
      <c r="F577" s="44" t="s">
        <v>5008</v>
      </c>
      <c r="G577" s="42"/>
      <c r="H577" s="42"/>
      <c r="I577" s="42"/>
      <c r="J577" s="22"/>
      <c r="K577" s="42"/>
    </row>
    <row r="578" ht="39.75" hidden="1" customHeight="1">
      <c r="A578" s="1">
        <v>577.0</v>
      </c>
      <c r="B578" s="2" t="s">
        <v>25</v>
      </c>
      <c r="C578" s="2" t="s">
        <v>13</v>
      </c>
      <c r="D578" s="13"/>
      <c r="E578" s="13"/>
      <c r="F578" s="45"/>
      <c r="G578" s="42"/>
      <c r="H578" s="42"/>
      <c r="I578" s="42"/>
      <c r="J578" s="22"/>
      <c r="K578" s="42"/>
    </row>
    <row r="579" ht="39.75" customHeight="1">
      <c r="A579" s="1">
        <v>578.0</v>
      </c>
      <c r="B579" s="2" t="s">
        <v>26</v>
      </c>
      <c r="C579" s="2" t="s">
        <v>44</v>
      </c>
      <c r="D579" s="13"/>
      <c r="E579" s="13"/>
      <c r="F579" s="45"/>
      <c r="G579" s="42"/>
      <c r="H579" s="42"/>
      <c r="I579" s="42"/>
      <c r="J579" s="22"/>
      <c r="K579" s="42"/>
    </row>
    <row r="580" ht="39.75" hidden="1" customHeight="1">
      <c r="A580" s="1">
        <v>579.0</v>
      </c>
      <c r="B580" s="2" t="s">
        <v>29</v>
      </c>
      <c r="C580" s="2" t="s">
        <v>13</v>
      </c>
      <c r="D580" s="13"/>
      <c r="E580" s="13"/>
      <c r="F580" s="45"/>
      <c r="G580" s="42"/>
      <c r="H580" s="42"/>
      <c r="I580" s="42"/>
      <c r="J580" s="22"/>
      <c r="K580" s="42"/>
    </row>
    <row r="581" ht="39.75" hidden="1" customHeight="1">
      <c r="A581" s="1">
        <v>580.0</v>
      </c>
      <c r="B581" s="2" t="s">
        <v>30</v>
      </c>
      <c r="C581" s="2" t="s">
        <v>13</v>
      </c>
      <c r="D581" s="13"/>
      <c r="E581" s="13"/>
      <c r="F581" s="45"/>
      <c r="G581" s="42"/>
      <c r="H581" s="42"/>
      <c r="I581" s="42"/>
      <c r="J581" s="22"/>
      <c r="K581" s="42"/>
    </row>
    <row r="582" ht="39.75" customHeight="1">
      <c r="A582" s="1">
        <v>581.0</v>
      </c>
      <c r="B582" s="2" t="s">
        <v>31</v>
      </c>
      <c r="C582" s="13"/>
      <c r="D582" s="13"/>
      <c r="E582" s="13"/>
      <c r="F582" s="44" t="s">
        <v>4975</v>
      </c>
      <c r="G582" s="43">
        <v>1.0</v>
      </c>
      <c r="H582" s="43">
        <v>1.0</v>
      </c>
      <c r="I582" s="42"/>
      <c r="J582" s="22"/>
      <c r="K582" s="42"/>
    </row>
    <row r="583" ht="39.75" customHeight="1">
      <c r="A583" s="1">
        <v>582.0</v>
      </c>
      <c r="B583" s="2" t="s">
        <v>33</v>
      </c>
      <c r="C583" s="2" t="s">
        <v>272</v>
      </c>
      <c r="D583" s="13"/>
      <c r="E583" s="13"/>
      <c r="F583" s="44" t="s">
        <v>1186</v>
      </c>
      <c r="G583" s="42"/>
      <c r="H583" s="42"/>
      <c r="I583" s="42"/>
      <c r="J583" s="22"/>
      <c r="K583" s="42"/>
    </row>
    <row r="584" ht="39.75" customHeight="1">
      <c r="A584" s="1">
        <v>583.0</v>
      </c>
      <c r="B584" s="2" t="s">
        <v>67</v>
      </c>
      <c r="C584" s="2"/>
      <c r="D584" s="40">
        <v>0.375</v>
      </c>
      <c r="E584" s="13"/>
      <c r="F584" s="44" t="s">
        <v>2881</v>
      </c>
      <c r="G584" s="43">
        <v>1.0</v>
      </c>
      <c r="H584" s="42"/>
      <c r="I584" s="43">
        <v>1.0</v>
      </c>
      <c r="J584" s="22"/>
      <c r="K584" s="42"/>
    </row>
    <row r="585" ht="39.75" hidden="1" customHeight="1">
      <c r="A585" s="1">
        <v>584.0</v>
      </c>
      <c r="B585" s="2" t="s">
        <v>35</v>
      </c>
      <c r="C585" s="2" t="s">
        <v>13</v>
      </c>
      <c r="D585" s="13"/>
      <c r="E585" s="13"/>
      <c r="F585" s="45"/>
      <c r="G585" s="42"/>
      <c r="H585" s="42"/>
      <c r="I585" s="42"/>
      <c r="J585" s="22"/>
      <c r="K585" s="42"/>
    </row>
    <row r="586" ht="39.75" hidden="1" customHeight="1">
      <c r="A586" s="1">
        <v>585.0</v>
      </c>
      <c r="B586" s="2" t="s">
        <v>36</v>
      </c>
      <c r="C586" s="2" t="s">
        <v>13</v>
      </c>
      <c r="D586" s="13"/>
      <c r="E586" s="13"/>
      <c r="F586" s="45"/>
      <c r="G586" s="42"/>
      <c r="H586" s="42"/>
      <c r="I586" s="42"/>
      <c r="J586" s="22"/>
      <c r="K586" s="42"/>
    </row>
    <row r="587" ht="39.75" customHeight="1">
      <c r="A587" s="1">
        <v>586.0</v>
      </c>
      <c r="B587" s="2" t="s">
        <v>38</v>
      </c>
      <c r="C587" s="2" t="s">
        <v>49</v>
      </c>
      <c r="D587" s="13"/>
      <c r="E587" s="13"/>
      <c r="F587" s="45"/>
      <c r="G587" s="42"/>
      <c r="H587" s="42"/>
      <c r="I587" s="42"/>
      <c r="J587" s="22"/>
      <c r="K587" s="42"/>
    </row>
    <row r="588" ht="39.75" hidden="1" customHeight="1">
      <c r="A588" s="1">
        <v>587.0</v>
      </c>
      <c r="B588" s="2" t="s">
        <v>41</v>
      </c>
      <c r="C588" s="2" t="s">
        <v>13</v>
      </c>
      <c r="D588" s="13"/>
      <c r="E588" s="13"/>
      <c r="F588" s="45"/>
      <c r="G588" s="42"/>
      <c r="H588" s="42"/>
      <c r="I588" s="42"/>
      <c r="J588" s="22"/>
      <c r="K588" s="42"/>
    </row>
    <row r="589" ht="39.75" hidden="1" customHeight="1">
      <c r="A589" s="1">
        <v>588.0</v>
      </c>
      <c r="B589" s="2" t="s">
        <v>42</v>
      </c>
      <c r="C589" s="2" t="s">
        <v>13</v>
      </c>
      <c r="D589" s="13"/>
      <c r="E589" s="13"/>
      <c r="F589" s="45"/>
      <c r="G589" s="42"/>
      <c r="H589" s="42"/>
      <c r="I589" s="42"/>
      <c r="J589" s="22"/>
      <c r="K589" s="42"/>
    </row>
    <row r="590" ht="39.75" hidden="1" customHeight="1">
      <c r="A590" s="1">
        <v>589.0</v>
      </c>
      <c r="B590" s="2" t="s">
        <v>43</v>
      </c>
      <c r="C590" s="2" t="s">
        <v>13</v>
      </c>
      <c r="D590" s="13"/>
      <c r="E590" s="13"/>
      <c r="F590" s="45"/>
      <c r="G590" s="42"/>
      <c r="H590" s="42"/>
      <c r="I590" s="42"/>
      <c r="J590" s="22"/>
      <c r="K590" s="42"/>
    </row>
    <row r="591" ht="39.75" customHeight="1">
      <c r="A591" s="1">
        <v>590.0</v>
      </c>
      <c r="B591" s="2" t="s">
        <v>45</v>
      </c>
      <c r="C591" s="2"/>
      <c r="D591" s="40">
        <v>0.375</v>
      </c>
      <c r="E591" s="13"/>
      <c r="F591" s="44" t="s">
        <v>5009</v>
      </c>
      <c r="G591" s="43">
        <v>1.0</v>
      </c>
      <c r="H591" s="42"/>
      <c r="I591" s="42"/>
      <c r="J591" s="22"/>
      <c r="K591" s="42"/>
    </row>
    <row r="592" ht="39.75" hidden="1" customHeight="1">
      <c r="A592" s="1">
        <v>591.0</v>
      </c>
      <c r="B592" s="2" t="s">
        <v>46</v>
      </c>
      <c r="C592" s="2" t="s">
        <v>13</v>
      </c>
      <c r="D592" s="13"/>
      <c r="E592" s="13"/>
      <c r="F592" s="45"/>
      <c r="G592" s="42"/>
      <c r="H592" s="42"/>
      <c r="I592" s="42"/>
      <c r="J592" s="22"/>
      <c r="K592" s="42"/>
    </row>
    <row r="593" ht="39.75" customHeight="1">
      <c r="A593" s="1">
        <v>592.0</v>
      </c>
      <c r="B593" s="2" t="s">
        <v>47</v>
      </c>
      <c r="C593" s="2" t="s">
        <v>27</v>
      </c>
      <c r="D593" s="13"/>
      <c r="E593" s="13"/>
      <c r="F593" s="45"/>
      <c r="G593" s="42"/>
      <c r="H593" s="42"/>
      <c r="I593" s="42"/>
      <c r="J593" s="22"/>
      <c r="K593" s="42"/>
    </row>
    <row r="594" ht="39.75" hidden="1" customHeight="1">
      <c r="A594" s="1">
        <v>593.0</v>
      </c>
      <c r="B594" s="2" t="s">
        <v>48</v>
      </c>
      <c r="C594" s="2" t="s">
        <v>13</v>
      </c>
      <c r="D594" s="13"/>
      <c r="E594" s="13"/>
      <c r="F594" s="45"/>
      <c r="G594" s="42"/>
      <c r="H594" s="42"/>
      <c r="I594" s="42"/>
      <c r="J594" s="22"/>
      <c r="K594" s="42"/>
    </row>
    <row r="595" ht="39.75" customHeight="1">
      <c r="A595" s="1">
        <v>594.0</v>
      </c>
      <c r="B595" s="21"/>
      <c r="C595" s="21"/>
      <c r="D595" s="21"/>
      <c r="E595" s="21"/>
      <c r="F595" s="46"/>
      <c r="G595" s="47"/>
      <c r="H595" s="47"/>
      <c r="I595" s="47"/>
      <c r="J595" s="48"/>
      <c r="K595" s="47"/>
      <c r="L595" s="49"/>
      <c r="M595" s="49"/>
      <c r="N595" s="49"/>
    </row>
    <row r="596" ht="39.75" customHeight="1">
      <c r="A596" s="1">
        <v>595.0</v>
      </c>
      <c r="B596" s="2" t="s">
        <v>12</v>
      </c>
      <c r="C596" s="2"/>
      <c r="D596" s="40">
        <v>0.375</v>
      </c>
      <c r="E596" s="13"/>
      <c r="F596" s="44" t="s">
        <v>1889</v>
      </c>
      <c r="G596" s="42"/>
      <c r="H596" s="42"/>
      <c r="I596" s="42"/>
      <c r="J596" s="27" t="s">
        <v>4797</v>
      </c>
      <c r="K596" s="42"/>
      <c r="L596" s="15" t="s">
        <v>376</v>
      </c>
    </row>
    <row r="597" ht="39.75" hidden="1" customHeight="1">
      <c r="A597" s="1">
        <v>596.0</v>
      </c>
      <c r="B597" s="2" t="s">
        <v>16</v>
      </c>
      <c r="C597" s="2" t="s">
        <v>13</v>
      </c>
      <c r="D597" s="13"/>
      <c r="E597" s="13"/>
      <c r="F597" s="45"/>
      <c r="G597" s="42"/>
      <c r="H597" s="42"/>
      <c r="I597" s="42"/>
      <c r="J597" s="27" t="s">
        <v>376</v>
      </c>
      <c r="K597" s="43"/>
    </row>
    <row r="598" ht="39.75" customHeight="1">
      <c r="A598" s="1">
        <v>597.0</v>
      </c>
      <c r="B598" s="2" t="s">
        <v>20</v>
      </c>
      <c r="C598" s="2" t="s">
        <v>271</v>
      </c>
      <c r="D598" s="13"/>
      <c r="E598" s="13"/>
      <c r="F598" s="44" t="s">
        <v>3521</v>
      </c>
      <c r="G598" s="43">
        <v>1.0</v>
      </c>
      <c r="H598" s="42"/>
      <c r="I598" s="43">
        <v>1.0</v>
      </c>
      <c r="J598" s="27" t="s">
        <v>19</v>
      </c>
      <c r="K598" s="42"/>
    </row>
    <row r="599" ht="39.75" customHeight="1">
      <c r="A599" s="1">
        <v>598.0</v>
      </c>
      <c r="B599" s="2" t="s">
        <v>263</v>
      </c>
      <c r="C599" s="2" t="s">
        <v>272</v>
      </c>
      <c r="D599" s="13"/>
      <c r="E599" s="13"/>
      <c r="F599" s="44" t="s">
        <v>1186</v>
      </c>
      <c r="G599" s="43">
        <v>1.0</v>
      </c>
      <c r="H599" s="42"/>
      <c r="I599" s="43">
        <v>1.0</v>
      </c>
      <c r="J599" s="27" t="s">
        <v>151</v>
      </c>
      <c r="K599" s="42"/>
    </row>
    <row r="600" ht="39.75" hidden="1" customHeight="1">
      <c r="A600" s="1">
        <v>599.0</v>
      </c>
      <c r="B600" s="2" t="s">
        <v>331</v>
      </c>
      <c r="C600" s="2" t="s">
        <v>13</v>
      </c>
      <c r="D600" s="13"/>
      <c r="E600" s="13"/>
      <c r="F600" s="45"/>
      <c r="G600" s="42"/>
      <c r="H600" s="42"/>
      <c r="I600" s="42"/>
      <c r="J600" s="27" t="s">
        <v>152</v>
      </c>
      <c r="K600" s="42"/>
    </row>
    <row r="601" ht="39.75" customHeight="1">
      <c r="A601" s="1">
        <v>600.0</v>
      </c>
      <c r="B601" s="2" t="s">
        <v>21</v>
      </c>
      <c r="C601" s="2" t="s">
        <v>63</v>
      </c>
      <c r="D601" s="13"/>
      <c r="E601" s="13"/>
      <c r="F601" s="44" t="s">
        <v>5010</v>
      </c>
      <c r="G601" s="42"/>
      <c r="H601" s="42"/>
      <c r="I601" s="42"/>
      <c r="J601" s="27" t="s">
        <v>154</v>
      </c>
      <c r="K601" s="42"/>
    </row>
    <row r="602" ht="39.75" hidden="1" customHeight="1">
      <c r="A602" s="1">
        <v>601.0</v>
      </c>
      <c r="B602" s="2" t="s">
        <v>22</v>
      </c>
      <c r="C602" s="2" t="s">
        <v>13</v>
      </c>
      <c r="D602" s="13"/>
      <c r="E602" s="13"/>
      <c r="F602" s="45"/>
      <c r="G602" s="42"/>
      <c r="H602" s="42"/>
      <c r="I602" s="42"/>
      <c r="J602" s="22"/>
      <c r="K602" s="42"/>
    </row>
    <row r="603" ht="39.75" hidden="1" customHeight="1">
      <c r="A603" s="1">
        <v>602.0</v>
      </c>
      <c r="B603" s="2" t="s">
        <v>23</v>
      </c>
      <c r="C603" s="2" t="s">
        <v>13</v>
      </c>
      <c r="D603" s="13"/>
      <c r="E603" s="13"/>
      <c r="F603" s="45"/>
      <c r="G603" s="42"/>
      <c r="H603" s="42"/>
      <c r="I603" s="42"/>
      <c r="J603" s="22"/>
      <c r="K603" s="42"/>
    </row>
    <row r="604" ht="39.75" hidden="1" customHeight="1">
      <c r="A604" s="1">
        <v>603.0</v>
      </c>
      <c r="B604" s="2" t="s">
        <v>24</v>
      </c>
      <c r="C604" s="2" t="s">
        <v>13</v>
      </c>
      <c r="D604" s="13"/>
      <c r="E604" s="13"/>
      <c r="F604" s="45"/>
      <c r="G604" s="42"/>
      <c r="H604" s="42"/>
      <c r="I604" s="42"/>
      <c r="J604" s="22"/>
      <c r="K604" s="42"/>
    </row>
    <row r="605" ht="39.75" hidden="1" customHeight="1">
      <c r="A605" s="1">
        <v>604.0</v>
      </c>
      <c r="B605" s="2" t="s">
        <v>25</v>
      </c>
      <c r="C605" s="2" t="s">
        <v>13</v>
      </c>
      <c r="D605" s="13"/>
      <c r="E605" s="13"/>
      <c r="F605" s="45"/>
      <c r="G605" s="42"/>
      <c r="H605" s="42"/>
      <c r="I605" s="42"/>
      <c r="J605" s="22"/>
      <c r="K605" s="42"/>
    </row>
    <row r="606" ht="39.75" hidden="1" customHeight="1">
      <c r="A606" s="1">
        <v>605.0</v>
      </c>
      <c r="B606" s="2" t="s">
        <v>26</v>
      </c>
      <c r="C606" s="2" t="s">
        <v>13</v>
      </c>
      <c r="D606" s="13"/>
      <c r="E606" s="13"/>
      <c r="F606" s="45"/>
      <c r="G606" s="42"/>
      <c r="H606" s="42"/>
      <c r="I606" s="42"/>
      <c r="J606" s="22"/>
      <c r="K606" s="42"/>
    </row>
    <row r="607" ht="54.0" customHeight="1">
      <c r="A607" s="1">
        <v>606.0</v>
      </c>
      <c r="B607" s="2" t="s">
        <v>29</v>
      </c>
      <c r="C607" s="2" t="s">
        <v>39</v>
      </c>
      <c r="D607" s="40">
        <v>0.375</v>
      </c>
      <c r="E607" s="13"/>
      <c r="F607" s="44" t="s">
        <v>5011</v>
      </c>
      <c r="G607" s="43">
        <v>1.0</v>
      </c>
      <c r="H607" s="42"/>
      <c r="I607" s="43">
        <v>1.0</v>
      </c>
      <c r="J607" s="22"/>
      <c r="K607" s="42"/>
    </row>
    <row r="608" ht="39.75" customHeight="1">
      <c r="A608" s="1">
        <v>607.0</v>
      </c>
      <c r="B608" s="2" t="s">
        <v>30</v>
      </c>
      <c r="C608" s="2"/>
      <c r="D608" s="40">
        <v>0.375</v>
      </c>
      <c r="E608" s="13"/>
      <c r="F608" s="44" t="s">
        <v>5012</v>
      </c>
      <c r="G608" s="42"/>
      <c r="H608" s="42"/>
      <c r="I608" s="42"/>
      <c r="J608" s="22"/>
      <c r="K608" s="42"/>
    </row>
    <row r="609" ht="39.75" customHeight="1">
      <c r="A609" s="1">
        <v>608.0</v>
      </c>
      <c r="B609" s="2" t="s">
        <v>31</v>
      </c>
      <c r="C609" s="13"/>
      <c r="D609" s="13"/>
      <c r="E609" s="13"/>
      <c r="F609" s="44" t="s">
        <v>5013</v>
      </c>
      <c r="G609" s="43">
        <v>1.0</v>
      </c>
      <c r="H609" s="43">
        <v>1.0</v>
      </c>
      <c r="I609" s="42"/>
      <c r="J609" s="22"/>
      <c r="K609" s="42"/>
    </row>
    <row r="610" ht="39.75" hidden="1" customHeight="1">
      <c r="A610" s="1">
        <v>609.0</v>
      </c>
      <c r="B610" s="2" t="s">
        <v>32</v>
      </c>
      <c r="C610" s="2" t="s">
        <v>13</v>
      </c>
      <c r="D610" s="13"/>
      <c r="E610" s="13"/>
      <c r="F610" s="45"/>
      <c r="G610" s="42"/>
      <c r="H610" s="42"/>
      <c r="I610" s="42"/>
      <c r="J610" s="22"/>
      <c r="K610" s="42"/>
    </row>
    <row r="611" ht="39.75" hidden="1" customHeight="1">
      <c r="A611" s="1">
        <v>610.0</v>
      </c>
      <c r="B611" s="2" t="s">
        <v>67</v>
      </c>
      <c r="C611" s="2" t="s">
        <v>13</v>
      </c>
      <c r="D611" s="13"/>
      <c r="E611" s="13"/>
      <c r="F611" s="45"/>
      <c r="G611" s="42"/>
      <c r="H611" s="42"/>
      <c r="I611" s="42"/>
      <c r="J611" s="22"/>
      <c r="K611" s="42"/>
    </row>
    <row r="612" ht="39.75" hidden="1" customHeight="1">
      <c r="A612" s="1">
        <v>611.0</v>
      </c>
      <c r="B612" s="2" t="s">
        <v>35</v>
      </c>
      <c r="C612" s="2" t="s">
        <v>13</v>
      </c>
      <c r="D612" s="13"/>
      <c r="E612" s="13"/>
      <c r="F612" s="45"/>
      <c r="G612" s="42"/>
      <c r="H612" s="42"/>
      <c r="I612" s="42"/>
      <c r="J612" s="22"/>
      <c r="K612" s="42"/>
    </row>
    <row r="613" ht="39.75" customHeight="1">
      <c r="A613" s="1">
        <v>612.0</v>
      </c>
      <c r="B613" s="2" t="s">
        <v>36</v>
      </c>
      <c r="C613" s="2" t="s">
        <v>49</v>
      </c>
      <c r="D613" s="13"/>
      <c r="E613" s="40">
        <v>0.7708333333333334</v>
      </c>
      <c r="F613" s="44" t="s">
        <v>5014</v>
      </c>
      <c r="G613" s="43">
        <v>1.0</v>
      </c>
      <c r="H613" s="42"/>
      <c r="I613" s="43">
        <v>1.0</v>
      </c>
      <c r="J613" s="22"/>
      <c r="K613" s="42"/>
    </row>
    <row r="614" ht="39.75" hidden="1" customHeight="1">
      <c r="A614" s="1">
        <v>613.0</v>
      </c>
      <c r="B614" s="2" t="s">
        <v>38</v>
      </c>
      <c r="C614" s="2" t="s">
        <v>13</v>
      </c>
      <c r="D614" s="13"/>
      <c r="E614" s="13"/>
      <c r="F614" s="45"/>
      <c r="G614" s="42"/>
      <c r="H614" s="42"/>
      <c r="I614" s="42"/>
      <c r="J614" s="22"/>
      <c r="K614" s="42"/>
    </row>
    <row r="615" ht="39.75" hidden="1" customHeight="1">
      <c r="A615" s="1">
        <v>614.0</v>
      </c>
      <c r="B615" s="2" t="s">
        <v>41</v>
      </c>
      <c r="C615" s="2" t="s">
        <v>13</v>
      </c>
      <c r="D615" s="13"/>
      <c r="E615" s="13"/>
      <c r="F615" s="45"/>
      <c r="G615" s="42"/>
      <c r="H615" s="42"/>
      <c r="I615" s="42"/>
      <c r="J615" s="22"/>
      <c r="K615" s="42"/>
    </row>
    <row r="616" ht="39.75" hidden="1" customHeight="1">
      <c r="A616" s="1">
        <v>615.0</v>
      </c>
      <c r="B616" s="2" t="s">
        <v>42</v>
      </c>
      <c r="C616" s="2" t="s">
        <v>13</v>
      </c>
      <c r="D616" s="13"/>
      <c r="E616" s="13"/>
      <c r="F616" s="45"/>
      <c r="G616" s="42"/>
      <c r="H616" s="42"/>
      <c r="I616" s="42"/>
      <c r="J616" s="22"/>
      <c r="K616" s="42"/>
    </row>
    <row r="617" ht="39.75" hidden="1" customHeight="1">
      <c r="A617" s="1">
        <v>616.0</v>
      </c>
      <c r="B617" s="2" t="s">
        <v>43</v>
      </c>
      <c r="C617" s="2" t="s">
        <v>13</v>
      </c>
      <c r="D617" s="13"/>
      <c r="E617" s="13"/>
      <c r="F617" s="45"/>
      <c r="G617" s="42"/>
      <c r="H617" s="42"/>
      <c r="I617" s="42"/>
      <c r="J617" s="22"/>
      <c r="K617" s="42"/>
    </row>
    <row r="618" ht="39.75" hidden="1" customHeight="1">
      <c r="A618" s="1">
        <v>617.0</v>
      </c>
      <c r="B618" s="2" t="s">
        <v>45</v>
      </c>
      <c r="C618" s="2" t="s">
        <v>13</v>
      </c>
      <c r="D618" s="13"/>
      <c r="E618" s="13"/>
      <c r="F618" s="45"/>
      <c r="G618" s="42"/>
      <c r="H618" s="42"/>
      <c r="I618" s="42"/>
      <c r="J618" s="22"/>
      <c r="K618" s="42"/>
    </row>
    <row r="619" ht="39.75" customHeight="1">
      <c r="A619" s="1">
        <v>618.0</v>
      </c>
      <c r="B619" s="2" t="s">
        <v>46</v>
      </c>
      <c r="C619" s="2" t="s">
        <v>27</v>
      </c>
      <c r="D619" s="13"/>
      <c r="E619" s="13"/>
      <c r="F619" s="45"/>
      <c r="G619" s="42"/>
      <c r="H619" s="42"/>
      <c r="I619" s="42"/>
      <c r="J619" s="22"/>
      <c r="K619" s="42"/>
    </row>
    <row r="620" ht="39.75" customHeight="1">
      <c r="A620" s="1">
        <v>619.0</v>
      </c>
      <c r="B620" s="2" t="s">
        <v>47</v>
      </c>
      <c r="C620" s="2" t="s">
        <v>44</v>
      </c>
      <c r="D620" s="13"/>
      <c r="E620" s="13"/>
      <c r="F620" s="45"/>
      <c r="G620" s="42"/>
      <c r="H620" s="42"/>
      <c r="I620" s="42"/>
      <c r="J620" s="22"/>
      <c r="K620" s="42"/>
    </row>
    <row r="621" ht="39.75" hidden="1" customHeight="1">
      <c r="A621" s="1">
        <v>620.0</v>
      </c>
      <c r="B621" s="2" t="s">
        <v>48</v>
      </c>
      <c r="C621" s="2" t="s">
        <v>13</v>
      </c>
      <c r="D621" s="13"/>
      <c r="E621" s="13"/>
      <c r="F621" s="45"/>
      <c r="G621" s="42"/>
      <c r="H621" s="42"/>
      <c r="I621" s="42"/>
      <c r="J621" s="22"/>
      <c r="K621" s="42"/>
    </row>
    <row r="622" ht="39.75" customHeight="1">
      <c r="A622" s="1">
        <v>621.0</v>
      </c>
      <c r="B622" s="21"/>
      <c r="C622" s="21"/>
      <c r="D622" s="21"/>
      <c r="E622" s="21"/>
      <c r="F622" s="46"/>
      <c r="G622" s="47"/>
      <c r="H622" s="47"/>
      <c r="I622" s="47"/>
      <c r="J622" s="48"/>
      <c r="K622" s="47"/>
      <c r="L622" s="49"/>
      <c r="M622" s="49"/>
      <c r="N622" s="49"/>
    </row>
    <row r="623" ht="39.75" customHeight="1">
      <c r="A623" s="1">
        <v>622.0</v>
      </c>
      <c r="B623" s="2" t="s">
        <v>12</v>
      </c>
      <c r="C623" s="2" t="s">
        <v>62</v>
      </c>
      <c r="D623" s="13"/>
      <c r="E623" s="13"/>
      <c r="F623" s="44" t="s">
        <v>1543</v>
      </c>
      <c r="G623" s="43">
        <v>1.0</v>
      </c>
      <c r="H623" s="42"/>
      <c r="I623" s="43">
        <v>1.0</v>
      </c>
      <c r="J623" s="27" t="s">
        <v>4797</v>
      </c>
      <c r="K623" s="42"/>
      <c r="L623" s="15" t="s">
        <v>389</v>
      </c>
    </row>
    <row r="624" ht="39.75" hidden="1" customHeight="1">
      <c r="A624" s="1">
        <v>623.0</v>
      </c>
      <c r="B624" s="2" t="s">
        <v>16</v>
      </c>
      <c r="C624" s="2" t="s">
        <v>58</v>
      </c>
      <c r="D624" s="13"/>
      <c r="E624" s="13"/>
      <c r="F624" s="45"/>
      <c r="G624" s="42"/>
      <c r="H624" s="42"/>
      <c r="I624" s="42"/>
      <c r="J624" s="27" t="s">
        <v>389</v>
      </c>
      <c r="K624" s="43"/>
    </row>
    <row r="625" ht="39.75" customHeight="1">
      <c r="A625" s="1">
        <v>624.0</v>
      </c>
      <c r="B625" s="2" t="s">
        <v>116</v>
      </c>
      <c r="C625" s="2" t="s">
        <v>54</v>
      </c>
      <c r="D625" s="53">
        <v>0.2777777777777778</v>
      </c>
      <c r="E625" s="40">
        <v>0.7916666666666666</v>
      </c>
      <c r="F625" s="44" t="s">
        <v>5015</v>
      </c>
      <c r="G625" s="43">
        <v>1.0</v>
      </c>
      <c r="H625" s="43">
        <v>1.0</v>
      </c>
      <c r="I625" s="42"/>
      <c r="J625" s="27" t="s">
        <v>56</v>
      </c>
      <c r="K625" s="42"/>
    </row>
    <row r="626" ht="39.75" hidden="1" customHeight="1">
      <c r="A626" s="1">
        <v>625.0</v>
      </c>
      <c r="B626" s="2" t="s">
        <v>17</v>
      </c>
      <c r="C626" s="2" t="s">
        <v>58</v>
      </c>
      <c r="D626" s="13"/>
      <c r="E626" s="13"/>
      <c r="F626" s="44"/>
      <c r="G626" s="42"/>
      <c r="H626" s="42"/>
      <c r="I626" s="42"/>
      <c r="J626" s="22"/>
      <c r="K626" s="42"/>
    </row>
    <row r="627" ht="39.75" customHeight="1">
      <c r="A627" s="1">
        <v>626.0</v>
      </c>
      <c r="B627" s="2" t="s">
        <v>331</v>
      </c>
      <c r="C627" s="2" t="s">
        <v>542</v>
      </c>
      <c r="D627" s="13"/>
      <c r="E627" s="13"/>
      <c r="F627" s="45"/>
      <c r="G627" s="42"/>
      <c r="H627" s="42"/>
      <c r="I627" s="42"/>
      <c r="J627" s="22"/>
      <c r="K627" s="42"/>
    </row>
    <row r="628" ht="39.75" customHeight="1">
      <c r="A628" s="1">
        <v>627.0</v>
      </c>
      <c r="B628" s="2" t="s">
        <v>21</v>
      </c>
      <c r="C628" s="2" t="s">
        <v>63</v>
      </c>
      <c r="D628" s="13"/>
      <c r="E628" s="13"/>
      <c r="F628" s="45"/>
      <c r="G628" s="42"/>
      <c r="H628" s="42"/>
      <c r="I628" s="42"/>
      <c r="J628" s="22"/>
      <c r="K628" s="42"/>
    </row>
    <row r="629" ht="39.75" customHeight="1">
      <c r="A629" s="1">
        <v>628.0</v>
      </c>
      <c r="B629" s="2" t="s">
        <v>22</v>
      </c>
      <c r="C629" s="2" t="s">
        <v>69</v>
      </c>
      <c r="D629" s="13"/>
      <c r="E629" s="13"/>
      <c r="F629" s="44" t="s">
        <v>5016</v>
      </c>
      <c r="G629" s="43">
        <v>2.0</v>
      </c>
      <c r="H629" s="42"/>
      <c r="I629" s="43">
        <v>1.0</v>
      </c>
      <c r="J629" s="22"/>
      <c r="K629" s="42"/>
    </row>
    <row r="630" ht="39.75" customHeight="1">
      <c r="A630" s="1">
        <v>629.0</v>
      </c>
      <c r="B630" s="2" t="s">
        <v>23</v>
      </c>
      <c r="C630" s="2" t="s">
        <v>27</v>
      </c>
      <c r="D630" s="13"/>
      <c r="E630" s="13"/>
      <c r="F630" s="44" t="s">
        <v>5017</v>
      </c>
      <c r="G630" s="43">
        <v>1.0</v>
      </c>
      <c r="H630" s="42"/>
      <c r="I630" s="43">
        <v>1.0</v>
      </c>
      <c r="J630" s="22"/>
      <c r="K630" s="42"/>
    </row>
    <row r="631" ht="39.75" hidden="1" customHeight="1">
      <c r="A631" s="1">
        <v>630.0</v>
      </c>
      <c r="B631" s="2" t="s">
        <v>24</v>
      </c>
      <c r="C631" s="2" t="s">
        <v>58</v>
      </c>
      <c r="D631" s="13"/>
      <c r="E631" s="13"/>
      <c r="F631" s="45"/>
      <c r="G631" s="42"/>
      <c r="H631" s="42"/>
      <c r="I631" s="42"/>
      <c r="J631" s="22"/>
      <c r="K631" s="42"/>
    </row>
    <row r="632" ht="39.75" customHeight="1">
      <c r="A632" s="1">
        <v>631.0</v>
      </c>
      <c r="B632" s="2" t="s">
        <v>25</v>
      </c>
      <c r="C632" s="2" t="s">
        <v>54</v>
      </c>
      <c r="D632" s="13"/>
      <c r="E632" s="13"/>
      <c r="F632" s="44" t="s">
        <v>5018</v>
      </c>
      <c r="G632" s="43">
        <v>1.0</v>
      </c>
      <c r="H632" s="42"/>
      <c r="I632" s="42"/>
      <c r="J632" s="22"/>
      <c r="K632" s="42"/>
    </row>
    <row r="633" ht="39.75" customHeight="1">
      <c r="A633" s="1">
        <v>632.0</v>
      </c>
      <c r="B633" s="2" t="s">
        <v>26</v>
      </c>
      <c r="C633" s="2" t="s">
        <v>39</v>
      </c>
      <c r="D633" s="53">
        <v>0.2569444444444444</v>
      </c>
      <c r="E633" s="13"/>
      <c r="F633" s="44" t="s">
        <v>5019</v>
      </c>
      <c r="G633" s="43">
        <v>1.0</v>
      </c>
      <c r="H633" s="42"/>
      <c r="I633" s="43">
        <v>1.0</v>
      </c>
      <c r="J633" s="22"/>
      <c r="K633" s="42"/>
    </row>
    <row r="634" ht="39.75" customHeight="1">
      <c r="A634" s="1">
        <v>633.0</v>
      </c>
      <c r="B634" s="2" t="s">
        <v>29</v>
      </c>
      <c r="C634" s="2"/>
      <c r="D634" s="13"/>
      <c r="E634" s="13"/>
      <c r="F634" s="44" t="s">
        <v>5020</v>
      </c>
      <c r="G634" s="43">
        <v>1.0</v>
      </c>
      <c r="H634" s="42"/>
      <c r="I634" s="43">
        <v>1.0</v>
      </c>
      <c r="J634" s="22"/>
      <c r="K634" s="42"/>
    </row>
    <row r="635" ht="39.75" customHeight="1">
      <c r="A635" s="1">
        <v>634.0</v>
      </c>
      <c r="B635" s="2" t="s">
        <v>30</v>
      </c>
      <c r="C635" s="2" t="s">
        <v>64</v>
      </c>
      <c r="D635" s="13"/>
      <c r="E635" s="13"/>
      <c r="F635" s="44" t="s">
        <v>2592</v>
      </c>
      <c r="G635" s="43">
        <v>1.0</v>
      </c>
      <c r="H635" s="42"/>
      <c r="I635" s="43">
        <v>1.0</v>
      </c>
      <c r="J635" s="22"/>
      <c r="K635" s="42"/>
    </row>
    <row r="636" ht="39.75" hidden="1" customHeight="1">
      <c r="A636" s="1">
        <v>635.0</v>
      </c>
      <c r="B636" s="2" t="s">
        <v>31</v>
      </c>
      <c r="C636" s="2" t="s">
        <v>58</v>
      </c>
      <c r="D636" s="13"/>
      <c r="E636" s="13"/>
      <c r="F636" s="44"/>
      <c r="G636" s="42"/>
      <c r="H636" s="42"/>
      <c r="I636" s="42"/>
      <c r="J636" s="22"/>
      <c r="K636" s="42"/>
    </row>
    <row r="637" ht="39.75" customHeight="1">
      <c r="A637" s="1">
        <v>636.0</v>
      </c>
      <c r="B637" s="2" t="s">
        <v>32</v>
      </c>
      <c r="C637" s="2"/>
      <c r="D637" s="13"/>
      <c r="E637" s="13"/>
      <c r="F637" s="44" t="s">
        <v>1331</v>
      </c>
      <c r="G637" s="43">
        <v>1.0</v>
      </c>
      <c r="H637" s="42"/>
      <c r="I637" s="43">
        <v>1.0</v>
      </c>
      <c r="J637" s="22"/>
      <c r="K637" s="42"/>
    </row>
    <row r="638" ht="39.75" customHeight="1">
      <c r="A638" s="1">
        <v>637.0</v>
      </c>
      <c r="B638" s="2" t="s">
        <v>67</v>
      </c>
      <c r="C638" s="2" t="s">
        <v>69</v>
      </c>
      <c r="D638" s="13"/>
      <c r="E638" s="40">
        <v>0.8333333333333334</v>
      </c>
      <c r="F638" s="44" t="s">
        <v>5021</v>
      </c>
      <c r="G638" s="43">
        <v>1.0</v>
      </c>
      <c r="H638" s="42"/>
      <c r="I638" s="42"/>
      <c r="J638" s="22"/>
      <c r="K638" s="42"/>
    </row>
    <row r="639" ht="39.75" customHeight="1">
      <c r="A639" s="1">
        <v>638.0</v>
      </c>
      <c r="B639" s="2" t="s">
        <v>35</v>
      </c>
      <c r="C639" s="2" t="s">
        <v>39</v>
      </c>
      <c r="D639" s="40">
        <v>0.2916666666666667</v>
      </c>
      <c r="E639" s="13"/>
      <c r="F639" s="44" t="s">
        <v>2691</v>
      </c>
      <c r="G639" s="43">
        <v>1.0</v>
      </c>
      <c r="H639" s="42"/>
      <c r="I639" s="43">
        <v>1.0</v>
      </c>
      <c r="J639" s="22"/>
      <c r="K639" s="42"/>
    </row>
    <row r="640" ht="39.75" customHeight="1">
      <c r="A640" s="1">
        <v>639.0</v>
      </c>
      <c r="B640" s="2" t="s">
        <v>36</v>
      </c>
      <c r="C640" s="2"/>
      <c r="D640" s="13"/>
      <c r="E640" s="13"/>
      <c r="F640" s="44" t="s">
        <v>5022</v>
      </c>
      <c r="G640" s="43">
        <v>1.0</v>
      </c>
      <c r="H640" s="42"/>
      <c r="I640" s="42"/>
      <c r="J640" s="22"/>
      <c r="K640" s="42"/>
    </row>
    <row r="641" ht="39.75" customHeight="1">
      <c r="A641" s="1">
        <v>640.0</v>
      </c>
      <c r="B641" s="2" t="s">
        <v>38</v>
      </c>
      <c r="C641" s="2" t="s">
        <v>69</v>
      </c>
      <c r="D641" s="13"/>
      <c r="E641" s="13"/>
      <c r="F641" s="44" t="s">
        <v>5023</v>
      </c>
      <c r="G641" s="43">
        <v>2.0</v>
      </c>
      <c r="H641" s="42"/>
      <c r="I641" s="43">
        <v>2.0</v>
      </c>
      <c r="J641" s="22"/>
      <c r="K641" s="42"/>
    </row>
    <row r="642" ht="39.75" hidden="1" customHeight="1">
      <c r="A642" s="1">
        <v>641.0</v>
      </c>
      <c r="B642" s="2" t="s">
        <v>41</v>
      </c>
      <c r="C642" s="2" t="s">
        <v>58</v>
      </c>
      <c r="D642" s="13"/>
      <c r="E642" s="13"/>
      <c r="F642" s="45"/>
      <c r="G642" s="42"/>
      <c r="H642" s="42"/>
      <c r="I642" s="42"/>
      <c r="J642" s="22"/>
      <c r="K642" s="42"/>
    </row>
    <row r="643" ht="39.75" hidden="1" customHeight="1">
      <c r="A643" s="1">
        <v>642.0</v>
      </c>
      <c r="B643" s="2" t="s">
        <v>42</v>
      </c>
      <c r="C643" s="2" t="s">
        <v>66</v>
      </c>
      <c r="D643" s="13"/>
      <c r="E643" s="13"/>
      <c r="F643" s="45"/>
      <c r="G643" s="42"/>
      <c r="H643" s="42"/>
      <c r="I643" s="42"/>
      <c r="J643" s="22"/>
      <c r="K643" s="42"/>
    </row>
    <row r="644" ht="39.75" customHeight="1">
      <c r="A644" s="1">
        <v>643.0</v>
      </c>
      <c r="B644" s="2" t="s">
        <v>43</v>
      </c>
      <c r="C644" s="2"/>
      <c r="D644" s="13"/>
      <c r="E644" s="13"/>
      <c r="F644" s="44" t="s">
        <v>5024</v>
      </c>
      <c r="G644" s="43">
        <v>1.0</v>
      </c>
      <c r="H644" s="42"/>
      <c r="I644" s="43">
        <v>1.0</v>
      </c>
      <c r="J644" s="22"/>
      <c r="K644" s="42"/>
    </row>
    <row r="645" ht="39.75" customHeight="1">
      <c r="A645" s="1">
        <v>644.0</v>
      </c>
      <c r="B645" s="2" t="s">
        <v>45</v>
      </c>
      <c r="C645" s="2" t="s">
        <v>54</v>
      </c>
      <c r="D645" s="53">
        <v>0.3263888888888889</v>
      </c>
      <c r="E645" s="13"/>
      <c r="F645" s="159" t="s">
        <v>5025</v>
      </c>
      <c r="G645" s="43">
        <v>2.0</v>
      </c>
      <c r="H645" s="42"/>
      <c r="I645" s="43"/>
      <c r="J645" s="22"/>
      <c r="K645" s="42"/>
    </row>
    <row r="646" ht="39.75" customHeight="1">
      <c r="A646" s="1">
        <v>645.0</v>
      </c>
      <c r="B646" s="2" t="s">
        <v>46</v>
      </c>
      <c r="C646" s="2" t="s">
        <v>44</v>
      </c>
      <c r="D646" s="13"/>
      <c r="E646" s="13"/>
      <c r="F646" s="45"/>
      <c r="G646" s="42"/>
      <c r="H646" s="42"/>
      <c r="I646" s="42"/>
      <c r="J646" s="22"/>
      <c r="K646" s="42"/>
    </row>
    <row r="647" ht="39.75" customHeight="1">
      <c r="A647" s="1">
        <v>646.0</v>
      </c>
      <c r="B647" s="2" t="s">
        <v>47</v>
      </c>
      <c r="C647" s="2" t="s">
        <v>54</v>
      </c>
      <c r="D647" s="53">
        <v>0.3402777777777778</v>
      </c>
      <c r="E647" s="13"/>
      <c r="F647" s="44" t="s">
        <v>5026</v>
      </c>
      <c r="G647" s="43">
        <v>2.0</v>
      </c>
      <c r="H647" s="42"/>
      <c r="I647" s="42"/>
      <c r="J647" s="22"/>
      <c r="K647" s="42"/>
    </row>
    <row r="648" ht="39.75" customHeight="1">
      <c r="A648" s="1">
        <v>647.0</v>
      </c>
      <c r="B648" s="2" t="s">
        <v>48</v>
      </c>
      <c r="C648" s="2"/>
      <c r="D648" s="13"/>
      <c r="E648" s="13"/>
      <c r="F648" s="44" t="s">
        <v>5027</v>
      </c>
      <c r="G648" s="43">
        <v>3.0</v>
      </c>
      <c r="H648" s="42"/>
      <c r="I648" s="43">
        <v>1.0</v>
      </c>
      <c r="J648" s="22"/>
      <c r="K648" s="42"/>
    </row>
    <row r="649" ht="39.75" customHeight="1">
      <c r="A649" s="1">
        <v>648.0</v>
      </c>
      <c r="B649" s="21"/>
      <c r="C649" s="21"/>
      <c r="D649" s="21"/>
      <c r="E649" s="21"/>
      <c r="F649" s="46"/>
      <c r="G649" s="47"/>
      <c r="H649" s="47"/>
      <c r="I649" s="47"/>
      <c r="J649" s="48"/>
      <c r="K649" s="47"/>
      <c r="L649" s="49"/>
      <c r="M649" s="49"/>
      <c r="N649" s="49"/>
    </row>
    <row r="650" ht="39.75" customHeight="1">
      <c r="A650" s="1">
        <v>649.0</v>
      </c>
      <c r="B650" s="2" t="s">
        <v>12</v>
      </c>
      <c r="C650" s="2" t="s">
        <v>62</v>
      </c>
      <c r="D650" s="13"/>
      <c r="E650" s="13"/>
      <c r="F650" s="44" t="s">
        <v>1543</v>
      </c>
      <c r="G650" s="43">
        <v>1.0</v>
      </c>
      <c r="H650" s="42"/>
      <c r="I650" s="43">
        <v>1.0</v>
      </c>
      <c r="J650" s="27" t="s">
        <v>4797</v>
      </c>
      <c r="K650" s="42"/>
      <c r="L650" s="15" t="s">
        <v>406</v>
      </c>
    </row>
    <row r="651" ht="39.75" hidden="1" customHeight="1">
      <c r="A651" s="1">
        <v>650.0</v>
      </c>
      <c r="B651" s="2" t="s">
        <v>16</v>
      </c>
      <c r="C651" s="2" t="s">
        <v>58</v>
      </c>
      <c r="D651" s="13"/>
      <c r="E651" s="13"/>
      <c r="F651" s="45"/>
      <c r="G651" s="42"/>
      <c r="H651" s="42"/>
      <c r="I651" s="42"/>
      <c r="J651" s="27" t="s">
        <v>406</v>
      </c>
      <c r="K651" s="43"/>
    </row>
    <row r="652" ht="39.75" customHeight="1">
      <c r="A652" s="1">
        <v>651.0</v>
      </c>
      <c r="B652" s="2" t="s">
        <v>116</v>
      </c>
      <c r="C652" s="2"/>
      <c r="D652" s="13"/>
      <c r="E652" s="13"/>
      <c r="F652" s="44" t="s">
        <v>5028</v>
      </c>
      <c r="G652" s="43">
        <v>1.0</v>
      </c>
      <c r="H652" s="42"/>
      <c r="I652" s="42"/>
      <c r="J652" s="27" t="s">
        <v>77</v>
      </c>
      <c r="K652" s="42"/>
    </row>
    <row r="653" ht="39.75" hidden="1" customHeight="1">
      <c r="A653" s="1">
        <v>652.0</v>
      </c>
      <c r="B653" s="2" t="s">
        <v>17</v>
      </c>
      <c r="C653" s="2" t="s">
        <v>58</v>
      </c>
      <c r="D653" s="13"/>
      <c r="E653" s="13"/>
      <c r="F653" s="44"/>
      <c r="G653" s="42"/>
      <c r="H653" s="42"/>
      <c r="I653" s="42"/>
      <c r="J653" s="22"/>
      <c r="K653" s="42"/>
    </row>
    <row r="654" ht="39.75" customHeight="1">
      <c r="A654" s="1">
        <v>653.0</v>
      </c>
      <c r="B654" s="2" t="s">
        <v>331</v>
      </c>
      <c r="C654" s="2" t="s">
        <v>542</v>
      </c>
      <c r="D654" s="13"/>
      <c r="E654" s="13"/>
      <c r="F654" s="45"/>
      <c r="G654" s="42"/>
      <c r="H654" s="42"/>
      <c r="I654" s="42"/>
      <c r="J654" s="22"/>
      <c r="K654" s="42"/>
    </row>
    <row r="655" ht="39.75" customHeight="1">
      <c r="A655" s="1">
        <v>654.0</v>
      </c>
      <c r="B655" s="2" t="s">
        <v>21</v>
      </c>
      <c r="C655" s="2" t="s">
        <v>63</v>
      </c>
      <c r="D655" s="13"/>
      <c r="E655" s="13"/>
      <c r="F655" s="45"/>
      <c r="G655" s="42"/>
      <c r="H655" s="42"/>
      <c r="I655" s="42"/>
      <c r="J655" s="22"/>
      <c r="K655" s="42"/>
    </row>
    <row r="656" ht="39.75" hidden="1" customHeight="1">
      <c r="A656" s="1">
        <v>655.0</v>
      </c>
      <c r="B656" s="2" t="s">
        <v>22</v>
      </c>
      <c r="C656" s="2" t="s">
        <v>58</v>
      </c>
      <c r="D656" s="13"/>
      <c r="E656" s="13"/>
      <c r="F656" s="45"/>
      <c r="G656" s="42"/>
      <c r="H656" s="42"/>
      <c r="I656" s="42"/>
      <c r="J656" s="22"/>
      <c r="K656" s="42"/>
    </row>
    <row r="657" ht="39.75" customHeight="1">
      <c r="A657" s="1">
        <v>656.0</v>
      </c>
      <c r="B657" s="2" t="s">
        <v>23</v>
      </c>
      <c r="C657" s="2" t="s">
        <v>44</v>
      </c>
      <c r="D657" s="13"/>
      <c r="E657" s="13"/>
      <c r="F657" s="45"/>
      <c r="G657" s="42"/>
      <c r="H657" s="42"/>
      <c r="I657" s="42"/>
      <c r="J657" s="22"/>
      <c r="K657" s="42"/>
    </row>
    <row r="658" ht="39.75" hidden="1" customHeight="1">
      <c r="A658" s="1">
        <v>657.0</v>
      </c>
      <c r="B658" s="2" t="s">
        <v>24</v>
      </c>
      <c r="C658" s="2" t="s">
        <v>58</v>
      </c>
      <c r="D658" s="13"/>
      <c r="E658" s="13"/>
      <c r="F658" s="45"/>
      <c r="G658" s="42"/>
      <c r="H658" s="42"/>
      <c r="I658" s="42"/>
      <c r="J658" s="22"/>
      <c r="K658" s="42"/>
    </row>
    <row r="659" ht="39.75" customHeight="1">
      <c r="A659" s="1">
        <v>658.0</v>
      </c>
      <c r="B659" s="2" t="s">
        <v>25</v>
      </c>
      <c r="C659" s="2" t="s">
        <v>54</v>
      </c>
      <c r="D659" s="13"/>
      <c r="E659" s="13"/>
      <c r="F659" s="44" t="s">
        <v>5029</v>
      </c>
      <c r="G659" s="43">
        <v>1.0</v>
      </c>
      <c r="H659" s="43">
        <v>1.0</v>
      </c>
      <c r="I659" s="42"/>
      <c r="J659" s="22"/>
      <c r="K659" s="42"/>
    </row>
    <row r="660" ht="39.75" customHeight="1">
      <c r="A660" s="1">
        <v>659.0</v>
      </c>
      <c r="B660" s="2" t="s">
        <v>26</v>
      </c>
      <c r="C660" s="2"/>
      <c r="D660" s="13"/>
      <c r="E660" s="13"/>
      <c r="F660" s="44" t="s">
        <v>5030</v>
      </c>
      <c r="G660" s="43">
        <v>1.0</v>
      </c>
      <c r="H660" s="42"/>
      <c r="I660" s="43">
        <v>1.0</v>
      </c>
      <c r="J660" s="22"/>
      <c r="K660" s="42"/>
    </row>
    <row r="661" ht="39.75" customHeight="1">
      <c r="A661" s="1">
        <v>660.0</v>
      </c>
      <c r="B661" s="2" t="s">
        <v>29</v>
      </c>
      <c r="C661" s="2" t="s">
        <v>69</v>
      </c>
      <c r="D661" s="13"/>
      <c r="E661" s="13"/>
      <c r="F661" s="44"/>
      <c r="G661" s="43"/>
      <c r="H661" s="42"/>
      <c r="I661" s="42"/>
      <c r="J661" s="22"/>
      <c r="K661" s="42"/>
    </row>
    <row r="662" ht="39.75" customHeight="1">
      <c r="A662" s="1">
        <v>661.0</v>
      </c>
      <c r="B662" s="2" t="s">
        <v>30</v>
      </c>
      <c r="C662" s="2" t="s">
        <v>64</v>
      </c>
      <c r="D662" s="13"/>
      <c r="E662" s="13"/>
      <c r="F662" s="44" t="s">
        <v>2592</v>
      </c>
      <c r="G662" s="43">
        <v>1.0</v>
      </c>
      <c r="H662" s="42"/>
      <c r="I662" s="43">
        <v>1.0</v>
      </c>
      <c r="J662" s="22"/>
      <c r="K662" s="42"/>
    </row>
    <row r="663" ht="39.75" customHeight="1">
      <c r="A663" s="1">
        <v>662.0</v>
      </c>
      <c r="B663" s="2" t="s">
        <v>31</v>
      </c>
      <c r="C663" s="13"/>
      <c r="D663" s="13"/>
      <c r="E663" s="13"/>
      <c r="F663" s="44" t="s">
        <v>5031</v>
      </c>
      <c r="G663" s="43">
        <v>1.0</v>
      </c>
      <c r="H663" s="42"/>
      <c r="I663" s="42"/>
      <c r="J663" s="22"/>
      <c r="K663" s="42"/>
    </row>
    <row r="664" ht="39.75" customHeight="1">
      <c r="A664" s="1">
        <v>663.0</v>
      </c>
      <c r="B664" s="2" t="s">
        <v>32</v>
      </c>
      <c r="C664" s="2" t="s">
        <v>27</v>
      </c>
      <c r="D664" s="13"/>
      <c r="E664" s="13"/>
      <c r="F664" s="44"/>
      <c r="G664" s="43"/>
      <c r="H664" s="42"/>
      <c r="I664" s="42"/>
      <c r="J664" s="22"/>
      <c r="K664" s="42"/>
    </row>
    <row r="665" ht="39.75" customHeight="1">
      <c r="A665" s="1">
        <v>664.0</v>
      </c>
      <c r="B665" s="2" t="s">
        <v>67</v>
      </c>
      <c r="C665" s="2" t="s">
        <v>54</v>
      </c>
      <c r="D665" s="13"/>
      <c r="E665" s="13"/>
      <c r="F665" s="44" t="s">
        <v>5032</v>
      </c>
      <c r="G665" s="43">
        <v>1.0</v>
      </c>
      <c r="H665" s="43">
        <v>1.0</v>
      </c>
      <c r="I665" s="42"/>
      <c r="J665" s="22"/>
      <c r="K665" s="42"/>
    </row>
    <row r="666" ht="39.75" customHeight="1">
      <c r="A666" s="1">
        <v>665.0</v>
      </c>
      <c r="B666" s="2" t="s">
        <v>35</v>
      </c>
      <c r="C666" s="2"/>
      <c r="D666" s="13"/>
      <c r="E666" s="13"/>
      <c r="F666" s="44" t="s">
        <v>5033</v>
      </c>
      <c r="G666" s="43">
        <v>1.0</v>
      </c>
      <c r="H666" s="42"/>
      <c r="I666" s="42"/>
      <c r="J666" s="22"/>
      <c r="K666" s="42"/>
    </row>
    <row r="667" ht="39.75" customHeight="1">
      <c r="A667" s="1">
        <v>666.0</v>
      </c>
      <c r="B667" s="2" t="s">
        <v>36</v>
      </c>
      <c r="C667" s="2" t="s">
        <v>54</v>
      </c>
      <c r="D667" s="13"/>
      <c r="E667" s="13"/>
      <c r="F667" s="44"/>
      <c r="G667" s="43"/>
      <c r="H667" s="42"/>
      <c r="I667" s="42"/>
      <c r="J667" s="22"/>
      <c r="K667" s="42"/>
    </row>
    <row r="668" ht="39.75" customHeight="1">
      <c r="A668" s="1">
        <v>667.0</v>
      </c>
      <c r="B668" s="2" t="s">
        <v>38</v>
      </c>
      <c r="C668" s="2"/>
      <c r="D668" s="13"/>
      <c r="E668" s="13"/>
      <c r="F668" s="44" t="s">
        <v>5034</v>
      </c>
      <c r="G668" s="43">
        <v>2.0</v>
      </c>
      <c r="H668" s="42"/>
      <c r="I668" s="43">
        <v>1.0</v>
      </c>
      <c r="J668" s="22"/>
      <c r="K668" s="42"/>
    </row>
    <row r="669" ht="39.75" hidden="1" customHeight="1">
      <c r="A669" s="1">
        <v>668.0</v>
      </c>
      <c r="B669" s="2" t="s">
        <v>41</v>
      </c>
      <c r="C669" s="2" t="s">
        <v>58</v>
      </c>
      <c r="D669" s="13"/>
      <c r="E669" s="13"/>
      <c r="F669" s="45"/>
      <c r="G669" s="42"/>
      <c r="H669" s="42"/>
      <c r="I669" s="42"/>
      <c r="J669" s="22"/>
      <c r="K669" s="42"/>
    </row>
    <row r="670" ht="39.75" customHeight="1">
      <c r="A670" s="1">
        <v>669.0</v>
      </c>
      <c r="B670" s="2" t="s">
        <v>42</v>
      </c>
      <c r="C670" s="2" t="s">
        <v>39</v>
      </c>
      <c r="D670" s="13"/>
      <c r="E670" s="13"/>
      <c r="F670" s="44" t="s">
        <v>5035</v>
      </c>
      <c r="G670" s="43">
        <v>1.0</v>
      </c>
      <c r="H670" s="42"/>
      <c r="I670" s="43">
        <v>1.0</v>
      </c>
      <c r="J670" s="22"/>
      <c r="K670" s="42"/>
    </row>
    <row r="671" ht="39.75" customHeight="1">
      <c r="A671" s="1">
        <v>670.0</v>
      </c>
      <c r="B671" s="2" t="s">
        <v>43</v>
      </c>
      <c r="C671" s="2" t="s">
        <v>69</v>
      </c>
      <c r="D671" s="13"/>
      <c r="E671" s="40">
        <v>0.875</v>
      </c>
      <c r="F671" s="44" t="s">
        <v>5036</v>
      </c>
      <c r="G671" s="43">
        <v>1.0</v>
      </c>
      <c r="H671" s="42"/>
      <c r="I671" s="42"/>
      <c r="J671" s="22"/>
      <c r="K671" s="42"/>
    </row>
    <row r="672" ht="39.75" customHeight="1">
      <c r="A672" s="1">
        <v>671.0</v>
      </c>
      <c r="B672" s="2" t="s">
        <v>45</v>
      </c>
      <c r="C672" s="2" t="s">
        <v>54</v>
      </c>
      <c r="D672" s="13"/>
      <c r="E672" s="51">
        <v>0.8333333333333334</v>
      </c>
      <c r="F672" s="44" t="s">
        <v>5037</v>
      </c>
      <c r="G672" s="43">
        <v>1.0</v>
      </c>
      <c r="H672" s="42"/>
      <c r="I672" s="42"/>
      <c r="J672" s="22"/>
      <c r="K672" s="42"/>
    </row>
    <row r="673" ht="39.75" customHeight="1">
      <c r="A673" s="1">
        <v>672.0</v>
      </c>
      <c r="B673" s="2" t="s">
        <v>46</v>
      </c>
      <c r="C673" s="2"/>
      <c r="D673" s="59">
        <v>0.38819444444444445</v>
      </c>
      <c r="E673" s="13"/>
      <c r="F673" s="44" t="s">
        <v>5038</v>
      </c>
      <c r="G673" s="43">
        <v>2.0</v>
      </c>
      <c r="H673" s="42"/>
      <c r="I673" s="42"/>
      <c r="J673" s="22"/>
      <c r="K673" s="42"/>
    </row>
    <row r="674" ht="39.75" customHeight="1">
      <c r="A674" s="1">
        <v>673.0</v>
      </c>
      <c r="B674" s="2" t="s">
        <v>47</v>
      </c>
      <c r="C674" s="2" t="s">
        <v>39</v>
      </c>
      <c r="D674" s="13"/>
      <c r="E674" s="13"/>
      <c r="F674" s="44" t="s">
        <v>5039</v>
      </c>
      <c r="G674" s="43">
        <v>2.0</v>
      </c>
      <c r="H674" s="42"/>
      <c r="I674" s="43">
        <v>2.0</v>
      </c>
      <c r="J674" s="22"/>
      <c r="K674" s="42"/>
    </row>
    <row r="675" ht="39.75" customHeight="1">
      <c r="A675" s="1">
        <v>674.0</v>
      </c>
      <c r="B675" s="2" t="s">
        <v>48</v>
      </c>
      <c r="C675" s="2" t="s">
        <v>69</v>
      </c>
      <c r="D675" s="13"/>
      <c r="E675" s="40">
        <v>0.8125</v>
      </c>
      <c r="F675" s="44" t="s">
        <v>2741</v>
      </c>
      <c r="G675" s="43">
        <v>1.0</v>
      </c>
      <c r="H675" s="42"/>
      <c r="I675" s="43">
        <v>1.0</v>
      </c>
      <c r="J675" s="22"/>
      <c r="K675" s="42"/>
    </row>
    <row r="676" ht="39.75" customHeight="1">
      <c r="A676" s="1">
        <v>675.0</v>
      </c>
      <c r="B676" s="21"/>
      <c r="C676" s="21"/>
      <c r="D676" s="21"/>
      <c r="E676" s="21"/>
      <c r="F676" s="46"/>
      <c r="G676" s="47"/>
      <c r="H676" s="47"/>
      <c r="I676" s="47"/>
      <c r="J676" s="48"/>
      <c r="K676" s="47"/>
      <c r="L676" s="49"/>
      <c r="M676" s="49"/>
      <c r="N676" s="49"/>
    </row>
    <row r="677" ht="39.75" customHeight="1">
      <c r="A677" s="1">
        <v>676.0</v>
      </c>
      <c r="B677" s="2" t="s">
        <v>12</v>
      </c>
      <c r="C677" s="2" t="s">
        <v>62</v>
      </c>
      <c r="D677" s="13"/>
      <c r="E677" s="13"/>
      <c r="F677" s="45"/>
      <c r="G677" s="42"/>
      <c r="H677" s="42"/>
      <c r="I677" s="42"/>
      <c r="J677" s="27" t="s">
        <v>4797</v>
      </c>
      <c r="K677" s="42"/>
      <c r="L677" s="15" t="s">
        <v>423</v>
      </c>
    </row>
    <row r="678" ht="39.75" customHeight="1">
      <c r="A678" s="1">
        <v>677.0</v>
      </c>
      <c r="B678" s="2" t="s">
        <v>16</v>
      </c>
      <c r="C678" s="2" t="s">
        <v>39</v>
      </c>
      <c r="D678" s="13"/>
      <c r="E678" s="13"/>
      <c r="F678" s="44" t="s">
        <v>2664</v>
      </c>
      <c r="G678" s="43">
        <v>1.0</v>
      </c>
      <c r="H678" s="42"/>
      <c r="I678" s="43">
        <v>1.0</v>
      </c>
      <c r="J678" s="27" t="s">
        <v>423</v>
      </c>
      <c r="K678" s="43"/>
    </row>
    <row r="679" ht="39.75" customHeight="1">
      <c r="A679" s="1">
        <v>678.0</v>
      </c>
      <c r="B679" s="2" t="s">
        <v>116</v>
      </c>
      <c r="C679" s="2"/>
      <c r="D679" s="13"/>
      <c r="E679" s="13"/>
      <c r="F679" s="44" t="s">
        <v>5040</v>
      </c>
      <c r="G679" s="43">
        <v>2.0</v>
      </c>
      <c r="H679" s="42"/>
      <c r="I679" s="42"/>
      <c r="J679" s="27" t="s">
        <v>95</v>
      </c>
      <c r="K679" s="42"/>
    </row>
    <row r="680" ht="39.75" hidden="1" customHeight="1">
      <c r="A680" s="1">
        <v>679.0</v>
      </c>
      <c r="B680" s="2" t="s">
        <v>17</v>
      </c>
      <c r="C680" s="2" t="s">
        <v>58</v>
      </c>
      <c r="D680" s="13"/>
      <c r="E680" s="13"/>
      <c r="F680" s="44"/>
      <c r="G680" s="42"/>
      <c r="H680" s="42"/>
      <c r="I680" s="42"/>
      <c r="J680" s="22"/>
      <c r="K680" s="42"/>
    </row>
    <row r="681" ht="39.75" customHeight="1">
      <c r="A681" s="1">
        <v>680.0</v>
      </c>
      <c r="B681" s="2" t="s">
        <v>331</v>
      </c>
      <c r="C681" s="2" t="s">
        <v>542</v>
      </c>
      <c r="D681" s="13"/>
      <c r="E681" s="13"/>
      <c r="F681" s="44" t="s">
        <v>5041</v>
      </c>
      <c r="G681" s="43">
        <v>1.0</v>
      </c>
      <c r="H681" s="42"/>
      <c r="I681" s="42"/>
      <c r="J681" s="22"/>
      <c r="K681" s="42"/>
    </row>
    <row r="682" ht="39.75" customHeight="1">
      <c r="A682" s="1">
        <v>681.0</v>
      </c>
      <c r="B682" s="2" t="s">
        <v>21</v>
      </c>
      <c r="C682" s="2" t="s">
        <v>63</v>
      </c>
      <c r="D682" s="13"/>
      <c r="E682" s="13"/>
      <c r="F682" s="45"/>
      <c r="G682" s="42"/>
      <c r="H682" s="42"/>
      <c r="I682" s="42"/>
      <c r="J682" s="22"/>
      <c r="K682" s="42"/>
    </row>
    <row r="683" ht="39.75" hidden="1" customHeight="1">
      <c r="A683" s="1">
        <v>682.0</v>
      </c>
      <c r="B683" s="2" t="s">
        <v>22</v>
      </c>
      <c r="C683" s="2" t="s">
        <v>66</v>
      </c>
      <c r="D683" s="13"/>
      <c r="E683" s="13"/>
      <c r="F683" s="45"/>
      <c r="G683" s="42"/>
      <c r="H683" s="42"/>
      <c r="I683" s="42"/>
      <c r="J683" s="22"/>
      <c r="K683" s="42"/>
    </row>
    <row r="684" ht="39.75" customHeight="1">
      <c r="A684" s="1">
        <v>683.0</v>
      </c>
      <c r="B684" s="2" t="s">
        <v>23</v>
      </c>
      <c r="C684" s="2" t="s">
        <v>39</v>
      </c>
      <c r="D684" s="13"/>
      <c r="E684" s="13"/>
      <c r="F684" s="44" t="s">
        <v>5042</v>
      </c>
      <c r="G684" s="43">
        <v>2.0</v>
      </c>
      <c r="H684" s="42"/>
      <c r="I684" s="43">
        <v>1.0</v>
      </c>
      <c r="J684" s="22"/>
      <c r="K684" s="42"/>
    </row>
    <row r="685" ht="39.75" customHeight="1">
      <c r="A685" s="1">
        <v>684.0</v>
      </c>
      <c r="B685" s="2" t="s">
        <v>24</v>
      </c>
      <c r="C685" s="2"/>
      <c r="D685" s="13"/>
      <c r="E685" s="13"/>
      <c r="F685" s="44" t="s">
        <v>5043</v>
      </c>
      <c r="G685" s="43">
        <v>2.0</v>
      </c>
      <c r="H685" s="42"/>
      <c r="I685" s="43">
        <v>1.0</v>
      </c>
      <c r="J685" s="22"/>
      <c r="K685" s="42"/>
    </row>
    <row r="686" ht="39.75" customHeight="1">
      <c r="A686" s="1">
        <v>685.0</v>
      </c>
      <c r="B686" s="2" t="s">
        <v>25</v>
      </c>
      <c r="C686" s="2" t="s">
        <v>54</v>
      </c>
      <c r="D686" s="40"/>
      <c r="E686" s="58" t="s">
        <v>5044</v>
      </c>
      <c r="F686" s="44" t="s">
        <v>5045</v>
      </c>
      <c r="G686" s="43">
        <v>1.0</v>
      </c>
      <c r="H686" s="43">
        <v>1.0</v>
      </c>
      <c r="I686" s="42"/>
      <c r="J686" s="22"/>
      <c r="K686" s="42"/>
    </row>
    <row r="687" ht="39.75" hidden="1" customHeight="1">
      <c r="A687" s="1">
        <v>686.0</v>
      </c>
      <c r="B687" s="2" t="s">
        <v>26</v>
      </c>
      <c r="C687" s="2" t="s">
        <v>58</v>
      </c>
      <c r="D687" s="13"/>
      <c r="E687" s="13"/>
      <c r="F687" s="45"/>
      <c r="G687" s="42"/>
      <c r="H687" s="42"/>
      <c r="I687" s="42"/>
      <c r="J687" s="22"/>
      <c r="K687" s="42"/>
    </row>
    <row r="688" ht="39.75" customHeight="1">
      <c r="A688" s="1">
        <v>687.0</v>
      </c>
      <c r="B688" s="2" t="s">
        <v>29</v>
      </c>
      <c r="C688" s="2" t="s">
        <v>54</v>
      </c>
      <c r="D688" s="13"/>
      <c r="E688" s="13"/>
      <c r="F688" s="44"/>
      <c r="G688" s="43"/>
      <c r="H688" s="42"/>
      <c r="I688" s="42"/>
      <c r="J688" s="22"/>
      <c r="K688" s="42"/>
    </row>
    <row r="689" ht="39.75" customHeight="1">
      <c r="A689" s="1">
        <v>688.0</v>
      </c>
      <c r="B689" s="2" t="s">
        <v>30</v>
      </c>
      <c r="C689" s="2" t="s">
        <v>64</v>
      </c>
      <c r="D689" s="13"/>
      <c r="E689" s="13"/>
      <c r="F689" s="44" t="s">
        <v>2592</v>
      </c>
      <c r="G689" s="43">
        <v>1.0</v>
      </c>
      <c r="H689" s="42"/>
      <c r="I689" s="43">
        <v>1.0</v>
      </c>
      <c r="J689" s="22"/>
      <c r="K689" s="42"/>
    </row>
    <row r="690" ht="39.75" customHeight="1">
      <c r="A690" s="1">
        <v>689.0</v>
      </c>
      <c r="B690" s="2" t="s">
        <v>31</v>
      </c>
      <c r="C690" s="2" t="s">
        <v>69</v>
      </c>
      <c r="D690" s="13"/>
      <c r="E690" s="13"/>
      <c r="F690" s="44" t="s">
        <v>3365</v>
      </c>
      <c r="G690" s="43">
        <v>1.0</v>
      </c>
      <c r="H690" s="42"/>
      <c r="I690" s="43">
        <v>1.0</v>
      </c>
      <c r="J690" s="22"/>
      <c r="K690" s="42"/>
    </row>
    <row r="691" ht="39.75" customHeight="1">
      <c r="A691" s="1">
        <v>690.0</v>
      </c>
      <c r="B691" s="2" t="s">
        <v>32</v>
      </c>
      <c r="C691" s="2" t="s">
        <v>44</v>
      </c>
      <c r="D691" s="13"/>
      <c r="E691" s="13"/>
      <c r="F691" s="52" t="s">
        <v>5046</v>
      </c>
      <c r="G691" s="56">
        <v>1.0</v>
      </c>
      <c r="H691" s="42"/>
      <c r="I691" s="42"/>
      <c r="J691" s="22"/>
      <c r="K691" s="42"/>
    </row>
    <row r="692" ht="39.75" customHeight="1">
      <c r="A692" s="1">
        <v>691.0</v>
      </c>
      <c r="B692" s="2" t="s">
        <v>67</v>
      </c>
      <c r="C692" s="2"/>
      <c r="D692" s="13"/>
      <c r="E692" s="13"/>
      <c r="F692" s="44" t="s">
        <v>5047</v>
      </c>
      <c r="G692" s="43">
        <v>2.0</v>
      </c>
      <c r="H692" s="42"/>
      <c r="I692" s="42"/>
      <c r="J692" s="22"/>
      <c r="K692" s="42"/>
    </row>
    <row r="693" ht="39.75" customHeight="1">
      <c r="A693" s="1">
        <v>692.0</v>
      </c>
      <c r="B693" s="2" t="s">
        <v>35</v>
      </c>
      <c r="C693" s="2"/>
      <c r="D693" s="13"/>
      <c r="E693" s="13"/>
      <c r="F693" s="44" t="s">
        <v>1218</v>
      </c>
      <c r="G693" s="43">
        <v>1.0</v>
      </c>
      <c r="H693" s="42"/>
      <c r="I693" s="43">
        <v>1.0</v>
      </c>
      <c r="J693" s="22"/>
      <c r="K693" s="42"/>
    </row>
    <row r="694" ht="39.75" customHeight="1">
      <c r="A694" s="1">
        <v>693.0</v>
      </c>
      <c r="B694" s="2" t="s">
        <v>36</v>
      </c>
      <c r="C694" s="2" t="s">
        <v>54</v>
      </c>
      <c r="D694" s="13"/>
      <c r="E694" s="13"/>
      <c r="F694" s="44" t="s">
        <v>5048</v>
      </c>
      <c r="G694" s="43">
        <v>1.0</v>
      </c>
      <c r="H694" s="42"/>
      <c r="I694" s="42"/>
      <c r="J694" s="22"/>
      <c r="K694" s="42"/>
    </row>
    <row r="695" ht="39.75" customHeight="1">
      <c r="A695" s="1">
        <v>694.0</v>
      </c>
      <c r="B695" s="2" t="s">
        <v>38</v>
      </c>
      <c r="C695" s="2" t="s">
        <v>27</v>
      </c>
      <c r="D695" s="13"/>
      <c r="E695" s="13"/>
      <c r="F695" s="44" t="s">
        <v>5049</v>
      </c>
      <c r="G695" s="43">
        <v>1.0</v>
      </c>
      <c r="H695" s="42"/>
      <c r="I695" s="42"/>
      <c r="J695" s="22"/>
      <c r="K695" s="42"/>
    </row>
    <row r="696" ht="39.75" hidden="1" customHeight="1">
      <c r="A696" s="1">
        <v>695.0</v>
      </c>
      <c r="B696" s="2" t="s">
        <v>41</v>
      </c>
      <c r="C696" s="2" t="s">
        <v>58</v>
      </c>
      <c r="D696" s="13"/>
      <c r="E696" s="13"/>
      <c r="F696" s="45"/>
      <c r="G696" s="42"/>
      <c r="H696" s="42"/>
      <c r="I696" s="42"/>
      <c r="J696" s="22"/>
      <c r="K696" s="42"/>
    </row>
    <row r="697" ht="39.75" customHeight="1">
      <c r="A697" s="1">
        <v>696.0</v>
      </c>
      <c r="B697" s="2" t="s">
        <v>42</v>
      </c>
      <c r="C697" s="2" t="s">
        <v>69</v>
      </c>
      <c r="D697" s="13"/>
      <c r="E697" s="13"/>
      <c r="F697" s="44" t="s">
        <v>5050</v>
      </c>
      <c r="G697" s="43">
        <v>1.0</v>
      </c>
      <c r="H697" s="42"/>
      <c r="I697" s="42"/>
      <c r="J697" s="22"/>
      <c r="K697" s="42"/>
    </row>
    <row r="698" ht="39.75" customHeight="1">
      <c r="A698" s="1">
        <v>697.0</v>
      </c>
      <c r="B698" s="2" t="s">
        <v>43</v>
      </c>
      <c r="C698" s="2" t="s">
        <v>69</v>
      </c>
      <c r="D698" s="13"/>
      <c r="E698" s="13"/>
      <c r="F698" s="44" t="s">
        <v>5036</v>
      </c>
      <c r="G698" s="43">
        <v>1.0</v>
      </c>
      <c r="H698" s="42"/>
      <c r="I698" s="42"/>
      <c r="J698" s="22"/>
      <c r="K698" s="42"/>
    </row>
    <row r="699" ht="39.75" customHeight="1">
      <c r="A699" s="1">
        <v>698.0</v>
      </c>
      <c r="B699" s="2" t="s">
        <v>45</v>
      </c>
      <c r="C699" s="2" t="s">
        <v>54</v>
      </c>
      <c r="D699" s="13"/>
      <c r="E699" s="13"/>
      <c r="F699" s="44" t="s">
        <v>5051</v>
      </c>
      <c r="G699" s="43">
        <v>1.0</v>
      </c>
      <c r="H699" s="42"/>
      <c r="I699" s="42"/>
      <c r="J699" s="22"/>
      <c r="K699" s="42"/>
    </row>
    <row r="700" ht="39.75" customHeight="1">
      <c r="A700" s="1">
        <v>699.0</v>
      </c>
      <c r="B700" s="2" t="s">
        <v>46</v>
      </c>
      <c r="C700" s="2"/>
      <c r="D700" s="13"/>
      <c r="E700" s="13"/>
      <c r="F700" s="44" t="s">
        <v>5052</v>
      </c>
      <c r="G700" s="43">
        <v>1.0</v>
      </c>
      <c r="H700" s="43"/>
      <c r="I700" s="42"/>
      <c r="J700" s="22"/>
      <c r="K700" s="42"/>
    </row>
    <row r="701" ht="39.75" hidden="1" customHeight="1">
      <c r="A701" s="1">
        <v>700.0</v>
      </c>
      <c r="B701" s="2" t="s">
        <v>47</v>
      </c>
      <c r="C701" s="2" t="s">
        <v>58</v>
      </c>
      <c r="D701" s="13"/>
      <c r="E701" s="13"/>
      <c r="F701" s="45"/>
      <c r="G701" s="42"/>
      <c r="H701" s="42"/>
      <c r="I701" s="42"/>
      <c r="J701" s="22"/>
      <c r="K701" s="42"/>
    </row>
    <row r="702" ht="39.75" customHeight="1">
      <c r="A702" s="1">
        <v>701.0</v>
      </c>
      <c r="B702" s="2" t="s">
        <v>48</v>
      </c>
      <c r="C702" s="2"/>
      <c r="D702" s="13"/>
      <c r="E702" s="13"/>
      <c r="F702" s="44" t="s">
        <v>5053</v>
      </c>
      <c r="G702" s="43">
        <v>2.0</v>
      </c>
      <c r="H702" s="42"/>
      <c r="I702" s="43">
        <v>1.0</v>
      </c>
      <c r="J702" s="22"/>
      <c r="K702" s="42"/>
    </row>
    <row r="703" ht="39.75" customHeight="1">
      <c r="A703" s="1">
        <v>702.0</v>
      </c>
      <c r="B703" s="21"/>
      <c r="C703" s="21"/>
      <c r="D703" s="21"/>
      <c r="E703" s="21"/>
      <c r="F703" s="46"/>
      <c r="G703" s="47"/>
      <c r="H703" s="47"/>
      <c r="I703" s="47"/>
      <c r="J703" s="48"/>
      <c r="K703" s="47"/>
      <c r="L703" s="49"/>
      <c r="M703" s="49"/>
      <c r="N703" s="49"/>
    </row>
    <row r="704" ht="39.75" hidden="1" customHeight="1">
      <c r="A704" s="1">
        <v>703.0</v>
      </c>
      <c r="B704" s="2" t="s">
        <v>12</v>
      </c>
      <c r="C704" s="2" t="s">
        <v>58</v>
      </c>
      <c r="D704" s="13"/>
      <c r="E704" s="13"/>
      <c r="F704" s="45"/>
      <c r="G704" s="42"/>
      <c r="H704" s="42"/>
      <c r="I704" s="42"/>
      <c r="J704" s="27" t="s">
        <v>4797</v>
      </c>
      <c r="K704" s="42"/>
      <c r="L704" s="15" t="s">
        <v>438</v>
      </c>
    </row>
    <row r="705" ht="39.75" customHeight="1">
      <c r="A705" s="1">
        <v>704.0</v>
      </c>
      <c r="B705" s="2" t="s">
        <v>16</v>
      </c>
      <c r="C705" s="2"/>
      <c r="D705" s="13"/>
      <c r="E705" s="13"/>
      <c r="F705" s="44" t="s">
        <v>5054</v>
      </c>
      <c r="G705" s="43">
        <v>1.0</v>
      </c>
      <c r="H705" s="42"/>
      <c r="I705" s="42"/>
      <c r="J705" s="27" t="s">
        <v>438</v>
      </c>
      <c r="K705" s="43"/>
    </row>
    <row r="706" ht="39.75" customHeight="1">
      <c r="A706" s="1">
        <v>705.0</v>
      </c>
      <c r="B706" s="2" t="s">
        <v>116</v>
      </c>
      <c r="C706" s="2" t="s">
        <v>54</v>
      </c>
      <c r="D706" s="13"/>
      <c r="E706" s="13"/>
      <c r="F706" s="44" t="s">
        <v>5055</v>
      </c>
      <c r="G706" s="43">
        <v>1.0</v>
      </c>
      <c r="H706" s="42"/>
      <c r="I706" s="42"/>
      <c r="J706" s="27" t="s">
        <v>111</v>
      </c>
      <c r="K706" s="42"/>
    </row>
    <row r="707" ht="39.75" hidden="1" customHeight="1">
      <c r="A707" s="1">
        <v>706.0</v>
      </c>
      <c r="B707" s="2" t="s">
        <v>17</v>
      </c>
      <c r="C707" s="2" t="s">
        <v>58</v>
      </c>
      <c r="D707" s="13"/>
      <c r="E707" s="13"/>
      <c r="F707" s="44"/>
      <c r="G707" s="42"/>
      <c r="H707" s="42"/>
      <c r="I707" s="42"/>
      <c r="J707" s="22"/>
      <c r="K707" s="42"/>
    </row>
    <row r="708" ht="39.75" customHeight="1">
      <c r="A708" s="1">
        <v>707.0</v>
      </c>
      <c r="B708" s="2" t="s">
        <v>331</v>
      </c>
      <c r="C708" s="2" t="s">
        <v>542</v>
      </c>
      <c r="D708" s="13"/>
      <c r="E708" s="13"/>
      <c r="F708" s="44" t="s">
        <v>5056</v>
      </c>
      <c r="G708" s="43">
        <v>1.0</v>
      </c>
      <c r="H708" s="42"/>
      <c r="I708" s="42"/>
      <c r="J708" s="22"/>
      <c r="K708" s="42"/>
    </row>
    <row r="709" ht="39.75" customHeight="1">
      <c r="A709" s="1">
        <v>708.0</v>
      </c>
      <c r="B709" s="2" t="s">
        <v>21</v>
      </c>
      <c r="C709" s="2" t="s">
        <v>63</v>
      </c>
      <c r="D709" s="13"/>
      <c r="E709" s="13"/>
      <c r="F709" s="45"/>
      <c r="G709" s="42"/>
      <c r="H709" s="42"/>
      <c r="I709" s="42"/>
      <c r="J709" s="22"/>
      <c r="K709" s="42"/>
    </row>
    <row r="710" ht="39.75" hidden="1" customHeight="1">
      <c r="A710" s="1">
        <v>709.0</v>
      </c>
      <c r="B710" s="2" t="s">
        <v>22</v>
      </c>
      <c r="C710" s="2" t="s">
        <v>58</v>
      </c>
      <c r="D710" s="13"/>
      <c r="E710" s="13"/>
      <c r="F710" s="45"/>
      <c r="G710" s="42"/>
      <c r="H710" s="42"/>
      <c r="I710" s="42"/>
      <c r="J710" s="22"/>
      <c r="K710" s="42"/>
    </row>
    <row r="711" ht="39.75" customHeight="1">
      <c r="A711" s="1">
        <v>710.0</v>
      </c>
      <c r="B711" s="2" t="s">
        <v>23</v>
      </c>
      <c r="C711" s="2" t="s">
        <v>54</v>
      </c>
      <c r="D711" s="13"/>
      <c r="E711" s="13"/>
      <c r="F711" s="44" t="s">
        <v>5057</v>
      </c>
      <c r="G711" s="43">
        <v>1.0</v>
      </c>
      <c r="H711" s="42"/>
      <c r="I711" s="43">
        <v>1.0</v>
      </c>
      <c r="J711" s="22"/>
      <c r="K711" s="42"/>
    </row>
    <row r="712" ht="39.75" customHeight="1">
      <c r="A712" s="1">
        <v>711.0</v>
      </c>
      <c r="B712" s="2" t="s">
        <v>24</v>
      </c>
      <c r="C712" s="2"/>
      <c r="D712" s="13"/>
      <c r="E712" s="13"/>
      <c r="F712" s="44" t="s">
        <v>5058</v>
      </c>
      <c r="G712" s="43">
        <v>1.0</v>
      </c>
      <c r="H712" s="42"/>
      <c r="I712" s="42"/>
      <c r="J712" s="22"/>
      <c r="K712" s="42"/>
    </row>
    <row r="713" ht="39.75" customHeight="1">
      <c r="A713" s="1">
        <v>712.0</v>
      </c>
      <c r="B713" s="2" t="s">
        <v>25</v>
      </c>
      <c r="C713" s="2" t="s">
        <v>54</v>
      </c>
      <c r="D713" s="53">
        <v>0.25</v>
      </c>
      <c r="E713" s="40">
        <v>0.7916666666666666</v>
      </c>
      <c r="F713" s="44" t="s">
        <v>5029</v>
      </c>
      <c r="G713" s="43">
        <v>1.0</v>
      </c>
      <c r="H713" s="43">
        <v>1.0</v>
      </c>
      <c r="I713" s="42"/>
      <c r="J713" s="22"/>
      <c r="K713" s="42"/>
    </row>
    <row r="714" ht="39.75" customHeight="1">
      <c r="A714" s="1">
        <v>713.0</v>
      </c>
      <c r="B714" s="2" t="s">
        <v>26</v>
      </c>
      <c r="C714" s="2"/>
      <c r="D714" s="13"/>
      <c r="E714" s="13"/>
      <c r="F714" s="44" t="s">
        <v>5059</v>
      </c>
      <c r="G714" s="43">
        <v>2.0</v>
      </c>
      <c r="H714" s="42"/>
      <c r="I714" s="42"/>
      <c r="J714" s="22"/>
      <c r="K714" s="42"/>
    </row>
    <row r="715" ht="39.75" customHeight="1">
      <c r="A715" s="1">
        <v>714.0</v>
      </c>
      <c r="B715" s="2" t="s">
        <v>29</v>
      </c>
      <c r="C715" s="2" t="s">
        <v>39</v>
      </c>
      <c r="D715" s="13"/>
      <c r="E715" s="13"/>
      <c r="F715" s="44" t="s">
        <v>5060</v>
      </c>
      <c r="G715" s="43">
        <v>1.0</v>
      </c>
      <c r="H715" s="42"/>
      <c r="I715" s="43">
        <v>1.0</v>
      </c>
      <c r="J715" s="22"/>
      <c r="K715" s="42"/>
    </row>
    <row r="716" ht="39.75" hidden="1" customHeight="1">
      <c r="A716" s="1">
        <v>715.0</v>
      </c>
      <c r="B716" s="2" t="s">
        <v>30</v>
      </c>
      <c r="C716" s="2" t="s">
        <v>58</v>
      </c>
      <c r="D716" s="13"/>
      <c r="E716" s="13"/>
      <c r="F716" s="45"/>
      <c r="G716" s="42"/>
      <c r="H716" s="42"/>
      <c r="I716" s="42"/>
      <c r="J716" s="22"/>
      <c r="K716" s="42"/>
    </row>
    <row r="717" ht="39.75" customHeight="1">
      <c r="A717" s="1">
        <v>716.0</v>
      </c>
      <c r="B717" s="2" t="s">
        <v>31</v>
      </c>
      <c r="C717" s="2" t="s">
        <v>27</v>
      </c>
      <c r="D717" s="13"/>
      <c r="E717" s="13"/>
      <c r="F717" s="44"/>
      <c r="G717" s="42"/>
      <c r="H717" s="42"/>
      <c r="I717" s="42"/>
      <c r="J717" s="22"/>
      <c r="K717" s="42"/>
    </row>
    <row r="718" ht="39.75" customHeight="1">
      <c r="A718" s="1">
        <v>717.0</v>
      </c>
      <c r="B718" s="2" t="s">
        <v>32</v>
      </c>
      <c r="C718" s="2" t="s">
        <v>69</v>
      </c>
      <c r="D718" s="13"/>
      <c r="E718" s="13"/>
      <c r="F718" s="44" t="s">
        <v>2770</v>
      </c>
      <c r="G718" s="43">
        <v>1.0</v>
      </c>
      <c r="H718" s="42"/>
      <c r="I718" s="43">
        <v>1.0</v>
      </c>
      <c r="J718" s="22"/>
      <c r="K718" s="42"/>
    </row>
    <row r="719" ht="39.75" customHeight="1">
      <c r="A719" s="1">
        <v>718.0</v>
      </c>
      <c r="B719" s="2" t="s">
        <v>67</v>
      </c>
      <c r="C719" s="2" t="s">
        <v>39</v>
      </c>
      <c r="D719" s="53">
        <v>0.2708333333333333</v>
      </c>
      <c r="E719" s="13"/>
      <c r="F719" s="44" t="s">
        <v>2664</v>
      </c>
      <c r="G719" s="43">
        <v>1.0</v>
      </c>
      <c r="H719" s="42"/>
      <c r="I719" s="43">
        <v>1.0</v>
      </c>
      <c r="J719" s="22"/>
      <c r="K719" s="42"/>
    </row>
    <row r="720" ht="39.75" hidden="1" customHeight="1">
      <c r="A720" s="1">
        <v>719.0</v>
      </c>
      <c r="B720" s="2" t="s">
        <v>35</v>
      </c>
      <c r="C720" s="2" t="s">
        <v>58</v>
      </c>
      <c r="D720" s="13"/>
      <c r="E720" s="13"/>
      <c r="F720" s="45"/>
      <c r="G720" s="42"/>
      <c r="H720" s="42"/>
      <c r="I720" s="42"/>
      <c r="J720" s="22"/>
      <c r="K720" s="42"/>
    </row>
    <row r="721" ht="39.75" customHeight="1">
      <c r="A721" s="1">
        <v>720.0</v>
      </c>
      <c r="B721" s="2" t="s">
        <v>36</v>
      </c>
      <c r="C721" s="2"/>
      <c r="D721" s="13"/>
      <c r="E721" s="13"/>
      <c r="F721" s="44" t="s">
        <v>5061</v>
      </c>
      <c r="G721" s="43">
        <v>1.0</v>
      </c>
      <c r="H721" s="42"/>
      <c r="I721" s="43"/>
      <c r="J721" s="22"/>
      <c r="K721" s="42"/>
    </row>
    <row r="722" ht="39.75" customHeight="1">
      <c r="A722" s="1">
        <v>721.0</v>
      </c>
      <c r="B722" s="2" t="s">
        <v>38</v>
      </c>
      <c r="C722" s="2"/>
      <c r="D722" s="161"/>
      <c r="E722" s="51">
        <v>0.9375</v>
      </c>
      <c r="F722" s="44" t="s">
        <v>5062</v>
      </c>
      <c r="G722" s="43">
        <v>2.0</v>
      </c>
      <c r="H722" s="43">
        <v>1.0</v>
      </c>
      <c r="I722" s="43">
        <v>1.0</v>
      </c>
      <c r="J722" s="22"/>
      <c r="K722" s="42"/>
    </row>
    <row r="723" ht="39.75" hidden="1" customHeight="1">
      <c r="A723" s="1">
        <v>722.0</v>
      </c>
      <c r="B723" s="2" t="s">
        <v>41</v>
      </c>
      <c r="C723" s="2" t="s">
        <v>58</v>
      </c>
      <c r="D723" s="13"/>
      <c r="E723" s="13"/>
      <c r="F723" s="45"/>
      <c r="G723" s="42"/>
      <c r="H723" s="42"/>
      <c r="I723" s="42"/>
      <c r="J723" s="22"/>
      <c r="K723" s="42"/>
    </row>
    <row r="724" ht="39.75" customHeight="1">
      <c r="A724" s="1">
        <v>723.0</v>
      </c>
      <c r="B724" s="2" t="s">
        <v>42</v>
      </c>
      <c r="C724" s="2"/>
      <c r="D724" s="13"/>
      <c r="E724" s="13"/>
      <c r="F724" s="44" t="s">
        <v>1285</v>
      </c>
      <c r="G724" s="43">
        <v>1.0</v>
      </c>
      <c r="H724" s="42"/>
      <c r="I724" s="43">
        <v>1.0</v>
      </c>
      <c r="J724" s="22"/>
      <c r="K724" s="42"/>
    </row>
    <row r="725" ht="39.75" customHeight="1">
      <c r="A725" s="1">
        <v>724.0</v>
      </c>
      <c r="B725" s="2" t="s">
        <v>43</v>
      </c>
      <c r="C725" s="2" t="s">
        <v>69</v>
      </c>
      <c r="D725" s="13"/>
      <c r="E725" s="13"/>
      <c r="F725" s="44" t="s">
        <v>5063</v>
      </c>
      <c r="G725" s="43">
        <v>1.0</v>
      </c>
      <c r="H725" s="42"/>
      <c r="I725" s="42"/>
      <c r="J725" s="22"/>
      <c r="K725" s="42"/>
    </row>
    <row r="726" ht="39.75" customHeight="1">
      <c r="A726" s="1">
        <v>725.0</v>
      </c>
      <c r="B726" s="2" t="s">
        <v>45</v>
      </c>
      <c r="C726" s="2" t="s">
        <v>54</v>
      </c>
      <c r="D726" s="13"/>
      <c r="E726" s="13"/>
      <c r="F726" s="44" t="s">
        <v>5064</v>
      </c>
      <c r="G726" s="43">
        <v>1.0</v>
      </c>
      <c r="H726" s="42"/>
      <c r="I726" s="42"/>
      <c r="J726" s="22"/>
      <c r="K726" s="42"/>
    </row>
    <row r="727" ht="39.75" customHeight="1">
      <c r="A727" s="1">
        <v>726.0</v>
      </c>
      <c r="B727" s="2" t="s">
        <v>46</v>
      </c>
      <c r="C727" s="2"/>
      <c r="D727" s="53">
        <v>0.2847222222222222</v>
      </c>
      <c r="E727" s="51">
        <v>0.8125</v>
      </c>
      <c r="F727" s="44" t="s">
        <v>5065</v>
      </c>
      <c r="G727" s="43">
        <v>1.0</v>
      </c>
      <c r="H727" s="43">
        <v>1.0</v>
      </c>
      <c r="I727" s="42"/>
      <c r="J727" s="22"/>
      <c r="K727" s="42"/>
    </row>
    <row r="728" ht="39.75" customHeight="1">
      <c r="A728" s="1">
        <v>727.0</v>
      </c>
      <c r="B728" s="2" t="s">
        <v>47</v>
      </c>
      <c r="C728" s="2" t="s">
        <v>69</v>
      </c>
      <c r="D728" s="13"/>
      <c r="E728" s="13"/>
      <c r="F728" s="44" t="s">
        <v>5066</v>
      </c>
      <c r="G728" s="43">
        <v>1.0</v>
      </c>
      <c r="H728" s="42"/>
      <c r="I728" s="43">
        <v>1.0</v>
      </c>
      <c r="J728" s="22"/>
      <c r="K728" s="42"/>
    </row>
    <row r="729" ht="39.75" hidden="1" customHeight="1">
      <c r="A729" s="1">
        <v>728.0</v>
      </c>
      <c r="B729" s="2" t="s">
        <v>48</v>
      </c>
      <c r="C729" s="2" t="s">
        <v>66</v>
      </c>
      <c r="D729" s="13"/>
      <c r="E729" s="13"/>
      <c r="F729" s="45"/>
      <c r="G729" s="42"/>
      <c r="H729" s="42"/>
      <c r="I729" s="42"/>
      <c r="J729" s="22"/>
      <c r="K729" s="42"/>
    </row>
    <row r="730" ht="39.75" customHeight="1">
      <c r="A730" s="1">
        <v>729.0</v>
      </c>
      <c r="B730" s="21"/>
      <c r="C730" s="21"/>
      <c r="D730" s="21"/>
      <c r="E730" s="21"/>
      <c r="F730" s="46"/>
      <c r="G730" s="47"/>
      <c r="H730" s="47"/>
      <c r="I730" s="47"/>
      <c r="J730" s="48"/>
      <c r="K730" s="47"/>
      <c r="L730" s="49"/>
      <c r="M730" s="49"/>
      <c r="N730" s="49"/>
    </row>
    <row r="731" ht="39.75" customHeight="1">
      <c r="A731" s="1">
        <v>730.0</v>
      </c>
      <c r="B731" s="2" t="s">
        <v>12</v>
      </c>
      <c r="C731" s="2" t="s">
        <v>62</v>
      </c>
      <c r="D731" s="13"/>
      <c r="E731" s="13"/>
      <c r="F731" s="45"/>
      <c r="G731" s="42"/>
      <c r="H731" s="42"/>
      <c r="I731" s="42"/>
      <c r="J731" s="27" t="s">
        <v>4797</v>
      </c>
      <c r="K731" s="42"/>
      <c r="L731" s="15" t="s">
        <v>452</v>
      </c>
    </row>
    <row r="732" ht="39.75" customHeight="1">
      <c r="A732" s="1">
        <v>731.0</v>
      </c>
      <c r="B732" s="2" t="s">
        <v>16</v>
      </c>
      <c r="C732" s="2" t="s">
        <v>69</v>
      </c>
      <c r="D732" s="13"/>
      <c r="E732" s="13"/>
      <c r="F732" s="45"/>
      <c r="G732" s="42"/>
      <c r="H732" s="42"/>
      <c r="I732" s="42"/>
      <c r="J732" s="27" t="s">
        <v>452</v>
      </c>
      <c r="K732" s="43"/>
    </row>
    <row r="733" ht="39.75" customHeight="1">
      <c r="A733" s="1">
        <v>732.0</v>
      </c>
      <c r="B733" s="2" t="s">
        <v>116</v>
      </c>
      <c r="C733" s="2" t="s">
        <v>54</v>
      </c>
      <c r="D733" s="13"/>
      <c r="E733" s="13"/>
      <c r="F733" s="44" t="s">
        <v>5067</v>
      </c>
      <c r="G733" s="43">
        <v>1.0</v>
      </c>
      <c r="H733" s="42"/>
      <c r="I733" s="42"/>
      <c r="J733" s="27" t="s">
        <v>131</v>
      </c>
      <c r="K733" s="42"/>
    </row>
    <row r="734" ht="39.75" hidden="1" customHeight="1">
      <c r="A734" s="1">
        <v>733.0</v>
      </c>
      <c r="B734" s="2" t="s">
        <v>17</v>
      </c>
      <c r="C734" s="2" t="s">
        <v>58</v>
      </c>
      <c r="D734" s="13"/>
      <c r="E734" s="13"/>
      <c r="F734" s="44"/>
      <c r="G734" s="42"/>
      <c r="H734" s="42"/>
      <c r="I734" s="42"/>
      <c r="J734" s="22"/>
      <c r="K734" s="42"/>
    </row>
    <row r="735" ht="39.75" customHeight="1">
      <c r="A735" s="1">
        <v>734.0</v>
      </c>
      <c r="B735" s="2" t="s">
        <v>331</v>
      </c>
      <c r="C735" s="2" t="s">
        <v>542</v>
      </c>
      <c r="D735" s="13"/>
      <c r="E735" s="13"/>
      <c r="F735" s="45"/>
      <c r="G735" s="42"/>
      <c r="H735" s="42"/>
      <c r="I735" s="42"/>
      <c r="J735" s="22"/>
      <c r="K735" s="42"/>
    </row>
    <row r="736" ht="39.75" customHeight="1">
      <c r="A736" s="1">
        <v>735.0</v>
      </c>
      <c r="B736" s="2" t="s">
        <v>21</v>
      </c>
      <c r="C736" s="2" t="s">
        <v>63</v>
      </c>
      <c r="D736" s="13"/>
      <c r="E736" s="13"/>
      <c r="F736" s="45"/>
      <c r="G736" s="42"/>
      <c r="H736" s="42"/>
      <c r="I736" s="42"/>
      <c r="J736" s="22"/>
      <c r="K736" s="42"/>
    </row>
    <row r="737" ht="39.75" customHeight="1">
      <c r="A737" s="1">
        <v>736.0</v>
      </c>
      <c r="B737" s="2" t="s">
        <v>22</v>
      </c>
      <c r="C737" s="2" t="s">
        <v>39</v>
      </c>
      <c r="D737" s="13"/>
      <c r="E737" s="13"/>
      <c r="F737" s="44" t="s">
        <v>5068</v>
      </c>
      <c r="G737" s="43">
        <v>1.0</v>
      </c>
      <c r="H737" s="42"/>
      <c r="I737" s="43">
        <v>1.0</v>
      </c>
      <c r="J737" s="22"/>
      <c r="K737" s="42"/>
    </row>
    <row r="738" ht="39.75" hidden="1" customHeight="1">
      <c r="A738" s="1">
        <v>737.0</v>
      </c>
      <c r="B738" s="2" t="s">
        <v>23</v>
      </c>
      <c r="C738" s="2" t="s">
        <v>66</v>
      </c>
      <c r="D738" s="13"/>
      <c r="E738" s="13"/>
      <c r="F738" s="45"/>
      <c r="G738" s="42"/>
      <c r="H738" s="42"/>
      <c r="I738" s="42"/>
      <c r="J738" s="22"/>
      <c r="K738" s="42"/>
    </row>
    <row r="739" ht="39.75" customHeight="1">
      <c r="A739" s="1">
        <v>738.0</v>
      </c>
      <c r="B739" s="2" t="s">
        <v>24</v>
      </c>
      <c r="C739" s="2"/>
      <c r="D739" s="13"/>
      <c r="E739" s="13"/>
      <c r="F739" s="44" t="s">
        <v>1204</v>
      </c>
      <c r="G739" s="43">
        <v>1.0</v>
      </c>
      <c r="H739" s="42"/>
      <c r="I739" s="43">
        <v>1.0</v>
      </c>
      <c r="J739" s="22"/>
      <c r="K739" s="42"/>
    </row>
    <row r="740" ht="39.75" customHeight="1">
      <c r="A740" s="1">
        <v>739.0</v>
      </c>
      <c r="B740" s="2" t="s">
        <v>25</v>
      </c>
      <c r="C740" s="2"/>
      <c r="D740" s="13"/>
      <c r="E740" s="40"/>
      <c r="F740" s="44" t="s">
        <v>5069</v>
      </c>
      <c r="G740" s="43">
        <v>1.0</v>
      </c>
      <c r="H740" s="42"/>
      <c r="I740" s="42"/>
      <c r="J740" s="22"/>
      <c r="K740" s="42"/>
    </row>
    <row r="741" ht="39.75" customHeight="1">
      <c r="A741" s="1">
        <v>740.0</v>
      </c>
      <c r="B741" s="2" t="s">
        <v>26</v>
      </c>
      <c r="C741" s="2" t="s">
        <v>54</v>
      </c>
      <c r="D741" s="13"/>
      <c r="E741" s="13"/>
      <c r="F741" s="45"/>
      <c r="G741" s="42"/>
      <c r="H741" s="42"/>
      <c r="I741" s="42"/>
      <c r="J741" s="22"/>
      <c r="K741" s="42"/>
    </row>
    <row r="742" ht="51.75" customHeight="1">
      <c r="A742" s="1">
        <v>741.0</v>
      </c>
      <c r="B742" s="2" t="s">
        <v>29</v>
      </c>
      <c r="C742" s="2"/>
      <c r="D742" s="13"/>
      <c r="E742" s="13"/>
      <c r="F742" s="44" t="s">
        <v>5070</v>
      </c>
      <c r="G742" s="43">
        <v>1.0</v>
      </c>
      <c r="H742" s="42"/>
      <c r="I742" s="42"/>
      <c r="J742" s="22"/>
      <c r="K742" s="42"/>
    </row>
    <row r="743" ht="39.75" hidden="1" customHeight="1">
      <c r="A743" s="1">
        <v>742.0</v>
      </c>
      <c r="B743" s="2" t="s">
        <v>30</v>
      </c>
      <c r="C743" s="2" t="s">
        <v>58</v>
      </c>
      <c r="D743" s="13"/>
      <c r="E743" s="13"/>
      <c r="F743" s="45"/>
      <c r="G743" s="42"/>
      <c r="H743" s="42"/>
      <c r="I743" s="42"/>
      <c r="J743" s="22"/>
      <c r="K743" s="42"/>
    </row>
    <row r="744" ht="39.75" customHeight="1">
      <c r="A744" s="1">
        <v>743.0</v>
      </c>
      <c r="B744" s="2" t="s">
        <v>31</v>
      </c>
      <c r="C744" s="2" t="s">
        <v>44</v>
      </c>
      <c r="D744" s="13"/>
      <c r="E744" s="13"/>
      <c r="F744" s="45"/>
      <c r="G744" s="42"/>
      <c r="H744" s="42"/>
      <c r="I744" s="42"/>
      <c r="J744" s="22"/>
      <c r="K744" s="42"/>
    </row>
    <row r="745" ht="39.75" customHeight="1">
      <c r="A745" s="1">
        <v>744.0</v>
      </c>
      <c r="B745" s="2" t="s">
        <v>32</v>
      </c>
      <c r="C745" s="2" t="s">
        <v>69</v>
      </c>
      <c r="D745" s="13"/>
      <c r="E745" s="13"/>
      <c r="F745" s="45"/>
      <c r="G745" s="42"/>
      <c r="H745" s="42"/>
      <c r="I745" s="42"/>
      <c r="J745" s="22"/>
      <c r="K745" s="42"/>
    </row>
    <row r="746" ht="39.75" customHeight="1">
      <c r="A746" s="1">
        <v>745.0</v>
      </c>
      <c r="B746" s="2" t="s">
        <v>67</v>
      </c>
      <c r="C746" s="2"/>
      <c r="D746" s="53">
        <v>0.3472222222222222</v>
      </c>
      <c r="E746" s="13"/>
      <c r="F746" s="44" t="s">
        <v>5071</v>
      </c>
      <c r="G746" s="43">
        <v>1.0</v>
      </c>
      <c r="H746" s="42"/>
      <c r="I746" s="42"/>
      <c r="J746" s="22"/>
      <c r="K746" s="42"/>
    </row>
    <row r="747" ht="39.75" hidden="1" customHeight="1">
      <c r="A747" s="1">
        <v>746.0</v>
      </c>
      <c r="B747" s="2" t="s">
        <v>35</v>
      </c>
      <c r="C747" s="2" t="s">
        <v>58</v>
      </c>
      <c r="D747" s="13"/>
      <c r="E747" s="13"/>
      <c r="F747" s="45"/>
      <c r="G747" s="42"/>
      <c r="H747" s="42"/>
      <c r="I747" s="42"/>
      <c r="J747" s="22"/>
      <c r="K747" s="42"/>
    </row>
    <row r="748" ht="39.75" customHeight="1">
      <c r="A748" s="1">
        <v>747.0</v>
      </c>
      <c r="B748" s="2" t="s">
        <v>36</v>
      </c>
      <c r="C748" s="2" t="s">
        <v>54</v>
      </c>
      <c r="D748" s="13"/>
      <c r="E748" s="13"/>
      <c r="F748" s="44" t="s">
        <v>5072</v>
      </c>
      <c r="G748" s="43">
        <v>1.0</v>
      </c>
      <c r="H748" s="42"/>
      <c r="I748" s="42"/>
      <c r="J748" s="22"/>
      <c r="K748" s="42"/>
    </row>
    <row r="749" ht="39.75" customHeight="1">
      <c r="A749" s="1">
        <v>748.0</v>
      </c>
      <c r="B749" s="2" t="s">
        <v>38</v>
      </c>
      <c r="C749" s="2"/>
      <c r="D749" s="13"/>
      <c r="E749" s="51">
        <v>0.8125</v>
      </c>
      <c r="F749" s="44" t="s">
        <v>5073</v>
      </c>
      <c r="G749" s="43">
        <v>1.0</v>
      </c>
      <c r="H749" s="42"/>
      <c r="I749" s="43"/>
      <c r="J749" s="22"/>
      <c r="K749" s="42"/>
    </row>
    <row r="750" ht="39.75" hidden="1" customHeight="1">
      <c r="A750" s="1">
        <v>749.0</v>
      </c>
      <c r="B750" s="2" t="s">
        <v>41</v>
      </c>
      <c r="C750" s="2" t="s">
        <v>58</v>
      </c>
      <c r="D750" s="13"/>
      <c r="E750" s="13"/>
      <c r="F750" s="45"/>
      <c r="G750" s="42"/>
      <c r="H750" s="42"/>
      <c r="I750" s="42"/>
      <c r="J750" s="22"/>
      <c r="K750" s="42"/>
    </row>
    <row r="751" ht="39.75" customHeight="1">
      <c r="A751" s="1">
        <v>750.0</v>
      </c>
      <c r="B751" s="2" t="s">
        <v>42</v>
      </c>
      <c r="C751" s="2" t="s">
        <v>39</v>
      </c>
      <c r="D751" s="13"/>
      <c r="E751" s="13"/>
      <c r="F751" s="44" t="s">
        <v>5074</v>
      </c>
      <c r="G751" s="43">
        <v>2.0</v>
      </c>
      <c r="H751" s="42"/>
      <c r="I751" s="43">
        <v>2.0</v>
      </c>
      <c r="J751" s="22"/>
      <c r="K751" s="42"/>
    </row>
    <row r="752" ht="39.75" hidden="1" customHeight="1">
      <c r="A752" s="1">
        <v>751.0</v>
      </c>
      <c r="B752" s="2" t="s">
        <v>43</v>
      </c>
      <c r="C752" s="2" t="s">
        <v>66</v>
      </c>
      <c r="D752" s="13"/>
      <c r="E752" s="13"/>
      <c r="F752" s="45"/>
      <c r="G752" s="42"/>
      <c r="H752" s="42"/>
      <c r="I752" s="42"/>
      <c r="J752" s="22"/>
      <c r="K752" s="42"/>
    </row>
    <row r="753" ht="39.75" customHeight="1">
      <c r="A753" s="1">
        <v>752.0</v>
      </c>
      <c r="B753" s="2" t="s">
        <v>45</v>
      </c>
      <c r="C753" s="2" t="s">
        <v>54</v>
      </c>
      <c r="D753" s="13"/>
      <c r="E753" s="13"/>
      <c r="F753" s="44" t="s">
        <v>5075</v>
      </c>
      <c r="G753" s="43">
        <v>1.0</v>
      </c>
      <c r="H753" s="42"/>
      <c r="I753" s="43">
        <v>1.0</v>
      </c>
      <c r="J753" s="22"/>
      <c r="K753" s="42"/>
    </row>
    <row r="754" ht="39.75" customHeight="1">
      <c r="A754" s="1">
        <v>753.0</v>
      </c>
      <c r="B754" s="2" t="s">
        <v>46</v>
      </c>
      <c r="C754" s="2" t="s">
        <v>69</v>
      </c>
      <c r="D754" s="13"/>
      <c r="E754" s="40">
        <v>0.8125</v>
      </c>
      <c r="F754" s="44" t="s">
        <v>2785</v>
      </c>
      <c r="G754" s="43">
        <v>1.0</v>
      </c>
      <c r="H754" s="42"/>
      <c r="I754" s="43">
        <v>1.0</v>
      </c>
      <c r="J754" s="22"/>
      <c r="K754" s="42"/>
    </row>
    <row r="755" ht="39.75" customHeight="1">
      <c r="A755" s="1">
        <v>754.0</v>
      </c>
      <c r="B755" s="2" t="s">
        <v>47</v>
      </c>
      <c r="C755" s="2"/>
      <c r="D755" s="13"/>
      <c r="E755" s="13"/>
      <c r="F755" s="44" t="s">
        <v>1285</v>
      </c>
      <c r="G755" s="43">
        <v>1.0</v>
      </c>
      <c r="H755" s="42"/>
      <c r="I755" s="43">
        <v>1.0</v>
      </c>
      <c r="J755" s="22"/>
      <c r="K755" s="42"/>
    </row>
    <row r="756" ht="39.75" customHeight="1">
      <c r="A756" s="1">
        <v>755.0</v>
      </c>
      <c r="B756" s="2" t="s">
        <v>48</v>
      </c>
      <c r="C756" s="2" t="s">
        <v>27</v>
      </c>
      <c r="D756" s="13"/>
      <c r="E756" s="13"/>
      <c r="F756" s="45"/>
      <c r="G756" s="42"/>
      <c r="H756" s="42"/>
      <c r="I756" s="42"/>
      <c r="J756" s="22"/>
      <c r="K756" s="42"/>
    </row>
    <row r="757" ht="39.75" customHeight="1">
      <c r="A757" s="1">
        <v>756.0</v>
      </c>
      <c r="B757" s="21"/>
      <c r="C757" s="21"/>
      <c r="D757" s="21"/>
      <c r="E757" s="21"/>
      <c r="F757" s="46"/>
      <c r="G757" s="47"/>
      <c r="H757" s="47"/>
      <c r="I757" s="47"/>
      <c r="J757" s="48"/>
      <c r="K757" s="47"/>
      <c r="L757" s="49"/>
      <c r="M757" s="49"/>
      <c r="N757" s="49"/>
    </row>
    <row r="758" ht="39.75" customHeight="1">
      <c r="A758" s="1">
        <v>757.0</v>
      </c>
      <c r="B758" s="2" t="s">
        <v>12</v>
      </c>
      <c r="C758" s="2" t="s">
        <v>27</v>
      </c>
      <c r="D758" s="13"/>
      <c r="E758" s="13"/>
      <c r="F758" s="45"/>
      <c r="G758" s="42"/>
      <c r="H758" s="42"/>
      <c r="I758" s="42"/>
      <c r="J758" s="27" t="s">
        <v>4797</v>
      </c>
      <c r="K758" s="42"/>
      <c r="L758" s="15" t="s">
        <v>460</v>
      </c>
    </row>
    <row r="759" ht="39.75" customHeight="1">
      <c r="A759" s="1">
        <v>758.0</v>
      </c>
      <c r="B759" s="2" t="s">
        <v>16</v>
      </c>
      <c r="C759" s="2"/>
      <c r="D759" s="53">
        <v>0.2708333333333333</v>
      </c>
      <c r="E759" s="13"/>
      <c r="F759" s="44" t="s">
        <v>5076</v>
      </c>
      <c r="G759" s="43">
        <v>1.0</v>
      </c>
      <c r="H759" s="43">
        <v>1.0</v>
      </c>
      <c r="I759" s="42"/>
      <c r="J759" s="27" t="s">
        <v>460</v>
      </c>
      <c r="K759" s="43"/>
    </row>
    <row r="760" ht="39.75" hidden="1" customHeight="1">
      <c r="A760" s="1">
        <v>759.0</v>
      </c>
      <c r="B760" s="2" t="s">
        <v>116</v>
      </c>
      <c r="C760" s="2" t="s">
        <v>13</v>
      </c>
      <c r="D760" s="13"/>
      <c r="E760" s="13"/>
      <c r="F760" s="45"/>
      <c r="G760" s="42"/>
      <c r="H760" s="42"/>
      <c r="I760" s="42"/>
      <c r="J760" s="27" t="s">
        <v>149</v>
      </c>
      <c r="K760" s="42"/>
    </row>
    <row r="761" ht="39.75" customHeight="1">
      <c r="A761" s="1">
        <v>760.0</v>
      </c>
      <c r="B761" s="2" t="s">
        <v>20</v>
      </c>
      <c r="C761" s="2" t="s">
        <v>271</v>
      </c>
      <c r="D761" s="13"/>
      <c r="E761" s="13"/>
      <c r="F761" s="44" t="s">
        <v>3521</v>
      </c>
      <c r="G761" s="43">
        <v>1.0</v>
      </c>
      <c r="H761" s="42"/>
      <c r="I761" s="43">
        <v>1.0</v>
      </c>
      <c r="J761" s="27" t="s">
        <v>410</v>
      </c>
      <c r="K761" s="42"/>
    </row>
    <row r="762" ht="39.75" hidden="1" customHeight="1">
      <c r="A762" s="1">
        <v>761.0</v>
      </c>
      <c r="B762" s="2" t="s">
        <v>331</v>
      </c>
      <c r="C762" s="2" t="s">
        <v>13</v>
      </c>
      <c r="D762" s="13"/>
      <c r="E762" s="13"/>
      <c r="F762" s="45"/>
      <c r="G762" s="42"/>
      <c r="H762" s="42"/>
      <c r="I762" s="42"/>
      <c r="J762" s="27" t="s">
        <v>412</v>
      </c>
      <c r="K762" s="42"/>
    </row>
    <row r="763" ht="39.75" hidden="1" customHeight="1">
      <c r="A763" s="1">
        <v>762.0</v>
      </c>
      <c r="B763" s="2" t="s">
        <v>21</v>
      </c>
      <c r="C763" s="2" t="s">
        <v>13</v>
      </c>
      <c r="D763" s="13"/>
      <c r="E763" s="13"/>
      <c r="F763" s="45"/>
      <c r="G763" s="42"/>
      <c r="H763" s="42"/>
      <c r="I763" s="42"/>
      <c r="J763" s="27" t="s">
        <v>413</v>
      </c>
      <c r="K763" s="42"/>
    </row>
    <row r="764" ht="39.75" hidden="1" customHeight="1">
      <c r="A764" s="1">
        <v>763.0</v>
      </c>
      <c r="B764" s="2" t="s">
        <v>22</v>
      </c>
      <c r="C764" s="2" t="s">
        <v>13</v>
      </c>
      <c r="D764" s="13"/>
      <c r="E764" s="13"/>
      <c r="F764" s="45"/>
      <c r="G764" s="42"/>
      <c r="H764" s="42"/>
      <c r="I764" s="42"/>
      <c r="J764" s="22"/>
      <c r="K764" s="42"/>
    </row>
    <row r="765" ht="39.75" hidden="1" customHeight="1">
      <c r="A765" s="1">
        <v>764.0</v>
      </c>
      <c r="B765" s="2" t="s">
        <v>23</v>
      </c>
      <c r="C765" s="2" t="s">
        <v>13</v>
      </c>
      <c r="D765" s="13"/>
      <c r="E765" s="13"/>
      <c r="F765" s="45"/>
      <c r="G765" s="42"/>
      <c r="H765" s="42"/>
      <c r="I765" s="42"/>
      <c r="J765" s="22"/>
      <c r="K765" s="42"/>
    </row>
    <row r="766" ht="39.75" customHeight="1">
      <c r="A766" s="1">
        <v>765.0</v>
      </c>
      <c r="B766" s="2" t="s">
        <v>24</v>
      </c>
      <c r="C766" s="2" t="s">
        <v>63</v>
      </c>
      <c r="D766" s="13"/>
      <c r="E766" s="13"/>
      <c r="F766" s="45"/>
      <c r="G766" s="42"/>
      <c r="H766" s="42"/>
      <c r="I766" s="42"/>
      <c r="J766" s="22"/>
      <c r="K766" s="42"/>
    </row>
    <row r="767" ht="65.25" customHeight="1">
      <c r="A767" s="1">
        <v>766.0</v>
      </c>
      <c r="B767" s="2" t="s">
        <v>25</v>
      </c>
      <c r="C767" s="2" t="s">
        <v>39</v>
      </c>
      <c r="D767" s="40">
        <v>0.375</v>
      </c>
      <c r="E767" s="13"/>
      <c r="F767" s="44" t="s">
        <v>5077</v>
      </c>
      <c r="G767" s="43">
        <v>1.0</v>
      </c>
      <c r="H767" s="42"/>
      <c r="I767" s="42"/>
      <c r="J767" s="22"/>
      <c r="K767" s="42"/>
    </row>
    <row r="768" ht="59.25" customHeight="1">
      <c r="A768" s="1">
        <v>767.0</v>
      </c>
      <c r="B768" s="2" t="s">
        <v>26</v>
      </c>
      <c r="C768" s="2"/>
      <c r="D768" s="40">
        <v>0.375</v>
      </c>
      <c r="E768" s="13"/>
      <c r="F768" s="44" t="s">
        <v>535</v>
      </c>
      <c r="G768" s="43">
        <v>1.0</v>
      </c>
      <c r="H768" s="42"/>
      <c r="I768" s="43">
        <v>1.0</v>
      </c>
      <c r="J768" s="22"/>
      <c r="K768" s="42"/>
    </row>
    <row r="769" ht="39.75" hidden="1" customHeight="1">
      <c r="A769" s="1">
        <v>768.0</v>
      </c>
      <c r="B769" s="2" t="s">
        <v>29</v>
      </c>
      <c r="C769" s="2" t="s">
        <v>13</v>
      </c>
      <c r="D769" s="13"/>
      <c r="E769" s="13"/>
      <c r="F769" s="45"/>
      <c r="G769" s="42"/>
      <c r="H769" s="42"/>
      <c r="I769" s="42"/>
      <c r="J769" s="22"/>
      <c r="K769" s="42"/>
    </row>
    <row r="770" ht="39.75" hidden="1" customHeight="1">
      <c r="A770" s="1">
        <v>769.0</v>
      </c>
      <c r="B770" s="2" t="s">
        <v>30</v>
      </c>
      <c r="C770" s="2" t="s">
        <v>13</v>
      </c>
      <c r="D770" s="13"/>
      <c r="E770" s="13"/>
      <c r="F770" s="45"/>
      <c r="G770" s="42"/>
      <c r="H770" s="42"/>
      <c r="I770" s="42"/>
      <c r="J770" s="22"/>
      <c r="K770" s="42"/>
    </row>
    <row r="771" ht="39.75" customHeight="1">
      <c r="A771" s="1">
        <v>770.0</v>
      </c>
      <c r="B771" s="2" t="s">
        <v>31</v>
      </c>
      <c r="C771" s="13"/>
      <c r="D771" s="40">
        <v>0.375</v>
      </c>
      <c r="E771" s="13"/>
      <c r="F771" s="44" t="s">
        <v>5078</v>
      </c>
      <c r="G771" s="43">
        <v>1.0</v>
      </c>
      <c r="H771" s="42"/>
      <c r="I771" s="42"/>
      <c r="J771" s="22"/>
      <c r="K771" s="42"/>
    </row>
    <row r="772" ht="39.75" hidden="1" customHeight="1">
      <c r="A772" s="1">
        <v>771.0</v>
      </c>
      <c r="B772" s="2" t="s">
        <v>32</v>
      </c>
      <c r="C772" s="2" t="s">
        <v>13</v>
      </c>
      <c r="D772" s="13"/>
      <c r="E772" s="13"/>
      <c r="F772" s="45"/>
      <c r="G772" s="42"/>
      <c r="H772" s="42"/>
      <c r="I772" s="42"/>
      <c r="J772" s="22"/>
      <c r="K772" s="42"/>
    </row>
    <row r="773" ht="39.75" hidden="1" customHeight="1">
      <c r="A773" s="1">
        <v>772.0</v>
      </c>
      <c r="B773" s="2" t="s">
        <v>67</v>
      </c>
      <c r="C773" s="2" t="s">
        <v>13</v>
      </c>
      <c r="D773" s="13"/>
      <c r="E773" s="13"/>
      <c r="F773" s="45"/>
      <c r="G773" s="42"/>
      <c r="H773" s="42"/>
      <c r="I773" s="42"/>
      <c r="J773" s="22"/>
      <c r="K773" s="42"/>
    </row>
    <row r="774" ht="39.75" hidden="1" customHeight="1">
      <c r="A774" s="1">
        <v>773.0</v>
      </c>
      <c r="B774" s="2" t="s">
        <v>35</v>
      </c>
      <c r="C774" s="2" t="s">
        <v>13</v>
      </c>
      <c r="D774" s="13"/>
      <c r="E774" s="13"/>
      <c r="F774" s="45"/>
      <c r="G774" s="42"/>
      <c r="H774" s="42"/>
      <c r="I774" s="42"/>
      <c r="J774" s="22"/>
      <c r="K774" s="42"/>
    </row>
    <row r="775" ht="39.75" hidden="1" customHeight="1">
      <c r="A775" s="1">
        <v>774.0</v>
      </c>
      <c r="B775" s="2" t="s">
        <v>36</v>
      </c>
      <c r="C775" s="2" t="s">
        <v>13</v>
      </c>
      <c r="D775" s="13"/>
      <c r="E775" s="13"/>
      <c r="F775" s="45"/>
      <c r="G775" s="42"/>
      <c r="H775" s="42"/>
      <c r="I775" s="42"/>
      <c r="J775" s="22"/>
      <c r="K775" s="42"/>
    </row>
    <row r="776" ht="39.75" customHeight="1">
      <c r="A776" s="1">
        <v>775.0</v>
      </c>
      <c r="B776" s="2" t="s">
        <v>38</v>
      </c>
      <c r="C776" s="2" t="s">
        <v>49</v>
      </c>
      <c r="D776" s="13"/>
      <c r="E776" s="51">
        <v>0.8125</v>
      </c>
      <c r="F776" s="44" t="s">
        <v>5073</v>
      </c>
      <c r="G776" s="43">
        <v>1.0</v>
      </c>
      <c r="H776" s="43">
        <v>1.0</v>
      </c>
      <c r="I776" s="42"/>
      <c r="J776" s="22"/>
      <c r="K776" s="42"/>
    </row>
    <row r="777" ht="39.75" hidden="1" customHeight="1">
      <c r="A777" s="1">
        <v>776.0</v>
      </c>
      <c r="B777" s="2" t="s">
        <v>41</v>
      </c>
      <c r="C777" s="2" t="s">
        <v>13</v>
      </c>
      <c r="D777" s="13"/>
      <c r="E777" s="13"/>
      <c r="F777" s="45"/>
      <c r="G777" s="42"/>
      <c r="H777" s="42"/>
      <c r="I777" s="42"/>
      <c r="J777" s="22"/>
      <c r="K777" s="42"/>
    </row>
    <row r="778" ht="39.75" hidden="1" customHeight="1">
      <c r="A778" s="1">
        <v>777.0</v>
      </c>
      <c r="B778" s="2" t="s">
        <v>42</v>
      </c>
      <c r="C778" s="2" t="s">
        <v>13</v>
      </c>
      <c r="D778" s="13"/>
      <c r="E778" s="13"/>
      <c r="F778" s="45"/>
      <c r="G778" s="42"/>
      <c r="H778" s="42"/>
      <c r="I778" s="42"/>
      <c r="J778" s="22"/>
      <c r="K778" s="42"/>
    </row>
    <row r="779" ht="39.75" customHeight="1">
      <c r="A779" s="1">
        <v>778.0</v>
      </c>
      <c r="B779" s="2" t="s">
        <v>267</v>
      </c>
      <c r="C779" s="2" t="s">
        <v>272</v>
      </c>
      <c r="D779" s="13"/>
      <c r="E779" s="13"/>
      <c r="F779" s="44" t="s">
        <v>1186</v>
      </c>
      <c r="G779" s="43">
        <v>1.0</v>
      </c>
      <c r="H779" s="42"/>
      <c r="I779" s="43">
        <v>1.0</v>
      </c>
      <c r="J779" s="22"/>
      <c r="K779" s="42"/>
    </row>
    <row r="780" ht="39.75" hidden="1" customHeight="1">
      <c r="A780" s="1">
        <v>779.0</v>
      </c>
      <c r="B780" s="2" t="s">
        <v>45</v>
      </c>
      <c r="C780" s="2" t="s">
        <v>13</v>
      </c>
      <c r="D780" s="13"/>
      <c r="E780" s="13"/>
      <c r="F780" s="45"/>
      <c r="G780" s="42"/>
      <c r="H780" s="42"/>
      <c r="I780" s="42"/>
      <c r="J780" s="22"/>
      <c r="K780" s="42"/>
    </row>
    <row r="781" ht="39.75" hidden="1" customHeight="1">
      <c r="A781" s="1">
        <v>780.0</v>
      </c>
      <c r="B781" s="2" t="s">
        <v>46</v>
      </c>
      <c r="C781" s="2" t="s">
        <v>13</v>
      </c>
      <c r="D781" s="13"/>
      <c r="E781" s="13"/>
      <c r="F781" s="45"/>
      <c r="G781" s="42"/>
      <c r="H781" s="42"/>
      <c r="I781" s="42"/>
      <c r="J781" s="22"/>
      <c r="K781" s="42"/>
    </row>
    <row r="782" ht="39.75" hidden="1" customHeight="1">
      <c r="A782" s="1">
        <v>781.0</v>
      </c>
      <c r="B782" s="2" t="s">
        <v>47</v>
      </c>
      <c r="C782" s="2" t="s">
        <v>13</v>
      </c>
      <c r="D782" s="13"/>
      <c r="E782" s="13"/>
      <c r="F782" s="45"/>
      <c r="G782" s="42"/>
      <c r="H782" s="42"/>
      <c r="I782" s="42"/>
      <c r="J782" s="22"/>
      <c r="K782" s="42"/>
    </row>
    <row r="783" ht="39.75" customHeight="1">
      <c r="A783" s="1">
        <v>782.0</v>
      </c>
      <c r="B783" s="2" t="s">
        <v>48</v>
      </c>
      <c r="C783" s="2" t="s">
        <v>44</v>
      </c>
      <c r="D783" s="13"/>
      <c r="E783" s="13"/>
      <c r="F783" s="45"/>
      <c r="G783" s="42"/>
      <c r="H783" s="42"/>
      <c r="I783" s="42"/>
      <c r="J783" s="22"/>
      <c r="K783" s="42"/>
    </row>
    <row r="784" ht="39.75" customHeight="1">
      <c r="A784" s="1">
        <v>783.0</v>
      </c>
      <c r="B784" s="21"/>
      <c r="C784" s="21"/>
      <c r="D784" s="21"/>
      <c r="E784" s="21"/>
      <c r="F784" s="46"/>
      <c r="G784" s="47"/>
      <c r="H784" s="47"/>
      <c r="I784" s="47"/>
      <c r="J784" s="48"/>
      <c r="K784" s="47"/>
      <c r="L784" s="49"/>
      <c r="M784" s="49"/>
      <c r="N784" s="49"/>
    </row>
    <row r="785" ht="39.75" customHeight="1">
      <c r="A785" s="1">
        <v>784.0</v>
      </c>
      <c r="B785" s="2" t="s">
        <v>12</v>
      </c>
      <c r="C785" s="2" t="s">
        <v>44</v>
      </c>
      <c r="D785" s="13"/>
      <c r="E785" s="13"/>
      <c r="F785" s="45"/>
      <c r="G785" s="42"/>
      <c r="H785" s="42"/>
      <c r="I785" s="42"/>
      <c r="J785" s="27" t="s">
        <v>4797</v>
      </c>
      <c r="K785" s="42"/>
      <c r="L785" s="15" t="s">
        <v>467</v>
      </c>
    </row>
    <row r="786" ht="39.75" customHeight="1">
      <c r="A786" s="1">
        <v>785.0</v>
      </c>
      <c r="B786" s="2" t="s">
        <v>16</v>
      </c>
      <c r="C786" s="2"/>
      <c r="D786" s="40"/>
      <c r="E786" s="13"/>
      <c r="F786" s="44" t="s">
        <v>5076</v>
      </c>
      <c r="G786" s="43">
        <v>1.0</v>
      </c>
      <c r="H786" s="43">
        <v>1.0</v>
      </c>
      <c r="I786" s="42"/>
      <c r="J786" s="27" t="s">
        <v>467</v>
      </c>
      <c r="K786" s="43"/>
    </row>
    <row r="787" ht="39.75" hidden="1" customHeight="1">
      <c r="A787" s="1">
        <v>786.0</v>
      </c>
      <c r="B787" s="2" t="s">
        <v>116</v>
      </c>
      <c r="C787" s="2" t="s">
        <v>13</v>
      </c>
      <c r="D787" s="13"/>
      <c r="E787" s="13"/>
      <c r="F787" s="45"/>
      <c r="G787" s="42"/>
      <c r="H787" s="42"/>
      <c r="I787" s="42"/>
      <c r="J787" s="27" t="s">
        <v>19</v>
      </c>
      <c r="K787" s="42"/>
    </row>
    <row r="788" ht="39.75" hidden="1" customHeight="1">
      <c r="A788" s="1">
        <v>787.0</v>
      </c>
      <c r="B788" s="2" t="s">
        <v>17</v>
      </c>
      <c r="C788" s="2" t="s">
        <v>13</v>
      </c>
      <c r="D788" s="13"/>
      <c r="E788" s="13"/>
      <c r="F788" s="44"/>
      <c r="G788" s="42"/>
      <c r="H788" s="42"/>
      <c r="I788" s="42"/>
      <c r="J788" s="27" t="s">
        <v>165</v>
      </c>
      <c r="K788" s="42"/>
    </row>
    <row r="789" ht="39.75" hidden="1" customHeight="1">
      <c r="A789" s="1">
        <v>788.0</v>
      </c>
      <c r="B789" s="2" t="s">
        <v>331</v>
      </c>
      <c r="C789" s="2" t="s">
        <v>13</v>
      </c>
      <c r="D789" s="13"/>
      <c r="E789" s="13"/>
      <c r="F789" s="45"/>
      <c r="G789" s="42"/>
      <c r="H789" s="42"/>
      <c r="I789" s="42"/>
      <c r="J789" s="27" t="s">
        <v>2637</v>
      </c>
      <c r="K789" s="42"/>
    </row>
    <row r="790" ht="39.75" customHeight="1">
      <c r="A790" s="1">
        <v>789.0</v>
      </c>
      <c r="B790" s="2" t="s">
        <v>21</v>
      </c>
      <c r="C790" s="2" t="s">
        <v>63</v>
      </c>
      <c r="D790" s="13"/>
      <c r="E790" s="13"/>
      <c r="F790" s="44" t="s">
        <v>2811</v>
      </c>
      <c r="G790" s="42"/>
      <c r="H790" s="42"/>
      <c r="I790" s="42"/>
      <c r="J790" s="27" t="s">
        <v>2638</v>
      </c>
      <c r="K790" s="42"/>
    </row>
    <row r="791" ht="64.5" customHeight="1">
      <c r="A791" s="1">
        <v>790.0</v>
      </c>
      <c r="B791" s="2" t="s">
        <v>22</v>
      </c>
      <c r="C791" s="2" t="s">
        <v>27</v>
      </c>
      <c r="D791" s="13"/>
      <c r="E791" s="13"/>
      <c r="F791" s="44" t="s">
        <v>5079</v>
      </c>
      <c r="G791" s="43">
        <v>1.0</v>
      </c>
      <c r="H791" s="42"/>
      <c r="I791" s="43">
        <v>1.0</v>
      </c>
      <c r="J791" s="22"/>
      <c r="K791" s="42"/>
    </row>
    <row r="792" ht="39.75" hidden="1" customHeight="1">
      <c r="A792" s="1">
        <v>791.0</v>
      </c>
      <c r="B792" s="2" t="s">
        <v>23</v>
      </c>
      <c r="C792" s="2" t="s">
        <v>13</v>
      </c>
      <c r="D792" s="13"/>
      <c r="E792" s="13"/>
      <c r="F792" s="45"/>
      <c r="G792" s="42"/>
      <c r="H792" s="42"/>
      <c r="I792" s="42"/>
      <c r="J792" s="22"/>
      <c r="K792" s="42"/>
    </row>
    <row r="793" ht="39.75" hidden="1" customHeight="1">
      <c r="A793" s="1">
        <v>792.0</v>
      </c>
      <c r="B793" s="2" t="s">
        <v>24</v>
      </c>
      <c r="C793" s="2" t="s">
        <v>13</v>
      </c>
      <c r="D793" s="13"/>
      <c r="E793" s="13"/>
      <c r="F793" s="45"/>
      <c r="G793" s="42"/>
      <c r="H793" s="42"/>
      <c r="I793" s="42"/>
      <c r="J793" s="22"/>
      <c r="K793" s="42"/>
    </row>
    <row r="794" ht="39.75" hidden="1" customHeight="1">
      <c r="A794" s="1">
        <v>793.0</v>
      </c>
      <c r="B794" s="2" t="s">
        <v>25</v>
      </c>
      <c r="C794" s="2" t="s">
        <v>13</v>
      </c>
      <c r="D794" s="13"/>
      <c r="E794" s="13"/>
      <c r="F794" s="45"/>
      <c r="G794" s="42"/>
      <c r="H794" s="42"/>
      <c r="I794" s="42"/>
      <c r="J794" s="22"/>
      <c r="K794" s="42"/>
    </row>
    <row r="795" ht="39.75" hidden="1" customHeight="1">
      <c r="A795" s="1">
        <v>794.0</v>
      </c>
      <c r="B795" s="2" t="s">
        <v>26</v>
      </c>
      <c r="C795" s="2" t="s">
        <v>13</v>
      </c>
      <c r="D795" s="13"/>
      <c r="E795" s="13"/>
      <c r="F795" s="45"/>
      <c r="G795" s="42"/>
      <c r="H795" s="42"/>
      <c r="I795" s="42"/>
      <c r="J795" s="22"/>
      <c r="K795" s="42"/>
    </row>
    <row r="796" ht="39.75" hidden="1" customHeight="1">
      <c r="A796" s="1">
        <v>795.0</v>
      </c>
      <c r="B796" s="2" t="s">
        <v>29</v>
      </c>
      <c r="C796" s="2" t="s">
        <v>13</v>
      </c>
      <c r="D796" s="13"/>
      <c r="E796" s="13"/>
      <c r="F796" s="45"/>
      <c r="G796" s="42"/>
      <c r="H796" s="42"/>
      <c r="I796" s="42"/>
      <c r="J796" s="22"/>
      <c r="K796" s="42"/>
    </row>
    <row r="797" ht="39.75" hidden="1" customHeight="1">
      <c r="A797" s="1">
        <v>796.0</v>
      </c>
      <c r="B797" s="2" t="s">
        <v>30</v>
      </c>
      <c r="C797" s="2" t="s">
        <v>13</v>
      </c>
      <c r="D797" s="13"/>
      <c r="E797" s="13"/>
      <c r="F797" s="45"/>
      <c r="G797" s="42"/>
      <c r="H797" s="42"/>
      <c r="I797" s="42"/>
      <c r="J797" s="22"/>
      <c r="K797" s="42"/>
    </row>
    <row r="798" ht="39.75" customHeight="1">
      <c r="A798" s="1">
        <v>797.0</v>
      </c>
      <c r="B798" s="2" t="s">
        <v>34</v>
      </c>
      <c r="C798" s="2" t="s">
        <v>272</v>
      </c>
      <c r="D798" s="13"/>
      <c r="E798" s="13"/>
      <c r="F798" s="44" t="s">
        <v>1186</v>
      </c>
      <c r="G798" s="43">
        <v>1.0</v>
      </c>
      <c r="H798" s="42"/>
      <c r="I798" s="43">
        <v>1.0</v>
      </c>
      <c r="J798" s="22"/>
      <c r="K798" s="42"/>
    </row>
    <row r="799" ht="39.75" customHeight="1">
      <c r="A799" s="1">
        <v>798.0</v>
      </c>
      <c r="B799" s="2" t="s">
        <v>32</v>
      </c>
      <c r="C799" s="2"/>
      <c r="D799" s="40">
        <v>0.375</v>
      </c>
      <c r="E799" s="13"/>
      <c r="F799" s="44" t="s">
        <v>5080</v>
      </c>
      <c r="G799" s="43">
        <v>2.0</v>
      </c>
      <c r="H799" s="42"/>
      <c r="I799" s="43">
        <v>1.0</v>
      </c>
      <c r="J799" s="22"/>
      <c r="K799" s="42"/>
    </row>
    <row r="800" ht="39.75" hidden="1" customHeight="1">
      <c r="A800" s="1">
        <v>799.0</v>
      </c>
      <c r="B800" s="2" t="s">
        <v>67</v>
      </c>
      <c r="C800" s="2" t="s">
        <v>13</v>
      </c>
      <c r="D800" s="13"/>
      <c r="E800" s="13"/>
      <c r="F800" s="45"/>
      <c r="G800" s="42"/>
      <c r="H800" s="42"/>
      <c r="I800" s="42"/>
      <c r="J800" s="22"/>
      <c r="K800" s="42"/>
    </row>
    <row r="801" ht="39.75" hidden="1" customHeight="1">
      <c r="A801" s="1">
        <v>800.0</v>
      </c>
      <c r="B801" s="2" t="s">
        <v>35</v>
      </c>
      <c r="C801" s="2" t="s">
        <v>13</v>
      </c>
      <c r="D801" s="13"/>
      <c r="E801" s="13"/>
      <c r="F801" s="45"/>
      <c r="G801" s="42"/>
      <c r="H801" s="42"/>
      <c r="I801" s="42"/>
      <c r="J801" s="22"/>
      <c r="K801" s="42"/>
    </row>
    <row r="802" ht="39.75" hidden="1" customHeight="1">
      <c r="A802" s="1">
        <v>801.0</v>
      </c>
      <c r="B802" s="2" t="s">
        <v>36</v>
      </c>
      <c r="C802" s="2" t="s">
        <v>13</v>
      </c>
      <c r="D802" s="13"/>
      <c r="E802" s="13"/>
      <c r="F802" s="45"/>
      <c r="G802" s="42"/>
      <c r="H802" s="42"/>
      <c r="I802" s="42"/>
      <c r="J802" s="22"/>
      <c r="K802" s="42"/>
    </row>
    <row r="803" ht="39.75" customHeight="1">
      <c r="A803" s="1">
        <v>802.0</v>
      </c>
      <c r="B803" s="2" t="s">
        <v>38</v>
      </c>
      <c r="C803" s="2"/>
      <c r="D803" s="13"/>
      <c r="E803" s="13"/>
      <c r="F803" s="44" t="s">
        <v>5073</v>
      </c>
      <c r="G803" s="43">
        <v>1.0</v>
      </c>
      <c r="H803" s="43">
        <v>1.0</v>
      </c>
      <c r="I803" s="42"/>
      <c r="J803" s="22"/>
      <c r="K803" s="42"/>
    </row>
    <row r="804" ht="39.75" hidden="1" customHeight="1">
      <c r="A804" s="1">
        <v>803.0</v>
      </c>
      <c r="B804" s="2" t="s">
        <v>41</v>
      </c>
      <c r="C804" s="2" t="s">
        <v>13</v>
      </c>
      <c r="D804" s="13"/>
      <c r="E804" s="13"/>
      <c r="F804" s="45"/>
      <c r="G804" s="42"/>
      <c r="H804" s="42"/>
      <c r="I804" s="42"/>
      <c r="J804" s="22"/>
      <c r="K804" s="42"/>
    </row>
    <row r="805" ht="39.75" hidden="1" customHeight="1">
      <c r="A805" s="1">
        <v>804.0</v>
      </c>
      <c r="B805" s="2" t="s">
        <v>42</v>
      </c>
      <c r="C805" s="2" t="s">
        <v>13</v>
      </c>
      <c r="D805" s="13"/>
      <c r="E805" s="13"/>
      <c r="F805" s="45"/>
      <c r="G805" s="42"/>
      <c r="H805" s="42"/>
      <c r="I805" s="42"/>
      <c r="J805" s="22"/>
      <c r="K805" s="42"/>
    </row>
    <row r="806" ht="39.75" customHeight="1">
      <c r="A806" s="1">
        <v>805.0</v>
      </c>
      <c r="B806" s="2" t="s">
        <v>43</v>
      </c>
      <c r="C806" s="2" t="s">
        <v>49</v>
      </c>
      <c r="D806" s="13"/>
      <c r="E806" s="13"/>
      <c r="F806" s="44" t="s">
        <v>5081</v>
      </c>
      <c r="G806" s="43">
        <v>2.0</v>
      </c>
      <c r="H806" s="43"/>
      <c r="I806" s="43">
        <v>1.0</v>
      </c>
      <c r="J806" s="22"/>
      <c r="K806" s="42"/>
    </row>
    <row r="807" ht="39.75" hidden="1" customHeight="1">
      <c r="A807" s="1">
        <v>806.0</v>
      </c>
      <c r="B807" s="2" t="s">
        <v>45</v>
      </c>
      <c r="C807" s="2" t="s">
        <v>13</v>
      </c>
      <c r="D807" s="13"/>
      <c r="E807" s="13"/>
      <c r="F807" s="45"/>
      <c r="G807" s="42"/>
      <c r="H807" s="42"/>
      <c r="I807" s="42"/>
      <c r="J807" s="22"/>
      <c r="K807" s="42"/>
    </row>
    <row r="808" ht="39.75" customHeight="1">
      <c r="A808" s="1">
        <v>807.0</v>
      </c>
      <c r="B808" s="2" t="s">
        <v>46</v>
      </c>
      <c r="C808" s="2"/>
      <c r="D808" s="40">
        <v>0.375</v>
      </c>
      <c r="E808" s="13"/>
      <c r="F808" s="44" t="s">
        <v>3456</v>
      </c>
      <c r="G808" s="43">
        <v>1.0</v>
      </c>
      <c r="H808" s="42"/>
      <c r="I808" s="43">
        <v>1.0</v>
      </c>
      <c r="J808" s="22"/>
      <c r="K808" s="42"/>
    </row>
    <row r="809" ht="39.75" customHeight="1">
      <c r="A809" s="1">
        <v>808.0</v>
      </c>
      <c r="B809" s="2" t="s">
        <v>47</v>
      </c>
      <c r="C809" s="2" t="s">
        <v>39</v>
      </c>
      <c r="D809" s="13"/>
      <c r="E809" s="13"/>
      <c r="F809" s="44" t="s">
        <v>5082</v>
      </c>
      <c r="G809" s="43">
        <v>1.0</v>
      </c>
      <c r="H809" s="42"/>
      <c r="I809" s="43">
        <v>1.0</v>
      </c>
      <c r="J809" s="22"/>
      <c r="K809" s="42"/>
    </row>
    <row r="810" ht="39.75" hidden="1" customHeight="1">
      <c r="A810" s="1">
        <v>809.0</v>
      </c>
      <c r="B810" s="2" t="s">
        <v>48</v>
      </c>
      <c r="C810" s="2" t="s">
        <v>13</v>
      </c>
      <c r="D810" s="13"/>
      <c r="E810" s="13"/>
      <c r="F810" s="45"/>
      <c r="G810" s="42"/>
      <c r="H810" s="42"/>
      <c r="I810" s="42"/>
      <c r="J810" s="22"/>
      <c r="K810" s="42"/>
    </row>
    <row r="811" ht="39.75" customHeight="1">
      <c r="A811" s="1">
        <v>810.0</v>
      </c>
      <c r="B811" s="21"/>
      <c r="C811" s="21"/>
      <c r="D811" s="21"/>
      <c r="E811" s="21"/>
      <c r="F811" s="46"/>
      <c r="G811" s="47"/>
      <c r="H811" s="47"/>
      <c r="I811" s="47"/>
      <c r="J811" s="48"/>
      <c r="K811" s="47"/>
      <c r="L811" s="49"/>
      <c r="M811" s="49"/>
      <c r="N811" s="49"/>
    </row>
    <row r="812" ht="39.75" customHeight="1">
      <c r="A812" s="1">
        <v>811.0</v>
      </c>
      <c r="B812" s="2" t="s">
        <v>12</v>
      </c>
      <c r="C812" s="2"/>
      <c r="D812" s="13"/>
      <c r="E812" s="13"/>
      <c r="F812" s="45"/>
      <c r="G812" s="42"/>
      <c r="H812" s="42"/>
      <c r="I812" s="42"/>
      <c r="J812" s="22"/>
      <c r="K812" s="42"/>
      <c r="L812" s="15" t="s">
        <v>477</v>
      </c>
    </row>
    <row r="813" ht="39.75" customHeight="1">
      <c r="A813" s="1">
        <v>812.0</v>
      </c>
      <c r="B813" s="2" t="s">
        <v>16</v>
      </c>
      <c r="C813" s="2"/>
      <c r="D813" s="13"/>
      <c r="E813" s="13"/>
      <c r="F813" s="44"/>
      <c r="G813" s="42"/>
      <c r="H813" s="42"/>
      <c r="I813" s="42"/>
      <c r="J813" s="27"/>
      <c r="K813" s="43"/>
    </row>
    <row r="814" ht="39.75" customHeight="1">
      <c r="A814" s="1">
        <v>813.0</v>
      </c>
      <c r="B814" s="2" t="s">
        <v>116</v>
      </c>
      <c r="C814" s="2"/>
      <c r="D814" s="13"/>
      <c r="E814" s="13"/>
      <c r="F814" s="45"/>
      <c r="G814" s="42"/>
      <c r="H814" s="42"/>
      <c r="I814" s="42"/>
      <c r="J814" s="22"/>
      <c r="K814" s="42"/>
    </row>
    <row r="815" ht="39.75" customHeight="1">
      <c r="A815" s="1">
        <v>814.0</v>
      </c>
      <c r="B815" s="2" t="s">
        <v>17</v>
      </c>
      <c r="C815" s="2"/>
      <c r="D815" s="13"/>
      <c r="E815" s="13"/>
      <c r="F815" s="44"/>
      <c r="G815" s="42"/>
      <c r="H815" s="42"/>
      <c r="I815" s="42"/>
      <c r="J815" s="22"/>
      <c r="K815" s="42"/>
    </row>
    <row r="816" ht="39.75" customHeight="1">
      <c r="A816" s="1">
        <v>815.0</v>
      </c>
      <c r="B816" s="2" t="s">
        <v>331</v>
      </c>
      <c r="C816" s="2"/>
      <c r="D816" s="13"/>
      <c r="E816" s="13"/>
      <c r="F816" s="44"/>
      <c r="G816" s="42"/>
      <c r="H816" s="42"/>
      <c r="I816" s="42"/>
      <c r="J816" s="22"/>
      <c r="K816" s="42"/>
    </row>
    <row r="817" ht="39.75" customHeight="1">
      <c r="A817" s="1">
        <v>816.0</v>
      </c>
      <c r="B817" s="2" t="s">
        <v>21</v>
      </c>
      <c r="C817" s="2"/>
      <c r="D817" s="13"/>
      <c r="E817" s="13"/>
      <c r="F817" s="45"/>
      <c r="G817" s="42"/>
      <c r="H817" s="42"/>
      <c r="I817" s="42"/>
      <c r="J817" s="22"/>
      <c r="K817" s="42"/>
    </row>
    <row r="818" ht="39.75" customHeight="1">
      <c r="A818" s="1">
        <v>817.0</v>
      </c>
      <c r="B818" s="2" t="s">
        <v>22</v>
      </c>
      <c r="C818" s="2"/>
      <c r="D818" s="13"/>
      <c r="E818" s="13"/>
      <c r="F818" s="44"/>
      <c r="G818" s="42"/>
      <c r="H818" s="42"/>
      <c r="I818" s="42"/>
      <c r="J818" s="22"/>
      <c r="K818" s="42"/>
    </row>
    <row r="819" ht="39.75" customHeight="1">
      <c r="A819" s="1">
        <v>818.0</v>
      </c>
      <c r="B819" s="2" t="s">
        <v>23</v>
      </c>
      <c r="C819" s="13"/>
      <c r="D819" s="13"/>
      <c r="E819" s="13"/>
      <c r="F819" s="44"/>
      <c r="G819" s="42"/>
      <c r="H819" s="42"/>
      <c r="I819" s="42"/>
      <c r="J819" s="22"/>
      <c r="K819" s="42"/>
    </row>
    <row r="820" ht="39.75" customHeight="1">
      <c r="A820" s="1">
        <v>819.0</v>
      </c>
      <c r="B820" s="2" t="s">
        <v>24</v>
      </c>
      <c r="C820" s="2"/>
      <c r="D820" s="13"/>
      <c r="E820" s="13"/>
      <c r="F820" s="45"/>
      <c r="G820" s="42"/>
      <c r="H820" s="42"/>
      <c r="I820" s="42"/>
      <c r="J820" s="22"/>
      <c r="K820" s="42"/>
    </row>
    <row r="821" ht="39.75" customHeight="1">
      <c r="A821" s="1">
        <v>820.0</v>
      </c>
      <c r="B821" s="2" t="s">
        <v>25</v>
      </c>
      <c r="C821" s="2"/>
      <c r="D821" s="13"/>
      <c r="E821" s="13"/>
      <c r="F821" s="44"/>
      <c r="G821" s="42"/>
      <c r="H821" s="42"/>
      <c r="I821" s="42"/>
      <c r="J821" s="22"/>
      <c r="K821" s="42"/>
    </row>
    <row r="822" ht="39.75" customHeight="1">
      <c r="A822" s="1">
        <v>821.0</v>
      </c>
      <c r="B822" s="2" t="s">
        <v>26</v>
      </c>
      <c r="C822" s="2"/>
      <c r="D822" s="13"/>
      <c r="E822" s="13"/>
      <c r="F822" s="44"/>
      <c r="G822" s="42"/>
      <c r="H822" s="42"/>
      <c r="I822" s="42"/>
      <c r="J822" s="22"/>
      <c r="K822" s="42"/>
    </row>
    <row r="823" ht="39.75" customHeight="1">
      <c r="A823" s="1">
        <v>822.0</v>
      </c>
      <c r="B823" s="2" t="s">
        <v>29</v>
      </c>
      <c r="C823" s="2"/>
      <c r="D823" s="13"/>
      <c r="E823" s="13"/>
      <c r="F823" s="44"/>
      <c r="G823" s="42"/>
      <c r="H823" s="42"/>
      <c r="I823" s="42"/>
      <c r="J823" s="22"/>
      <c r="K823" s="42"/>
    </row>
    <row r="824" ht="39.75" customHeight="1">
      <c r="A824" s="1">
        <v>823.0</v>
      </c>
      <c r="B824" s="2" t="s">
        <v>30</v>
      </c>
      <c r="C824" s="2"/>
      <c r="D824" s="13"/>
      <c r="E824" s="13"/>
      <c r="F824" s="45"/>
      <c r="G824" s="42"/>
      <c r="H824" s="42"/>
      <c r="I824" s="42"/>
      <c r="J824" s="22"/>
      <c r="K824" s="42"/>
    </row>
    <row r="825" ht="39.75" customHeight="1">
      <c r="A825" s="1">
        <v>824.0</v>
      </c>
      <c r="B825" s="2" t="s">
        <v>31</v>
      </c>
      <c r="C825" s="13"/>
      <c r="D825" s="13"/>
      <c r="E825" s="13"/>
      <c r="F825" s="44"/>
      <c r="G825" s="42"/>
      <c r="H825" s="42"/>
      <c r="I825" s="42"/>
      <c r="J825" s="22"/>
      <c r="K825" s="42"/>
    </row>
    <row r="826" ht="39.75" customHeight="1">
      <c r="A826" s="1">
        <v>825.0</v>
      </c>
      <c r="B826" s="2" t="s">
        <v>32</v>
      </c>
      <c r="C826" s="2"/>
      <c r="D826" s="13"/>
      <c r="E826" s="13"/>
      <c r="F826" s="44"/>
      <c r="G826" s="42"/>
      <c r="H826" s="42"/>
      <c r="I826" s="42"/>
      <c r="J826" s="22"/>
      <c r="K826" s="42"/>
    </row>
    <row r="827" ht="39.75" customHeight="1">
      <c r="A827" s="1">
        <v>826.0</v>
      </c>
      <c r="B827" s="2" t="s">
        <v>67</v>
      </c>
      <c r="C827" s="2"/>
      <c r="D827" s="13"/>
      <c r="E827" s="13"/>
      <c r="F827" s="44"/>
      <c r="G827" s="42"/>
      <c r="H827" s="42"/>
      <c r="I827" s="42"/>
      <c r="J827" s="22"/>
      <c r="K827" s="42"/>
    </row>
    <row r="828" ht="39.75" customHeight="1">
      <c r="A828" s="1">
        <v>827.0</v>
      </c>
      <c r="B828" s="2" t="s">
        <v>35</v>
      </c>
      <c r="C828" s="2"/>
      <c r="D828" s="13"/>
      <c r="E828" s="13"/>
      <c r="F828" s="44"/>
      <c r="G828" s="42"/>
      <c r="H828" s="42"/>
      <c r="I828" s="42"/>
      <c r="J828" s="22"/>
      <c r="K828" s="42"/>
    </row>
    <row r="829" ht="39.75" customHeight="1">
      <c r="A829" s="1">
        <v>828.0</v>
      </c>
      <c r="B829" s="2" t="s">
        <v>36</v>
      </c>
      <c r="C829" s="2"/>
      <c r="D829" s="13"/>
      <c r="E829" s="13"/>
      <c r="F829" s="44"/>
      <c r="G829" s="42"/>
      <c r="H829" s="42"/>
      <c r="I829" s="42"/>
      <c r="J829" s="22"/>
      <c r="K829" s="42"/>
    </row>
    <row r="830" ht="39.75" customHeight="1">
      <c r="A830" s="1">
        <v>829.0</v>
      </c>
      <c r="B830" s="2" t="s">
        <v>38</v>
      </c>
      <c r="C830" s="2"/>
      <c r="D830" s="13"/>
      <c r="E830" s="13"/>
      <c r="F830" s="44"/>
      <c r="G830" s="42"/>
      <c r="H830" s="42"/>
      <c r="I830" s="42"/>
      <c r="J830" s="22"/>
      <c r="K830" s="42"/>
    </row>
    <row r="831" ht="39.75" customHeight="1">
      <c r="A831" s="1">
        <v>830.0</v>
      </c>
      <c r="B831" s="2" t="s">
        <v>41</v>
      </c>
      <c r="C831" s="13"/>
      <c r="D831" s="13"/>
      <c r="E831" s="13"/>
      <c r="F831" s="45"/>
      <c r="G831" s="42"/>
      <c r="H831" s="42"/>
      <c r="I831" s="42"/>
      <c r="J831" s="22"/>
      <c r="K831" s="42"/>
    </row>
    <row r="832" ht="39.75" customHeight="1">
      <c r="A832" s="1">
        <v>831.0</v>
      </c>
      <c r="B832" s="2" t="s">
        <v>42</v>
      </c>
      <c r="C832" s="2"/>
      <c r="D832" s="13"/>
      <c r="E832" s="13"/>
      <c r="F832" s="44"/>
      <c r="G832" s="42"/>
      <c r="H832" s="42"/>
      <c r="I832" s="42"/>
      <c r="J832" s="22"/>
      <c r="K832" s="42"/>
    </row>
    <row r="833" ht="39.75" customHeight="1">
      <c r="A833" s="1">
        <v>832.0</v>
      </c>
      <c r="B833" s="2" t="s">
        <v>43</v>
      </c>
      <c r="C833" s="2"/>
      <c r="D833" s="13"/>
      <c r="E833" s="13"/>
      <c r="F833" s="44"/>
      <c r="G833" s="42"/>
      <c r="H833" s="42"/>
      <c r="I833" s="42"/>
      <c r="J833" s="22"/>
      <c r="K833" s="42"/>
    </row>
    <row r="834" ht="39.75" customHeight="1">
      <c r="A834" s="1">
        <v>833.0</v>
      </c>
      <c r="B834" s="2" t="s">
        <v>45</v>
      </c>
      <c r="C834" s="2"/>
      <c r="D834" s="13"/>
      <c r="E834" s="13"/>
      <c r="F834" s="44"/>
      <c r="G834" s="42"/>
      <c r="H834" s="42"/>
      <c r="I834" s="42"/>
      <c r="J834" s="22"/>
      <c r="K834" s="42"/>
    </row>
    <row r="835" ht="39.75" customHeight="1">
      <c r="A835" s="1">
        <v>834.0</v>
      </c>
      <c r="B835" s="2" t="s">
        <v>46</v>
      </c>
      <c r="C835" s="2"/>
      <c r="D835" s="13"/>
      <c r="E835" s="13"/>
      <c r="F835" s="45"/>
      <c r="G835" s="42"/>
      <c r="H835" s="42"/>
      <c r="I835" s="42"/>
      <c r="J835" s="22"/>
      <c r="K835" s="42"/>
    </row>
    <row r="836" ht="39.75" customHeight="1">
      <c r="A836" s="1">
        <v>835.0</v>
      </c>
      <c r="B836" s="2" t="s">
        <v>47</v>
      </c>
      <c r="C836" s="2"/>
      <c r="D836" s="13"/>
      <c r="E836" s="13"/>
      <c r="F836" s="45"/>
      <c r="G836" s="42"/>
      <c r="H836" s="42"/>
      <c r="I836" s="42"/>
      <c r="J836" s="22"/>
      <c r="K836" s="42"/>
    </row>
    <row r="837" ht="39.75" customHeight="1">
      <c r="A837" s="1">
        <v>836.0</v>
      </c>
      <c r="B837" s="2" t="s">
        <v>48</v>
      </c>
      <c r="C837" s="2"/>
      <c r="D837" s="13"/>
      <c r="E837" s="13"/>
      <c r="F837" s="45"/>
      <c r="G837" s="42"/>
      <c r="H837" s="42"/>
      <c r="I837" s="42"/>
      <c r="J837" s="22"/>
      <c r="K837" s="42"/>
    </row>
    <row r="838" ht="39.75" customHeight="1">
      <c r="A838" s="1">
        <v>837.0</v>
      </c>
      <c r="B838" s="21"/>
      <c r="C838" s="21"/>
      <c r="D838" s="21"/>
      <c r="E838" s="21"/>
      <c r="F838" s="46"/>
      <c r="G838" s="47"/>
      <c r="H838" s="47"/>
      <c r="I838" s="47"/>
      <c r="J838" s="48"/>
      <c r="K838" s="47"/>
      <c r="L838" s="49"/>
      <c r="M838" s="49"/>
      <c r="N838" s="49"/>
    </row>
    <row r="839" ht="39.75" hidden="1" customHeight="1">
      <c r="A839" s="1"/>
      <c r="B839" s="2" t="s">
        <v>12</v>
      </c>
      <c r="C839" s="21"/>
      <c r="D839" s="21"/>
      <c r="E839" s="21"/>
      <c r="F839" s="46"/>
      <c r="G839" s="62">
        <f>SUMIF(B3:B837,"*이동현*",G3:G837)</f>
        <v>11</v>
      </c>
      <c r="H839" s="47"/>
      <c r="I839" s="47"/>
      <c r="J839" s="48"/>
      <c r="K839" s="47"/>
      <c r="L839" s="49"/>
      <c r="M839" s="49"/>
      <c r="N839" s="49"/>
    </row>
    <row r="840" ht="39.75" hidden="1" customHeight="1">
      <c r="A840" s="1"/>
      <c r="B840" s="2" t="s">
        <v>16</v>
      </c>
      <c r="C840" s="21"/>
      <c r="D840" s="21"/>
      <c r="E840" s="21"/>
      <c r="F840" s="46"/>
      <c r="G840" s="62">
        <f>SUMIF(B4:B837,"*반일훈*",G4:G837)</f>
        <v>19</v>
      </c>
      <c r="H840" s="47"/>
      <c r="I840" s="47"/>
      <c r="J840" s="48"/>
      <c r="K840" s="47"/>
      <c r="L840" s="49"/>
      <c r="M840" s="49"/>
      <c r="N840" s="49"/>
    </row>
    <row r="841" ht="39.75" hidden="1" customHeight="1">
      <c r="A841" s="1"/>
      <c r="B841" s="2" t="s">
        <v>116</v>
      </c>
      <c r="C841" s="21"/>
      <c r="D841" s="21"/>
      <c r="E841" s="21"/>
      <c r="F841" s="46"/>
      <c r="G841" s="62">
        <f>SUMIF(B5:B837,"*김재식*",G5:G837)</f>
        <v>16</v>
      </c>
      <c r="H841" s="47"/>
      <c r="I841" s="47"/>
      <c r="J841" s="48"/>
      <c r="K841" s="47"/>
      <c r="L841" s="49"/>
      <c r="M841" s="49"/>
      <c r="N841" s="49"/>
    </row>
    <row r="842" ht="39.75" hidden="1" customHeight="1">
      <c r="A842" s="1"/>
      <c r="B842" s="2" t="s">
        <v>17</v>
      </c>
      <c r="C842" s="21"/>
      <c r="D842" s="21"/>
      <c r="E842" s="21"/>
      <c r="F842" s="46"/>
      <c r="G842" s="62">
        <f>SUMIF(B5:B837,"*신동환*",G5:G837)</f>
        <v>16</v>
      </c>
      <c r="H842" s="47"/>
      <c r="I842" s="47"/>
      <c r="J842" s="48"/>
      <c r="K842" s="47"/>
      <c r="L842" s="49"/>
      <c r="M842" s="49"/>
      <c r="N842" s="49"/>
    </row>
    <row r="843" ht="39.75" hidden="1" customHeight="1">
      <c r="A843" s="1"/>
      <c r="B843" s="2" t="s">
        <v>331</v>
      </c>
      <c r="C843" s="21"/>
      <c r="D843" s="21"/>
      <c r="E843" s="21"/>
      <c r="F843" s="46"/>
      <c r="G843" s="62">
        <f>SUMIF(B5:B837,"*장후원*",G5:G837)</f>
        <v>9</v>
      </c>
      <c r="H843" s="47"/>
      <c r="I843" s="47"/>
      <c r="J843" s="48"/>
      <c r="K843" s="47"/>
      <c r="L843" s="49"/>
      <c r="M843" s="49"/>
      <c r="N843" s="49"/>
    </row>
    <row r="844" ht="39.75" hidden="1" customHeight="1">
      <c r="A844" s="1"/>
      <c r="B844" s="2" t="s">
        <v>21</v>
      </c>
      <c r="C844" s="21"/>
      <c r="D844" s="21"/>
      <c r="E844" s="21"/>
      <c r="F844" s="46"/>
      <c r="G844" s="62">
        <f>SUMIF(B5:B837,"*구본준*",G5:G837)</f>
        <v>1</v>
      </c>
      <c r="H844" s="47"/>
      <c r="I844" s="47"/>
      <c r="J844" s="48"/>
      <c r="K844" s="47"/>
      <c r="L844" s="49"/>
      <c r="M844" s="49"/>
      <c r="N844" s="49"/>
    </row>
    <row r="845" ht="39.75" hidden="1" customHeight="1">
      <c r="A845" s="1"/>
      <c r="B845" s="2" t="s">
        <v>22</v>
      </c>
      <c r="C845" s="21"/>
      <c r="D845" s="21"/>
      <c r="E845" s="21"/>
      <c r="F845" s="46"/>
      <c r="G845" s="62">
        <f>SUMIF(B5:B837,"*이학진*",G5:G837)</f>
        <v>16</v>
      </c>
      <c r="H845" s="47"/>
      <c r="I845" s="47"/>
      <c r="J845" s="48"/>
      <c r="K845" s="47"/>
      <c r="L845" s="49"/>
      <c r="M845" s="49"/>
      <c r="N845" s="49"/>
    </row>
    <row r="846" ht="39.75" hidden="1" customHeight="1">
      <c r="A846" s="1"/>
      <c r="B846" s="2" t="s">
        <v>23</v>
      </c>
      <c r="C846" s="21"/>
      <c r="D846" s="21"/>
      <c r="E846" s="21"/>
      <c r="F846" s="46"/>
      <c r="G846" s="62">
        <f>SUMIF(B5:B837,"*황현우*",G5:G837)</f>
        <v>20</v>
      </c>
      <c r="H846" s="47"/>
      <c r="I846" s="47"/>
      <c r="J846" s="48"/>
      <c r="K846" s="47"/>
      <c r="L846" s="49"/>
      <c r="M846" s="49"/>
      <c r="N846" s="49"/>
    </row>
    <row r="847" ht="39.75" hidden="1" customHeight="1">
      <c r="A847" s="1"/>
      <c r="B847" s="2" t="s">
        <v>24</v>
      </c>
      <c r="C847" s="21"/>
      <c r="D847" s="21"/>
      <c r="E847" s="21"/>
      <c r="F847" s="46"/>
      <c r="G847" s="62">
        <f>SUMIF(B5:B837,"*김미란*",G5:G837)</f>
        <v>6</v>
      </c>
      <c r="H847" s="47"/>
      <c r="I847" s="47"/>
      <c r="J847" s="48"/>
      <c r="K847" s="47"/>
      <c r="L847" s="49"/>
      <c r="M847" s="49"/>
      <c r="N847" s="49"/>
    </row>
    <row r="848" ht="39.75" hidden="1" customHeight="1">
      <c r="A848" s="1"/>
      <c r="B848" s="2" t="s">
        <v>25</v>
      </c>
      <c r="C848" s="21"/>
      <c r="D848" s="21"/>
      <c r="E848" s="21"/>
      <c r="F848" s="46"/>
      <c r="G848" s="62">
        <f>SUMIF(B5:B837,"*유규열*",G5:G837)</f>
        <v>16</v>
      </c>
      <c r="H848" s="47"/>
      <c r="I848" s="47"/>
      <c r="J848" s="48"/>
      <c r="K848" s="47"/>
      <c r="L848" s="49"/>
      <c r="M848" s="49"/>
      <c r="N848" s="49"/>
    </row>
    <row r="849" ht="39.75" hidden="1" customHeight="1">
      <c r="A849" s="1"/>
      <c r="B849" s="2" t="s">
        <v>26</v>
      </c>
      <c r="C849" s="21"/>
      <c r="D849" s="21"/>
      <c r="E849" s="21"/>
      <c r="F849" s="46"/>
      <c r="G849" s="62">
        <f>SUMIF(B5:B837,"*김준택*",G5:G837)</f>
        <v>15</v>
      </c>
      <c r="H849" s="47"/>
      <c r="I849" s="47"/>
      <c r="J849" s="48"/>
      <c r="K849" s="47"/>
      <c r="L849" s="49"/>
      <c r="M849" s="49"/>
      <c r="N849" s="49"/>
    </row>
    <row r="850" ht="39.75" hidden="1" customHeight="1">
      <c r="A850" s="1"/>
      <c r="B850" s="2" t="s">
        <v>29</v>
      </c>
      <c r="C850" s="21"/>
      <c r="D850" s="21"/>
      <c r="E850" s="21"/>
      <c r="F850" s="46"/>
      <c r="G850" s="62">
        <f>SUMIF(B5:B837,"*방극철*",G5:G837)</f>
        <v>19</v>
      </c>
      <c r="H850" s="47"/>
      <c r="I850" s="47"/>
      <c r="J850" s="48"/>
      <c r="K850" s="47"/>
      <c r="L850" s="49"/>
      <c r="M850" s="49"/>
      <c r="N850" s="49"/>
    </row>
    <row r="851" ht="39.75" hidden="1" customHeight="1">
      <c r="A851" s="1"/>
      <c r="B851" s="2" t="s">
        <v>30</v>
      </c>
      <c r="C851" s="21"/>
      <c r="D851" s="21"/>
      <c r="E851" s="21"/>
      <c r="F851" s="46"/>
      <c r="G851" s="62">
        <f>SUMIF(B5:B837,"*홍승재*",G5:G837)</f>
        <v>19</v>
      </c>
      <c r="H851" s="47"/>
      <c r="I851" s="47"/>
      <c r="J851" s="48"/>
      <c r="K851" s="47"/>
      <c r="L851" s="49"/>
      <c r="M851" s="49"/>
      <c r="N851" s="49"/>
    </row>
    <row r="852" ht="39.75" hidden="1" customHeight="1">
      <c r="A852" s="1"/>
      <c r="B852" s="2" t="s">
        <v>31</v>
      </c>
      <c r="C852" s="21"/>
      <c r="D852" s="21"/>
      <c r="E852" s="21"/>
      <c r="F852" s="46"/>
      <c r="G852" s="62">
        <f>SUMIF(B5:B837,"*이   경*",G5:G837)</f>
        <v>19</v>
      </c>
      <c r="H852" s="47"/>
      <c r="I852" s="47"/>
      <c r="J852" s="48"/>
      <c r="K852" s="47"/>
      <c r="L852" s="49"/>
      <c r="M852" s="49"/>
      <c r="N852" s="49"/>
    </row>
    <row r="853" ht="39.75" hidden="1" customHeight="1">
      <c r="A853" s="1"/>
      <c r="B853" s="2" t="s">
        <v>32</v>
      </c>
      <c r="C853" s="21"/>
      <c r="D853" s="21"/>
      <c r="E853" s="21"/>
      <c r="F853" s="46"/>
      <c r="G853" s="62">
        <f>SUMIF(B5:B837,"*정상원*",G5:G837)</f>
        <v>21</v>
      </c>
      <c r="H853" s="47"/>
      <c r="I853" s="47"/>
      <c r="J853" s="48"/>
      <c r="K853" s="47"/>
      <c r="L853" s="49"/>
      <c r="M853" s="49"/>
      <c r="N853" s="49"/>
    </row>
    <row r="854" ht="39.75" hidden="1" customHeight="1">
      <c r="A854" s="1"/>
      <c r="B854" s="2" t="s">
        <v>67</v>
      </c>
      <c r="C854" s="21"/>
      <c r="D854" s="21"/>
      <c r="E854" s="21"/>
      <c r="F854" s="46"/>
      <c r="G854" s="62">
        <f>SUMIF(B5:B837,"*이주원*",G5:G837)</f>
        <v>23</v>
      </c>
      <c r="H854" s="47"/>
      <c r="I854" s="47"/>
      <c r="J854" s="48"/>
      <c r="K854" s="47"/>
      <c r="L854" s="49"/>
      <c r="M854" s="49"/>
      <c r="N854" s="49"/>
    </row>
    <row r="855" ht="39.75" hidden="1" customHeight="1">
      <c r="A855" s="1"/>
      <c r="B855" s="2" t="s">
        <v>35</v>
      </c>
      <c r="C855" s="21"/>
      <c r="D855" s="21"/>
      <c r="E855" s="21"/>
      <c r="F855" s="46"/>
      <c r="G855" s="62">
        <f>SUMIF(B5:B837,"*최무룡*",G5:G837)</f>
        <v>19</v>
      </c>
      <c r="H855" s="47"/>
      <c r="I855" s="47"/>
      <c r="J855" s="48"/>
      <c r="K855" s="47"/>
      <c r="L855" s="49"/>
      <c r="M855" s="49"/>
      <c r="N855" s="49"/>
    </row>
    <row r="856" ht="39.75" hidden="1" customHeight="1">
      <c r="A856" s="1"/>
      <c r="B856" s="2" t="s">
        <v>36</v>
      </c>
      <c r="C856" s="21"/>
      <c r="D856" s="21"/>
      <c r="E856" s="21"/>
      <c r="F856" s="46"/>
      <c r="G856" s="62">
        <f>SUMIF(B5:B837,"*정철원*",G5:G837)</f>
        <v>14</v>
      </c>
      <c r="H856" s="47"/>
      <c r="I856" s="47"/>
      <c r="J856" s="48"/>
      <c r="K856" s="47"/>
      <c r="L856" s="49"/>
      <c r="M856" s="49"/>
      <c r="N856" s="49"/>
    </row>
    <row r="857" ht="39.75" hidden="1" customHeight="1">
      <c r="A857" s="1"/>
      <c r="B857" s="2" t="s">
        <v>38</v>
      </c>
      <c r="C857" s="21"/>
      <c r="D857" s="21"/>
      <c r="E857" s="21"/>
      <c r="F857" s="46"/>
      <c r="G857" s="62">
        <f>SUMIF(B5:B837,"*김진광*",G5:G837)</f>
        <v>26</v>
      </c>
      <c r="H857" s="47"/>
      <c r="I857" s="47"/>
      <c r="J857" s="48"/>
      <c r="K857" s="47"/>
      <c r="L857" s="49"/>
      <c r="M857" s="49"/>
      <c r="N857" s="49"/>
    </row>
    <row r="858" ht="39.75" hidden="1" customHeight="1">
      <c r="A858" s="1"/>
      <c r="B858" s="2" t="s">
        <v>41</v>
      </c>
      <c r="C858" s="21"/>
      <c r="D858" s="21"/>
      <c r="E858" s="21"/>
      <c r="F858" s="46"/>
      <c r="G858" s="62">
        <f>SUMIF(B5:B837,"*조용희*",G5:G837)</f>
        <v>0</v>
      </c>
      <c r="H858" s="47"/>
      <c r="I858" s="47"/>
      <c r="J858" s="48"/>
      <c r="K858" s="47"/>
      <c r="L858" s="49"/>
      <c r="M858" s="49"/>
      <c r="N858" s="49"/>
    </row>
    <row r="859" ht="39.75" hidden="1" customHeight="1">
      <c r="A859" s="1"/>
      <c r="B859" s="2" t="s">
        <v>42</v>
      </c>
      <c r="C859" s="21"/>
      <c r="D859" s="21"/>
      <c r="E859" s="21"/>
      <c r="F859" s="46"/>
      <c r="G859" s="62">
        <f>SUMIF(B5:B837,"*이완근*",G5:G837)</f>
        <v>16</v>
      </c>
      <c r="H859" s="47"/>
      <c r="I859" s="47"/>
      <c r="J859" s="48"/>
      <c r="K859" s="47"/>
      <c r="L859" s="49"/>
      <c r="M859" s="49"/>
      <c r="N859" s="49"/>
    </row>
    <row r="860" ht="39.75" hidden="1" customHeight="1">
      <c r="A860" s="1"/>
      <c r="B860" s="2" t="s">
        <v>43</v>
      </c>
      <c r="C860" s="21"/>
      <c r="D860" s="21"/>
      <c r="E860" s="21"/>
      <c r="F860" s="46"/>
      <c r="G860" s="62">
        <f>SUMIF(B5:B837,"*박대권*",G5:G837)</f>
        <v>21</v>
      </c>
      <c r="H860" s="47"/>
      <c r="I860" s="47"/>
      <c r="J860" s="48"/>
      <c r="K860" s="47"/>
      <c r="L860" s="49"/>
      <c r="M860" s="49"/>
      <c r="N860" s="49"/>
    </row>
    <row r="861" ht="39.75" hidden="1" customHeight="1">
      <c r="A861" s="1"/>
      <c r="B861" s="2" t="s">
        <v>45</v>
      </c>
      <c r="C861" s="21"/>
      <c r="D861" s="21"/>
      <c r="E861" s="21"/>
      <c r="F861" s="46"/>
      <c r="G861" s="62">
        <f>SUMIF(B5:B837,"*김대호*",G5:G837)</f>
        <v>29</v>
      </c>
      <c r="H861" s="47"/>
      <c r="I861" s="47"/>
      <c r="J861" s="48"/>
      <c r="K861" s="47"/>
      <c r="L861" s="49"/>
      <c r="M861" s="49"/>
      <c r="N861" s="49"/>
    </row>
    <row r="862" ht="39.75" hidden="1" customHeight="1">
      <c r="A862" s="1"/>
      <c r="B862" s="2" t="s">
        <v>46</v>
      </c>
      <c r="C862" s="21"/>
      <c r="D862" s="21"/>
      <c r="E862" s="21"/>
      <c r="F862" s="46"/>
      <c r="G862" s="62">
        <f>SUMIF(B5:B837,"*이현일*",G5:G837)</f>
        <v>23</v>
      </c>
      <c r="H862" s="47"/>
      <c r="I862" s="47"/>
      <c r="J862" s="48"/>
      <c r="K862" s="47"/>
      <c r="L862" s="49"/>
      <c r="M862" s="49"/>
      <c r="N862" s="49"/>
    </row>
    <row r="863" ht="39.75" hidden="1" customHeight="1">
      <c r="A863" s="1"/>
      <c r="B863" s="2" t="s">
        <v>47</v>
      </c>
      <c r="C863" s="21"/>
      <c r="D863" s="21"/>
      <c r="E863" s="21"/>
      <c r="F863" s="46"/>
      <c r="G863" s="62">
        <f>SUMIF(B5:B837,"*유연경*",G5:G837)</f>
        <v>23</v>
      </c>
      <c r="H863" s="47"/>
      <c r="I863" s="47"/>
      <c r="J863" s="48"/>
      <c r="K863" s="47"/>
      <c r="L863" s="49"/>
      <c r="M863" s="49"/>
      <c r="N863" s="49"/>
    </row>
    <row r="864" ht="39.75" hidden="1" customHeight="1">
      <c r="A864" s="1"/>
      <c r="B864" s="2" t="s">
        <v>48</v>
      </c>
      <c r="C864" s="21"/>
      <c r="D864" s="21"/>
      <c r="E864" s="21"/>
      <c r="F864" s="46"/>
      <c r="G864" s="62">
        <f>SUMIF(B5:B837,"*정재우*",G5:G837)</f>
        <v>23</v>
      </c>
      <c r="H864" s="47"/>
      <c r="I864" s="47"/>
      <c r="J864" s="48"/>
      <c r="K864" s="47"/>
      <c r="L864" s="49"/>
      <c r="M864" s="49"/>
      <c r="N864" s="49"/>
    </row>
  </sheetData>
  <mergeCells count="31">
    <mergeCell ref="L2:N27"/>
    <mergeCell ref="L29:N54"/>
    <mergeCell ref="L56:N81"/>
    <mergeCell ref="L83:N108"/>
    <mergeCell ref="L110:N135"/>
    <mergeCell ref="L137:N162"/>
    <mergeCell ref="L164:N189"/>
    <mergeCell ref="L191:N216"/>
    <mergeCell ref="L218:N243"/>
    <mergeCell ref="L245:N270"/>
    <mergeCell ref="L272:N297"/>
    <mergeCell ref="L299:N324"/>
    <mergeCell ref="L326:N351"/>
    <mergeCell ref="L353:N378"/>
    <mergeCell ref="L380:N405"/>
    <mergeCell ref="L407:N432"/>
    <mergeCell ref="L434:N459"/>
    <mergeCell ref="L461:N486"/>
    <mergeCell ref="L488:N513"/>
    <mergeCell ref="L515:N540"/>
    <mergeCell ref="L542:N567"/>
    <mergeCell ref="L758:N783"/>
    <mergeCell ref="L785:N810"/>
    <mergeCell ref="L812:N837"/>
    <mergeCell ref="L569:N594"/>
    <mergeCell ref="L596:N621"/>
    <mergeCell ref="L623:N648"/>
    <mergeCell ref="L650:N675"/>
    <mergeCell ref="L677:N702"/>
    <mergeCell ref="L704:N729"/>
    <mergeCell ref="L731:N756"/>
  </mergeCells>
  <conditionalFormatting sqref="B2:I864">
    <cfRule type="expression" dxfId="6" priority="1">
      <formula>$C2="휴가"</formula>
    </cfRule>
  </conditionalFormatting>
  <conditionalFormatting sqref="B2:I864">
    <cfRule type="expression" dxfId="6" priority="2">
      <formula>$C2="휴무"</formula>
    </cfRule>
  </conditionalFormatting>
  <conditionalFormatting sqref="B2:I864">
    <cfRule type="expression" dxfId="6" priority="3">
      <formula>$C2="제크"</formula>
    </cfRule>
  </conditionalFormatting>
  <conditionalFormatting sqref="B2:I864">
    <cfRule type="expression" dxfId="7" priority="4">
      <formula>$C2="야퇴"</formula>
    </cfRule>
  </conditionalFormatting>
  <conditionalFormatting sqref="B2:I864">
    <cfRule type="expression" dxfId="8" priority="5">
      <formula>$C2="대통령실"</formula>
    </cfRule>
  </conditionalFormatting>
  <conditionalFormatting sqref="B2:I864">
    <cfRule type="expression" dxfId="8" priority="6">
      <formula>$C2="헌법재판소"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</cols>
  <sheetData>
    <row r="1" ht="22.5" customHeight="1">
      <c r="A1" s="162" t="s">
        <v>2944</v>
      </c>
      <c r="B1" s="162" t="s">
        <v>5083</v>
      </c>
      <c r="C1" s="163" t="s">
        <v>491</v>
      </c>
      <c r="D1" s="163" t="s">
        <v>840</v>
      </c>
      <c r="E1" s="163" t="s">
        <v>1161</v>
      </c>
      <c r="F1" s="163" t="s">
        <v>1544</v>
      </c>
      <c r="G1" s="163" t="s">
        <v>1890</v>
      </c>
      <c r="H1" s="163" t="s">
        <v>2231</v>
      </c>
      <c r="I1" s="163" t="s">
        <v>2570</v>
      </c>
      <c r="J1" s="163" t="s">
        <v>2945</v>
      </c>
      <c r="K1" s="163" t="s">
        <v>3250</v>
      </c>
      <c r="L1" s="163" t="s">
        <v>4481</v>
      </c>
      <c r="M1" s="163" t="s">
        <v>4797</v>
      </c>
      <c r="N1" s="163" t="s">
        <v>14</v>
      </c>
      <c r="O1" s="162" t="s">
        <v>5084</v>
      </c>
    </row>
    <row r="2" ht="22.5" customHeight="1">
      <c r="A2" s="164">
        <v>14.0</v>
      </c>
      <c r="B2" s="163" t="s">
        <v>31</v>
      </c>
      <c r="C2" s="165">
        <v>18.0</v>
      </c>
      <c r="D2" s="165">
        <v>24.0</v>
      </c>
      <c r="E2" s="165">
        <v>27.0</v>
      </c>
      <c r="F2" s="165">
        <v>19.0</v>
      </c>
      <c r="G2" s="165">
        <v>17.0</v>
      </c>
      <c r="H2" s="165">
        <v>24.0</v>
      </c>
      <c r="I2" s="165">
        <v>32.0</v>
      </c>
      <c r="J2" s="165">
        <v>16.0</v>
      </c>
      <c r="K2" s="165">
        <v>20.0</v>
      </c>
      <c r="L2" s="165">
        <v>29.0</v>
      </c>
      <c r="M2" s="165">
        <v>19.0</v>
      </c>
      <c r="N2" s="165">
        <v>25.0</v>
      </c>
      <c r="O2" s="165">
        <f t="shared" ref="O2:O27" si="1">SUM(C2:N2)</f>
        <v>270</v>
      </c>
    </row>
    <row r="3" ht="22.5" customHeight="1">
      <c r="A3" s="164">
        <v>26.0</v>
      </c>
      <c r="B3" s="163" t="s">
        <v>48</v>
      </c>
      <c r="C3" s="165">
        <v>15.0</v>
      </c>
      <c r="D3" s="165">
        <v>23.0</v>
      </c>
      <c r="E3" s="165">
        <v>24.0</v>
      </c>
      <c r="F3" s="165">
        <v>21.0</v>
      </c>
      <c r="G3" s="165">
        <v>19.0</v>
      </c>
      <c r="H3" s="165">
        <v>18.0</v>
      </c>
      <c r="I3" s="165">
        <v>29.0</v>
      </c>
      <c r="J3" s="165">
        <v>27.0</v>
      </c>
      <c r="K3" s="165">
        <v>26.0</v>
      </c>
      <c r="L3" s="165">
        <v>27.0</v>
      </c>
      <c r="M3" s="165">
        <v>23.0</v>
      </c>
      <c r="N3" s="165">
        <v>15.0</v>
      </c>
      <c r="O3" s="165">
        <f t="shared" si="1"/>
        <v>267</v>
      </c>
    </row>
    <row r="4" ht="22.5" customHeight="1">
      <c r="A4" s="164">
        <v>23.0</v>
      </c>
      <c r="B4" s="163" t="s">
        <v>45</v>
      </c>
      <c r="C4" s="165">
        <v>19.0</v>
      </c>
      <c r="D4" s="165">
        <v>15.0</v>
      </c>
      <c r="E4" s="165">
        <v>18.0</v>
      </c>
      <c r="F4" s="165">
        <v>25.0</v>
      </c>
      <c r="G4" s="165">
        <v>19.0</v>
      </c>
      <c r="H4" s="165">
        <v>18.0</v>
      </c>
      <c r="I4" s="165">
        <v>23.0</v>
      </c>
      <c r="J4" s="165">
        <v>16.0</v>
      </c>
      <c r="K4" s="165">
        <v>27.0</v>
      </c>
      <c r="L4" s="165">
        <v>24.0</v>
      </c>
      <c r="M4" s="165">
        <v>29.0</v>
      </c>
      <c r="N4" s="165">
        <v>15.0</v>
      </c>
      <c r="O4" s="165">
        <f t="shared" si="1"/>
        <v>248</v>
      </c>
    </row>
    <row r="5" ht="22.5" customHeight="1">
      <c r="A5" s="164">
        <v>15.0</v>
      </c>
      <c r="B5" s="163" t="s">
        <v>32</v>
      </c>
      <c r="C5" s="165">
        <v>18.0</v>
      </c>
      <c r="D5" s="165">
        <v>15.0</v>
      </c>
      <c r="E5" s="165">
        <v>14.0</v>
      </c>
      <c r="F5" s="165">
        <v>20.0</v>
      </c>
      <c r="G5" s="165">
        <v>14.0</v>
      </c>
      <c r="H5" s="165">
        <v>16.0</v>
      </c>
      <c r="I5" s="165">
        <v>21.0</v>
      </c>
      <c r="J5" s="165">
        <v>23.0</v>
      </c>
      <c r="K5" s="165">
        <v>25.0</v>
      </c>
      <c r="L5" s="165">
        <v>28.0</v>
      </c>
      <c r="M5" s="165">
        <v>21.0</v>
      </c>
      <c r="N5" s="165">
        <v>22.0</v>
      </c>
      <c r="O5" s="165">
        <f t="shared" si="1"/>
        <v>237</v>
      </c>
    </row>
    <row r="6" ht="22.5" customHeight="1">
      <c r="A6" s="164">
        <v>19.0</v>
      </c>
      <c r="B6" s="163" t="s">
        <v>38</v>
      </c>
      <c r="C6" s="165">
        <v>19.0</v>
      </c>
      <c r="D6" s="165">
        <v>15.0</v>
      </c>
      <c r="E6" s="165">
        <v>14.0</v>
      </c>
      <c r="F6" s="165">
        <v>17.0</v>
      </c>
      <c r="G6" s="165">
        <v>18.0</v>
      </c>
      <c r="H6" s="165">
        <v>16.0</v>
      </c>
      <c r="I6" s="165">
        <v>27.0</v>
      </c>
      <c r="J6" s="165">
        <v>19.0</v>
      </c>
      <c r="K6" s="165">
        <v>25.0</v>
      </c>
      <c r="L6" s="165">
        <v>26.0</v>
      </c>
      <c r="M6" s="165">
        <v>26.0</v>
      </c>
      <c r="N6" s="165">
        <v>15.0</v>
      </c>
      <c r="O6" s="165">
        <f t="shared" si="1"/>
        <v>237</v>
      </c>
    </row>
    <row r="7" ht="22.5" customHeight="1">
      <c r="A7" s="164">
        <v>24.0</v>
      </c>
      <c r="B7" s="163" t="s">
        <v>46</v>
      </c>
      <c r="C7" s="165">
        <v>21.0</v>
      </c>
      <c r="D7" s="165">
        <v>11.0</v>
      </c>
      <c r="E7" s="165">
        <v>11.0</v>
      </c>
      <c r="F7" s="165">
        <v>17.0</v>
      </c>
      <c r="G7" s="165">
        <v>16.0</v>
      </c>
      <c r="H7" s="165">
        <v>17.0</v>
      </c>
      <c r="I7" s="165">
        <v>21.0</v>
      </c>
      <c r="J7" s="165">
        <v>26.0</v>
      </c>
      <c r="K7" s="165">
        <v>26.0</v>
      </c>
      <c r="L7" s="165">
        <v>16.0</v>
      </c>
      <c r="M7" s="165">
        <v>23.0</v>
      </c>
      <c r="N7" s="165">
        <v>22.0</v>
      </c>
      <c r="O7" s="165">
        <f t="shared" si="1"/>
        <v>227</v>
      </c>
    </row>
    <row r="8" ht="22.5" customHeight="1">
      <c r="A8" s="164">
        <v>25.0</v>
      </c>
      <c r="B8" s="163" t="s">
        <v>47</v>
      </c>
      <c r="C8" s="165">
        <v>15.0</v>
      </c>
      <c r="D8" s="165">
        <v>14.0</v>
      </c>
      <c r="E8" s="165">
        <v>18.0</v>
      </c>
      <c r="F8" s="165">
        <v>19.0</v>
      </c>
      <c r="G8" s="165">
        <v>21.0</v>
      </c>
      <c r="H8" s="165">
        <v>17.0</v>
      </c>
      <c r="I8" s="165">
        <v>23.0</v>
      </c>
      <c r="J8" s="165">
        <v>14.0</v>
      </c>
      <c r="K8" s="165">
        <v>18.0</v>
      </c>
      <c r="L8" s="165">
        <v>30.0</v>
      </c>
      <c r="M8" s="165">
        <v>23.0</v>
      </c>
      <c r="N8" s="165">
        <v>14.0</v>
      </c>
      <c r="O8" s="165">
        <f t="shared" si="1"/>
        <v>226</v>
      </c>
    </row>
    <row r="9" ht="22.5" customHeight="1">
      <c r="A9" s="164">
        <v>8.0</v>
      </c>
      <c r="B9" s="163" t="s">
        <v>23</v>
      </c>
      <c r="C9" s="165">
        <v>14.0</v>
      </c>
      <c r="D9" s="165">
        <v>11.0</v>
      </c>
      <c r="E9" s="165">
        <v>21.0</v>
      </c>
      <c r="F9" s="165">
        <v>17.0</v>
      </c>
      <c r="G9" s="165">
        <v>20.0</v>
      </c>
      <c r="H9" s="165">
        <v>13.0</v>
      </c>
      <c r="I9" s="165">
        <v>22.0</v>
      </c>
      <c r="J9" s="165">
        <v>19.0</v>
      </c>
      <c r="K9" s="165">
        <v>25.0</v>
      </c>
      <c r="L9" s="165">
        <v>23.0</v>
      </c>
      <c r="M9" s="165">
        <v>20.0</v>
      </c>
      <c r="N9" s="165">
        <v>19.0</v>
      </c>
      <c r="O9" s="165">
        <f t="shared" si="1"/>
        <v>224</v>
      </c>
    </row>
    <row r="10" ht="22.5" customHeight="1">
      <c r="A10" s="164">
        <v>16.0</v>
      </c>
      <c r="B10" s="163" t="s">
        <v>67</v>
      </c>
      <c r="C10" s="165">
        <v>16.0</v>
      </c>
      <c r="D10" s="165">
        <v>10.0</v>
      </c>
      <c r="E10" s="165">
        <v>19.0</v>
      </c>
      <c r="F10" s="165">
        <v>14.0</v>
      </c>
      <c r="G10" s="165">
        <v>21.0</v>
      </c>
      <c r="H10" s="165">
        <v>18.0</v>
      </c>
      <c r="I10" s="165">
        <v>26.0</v>
      </c>
      <c r="J10" s="165">
        <v>17.0</v>
      </c>
      <c r="K10" s="165">
        <v>20.0</v>
      </c>
      <c r="L10" s="165">
        <v>20.0</v>
      </c>
      <c r="M10" s="165">
        <v>23.0</v>
      </c>
      <c r="N10" s="165">
        <v>20.0</v>
      </c>
      <c r="O10" s="165">
        <f t="shared" si="1"/>
        <v>224</v>
      </c>
    </row>
    <row r="11" ht="22.5" customHeight="1">
      <c r="A11" s="164">
        <v>12.0</v>
      </c>
      <c r="B11" s="163" t="s">
        <v>29</v>
      </c>
      <c r="C11" s="165">
        <v>15.0</v>
      </c>
      <c r="D11" s="165">
        <v>10.0</v>
      </c>
      <c r="E11" s="165">
        <v>19.0</v>
      </c>
      <c r="F11" s="165">
        <v>14.0</v>
      </c>
      <c r="G11" s="165">
        <v>15.0</v>
      </c>
      <c r="H11" s="165">
        <v>19.0</v>
      </c>
      <c r="I11" s="165">
        <v>23.0</v>
      </c>
      <c r="J11" s="165">
        <v>23.0</v>
      </c>
      <c r="K11" s="165">
        <v>26.0</v>
      </c>
      <c r="L11" s="165">
        <v>19.0</v>
      </c>
      <c r="M11" s="165">
        <v>19.0</v>
      </c>
      <c r="N11" s="165">
        <v>21.0</v>
      </c>
      <c r="O11" s="165">
        <f t="shared" si="1"/>
        <v>223</v>
      </c>
    </row>
    <row r="12" ht="22.5" customHeight="1">
      <c r="A12" s="164">
        <v>10.0</v>
      </c>
      <c r="B12" s="163" t="s">
        <v>25</v>
      </c>
      <c r="C12" s="165">
        <v>18.5</v>
      </c>
      <c r="D12" s="165">
        <v>19.0</v>
      </c>
      <c r="E12" s="165">
        <v>17.0</v>
      </c>
      <c r="F12" s="165">
        <v>16.0</v>
      </c>
      <c r="G12" s="165">
        <v>20.0</v>
      </c>
      <c r="H12" s="165">
        <v>19.0</v>
      </c>
      <c r="I12" s="165">
        <v>21.0</v>
      </c>
      <c r="J12" s="165">
        <v>17.0</v>
      </c>
      <c r="K12" s="165">
        <v>25.0</v>
      </c>
      <c r="L12" s="165">
        <v>20.0</v>
      </c>
      <c r="M12" s="165">
        <v>16.0</v>
      </c>
      <c r="N12" s="165">
        <v>12.0</v>
      </c>
      <c r="O12" s="165">
        <f t="shared" si="1"/>
        <v>220.5</v>
      </c>
    </row>
    <row r="13" ht="22.5" customHeight="1">
      <c r="A13" s="164">
        <v>18.0</v>
      </c>
      <c r="B13" s="163" t="s">
        <v>36</v>
      </c>
      <c r="C13" s="165">
        <v>21.0</v>
      </c>
      <c r="D13" s="165">
        <v>12.0</v>
      </c>
      <c r="E13" s="165">
        <v>23.0</v>
      </c>
      <c r="F13" s="165">
        <v>19.0</v>
      </c>
      <c r="G13" s="165">
        <v>10.0</v>
      </c>
      <c r="H13" s="165">
        <v>16.0</v>
      </c>
      <c r="I13" s="165">
        <v>24.0</v>
      </c>
      <c r="J13" s="165">
        <v>19.0</v>
      </c>
      <c r="K13" s="165">
        <v>23.0</v>
      </c>
      <c r="L13" s="165">
        <v>19.0</v>
      </c>
      <c r="M13" s="165">
        <v>14.0</v>
      </c>
      <c r="N13" s="165">
        <v>20.0</v>
      </c>
      <c r="O13" s="165">
        <f t="shared" si="1"/>
        <v>220</v>
      </c>
    </row>
    <row r="14" ht="22.5" customHeight="1">
      <c r="A14" s="164">
        <v>11.0</v>
      </c>
      <c r="B14" s="163" t="s">
        <v>26</v>
      </c>
      <c r="C14" s="165">
        <v>14.0</v>
      </c>
      <c r="D14" s="165">
        <v>17.0</v>
      </c>
      <c r="E14" s="165">
        <v>18.0</v>
      </c>
      <c r="F14" s="165">
        <v>15.0</v>
      </c>
      <c r="G14" s="165">
        <v>10.0</v>
      </c>
      <c r="H14" s="165">
        <v>20.0</v>
      </c>
      <c r="I14" s="165">
        <v>20.0</v>
      </c>
      <c r="J14" s="165">
        <v>19.0</v>
      </c>
      <c r="K14" s="165">
        <v>25.0</v>
      </c>
      <c r="L14" s="165">
        <v>26.0</v>
      </c>
      <c r="M14" s="165">
        <v>15.0</v>
      </c>
      <c r="N14" s="165">
        <v>18.0</v>
      </c>
      <c r="O14" s="165">
        <f t="shared" si="1"/>
        <v>217</v>
      </c>
    </row>
    <row r="15" ht="22.5" customHeight="1">
      <c r="A15" s="164">
        <v>21.0</v>
      </c>
      <c r="B15" s="163" t="s">
        <v>42</v>
      </c>
      <c r="C15" s="165">
        <v>20.0</v>
      </c>
      <c r="D15" s="165">
        <v>16.0</v>
      </c>
      <c r="E15" s="165">
        <v>22.0</v>
      </c>
      <c r="F15" s="165">
        <v>16.0</v>
      </c>
      <c r="G15" s="165">
        <v>14.0</v>
      </c>
      <c r="H15" s="165">
        <v>19.0</v>
      </c>
      <c r="I15" s="165">
        <v>26.0</v>
      </c>
      <c r="J15" s="165">
        <v>13.0</v>
      </c>
      <c r="K15" s="165">
        <v>23.0</v>
      </c>
      <c r="L15" s="165">
        <v>7.0</v>
      </c>
      <c r="M15" s="165">
        <v>16.0</v>
      </c>
      <c r="N15" s="165">
        <v>23.0</v>
      </c>
      <c r="O15" s="165">
        <f t="shared" si="1"/>
        <v>215</v>
      </c>
    </row>
    <row r="16" ht="22.5" customHeight="1">
      <c r="A16" s="164">
        <v>2.0</v>
      </c>
      <c r="B16" s="163" t="s">
        <v>16</v>
      </c>
      <c r="C16" s="165">
        <v>21.0</v>
      </c>
      <c r="D16" s="165">
        <v>15.0</v>
      </c>
      <c r="E16" s="165">
        <v>14.0</v>
      </c>
      <c r="F16" s="165">
        <v>14.0</v>
      </c>
      <c r="G16" s="165">
        <v>14.0</v>
      </c>
      <c r="H16" s="165">
        <v>12.0</v>
      </c>
      <c r="I16" s="165">
        <v>24.0</v>
      </c>
      <c r="J16" s="165">
        <v>18.0</v>
      </c>
      <c r="K16" s="165">
        <v>20.0</v>
      </c>
      <c r="L16" s="165">
        <v>20.0</v>
      </c>
      <c r="M16" s="165">
        <v>19.0</v>
      </c>
      <c r="N16" s="165">
        <v>16.0</v>
      </c>
      <c r="O16" s="165">
        <f t="shared" si="1"/>
        <v>207</v>
      </c>
    </row>
    <row r="17" ht="22.5" customHeight="1">
      <c r="A17" s="164">
        <v>22.0</v>
      </c>
      <c r="B17" s="163" t="s">
        <v>43</v>
      </c>
      <c r="C17" s="165">
        <v>16.5</v>
      </c>
      <c r="D17" s="165">
        <v>12.0</v>
      </c>
      <c r="E17" s="165">
        <v>22.0</v>
      </c>
      <c r="F17" s="165">
        <v>15.0</v>
      </c>
      <c r="G17" s="165">
        <v>17.0</v>
      </c>
      <c r="H17" s="165">
        <v>17.0</v>
      </c>
      <c r="I17" s="165">
        <v>19.0</v>
      </c>
      <c r="J17" s="165">
        <v>17.0</v>
      </c>
      <c r="K17" s="165">
        <v>18.0</v>
      </c>
      <c r="L17" s="165">
        <v>15.0</v>
      </c>
      <c r="M17" s="165">
        <v>21.0</v>
      </c>
      <c r="N17" s="165">
        <v>15.0</v>
      </c>
      <c r="O17" s="165">
        <f t="shared" si="1"/>
        <v>204.5</v>
      </c>
    </row>
    <row r="18" ht="22.5" customHeight="1">
      <c r="A18" s="164">
        <v>17.0</v>
      </c>
      <c r="B18" s="163" t="s">
        <v>35</v>
      </c>
      <c r="C18" s="165">
        <v>11.0</v>
      </c>
      <c r="D18" s="165">
        <v>16.0</v>
      </c>
      <c r="E18" s="165">
        <v>18.0</v>
      </c>
      <c r="F18" s="165">
        <v>19.0</v>
      </c>
      <c r="G18" s="165">
        <v>12.0</v>
      </c>
      <c r="H18" s="165">
        <v>16.0</v>
      </c>
      <c r="I18" s="165">
        <v>17.0</v>
      </c>
      <c r="J18" s="165">
        <v>21.0</v>
      </c>
      <c r="K18" s="165">
        <v>13.0</v>
      </c>
      <c r="L18" s="165">
        <v>28.0</v>
      </c>
      <c r="M18" s="165">
        <v>19.0</v>
      </c>
      <c r="N18" s="165">
        <v>14.0</v>
      </c>
      <c r="O18" s="165">
        <f t="shared" si="1"/>
        <v>204</v>
      </c>
    </row>
    <row r="19" ht="22.5" customHeight="1">
      <c r="A19" s="164">
        <v>4.0</v>
      </c>
      <c r="B19" s="163" t="s">
        <v>17</v>
      </c>
      <c r="C19" s="165">
        <v>8.0</v>
      </c>
      <c r="D19" s="165">
        <v>15.0</v>
      </c>
      <c r="E19" s="165">
        <v>15.0</v>
      </c>
      <c r="F19" s="165">
        <v>15.0</v>
      </c>
      <c r="G19" s="165">
        <v>14.0</v>
      </c>
      <c r="H19" s="165">
        <v>14.0</v>
      </c>
      <c r="I19" s="165">
        <v>21.0</v>
      </c>
      <c r="J19" s="165">
        <v>21.0</v>
      </c>
      <c r="K19" s="165">
        <v>20.0</v>
      </c>
      <c r="L19" s="165">
        <v>19.0</v>
      </c>
      <c r="M19" s="165">
        <v>16.0</v>
      </c>
      <c r="N19" s="165">
        <v>17.0</v>
      </c>
      <c r="O19" s="165">
        <f t="shared" si="1"/>
        <v>195</v>
      </c>
    </row>
    <row r="20" ht="22.5" customHeight="1">
      <c r="A20" s="164">
        <v>7.0</v>
      </c>
      <c r="B20" s="163" t="s">
        <v>22</v>
      </c>
      <c r="C20" s="165">
        <v>16.5</v>
      </c>
      <c r="D20" s="165">
        <v>13.0</v>
      </c>
      <c r="E20" s="165">
        <v>16.0</v>
      </c>
      <c r="F20" s="165">
        <v>15.0</v>
      </c>
      <c r="G20" s="165">
        <v>16.0</v>
      </c>
      <c r="H20" s="165">
        <v>11.0</v>
      </c>
      <c r="I20" s="165">
        <v>17.0</v>
      </c>
      <c r="J20" s="165">
        <v>18.0</v>
      </c>
      <c r="K20" s="165">
        <v>21.0</v>
      </c>
      <c r="L20" s="165">
        <v>22.0</v>
      </c>
      <c r="M20" s="165">
        <v>16.0</v>
      </c>
      <c r="N20" s="165">
        <v>13.0</v>
      </c>
      <c r="O20" s="165">
        <f t="shared" si="1"/>
        <v>194.5</v>
      </c>
    </row>
    <row r="21" ht="22.5" customHeight="1">
      <c r="A21" s="164">
        <v>13.0</v>
      </c>
      <c r="B21" s="163" t="s">
        <v>30</v>
      </c>
      <c r="C21" s="165">
        <v>7.0</v>
      </c>
      <c r="D21" s="165">
        <v>3.0</v>
      </c>
      <c r="E21" s="165">
        <v>4.0</v>
      </c>
      <c r="F21" s="165">
        <v>3.0</v>
      </c>
      <c r="G21" s="165">
        <v>12.0</v>
      </c>
      <c r="H21" s="165">
        <v>21.0</v>
      </c>
      <c r="I21" s="165">
        <v>18.0</v>
      </c>
      <c r="J21" s="165">
        <v>17.0</v>
      </c>
      <c r="K21" s="165">
        <v>22.0</v>
      </c>
      <c r="L21" s="165">
        <v>15.0</v>
      </c>
      <c r="M21" s="165">
        <v>19.0</v>
      </c>
      <c r="N21" s="165">
        <v>15.0</v>
      </c>
      <c r="O21" s="165">
        <f t="shared" si="1"/>
        <v>156</v>
      </c>
    </row>
    <row r="22" ht="22.5" customHeight="1">
      <c r="A22" s="164">
        <v>5.0</v>
      </c>
      <c r="B22" s="163" t="s">
        <v>331</v>
      </c>
      <c r="C22" s="165">
        <v>11.0</v>
      </c>
      <c r="D22" s="165">
        <v>11.0</v>
      </c>
      <c r="E22" s="165">
        <v>14.0</v>
      </c>
      <c r="F22" s="165">
        <v>11.0</v>
      </c>
      <c r="G22" s="165">
        <v>17.0</v>
      </c>
      <c r="H22" s="165">
        <v>10.0</v>
      </c>
      <c r="I22" s="165">
        <v>22.0</v>
      </c>
      <c r="J22" s="165">
        <v>9.0</v>
      </c>
      <c r="K22" s="165">
        <v>11.0</v>
      </c>
      <c r="L22" s="165">
        <v>11.0</v>
      </c>
      <c r="M22" s="165">
        <v>9.0</v>
      </c>
      <c r="N22" s="165">
        <v>12.0</v>
      </c>
      <c r="O22" s="165">
        <f t="shared" si="1"/>
        <v>148</v>
      </c>
    </row>
    <row r="23" ht="22.5" customHeight="1">
      <c r="A23" s="164">
        <v>1.0</v>
      </c>
      <c r="B23" s="163" t="s">
        <v>12</v>
      </c>
      <c r="C23" s="165">
        <v>10.0</v>
      </c>
      <c r="D23" s="165">
        <v>11.0</v>
      </c>
      <c r="E23" s="165">
        <v>12.0</v>
      </c>
      <c r="F23" s="165">
        <v>7.0</v>
      </c>
      <c r="G23" s="165">
        <v>13.0</v>
      </c>
      <c r="H23" s="165">
        <v>14.0</v>
      </c>
      <c r="I23" s="165">
        <v>11.0</v>
      </c>
      <c r="J23" s="165">
        <v>15.0</v>
      </c>
      <c r="K23" s="165">
        <v>13.0</v>
      </c>
      <c r="L23" s="165">
        <v>16.0</v>
      </c>
      <c r="M23" s="165">
        <v>11.0</v>
      </c>
      <c r="N23" s="165">
        <v>12.0</v>
      </c>
      <c r="O23" s="165">
        <f t="shared" si="1"/>
        <v>145</v>
      </c>
    </row>
    <row r="24" ht="22.5" customHeight="1">
      <c r="A24" s="164">
        <v>3.0</v>
      </c>
      <c r="B24" s="163" t="s">
        <v>116</v>
      </c>
      <c r="C24" s="165">
        <v>8.5</v>
      </c>
      <c r="D24" s="165">
        <v>1.0</v>
      </c>
      <c r="E24" s="165">
        <v>3.0</v>
      </c>
      <c r="F24" s="165">
        <v>2.0</v>
      </c>
      <c r="G24" s="165">
        <v>1.0</v>
      </c>
      <c r="H24" s="165">
        <v>4.0</v>
      </c>
      <c r="I24" s="165">
        <v>16.0</v>
      </c>
      <c r="J24" s="165">
        <v>21.0</v>
      </c>
      <c r="K24" s="165">
        <v>20.0</v>
      </c>
      <c r="L24" s="165">
        <v>21.0</v>
      </c>
      <c r="M24" s="165">
        <v>16.0</v>
      </c>
      <c r="N24" s="165">
        <v>16.0</v>
      </c>
      <c r="O24" s="165">
        <f t="shared" si="1"/>
        <v>129.5</v>
      </c>
    </row>
    <row r="25" ht="22.5" customHeight="1">
      <c r="A25" s="164">
        <v>9.0</v>
      </c>
      <c r="B25" s="163" t="s">
        <v>24</v>
      </c>
      <c r="C25" s="165">
        <v>9.0</v>
      </c>
      <c r="D25" s="165">
        <v>8.0</v>
      </c>
      <c r="E25" s="165">
        <v>6.0</v>
      </c>
      <c r="F25" s="165">
        <v>15.0</v>
      </c>
      <c r="G25" s="165">
        <v>13.0</v>
      </c>
      <c r="H25" s="165">
        <v>12.0</v>
      </c>
      <c r="I25" s="165">
        <v>5.0</v>
      </c>
      <c r="J25" s="165">
        <v>11.0</v>
      </c>
      <c r="K25" s="165">
        <v>4.0</v>
      </c>
      <c r="L25" s="165">
        <v>1.0</v>
      </c>
      <c r="M25" s="165">
        <v>6.0</v>
      </c>
      <c r="N25" s="165">
        <v>6.0</v>
      </c>
      <c r="O25" s="165">
        <f t="shared" si="1"/>
        <v>96</v>
      </c>
    </row>
    <row r="26" ht="22.5" customHeight="1">
      <c r="A26" s="164">
        <v>6.0</v>
      </c>
      <c r="B26" s="163" t="s">
        <v>21</v>
      </c>
      <c r="C26" s="165">
        <v>0.0</v>
      </c>
      <c r="D26" s="165">
        <v>11.0</v>
      </c>
      <c r="E26" s="165">
        <v>8.0</v>
      </c>
      <c r="F26" s="165">
        <v>10.0</v>
      </c>
      <c r="G26" s="165">
        <v>12.0</v>
      </c>
      <c r="H26" s="165">
        <v>4.0</v>
      </c>
      <c r="I26" s="165">
        <v>8.0</v>
      </c>
      <c r="J26" s="165">
        <v>3.0</v>
      </c>
      <c r="K26" s="165">
        <v>8.0</v>
      </c>
      <c r="L26" s="165">
        <v>7.0</v>
      </c>
      <c r="M26" s="165">
        <v>1.0</v>
      </c>
      <c r="N26" s="165">
        <v>10.0</v>
      </c>
      <c r="O26" s="165">
        <f t="shared" si="1"/>
        <v>82</v>
      </c>
    </row>
    <row r="27" ht="22.5" customHeight="1">
      <c r="A27" s="164">
        <v>20.0</v>
      </c>
      <c r="B27" s="163" t="s">
        <v>41</v>
      </c>
      <c r="C27" s="165">
        <v>18.0</v>
      </c>
      <c r="D27" s="165">
        <v>17.0</v>
      </c>
      <c r="E27" s="165">
        <v>7.0</v>
      </c>
      <c r="F27" s="165">
        <v>0.0</v>
      </c>
      <c r="G27" s="165">
        <v>0.0</v>
      </c>
      <c r="H27" s="165">
        <v>0.0</v>
      </c>
      <c r="I27" s="165">
        <v>0.0</v>
      </c>
      <c r="J27" s="165">
        <v>0.0</v>
      </c>
      <c r="K27" s="165">
        <v>0.0</v>
      </c>
      <c r="L27" s="165">
        <v>0.0</v>
      </c>
      <c r="M27" s="165">
        <v>0.0</v>
      </c>
      <c r="N27" s="165">
        <v>0.0</v>
      </c>
      <c r="O27" s="165">
        <f t="shared" si="1"/>
        <v>42</v>
      </c>
    </row>
    <row r="28">
      <c r="A28" s="166"/>
      <c r="B28" s="166"/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8.25"/>
    <col customWidth="1" min="3" max="3" width="10.75"/>
    <col customWidth="1" min="4" max="5" width="8.88"/>
    <col customWidth="1" min="6" max="6" width="50.13"/>
    <col customWidth="1" min="7" max="7" width="8.88"/>
    <col customWidth="1" min="8" max="8" width="10.63"/>
    <col customWidth="1" min="9" max="9" width="11.38"/>
    <col customWidth="1" min="10" max="10" width="8.5"/>
    <col customWidth="1" min="11" max="11" width="11.38"/>
    <col customWidth="1" min="12" max="14" width="12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36"/>
      <c r="K1" s="2" t="s">
        <v>1160</v>
      </c>
      <c r="L1" s="37" t="s">
        <v>490</v>
      </c>
      <c r="M1" s="38" t="s">
        <v>10</v>
      </c>
      <c r="N1" s="39" t="s">
        <v>11</v>
      </c>
    </row>
    <row r="2" ht="39.75" customHeight="1">
      <c r="A2" s="1">
        <v>1.0</v>
      </c>
      <c r="B2" s="2" t="s">
        <v>12</v>
      </c>
      <c r="C2" s="2" t="s">
        <v>62</v>
      </c>
      <c r="D2" s="40"/>
      <c r="E2" s="40"/>
      <c r="F2" s="44" t="s">
        <v>1543</v>
      </c>
      <c r="G2" s="43">
        <v>1.0</v>
      </c>
      <c r="H2" s="42"/>
      <c r="I2" s="43">
        <v>1.0</v>
      </c>
      <c r="J2" s="14" t="s">
        <v>14</v>
      </c>
      <c r="K2" s="43"/>
      <c r="L2" s="15" t="s">
        <v>15</v>
      </c>
    </row>
    <row r="3" ht="39.75" customHeight="1">
      <c r="A3" s="1">
        <v>2.0</v>
      </c>
      <c r="B3" s="2" t="s">
        <v>16</v>
      </c>
      <c r="C3" s="2"/>
      <c r="D3" s="13"/>
      <c r="E3" s="51">
        <v>0.7916666666666666</v>
      </c>
      <c r="F3" s="44" t="s">
        <v>5085</v>
      </c>
      <c r="G3" s="43">
        <v>1.0</v>
      </c>
      <c r="H3" s="43">
        <v>1.0</v>
      </c>
      <c r="I3" s="42"/>
      <c r="J3" s="14" t="s">
        <v>15</v>
      </c>
      <c r="K3" s="43"/>
    </row>
    <row r="4" ht="39.75" customHeight="1">
      <c r="A4" s="1">
        <v>3.0</v>
      </c>
      <c r="B4" s="2" t="s">
        <v>116</v>
      </c>
      <c r="C4" s="2"/>
      <c r="D4" s="13"/>
      <c r="E4" s="13"/>
      <c r="F4" s="44" t="s">
        <v>5086</v>
      </c>
      <c r="G4" s="43">
        <v>1.0</v>
      </c>
      <c r="H4" s="42"/>
      <c r="I4" s="42"/>
      <c r="J4" s="14" t="s">
        <v>56</v>
      </c>
      <c r="K4" s="43"/>
    </row>
    <row r="5" ht="39.75" hidden="1" customHeight="1">
      <c r="A5" s="1">
        <v>4.0</v>
      </c>
      <c r="B5" s="2" t="s">
        <v>17</v>
      </c>
      <c r="C5" s="2" t="s">
        <v>58</v>
      </c>
      <c r="D5" s="13"/>
      <c r="E5" s="13"/>
      <c r="F5" s="44"/>
      <c r="G5" s="42"/>
      <c r="H5" s="42"/>
      <c r="I5" s="42"/>
      <c r="J5" s="14"/>
      <c r="K5" s="43"/>
    </row>
    <row r="6" ht="39.75" customHeight="1">
      <c r="A6" s="1">
        <v>5.0</v>
      </c>
      <c r="B6" s="2" t="s">
        <v>331</v>
      </c>
      <c r="C6" s="2" t="s">
        <v>542</v>
      </c>
      <c r="D6" s="13"/>
      <c r="E6" s="13"/>
      <c r="F6" s="45"/>
      <c r="G6" s="42"/>
      <c r="H6" s="42"/>
      <c r="I6" s="42"/>
      <c r="J6" s="14"/>
      <c r="K6" s="43"/>
    </row>
    <row r="7" ht="39.75" customHeight="1">
      <c r="A7" s="1">
        <v>6.0</v>
      </c>
      <c r="B7" s="2" t="s">
        <v>21</v>
      </c>
      <c r="C7" s="2"/>
      <c r="D7" s="13"/>
      <c r="E7" s="13"/>
      <c r="F7" s="44" t="s">
        <v>5087</v>
      </c>
      <c r="G7" s="43">
        <v>2.0</v>
      </c>
      <c r="H7" s="42"/>
      <c r="I7" s="42"/>
      <c r="J7" s="14"/>
      <c r="K7" s="43"/>
    </row>
    <row r="8" ht="39.75" customHeight="1">
      <c r="A8" s="1">
        <v>7.0</v>
      </c>
      <c r="B8" s="2" t="s">
        <v>22</v>
      </c>
      <c r="C8" s="2" t="s">
        <v>44</v>
      </c>
      <c r="D8" s="13"/>
      <c r="E8" s="13"/>
      <c r="F8" s="44"/>
      <c r="G8" s="42"/>
      <c r="H8" s="42"/>
      <c r="I8" s="42"/>
      <c r="J8" s="14"/>
      <c r="K8" s="43"/>
    </row>
    <row r="9" ht="39.75" customHeight="1">
      <c r="A9" s="1">
        <v>8.0</v>
      </c>
      <c r="B9" s="2" t="s">
        <v>23</v>
      </c>
      <c r="C9" s="13"/>
      <c r="D9" s="53">
        <v>0.3541666666666667</v>
      </c>
      <c r="E9" s="13"/>
      <c r="F9" s="44" t="s">
        <v>5088</v>
      </c>
      <c r="G9" s="43">
        <v>1.0</v>
      </c>
      <c r="H9" s="42"/>
      <c r="I9" s="42"/>
      <c r="J9" s="14"/>
      <c r="K9" s="43"/>
    </row>
    <row r="10" ht="39.75" customHeight="1">
      <c r="A10" s="1">
        <v>9.0</v>
      </c>
      <c r="B10" s="2" t="s">
        <v>24</v>
      </c>
      <c r="C10" s="2" t="s">
        <v>63</v>
      </c>
      <c r="D10" s="13"/>
      <c r="E10" s="13"/>
      <c r="F10" s="44"/>
      <c r="G10" s="42"/>
      <c r="H10" s="43"/>
      <c r="I10" s="43"/>
      <c r="J10" s="14"/>
      <c r="K10" s="43"/>
    </row>
    <row r="11" ht="39.75" customHeight="1">
      <c r="A11" s="1">
        <v>10.0</v>
      </c>
      <c r="B11" s="2" t="s">
        <v>25</v>
      </c>
      <c r="C11" s="2" t="s">
        <v>69</v>
      </c>
      <c r="D11" s="13"/>
      <c r="E11" s="40">
        <v>0.8263888888888888</v>
      </c>
      <c r="F11" s="44" t="s">
        <v>5089</v>
      </c>
      <c r="G11" s="43">
        <v>1.0</v>
      </c>
      <c r="H11" s="42"/>
      <c r="I11" s="42"/>
      <c r="J11" s="14"/>
      <c r="K11" s="43"/>
    </row>
    <row r="12" ht="39.75" customHeight="1">
      <c r="A12" s="1">
        <v>11.0</v>
      </c>
      <c r="B12" s="2" t="s">
        <v>26</v>
      </c>
      <c r="C12" s="2" t="s">
        <v>54</v>
      </c>
      <c r="D12" s="53">
        <v>0.2986111111111111</v>
      </c>
      <c r="E12" s="13"/>
      <c r="F12" s="44" t="s">
        <v>5090</v>
      </c>
      <c r="G12" s="43">
        <v>2.0</v>
      </c>
      <c r="H12" s="42"/>
      <c r="I12" s="43"/>
      <c r="J12" s="14"/>
      <c r="K12" s="43"/>
    </row>
    <row r="13" ht="39.75" hidden="1" customHeight="1">
      <c r="A13" s="1">
        <v>12.0</v>
      </c>
      <c r="B13" s="2" t="s">
        <v>29</v>
      </c>
      <c r="C13" s="2" t="s">
        <v>58</v>
      </c>
      <c r="D13" s="13"/>
      <c r="E13" s="13"/>
      <c r="F13" s="44"/>
      <c r="G13" s="42"/>
      <c r="H13" s="42"/>
      <c r="I13" s="42"/>
      <c r="J13" s="14"/>
      <c r="K13" s="43"/>
    </row>
    <row r="14" ht="39.75" hidden="1" customHeight="1">
      <c r="A14" s="1">
        <v>13.0</v>
      </c>
      <c r="B14" s="2" t="s">
        <v>30</v>
      </c>
      <c r="C14" s="2" t="s">
        <v>58</v>
      </c>
      <c r="D14" s="13"/>
      <c r="E14" s="13"/>
      <c r="F14" s="44"/>
      <c r="G14" s="42"/>
      <c r="H14" s="42"/>
      <c r="I14" s="42"/>
      <c r="J14" s="14"/>
      <c r="K14" s="43"/>
    </row>
    <row r="15" ht="39.75" customHeight="1">
      <c r="A15" s="1">
        <v>14.0</v>
      </c>
      <c r="B15" s="2" t="s">
        <v>31</v>
      </c>
      <c r="C15" s="2" t="s">
        <v>69</v>
      </c>
      <c r="D15" s="13"/>
      <c r="E15" s="13"/>
      <c r="F15" s="44" t="s">
        <v>3365</v>
      </c>
      <c r="G15" s="43">
        <v>1.0</v>
      </c>
      <c r="H15" s="42"/>
      <c r="I15" s="42"/>
      <c r="J15" s="14"/>
      <c r="K15" s="43"/>
    </row>
    <row r="16" ht="39.75" customHeight="1">
      <c r="A16" s="1">
        <v>15.0</v>
      </c>
      <c r="B16" s="2" t="s">
        <v>32</v>
      </c>
      <c r="C16" s="2" t="s">
        <v>54</v>
      </c>
      <c r="D16" s="13"/>
      <c r="E16" s="51">
        <v>0.8055555555555556</v>
      </c>
      <c r="F16" s="44" t="s">
        <v>5091</v>
      </c>
      <c r="G16" s="43">
        <v>1.0</v>
      </c>
      <c r="H16" s="42"/>
      <c r="I16" s="42"/>
      <c r="J16" s="14"/>
      <c r="K16" s="43"/>
    </row>
    <row r="17" ht="39.75" customHeight="1">
      <c r="A17" s="1">
        <v>16.0</v>
      </c>
      <c r="B17" s="2" t="s">
        <v>67</v>
      </c>
      <c r="C17" s="2" t="s">
        <v>54</v>
      </c>
      <c r="D17" s="53">
        <v>0.3541666666666667</v>
      </c>
      <c r="E17" s="13"/>
      <c r="F17" s="44" t="s">
        <v>5092</v>
      </c>
      <c r="G17" s="43">
        <v>1.0</v>
      </c>
      <c r="H17" s="43"/>
      <c r="I17" s="43"/>
      <c r="J17" s="14"/>
      <c r="K17" s="43"/>
    </row>
    <row r="18" ht="39.75" customHeight="1">
      <c r="A18" s="1">
        <v>17.0</v>
      </c>
      <c r="B18" s="2" t="s">
        <v>35</v>
      </c>
      <c r="C18" s="2" t="s">
        <v>27</v>
      </c>
      <c r="D18" s="13"/>
      <c r="E18" s="13"/>
      <c r="F18" s="45"/>
      <c r="G18" s="42"/>
      <c r="H18" s="42"/>
      <c r="I18" s="42"/>
      <c r="J18" s="14"/>
      <c r="K18" s="43"/>
    </row>
    <row r="19" ht="39.75" customHeight="1">
      <c r="A19" s="1">
        <v>18.0</v>
      </c>
      <c r="B19" s="2" t="s">
        <v>36</v>
      </c>
      <c r="C19" s="2"/>
      <c r="D19" s="13"/>
      <c r="E19" s="13"/>
      <c r="F19" s="44" t="s">
        <v>5093</v>
      </c>
      <c r="G19" s="43">
        <v>1.0</v>
      </c>
      <c r="H19" s="42"/>
      <c r="I19" s="43">
        <v>1.0</v>
      </c>
      <c r="J19" s="14"/>
      <c r="K19" s="43"/>
    </row>
    <row r="20" ht="39.75" customHeight="1">
      <c r="A20" s="1">
        <v>19.0</v>
      </c>
      <c r="B20" s="2" t="s">
        <v>38</v>
      </c>
      <c r="C20" s="2"/>
      <c r="D20" s="13"/>
      <c r="E20" s="51">
        <v>0.7916666666666666</v>
      </c>
      <c r="F20" s="44" t="s">
        <v>5094</v>
      </c>
      <c r="G20" s="43">
        <v>1.0</v>
      </c>
      <c r="H20" s="43">
        <v>1.0</v>
      </c>
      <c r="I20" s="42"/>
      <c r="J20" s="14"/>
      <c r="K20" s="43"/>
    </row>
    <row r="21" ht="39.75" hidden="1" customHeight="1">
      <c r="A21" s="1">
        <v>20.0</v>
      </c>
      <c r="B21" s="2" t="s">
        <v>41</v>
      </c>
      <c r="C21" s="2" t="s">
        <v>58</v>
      </c>
      <c r="D21" s="13"/>
      <c r="E21" s="13"/>
      <c r="F21" s="44"/>
      <c r="G21" s="42"/>
      <c r="H21" s="42"/>
      <c r="I21" s="42"/>
      <c r="J21" s="14"/>
      <c r="K21" s="43"/>
    </row>
    <row r="22" ht="39.75" customHeight="1">
      <c r="A22" s="1">
        <v>21.0</v>
      </c>
      <c r="B22" s="2" t="s">
        <v>42</v>
      </c>
      <c r="C22" s="2" t="s">
        <v>69</v>
      </c>
      <c r="D22" s="13"/>
      <c r="E22" s="13"/>
      <c r="F22" s="44" t="s">
        <v>5095</v>
      </c>
      <c r="G22" s="43">
        <v>1.0</v>
      </c>
      <c r="H22" s="42"/>
      <c r="I22" s="42"/>
      <c r="J22" s="14"/>
      <c r="K22" s="43"/>
    </row>
    <row r="23" ht="39.75" customHeight="1">
      <c r="A23" s="1">
        <v>22.0</v>
      </c>
      <c r="B23" s="2" t="s">
        <v>43</v>
      </c>
      <c r="C23" s="2" t="s">
        <v>54</v>
      </c>
      <c r="D23" s="13"/>
      <c r="E23" s="51">
        <v>0.8055555555555556</v>
      </c>
      <c r="F23" s="44" t="s">
        <v>5096</v>
      </c>
      <c r="G23" s="43">
        <v>1.0</v>
      </c>
      <c r="H23" s="42"/>
      <c r="I23" s="43">
        <v>1.0</v>
      </c>
      <c r="J23" s="14"/>
      <c r="K23" s="43"/>
    </row>
    <row r="24" ht="39.75" hidden="1" customHeight="1">
      <c r="A24" s="1">
        <v>23.0</v>
      </c>
      <c r="B24" s="2" t="s">
        <v>45</v>
      </c>
      <c r="C24" s="2" t="s">
        <v>58</v>
      </c>
      <c r="D24" s="13"/>
      <c r="E24" s="13"/>
      <c r="F24" s="45"/>
      <c r="G24" s="42"/>
      <c r="H24" s="42"/>
      <c r="I24" s="42"/>
      <c r="J24" s="14"/>
      <c r="K24" s="43"/>
    </row>
    <row r="25" ht="39.75" customHeight="1">
      <c r="A25" s="1">
        <v>24.0</v>
      </c>
      <c r="B25" s="2" t="s">
        <v>46</v>
      </c>
      <c r="C25" s="2" t="s">
        <v>39</v>
      </c>
      <c r="D25" s="53">
        <v>0.2708333333333333</v>
      </c>
      <c r="E25" s="13"/>
      <c r="F25" s="44" t="s">
        <v>5097</v>
      </c>
      <c r="G25" s="43">
        <v>2.0</v>
      </c>
      <c r="H25" s="42"/>
      <c r="I25" s="42"/>
      <c r="J25" s="14"/>
      <c r="K25" s="43"/>
    </row>
    <row r="26" ht="39.75" customHeight="1">
      <c r="A26" s="1">
        <v>25.0</v>
      </c>
      <c r="B26" s="2" t="s">
        <v>47</v>
      </c>
      <c r="C26" s="2" t="s">
        <v>39</v>
      </c>
      <c r="D26" s="13"/>
      <c r="E26" s="13"/>
      <c r="F26" s="44" t="s">
        <v>2664</v>
      </c>
      <c r="G26" s="43">
        <v>1.0</v>
      </c>
      <c r="H26" s="42"/>
      <c r="I26" s="43">
        <v>1.0</v>
      </c>
      <c r="J26" s="14"/>
      <c r="K26" s="43"/>
    </row>
    <row r="27" ht="39.75" hidden="1" customHeight="1">
      <c r="A27" s="1">
        <v>26.0</v>
      </c>
      <c r="B27" s="2" t="s">
        <v>48</v>
      </c>
      <c r="C27" s="2" t="s">
        <v>66</v>
      </c>
      <c r="D27" s="13"/>
      <c r="E27" s="13"/>
      <c r="F27" s="45"/>
      <c r="G27" s="42"/>
      <c r="H27" s="42"/>
      <c r="I27" s="42"/>
      <c r="J27" s="14"/>
      <c r="K27" s="43"/>
    </row>
    <row r="28" ht="39.75" customHeight="1">
      <c r="A28" s="1">
        <v>27.0</v>
      </c>
      <c r="B28" s="21"/>
      <c r="C28" s="21"/>
      <c r="D28" s="21"/>
      <c r="E28" s="21"/>
      <c r="F28" s="46"/>
      <c r="G28" s="47"/>
      <c r="H28" s="47"/>
      <c r="I28" s="47"/>
      <c r="J28" s="48"/>
      <c r="K28" s="47"/>
      <c r="L28" s="49"/>
      <c r="M28" s="49"/>
      <c r="N28" s="49"/>
    </row>
    <row r="29" ht="39.75" customHeight="1">
      <c r="A29" s="1">
        <v>28.0</v>
      </c>
      <c r="B29" s="2" t="s">
        <v>12</v>
      </c>
      <c r="C29" s="2" t="s">
        <v>62</v>
      </c>
      <c r="D29" s="13"/>
      <c r="E29" s="13"/>
      <c r="F29" s="44" t="s">
        <v>1543</v>
      </c>
      <c r="G29" s="43">
        <v>1.0</v>
      </c>
      <c r="H29" s="42"/>
      <c r="I29" s="43">
        <v>1.0</v>
      </c>
      <c r="J29" s="14" t="s">
        <v>14</v>
      </c>
      <c r="K29" s="43"/>
      <c r="L29" s="15" t="s">
        <v>52</v>
      </c>
    </row>
    <row r="30" ht="39.75" customHeight="1">
      <c r="A30" s="1">
        <v>29.0</v>
      </c>
      <c r="B30" s="2" t="s">
        <v>16</v>
      </c>
      <c r="C30" s="2"/>
      <c r="D30" s="13"/>
      <c r="E30" s="13"/>
      <c r="F30" s="45"/>
      <c r="G30" s="42"/>
      <c r="H30" s="42"/>
      <c r="I30" s="42"/>
      <c r="J30" s="14" t="s">
        <v>52</v>
      </c>
      <c r="K30" s="43"/>
    </row>
    <row r="31" ht="39.75" customHeight="1">
      <c r="A31" s="1">
        <v>30.0</v>
      </c>
      <c r="B31" s="2" t="s">
        <v>116</v>
      </c>
      <c r="C31" s="2" t="s">
        <v>69</v>
      </c>
      <c r="D31" s="13"/>
      <c r="E31" s="40">
        <v>0.875</v>
      </c>
      <c r="F31" s="44" t="s">
        <v>5098</v>
      </c>
      <c r="G31" s="43">
        <v>1.0</v>
      </c>
      <c r="H31" s="42"/>
      <c r="I31" s="42"/>
      <c r="J31" s="14" t="s">
        <v>77</v>
      </c>
      <c r="K31" s="43"/>
    </row>
    <row r="32" ht="39.75" hidden="1" customHeight="1">
      <c r="A32" s="1">
        <v>31.0</v>
      </c>
      <c r="B32" s="2" t="s">
        <v>17</v>
      </c>
      <c r="C32" s="2" t="s">
        <v>58</v>
      </c>
      <c r="D32" s="13"/>
      <c r="E32" s="13"/>
      <c r="F32" s="45"/>
      <c r="G32" s="42"/>
      <c r="H32" s="42"/>
      <c r="I32" s="42"/>
      <c r="J32" s="14"/>
      <c r="K32" s="43"/>
    </row>
    <row r="33" ht="39.75" customHeight="1">
      <c r="A33" s="1">
        <v>32.0</v>
      </c>
      <c r="B33" s="2" t="s">
        <v>331</v>
      </c>
      <c r="C33" s="2" t="s">
        <v>542</v>
      </c>
      <c r="D33" s="53">
        <v>0.2708333333333333</v>
      </c>
      <c r="E33" s="40">
        <v>0.5416666666666666</v>
      </c>
      <c r="F33" s="44" t="s">
        <v>5099</v>
      </c>
      <c r="G33" s="43">
        <v>1.0</v>
      </c>
      <c r="H33" s="42"/>
      <c r="I33" s="42"/>
      <c r="J33" s="14"/>
      <c r="K33" s="43"/>
    </row>
    <row r="34" ht="39.75" customHeight="1">
      <c r="A34" s="1">
        <v>33.0</v>
      </c>
      <c r="B34" s="2" t="s">
        <v>21</v>
      </c>
      <c r="C34" s="2"/>
      <c r="D34" s="13"/>
      <c r="E34" s="13"/>
      <c r="F34" s="44" t="s">
        <v>5100</v>
      </c>
      <c r="G34" s="43">
        <v>1.0</v>
      </c>
      <c r="H34" s="42"/>
      <c r="I34" s="42"/>
      <c r="J34" s="14"/>
      <c r="K34" s="43"/>
    </row>
    <row r="35" ht="39.75" customHeight="1">
      <c r="A35" s="1">
        <v>34.0</v>
      </c>
      <c r="B35" s="2" t="s">
        <v>22</v>
      </c>
      <c r="C35" s="2" t="s">
        <v>27</v>
      </c>
      <c r="D35" s="13"/>
      <c r="E35" s="13"/>
      <c r="F35" s="44" t="s">
        <v>5101</v>
      </c>
      <c r="G35" s="43">
        <v>1.0</v>
      </c>
      <c r="H35" s="42"/>
      <c r="I35" s="42"/>
      <c r="J35" s="14"/>
      <c r="K35" s="43"/>
    </row>
    <row r="36" ht="39.75" customHeight="1">
      <c r="A36" s="1">
        <v>35.0</v>
      </c>
      <c r="B36" s="2" t="s">
        <v>23</v>
      </c>
      <c r="C36" s="2" t="s">
        <v>69</v>
      </c>
      <c r="D36" s="13"/>
      <c r="E36" s="13"/>
      <c r="F36" s="44" t="s">
        <v>5102</v>
      </c>
      <c r="G36" s="43">
        <v>1.0</v>
      </c>
      <c r="H36" s="42"/>
      <c r="I36" s="42"/>
      <c r="J36" s="14"/>
      <c r="K36" s="43"/>
    </row>
    <row r="37" ht="39.75" customHeight="1">
      <c r="A37" s="1">
        <v>36.0</v>
      </c>
      <c r="B37" s="2" t="s">
        <v>24</v>
      </c>
      <c r="C37" s="2" t="s">
        <v>63</v>
      </c>
      <c r="D37" s="13"/>
      <c r="E37" s="13"/>
      <c r="F37" s="45"/>
      <c r="G37" s="42"/>
      <c r="H37" s="42"/>
      <c r="I37" s="42"/>
      <c r="J37" s="14"/>
      <c r="K37" s="43"/>
    </row>
    <row r="38" ht="39.75" hidden="1" customHeight="1">
      <c r="A38" s="1">
        <v>37.0</v>
      </c>
      <c r="B38" s="2" t="s">
        <v>25</v>
      </c>
      <c r="C38" s="2" t="s">
        <v>58</v>
      </c>
      <c r="D38" s="13"/>
      <c r="E38" s="13"/>
      <c r="F38" s="45"/>
      <c r="G38" s="42"/>
      <c r="H38" s="42"/>
      <c r="I38" s="42"/>
      <c r="J38" s="14"/>
      <c r="K38" s="43"/>
    </row>
    <row r="39" ht="39.75" customHeight="1">
      <c r="A39" s="1">
        <v>38.0</v>
      </c>
      <c r="B39" s="2" t="s">
        <v>26</v>
      </c>
      <c r="C39" s="2" t="s">
        <v>54</v>
      </c>
      <c r="D39" s="13"/>
      <c r="E39" s="13"/>
      <c r="F39" s="44" t="s">
        <v>5103</v>
      </c>
      <c r="G39" s="43">
        <v>1.0</v>
      </c>
      <c r="H39" s="42"/>
      <c r="I39" s="42"/>
      <c r="J39" s="14"/>
      <c r="K39" s="43"/>
    </row>
    <row r="40" ht="39.75" customHeight="1">
      <c r="A40" s="1">
        <v>39.0</v>
      </c>
      <c r="B40" s="2" t="s">
        <v>29</v>
      </c>
      <c r="C40" s="2" t="s">
        <v>39</v>
      </c>
      <c r="D40" s="13"/>
      <c r="E40" s="13"/>
      <c r="F40" s="44" t="s">
        <v>5104</v>
      </c>
      <c r="G40" s="43">
        <v>2.0</v>
      </c>
      <c r="H40" s="42"/>
      <c r="I40" s="43">
        <v>1.0</v>
      </c>
      <c r="J40" s="14"/>
      <c r="K40" s="43"/>
    </row>
    <row r="41" ht="39.75" customHeight="1">
      <c r="A41" s="1">
        <v>40.0</v>
      </c>
      <c r="B41" s="2" t="s">
        <v>30</v>
      </c>
      <c r="C41" s="2" t="s">
        <v>64</v>
      </c>
      <c r="D41" s="13"/>
      <c r="E41" s="13"/>
      <c r="F41" s="44" t="s">
        <v>2592</v>
      </c>
      <c r="G41" s="43">
        <v>1.0</v>
      </c>
      <c r="H41" s="42"/>
      <c r="I41" s="43">
        <v>1.0</v>
      </c>
      <c r="J41" s="14"/>
      <c r="K41" s="43"/>
    </row>
    <row r="42" ht="39.75" hidden="1" customHeight="1">
      <c r="A42" s="1">
        <v>41.0</v>
      </c>
      <c r="B42" s="2" t="s">
        <v>31</v>
      </c>
      <c r="C42" s="2" t="s">
        <v>58</v>
      </c>
      <c r="D42" s="13"/>
      <c r="E42" s="13"/>
      <c r="F42" s="45"/>
      <c r="G42" s="42"/>
      <c r="H42" s="42"/>
      <c r="I42" s="42"/>
      <c r="J42" s="14"/>
      <c r="K42" s="43"/>
    </row>
    <row r="43" ht="39.75" customHeight="1">
      <c r="A43" s="1">
        <v>42.0</v>
      </c>
      <c r="B43" s="2" t="s">
        <v>32</v>
      </c>
      <c r="C43" s="2" t="s">
        <v>39</v>
      </c>
      <c r="D43" s="13"/>
      <c r="E43" s="13"/>
      <c r="F43" s="44" t="s">
        <v>5089</v>
      </c>
      <c r="G43" s="43">
        <v>1.0</v>
      </c>
      <c r="H43" s="42"/>
      <c r="I43" s="42"/>
      <c r="J43" s="14"/>
      <c r="K43" s="43"/>
    </row>
    <row r="44" ht="39.75" customHeight="1">
      <c r="A44" s="1">
        <v>43.0</v>
      </c>
      <c r="B44" s="2" t="s">
        <v>67</v>
      </c>
      <c r="C44" s="2" t="s">
        <v>54</v>
      </c>
      <c r="D44" s="13"/>
      <c r="E44" s="51">
        <v>0.8402777777777778</v>
      </c>
      <c r="F44" s="44" t="s">
        <v>5105</v>
      </c>
      <c r="G44" s="43">
        <v>1.0</v>
      </c>
      <c r="H44" s="42"/>
      <c r="I44" s="42"/>
      <c r="J44" s="14"/>
      <c r="K44" s="43"/>
    </row>
    <row r="45" ht="39.75" customHeight="1">
      <c r="A45" s="1">
        <v>44.0</v>
      </c>
      <c r="B45" s="2" t="s">
        <v>35</v>
      </c>
      <c r="C45" s="2" t="s">
        <v>44</v>
      </c>
      <c r="D45" s="13"/>
      <c r="E45" s="13"/>
      <c r="F45" s="45"/>
      <c r="G45" s="42"/>
      <c r="H45" s="42"/>
      <c r="I45" s="42"/>
      <c r="J45" s="14"/>
      <c r="K45" s="43"/>
    </row>
    <row r="46" ht="39.75" customHeight="1">
      <c r="A46" s="1">
        <v>45.0</v>
      </c>
      <c r="B46" s="2" t="s">
        <v>36</v>
      </c>
      <c r="C46" s="2"/>
      <c r="D46" s="13"/>
      <c r="E46" s="13"/>
      <c r="F46" s="44" t="s">
        <v>5106</v>
      </c>
      <c r="G46" s="43">
        <v>2.0</v>
      </c>
      <c r="H46" s="42"/>
      <c r="I46" s="43">
        <v>2.0</v>
      </c>
      <c r="J46" s="14"/>
      <c r="K46" s="43"/>
    </row>
    <row r="47" ht="39.75" hidden="1" customHeight="1">
      <c r="A47" s="1">
        <v>46.0</v>
      </c>
      <c r="B47" s="2" t="s">
        <v>38</v>
      </c>
      <c r="C47" s="2" t="s">
        <v>58</v>
      </c>
      <c r="D47" s="13"/>
      <c r="E47" s="13"/>
      <c r="F47" s="45"/>
      <c r="G47" s="42"/>
      <c r="H47" s="42"/>
      <c r="I47" s="42"/>
      <c r="J47" s="14"/>
      <c r="K47" s="43"/>
    </row>
    <row r="48" ht="39.75" hidden="1" customHeight="1">
      <c r="A48" s="1">
        <v>47.0</v>
      </c>
      <c r="B48" s="2" t="s">
        <v>41</v>
      </c>
      <c r="C48" s="2" t="s">
        <v>58</v>
      </c>
      <c r="D48" s="13"/>
      <c r="E48" s="13"/>
      <c r="F48" s="45"/>
      <c r="G48" s="42"/>
      <c r="H48" s="42"/>
      <c r="I48" s="42"/>
      <c r="J48" s="14"/>
      <c r="K48" s="43"/>
    </row>
    <row r="49" ht="39.75" customHeight="1">
      <c r="A49" s="1">
        <v>48.0</v>
      </c>
      <c r="B49" s="2" t="s">
        <v>42</v>
      </c>
      <c r="C49" s="2"/>
      <c r="D49" s="13"/>
      <c r="E49" s="13"/>
      <c r="F49" s="44" t="s">
        <v>5107</v>
      </c>
      <c r="G49" s="43">
        <v>1.0</v>
      </c>
      <c r="H49" s="42"/>
      <c r="I49" s="42"/>
      <c r="J49" s="14"/>
      <c r="K49" s="43"/>
    </row>
    <row r="50" ht="39.75" customHeight="1">
      <c r="A50" s="1">
        <v>49.0</v>
      </c>
      <c r="B50" s="2" t="s">
        <v>43</v>
      </c>
      <c r="C50" s="2" t="s">
        <v>54</v>
      </c>
      <c r="D50" s="13"/>
      <c r="E50" s="13"/>
      <c r="F50" s="44" t="s">
        <v>5108</v>
      </c>
      <c r="G50" s="43">
        <v>2.0</v>
      </c>
      <c r="H50" s="42"/>
      <c r="I50" s="43">
        <v>1.0</v>
      </c>
      <c r="J50" s="14"/>
      <c r="K50" s="43"/>
    </row>
    <row r="51" ht="39.75" hidden="1" customHeight="1">
      <c r="A51" s="1">
        <v>50.0</v>
      </c>
      <c r="B51" s="2" t="s">
        <v>45</v>
      </c>
      <c r="C51" s="2" t="s">
        <v>58</v>
      </c>
      <c r="D51" s="13"/>
      <c r="E51" s="13"/>
      <c r="F51" s="45"/>
      <c r="G51" s="42"/>
      <c r="H51" s="42"/>
      <c r="I51" s="42"/>
      <c r="J51" s="14"/>
      <c r="K51" s="43"/>
    </row>
    <row r="52" ht="39.75" customHeight="1">
      <c r="A52" s="1">
        <v>51.0</v>
      </c>
      <c r="B52" s="2" t="s">
        <v>46</v>
      </c>
      <c r="C52" s="2" t="s">
        <v>54</v>
      </c>
      <c r="D52" s="13"/>
      <c r="E52" s="13"/>
      <c r="F52" s="44" t="s">
        <v>5109</v>
      </c>
      <c r="G52" s="43">
        <v>1.0</v>
      </c>
      <c r="H52" s="42"/>
      <c r="I52" s="43">
        <v>1.0</v>
      </c>
      <c r="J52" s="14"/>
      <c r="K52" s="43"/>
    </row>
    <row r="53" ht="39.75" customHeight="1">
      <c r="A53" s="1">
        <v>52.0</v>
      </c>
      <c r="B53" s="2" t="s">
        <v>47</v>
      </c>
      <c r="C53" s="2" t="s">
        <v>69</v>
      </c>
      <c r="D53" s="13"/>
      <c r="E53" s="13"/>
      <c r="F53" s="44" t="s">
        <v>5110</v>
      </c>
      <c r="G53" s="43">
        <v>1.0</v>
      </c>
      <c r="H53" s="42"/>
      <c r="I53" s="42"/>
      <c r="J53" s="14"/>
      <c r="K53" s="43"/>
    </row>
    <row r="54" ht="39.75" customHeight="1">
      <c r="A54" s="1">
        <v>53.0</v>
      </c>
      <c r="B54" s="2" t="s">
        <v>48</v>
      </c>
      <c r="C54" s="2"/>
      <c r="D54" s="13"/>
      <c r="E54" s="13"/>
      <c r="F54" s="44" t="s">
        <v>5111</v>
      </c>
      <c r="G54" s="43">
        <v>1.0</v>
      </c>
      <c r="H54" s="42"/>
      <c r="I54" s="42"/>
      <c r="J54" s="14"/>
      <c r="K54" s="43"/>
    </row>
    <row r="55" ht="39.75" customHeight="1">
      <c r="A55" s="1">
        <v>54.0</v>
      </c>
      <c r="B55" s="21"/>
      <c r="C55" s="21"/>
      <c r="D55" s="21"/>
      <c r="E55" s="21"/>
      <c r="F55" s="46"/>
      <c r="G55" s="47"/>
      <c r="H55" s="47"/>
      <c r="I55" s="47"/>
      <c r="J55" s="48"/>
      <c r="K55" s="47"/>
      <c r="L55" s="49"/>
      <c r="M55" s="49"/>
      <c r="N55" s="49"/>
    </row>
    <row r="56" ht="39.75" customHeight="1">
      <c r="A56" s="1">
        <v>55.0</v>
      </c>
      <c r="B56" s="2" t="s">
        <v>12</v>
      </c>
      <c r="C56" s="2" t="s">
        <v>62</v>
      </c>
      <c r="D56" s="13"/>
      <c r="E56" s="13"/>
      <c r="F56" s="44" t="s">
        <v>5112</v>
      </c>
      <c r="G56" s="43">
        <v>1.0</v>
      </c>
      <c r="H56" s="42"/>
      <c r="I56" s="43">
        <v>1.0</v>
      </c>
      <c r="J56" s="14" t="s">
        <v>14</v>
      </c>
      <c r="K56" s="43"/>
      <c r="L56" s="15" t="s">
        <v>74</v>
      </c>
    </row>
    <row r="57" ht="39.75" customHeight="1">
      <c r="A57" s="1">
        <v>56.0</v>
      </c>
      <c r="B57" s="2" t="s">
        <v>16</v>
      </c>
      <c r="C57" s="2"/>
      <c r="D57" s="13"/>
      <c r="E57" s="13"/>
      <c r="F57" s="44" t="s">
        <v>5113</v>
      </c>
      <c r="G57" s="43">
        <v>1.0</v>
      </c>
      <c r="H57" s="42"/>
      <c r="I57" s="42"/>
      <c r="J57" s="14" t="s">
        <v>74</v>
      </c>
      <c r="K57" s="43"/>
    </row>
    <row r="58" ht="39.75" customHeight="1">
      <c r="A58" s="1">
        <v>57.0</v>
      </c>
      <c r="B58" s="2" t="s">
        <v>116</v>
      </c>
      <c r="C58" s="2" t="s">
        <v>54</v>
      </c>
      <c r="D58" s="13"/>
      <c r="E58" s="51">
        <v>0.8333333333333334</v>
      </c>
      <c r="F58" s="44" t="s">
        <v>5114</v>
      </c>
      <c r="G58" s="43">
        <v>1.0</v>
      </c>
      <c r="H58" s="42"/>
      <c r="I58" s="42"/>
      <c r="J58" s="14" t="s">
        <v>95</v>
      </c>
      <c r="K58" s="43"/>
    </row>
    <row r="59" ht="39.75" hidden="1" customHeight="1">
      <c r="A59" s="1">
        <v>58.0</v>
      </c>
      <c r="B59" s="2" t="s">
        <v>17</v>
      </c>
      <c r="C59" s="2" t="s">
        <v>58</v>
      </c>
      <c r="D59" s="13"/>
      <c r="E59" s="13"/>
      <c r="F59" s="45"/>
      <c r="G59" s="42"/>
      <c r="H59" s="42"/>
      <c r="I59" s="42"/>
      <c r="J59" s="14"/>
      <c r="K59" s="43"/>
    </row>
    <row r="60" ht="39.75" customHeight="1">
      <c r="A60" s="1">
        <v>59.0</v>
      </c>
      <c r="B60" s="2" t="s">
        <v>331</v>
      </c>
      <c r="C60" s="2" t="s">
        <v>542</v>
      </c>
      <c r="D60" s="13"/>
      <c r="E60" s="13"/>
      <c r="F60" s="45"/>
      <c r="G60" s="42"/>
      <c r="H60" s="42"/>
      <c r="I60" s="42"/>
      <c r="J60" s="14"/>
      <c r="K60" s="43"/>
    </row>
    <row r="61" ht="39.75" customHeight="1">
      <c r="A61" s="1">
        <v>60.0</v>
      </c>
      <c r="B61" s="2" t="s">
        <v>21</v>
      </c>
      <c r="C61" s="2"/>
      <c r="D61" s="13"/>
      <c r="E61" s="13"/>
      <c r="F61" s="44" t="s">
        <v>5115</v>
      </c>
      <c r="G61" s="43">
        <v>2.0</v>
      </c>
      <c r="H61" s="42"/>
      <c r="I61" s="43">
        <v>1.0</v>
      </c>
      <c r="J61" s="14"/>
      <c r="K61" s="43"/>
    </row>
    <row r="62" ht="39.75" customHeight="1">
      <c r="A62" s="1">
        <v>61.0</v>
      </c>
      <c r="B62" s="2" t="s">
        <v>22</v>
      </c>
      <c r="C62" s="2" t="s">
        <v>44</v>
      </c>
      <c r="D62" s="13"/>
      <c r="E62" s="13"/>
      <c r="F62" s="52" t="s">
        <v>5116</v>
      </c>
      <c r="G62" s="56">
        <v>1.0</v>
      </c>
      <c r="H62" s="42"/>
      <c r="I62" s="56">
        <v>1.0</v>
      </c>
      <c r="J62" s="14"/>
      <c r="K62" s="43"/>
    </row>
    <row r="63" ht="39.75" customHeight="1">
      <c r="A63" s="1">
        <v>62.0</v>
      </c>
      <c r="B63" s="2" t="s">
        <v>23</v>
      </c>
      <c r="C63" s="2" t="s">
        <v>69</v>
      </c>
      <c r="D63" s="13"/>
      <c r="E63" s="13"/>
      <c r="F63" s="44" t="s">
        <v>5117</v>
      </c>
      <c r="G63" s="43">
        <v>2.0</v>
      </c>
      <c r="H63" s="42"/>
      <c r="I63" s="43">
        <v>2.0</v>
      </c>
      <c r="J63" s="14"/>
      <c r="K63" s="43"/>
    </row>
    <row r="64" ht="39.75" customHeight="1">
      <c r="A64" s="1">
        <v>63.0</v>
      </c>
      <c r="B64" s="2" t="s">
        <v>24</v>
      </c>
      <c r="C64" s="2" t="s">
        <v>63</v>
      </c>
      <c r="D64" s="13"/>
      <c r="E64" s="13"/>
      <c r="F64" s="45"/>
      <c r="G64" s="42"/>
      <c r="H64" s="42"/>
      <c r="I64" s="42"/>
      <c r="J64" s="14"/>
      <c r="K64" s="43"/>
    </row>
    <row r="65" ht="39.75" customHeight="1">
      <c r="A65" s="1">
        <v>64.0</v>
      </c>
      <c r="B65" s="2" t="s">
        <v>25</v>
      </c>
      <c r="C65" s="2" t="s">
        <v>27</v>
      </c>
      <c r="D65" s="13"/>
      <c r="E65" s="13"/>
      <c r="F65" s="44" t="s">
        <v>5118</v>
      </c>
      <c r="G65" s="42"/>
      <c r="H65" s="42"/>
      <c r="I65" s="42"/>
      <c r="J65" s="14"/>
      <c r="K65" s="43"/>
    </row>
    <row r="66" ht="39.75" customHeight="1">
      <c r="A66" s="1">
        <v>65.0</v>
      </c>
      <c r="B66" s="2" t="s">
        <v>26</v>
      </c>
      <c r="C66" s="2" t="s">
        <v>54</v>
      </c>
      <c r="D66" s="13"/>
      <c r="E66" s="51">
        <v>0.8333333333333334</v>
      </c>
      <c r="F66" s="44" t="s">
        <v>5119</v>
      </c>
      <c r="G66" s="43">
        <v>1.0</v>
      </c>
      <c r="H66" s="42"/>
      <c r="I66" s="42"/>
      <c r="J66" s="14"/>
      <c r="K66" s="43"/>
    </row>
    <row r="67" ht="39.75" customHeight="1">
      <c r="A67" s="1">
        <v>66.0</v>
      </c>
      <c r="B67" s="2" t="s">
        <v>29</v>
      </c>
      <c r="C67" s="2" t="s">
        <v>39</v>
      </c>
      <c r="D67" s="13"/>
      <c r="E67" s="13"/>
      <c r="F67" s="44" t="s">
        <v>5120</v>
      </c>
      <c r="G67" s="43">
        <v>3.0</v>
      </c>
      <c r="H67" s="42"/>
      <c r="I67" s="43">
        <v>1.0</v>
      </c>
      <c r="J67" s="14"/>
      <c r="K67" s="43"/>
    </row>
    <row r="68" ht="39.75" customHeight="1">
      <c r="A68" s="1">
        <v>67.0</v>
      </c>
      <c r="B68" s="2" t="s">
        <v>30</v>
      </c>
      <c r="C68" s="2" t="s">
        <v>64</v>
      </c>
      <c r="D68" s="13"/>
      <c r="E68" s="13"/>
      <c r="F68" s="44" t="s">
        <v>2592</v>
      </c>
      <c r="G68" s="43">
        <v>1.0</v>
      </c>
      <c r="H68" s="42"/>
      <c r="I68" s="43">
        <v>1.0</v>
      </c>
      <c r="J68" s="14"/>
      <c r="K68" s="43"/>
    </row>
    <row r="69" ht="39.75" hidden="1" customHeight="1">
      <c r="A69" s="1">
        <v>68.0</v>
      </c>
      <c r="B69" s="2" t="s">
        <v>31</v>
      </c>
      <c r="C69" s="2" t="s">
        <v>66</v>
      </c>
      <c r="D69" s="13"/>
      <c r="E69" s="13"/>
      <c r="F69" s="45"/>
      <c r="G69" s="42"/>
      <c r="H69" s="42"/>
      <c r="I69" s="42"/>
      <c r="J69" s="14"/>
      <c r="K69" s="43"/>
    </row>
    <row r="70" ht="39.75" customHeight="1">
      <c r="A70" s="1">
        <v>69.0</v>
      </c>
      <c r="B70" s="2" t="s">
        <v>32</v>
      </c>
      <c r="C70" s="2" t="s">
        <v>54</v>
      </c>
      <c r="D70" s="13"/>
      <c r="E70" s="51">
        <v>0.8333333333333334</v>
      </c>
      <c r="F70" s="44" t="s">
        <v>5121</v>
      </c>
      <c r="G70" s="43">
        <v>3.0</v>
      </c>
      <c r="H70" s="42"/>
      <c r="I70" s="42"/>
      <c r="J70" s="14"/>
      <c r="K70" s="43"/>
    </row>
    <row r="71" ht="39.75" hidden="1" customHeight="1">
      <c r="A71" s="1">
        <v>70.0</v>
      </c>
      <c r="B71" s="2" t="s">
        <v>67</v>
      </c>
      <c r="C71" s="2" t="s">
        <v>58</v>
      </c>
      <c r="D71" s="13"/>
      <c r="E71" s="13"/>
      <c r="F71" s="45"/>
      <c r="G71" s="42"/>
      <c r="H71" s="42"/>
      <c r="I71" s="42"/>
      <c r="J71" s="14"/>
      <c r="K71" s="43"/>
    </row>
    <row r="72" ht="39.75" hidden="1" customHeight="1">
      <c r="A72" s="1">
        <v>71.0</v>
      </c>
      <c r="B72" s="2" t="s">
        <v>35</v>
      </c>
      <c r="C72" s="2" t="s">
        <v>58</v>
      </c>
      <c r="D72" s="13"/>
      <c r="E72" s="13"/>
      <c r="F72" s="45"/>
      <c r="G72" s="42"/>
      <c r="H72" s="42"/>
      <c r="I72" s="42"/>
      <c r="J72" s="14"/>
      <c r="K72" s="43"/>
    </row>
    <row r="73" ht="39.75" customHeight="1">
      <c r="A73" s="1">
        <v>72.0</v>
      </c>
      <c r="B73" s="2" t="s">
        <v>36</v>
      </c>
      <c r="C73" s="2" t="s">
        <v>39</v>
      </c>
      <c r="D73" s="13"/>
      <c r="E73" s="13"/>
      <c r="F73" s="44" t="s">
        <v>5122</v>
      </c>
      <c r="G73" s="43">
        <v>1.0</v>
      </c>
      <c r="H73" s="42"/>
      <c r="I73" s="42"/>
      <c r="J73" s="14"/>
      <c r="K73" s="43"/>
    </row>
    <row r="74" ht="39.75" customHeight="1">
      <c r="A74" s="1">
        <v>73.0</v>
      </c>
      <c r="B74" s="2" t="s">
        <v>38</v>
      </c>
      <c r="C74" s="2" t="s">
        <v>69</v>
      </c>
      <c r="D74" s="13"/>
      <c r="E74" s="40">
        <v>0.875</v>
      </c>
      <c r="F74" s="44" t="s">
        <v>5123</v>
      </c>
      <c r="G74" s="43">
        <v>2.0</v>
      </c>
      <c r="H74" s="42"/>
      <c r="I74" s="42"/>
      <c r="J74" s="14"/>
      <c r="K74" s="43"/>
    </row>
    <row r="75" ht="39.75" hidden="1" customHeight="1">
      <c r="A75" s="1">
        <v>74.0</v>
      </c>
      <c r="B75" s="2" t="s">
        <v>41</v>
      </c>
      <c r="C75" s="2" t="s">
        <v>58</v>
      </c>
      <c r="D75" s="13"/>
      <c r="E75" s="13"/>
      <c r="F75" s="45"/>
      <c r="G75" s="42"/>
      <c r="H75" s="42"/>
      <c r="I75" s="42"/>
      <c r="J75" s="14"/>
      <c r="K75" s="43"/>
    </row>
    <row r="76" ht="39.75" customHeight="1">
      <c r="A76" s="1">
        <v>75.0</v>
      </c>
      <c r="B76" s="2" t="s">
        <v>42</v>
      </c>
      <c r="C76" s="2"/>
      <c r="D76" s="53">
        <v>0.3020833333333333</v>
      </c>
      <c r="E76" s="13"/>
      <c r="F76" s="44" t="s">
        <v>5124</v>
      </c>
      <c r="G76" s="43">
        <v>2.0</v>
      </c>
      <c r="H76" s="42"/>
      <c r="I76" s="43">
        <v>1.0</v>
      </c>
      <c r="J76" s="14"/>
      <c r="K76" s="43"/>
    </row>
    <row r="77" ht="39.75" customHeight="1">
      <c r="A77" s="1">
        <v>76.0</v>
      </c>
      <c r="B77" s="2" t="s">
        <v>43</v>
      </c>
      <c r="C77" s="2" t="s">
        <v>54</v>
      </c>
      <c r="D77" s="53">
        <v>0.375</v>
      </c>
      <c r="E77" s="51">
        <v>0.8333333333333334</v>
      </c>
      <c r="F77" s="44" t="s">
        <v>5125</v>
      </c>
      <c r="G77" s="43">
        <v>1.0</v>
      </c>
      <c r="H77" s="42"/>
      <c r="I77" s="42"/>
      <c r="J77" s="14"/>
      <c r="K77" s="43"/>
    </row>
    <row r="78" ht="39.75" hidden="1" customHeight="1">
      <c r="A78" s="1">
        <v>77.0</v>
      </c>
      <c r="B78" s="2" t="s">
        <v>45</v>
      </c>
      <c r="C78" s="2" t="s">
        <v>58</v>
      </c>
      <c r="D78" s="13"/>
      <c r="E78" s="13"/>
      <c r="F78" s="45"/>
      <c r="G78" s="42"/>
      <c r="H78" s="42"/>
      <c r="I78" s="42"/>
      <c r="J78" s="14"/>
      <c r="K78" s="43"/>
    </row>
    <row r="79" ht="39.75" customHeight="1">
      <c r="A79" s="1">
        <v>78.0</v>
      </c>
      <c r="B79" s="2" t="s">
        <v>46</v>
      </c>
      <c r="C79" s="2"/>
      <c r="D79" s="13"/>
      <c r="E79" s="13"/>
      <c r="F79" s="44" t="s">
        <v>5126</v>
      </c>
      <c r="G79" s="43">
        <v>1.0</v>
      </c>
      <c r="H79" s="42"/>
      <c r="I79" s="43">
        <v>1.0</v>
      </c>
      <c r="J79" s="14"/>
      <c r="K79" s="43"/>
    </row>
    <row r="80" ht="39.75" hidden="1" customHeight="1">
      <c r="A80" s="1">
        <v>79.0</v>
      </c>
      <c r="B80" s="2" t="s">
        <v>47</v>
      </c>
      <c r="C80" s="2" t="s">
        <v>58</v>
      </c>
      <c r="D80" s="13"/>
      <c r="E80" s="13"/>
      <c r="F80" s="45"/>
      <c r="G80" s="42"/>
      <c r="H80" s="42"/>
      <c r="I80" s="42"/>
      <c r="J80" s="14"/>
      <c r="K80" s="43"/>
    </row>
    <row r="81" ht="39.75" customHeight="1">
      <c r="A81" s="1">
        <v>80.0</v>
      </c>
      <c r="B81" s="2" t="s">
        <v>48</v>
      </c>
      <c r="C81" s="2" t="s">
        <v>69</v>
      </c>
      <c r="D81" s="13"/>
      <c r="E81" s="51">
        <v>0.9305555555555556</v>
      </c>
      <c r="F81" s="44" t="s">
        <v>5127</v>
      </c>
      <c r="G81" s="43">
        <v>1.0</v>
      </c>
      <c r="H81" s="42"/>
      <c r="I81" s="42"/>
      <c r="J81" s="14"/>
      <c r="K81" s="43"/>
    </row>
    <row r="82" ht="39.75" customHeight="1">
      <c r="A82" s="1">
        <v>81.0</v>
      </c>
      <c r="B82" s="21"/>
      <c r="C82" s="21"/>
      <c r="D82" s="21"/>
      <c r="E82" s="21"/>
      <c r="F82" s="46"/>
      <c r="G82" s="47"/>
      <c r="H82" s="47"/>
      <c r="I82" s="47"/>
      <c r="J82" s="48"/>
      <c r="K82" s="47"/>
      <c r="L82" s="49"/>
      <c r="M82" s="49"/>
      <c r="N82" s="49"/>
    </row>
    <row r="83" ht="39.75" customHeight="1">
      <c r="A83" s="1">
        <v>82.0</v>
      </c>
      <c r="B83" s="2" t="s">
        <v>12</v>
      </c>
      <c r="C83" s="2" t="s">
        <v>62</v>
      </c>
      <c r="D83" s="13"/>
      <c r="E83" s="13"/>
      <c r="F83" s="44" t="s">
        <v>1543</v>
      </c>
      <c r="G83" s="43">
        <v>1.0</v>
      </c>
      <c r="H83" s="42"/>
      <c r="I83" s="43">
        <v>1.0</v>
      </c>
      <c r="J83" s="14" t="s">
        <v>14</v>
      </c>
      <c r="K83" s="43"/>
      <c r="L83" s="15" t="s">
        <v>94</v>
      </c>
    </row>
    <row r="84" ht="39.75" customHeight="1">
      <c r="A84" s="1">
        <v>83.0</v>
      </c>
      <c r="B84" s="2" t="s">
        <v>16</v>
      </c>
      <c r="C84" s="2"/>
      <c r="D84" s="13"/>
      <c r="E84" s="13"/>
      <c r="F84" s="44" t="s">
        <v>5128</v>
      </c>
      <c r="G84" s="43">
        <v>1.0</v>
      </c>
      <c r="H84" s="42"/>
      <c r="I84" s="42"/>
      <c r="J84" s="14" t="s">
        <v>94</v>
      </c>
      <c r="K84" s="43"/>
    </row>
    <row r="85" ht="39.75" customHeight="1">
      <c r="A85" s="1">
        <v>84.0</v>
      </c>
      <c r="B85" s="2" t="s">
        <v>116</v>
      </c>
      <c r="C85" s="2" t="s">
        <v>39</v>
      </c>
      <c r="D85" s="13"/>
      <c r="E85" s="13"/>
      <c r="F85" s="44" t="s">
        <v>5129</v>
      </c>
      <c r="G85" s="43">
        <v>1.0</v>
      </c>
      <c r="H85" s="42"/>
      <c r="I85" s="42"/>
      <c r="J85" s="14" t="s">
        <v>111</v>
      </c>
      <c r="K85" s="43"/>
    </row>
    <row r="86" ht="39.75" hidden="1" customHeight="1">
      <c r="A86" s="1">
        <v>85.0</v>
      </c>
      <c r="B86" s="2" t="s">
        <v>17</v>
      </c>
      <c r="C86" s="2" t="s">
        <v>58</v>
      </c>
      <c r="D86" s="13"/>
      <c r="E86" s="13"/>
      <c r="F86" s="45"/>
      <c r="G86" s="42"/>
      <c r="H86" s="42"/>
      <c r="I86" s="42"/>
      <c r="J86" s="14"/>
      <c r="K86" s="43"/>
    </row>
    <row r="87" ht="39.75" customHeight="1">
      <c r="A87" s="1">
        <v>86.0</v>
      </c>
      <c r="B87" s="2" t="s">
        <v>331</v>
      </c>
      <c r="C87" s="2" t="s">
        <v>542</v>
      </c>
      <c r="D87" s="53">
        <v>0.25</v>
      </c>
      <c r="E87" s="40">
        <v>0.5625</v>
      </c>
      <c r="F87" s="44" t="s">
        <v>5130</v>
      </c>
      <c r="G87" s="43">
        <v>1.0</v>
      </c>
      <c r="H87" s="42"/>
      <c r="I87" s="42"/>
      <c r="J87" s="14"/>
      <c r="K87" s="43"/>
    </row>
    <row r="88" ht="39.75" hidden="1" customHeight="1">
      <c r="A88" s="1">
        <v>87.0</v>
      </c>
      <c r="B88" s="2" t="s">
        <v>21</v>
      </c>
      <c r="C88" s="2" t="s">
        <v>66</v>
      </c>
      <c r="D88" s="13"/>
      <c r="E88" s="13"/>
      <c r="F88" s="45"/>
      <c r="G88" s="42"/>
      <c r="H88" s="42"/>
      <c r="I88" s="42"/>
      <c r="J88" s="14"/>
      <c r="K88" s="43"/>
    </row>
    <row r="89" ht="39.75" customHeight="1">
      <c r="A89" s="1">
        <v>88.0</v>
      </c>
      <c r="B89" s="2" t="s">
        <v>22</v>
      </c>
      <c r="C89" s="2" t="s">
        <v>69</v>
      </c>
      <c r="D89" s="13"/>
      <c r="E89" s="13"/>
      <c r="F89" s="44" t="s">
        <v>5131</v>
      </c>
      <c r="G89" s="43">
        <v>1.0</v>
      </c>
      <c r="H89" s="42"/>
      <c r="I89" s="43">
        <v>1.0</v>
      </c>
      <c r="J89" s="14"/>
      <c r="K89" s="43"/>
    </row>
    <row r="90" ht="39.75" customHeight="1">
      <c r="A90" s="1">
        <v>89.0</v>
      </c>
      <c r="B90" s="2" t="s">
        <v>23</v>
      </c>
      <c r="C90" s="13"/>
      <c r="D90" s="13"/>
      <c r="E90" s="13"/>
      <c r="F90" s="45"/>
      <c r="G90" s="42"/>
      <c r="H90" s="42"/>
      <c r="I90" s="42"/>
      <c r="J90" s="14"/>
      <c r="K90" s="43"/>
    </row>
    <row r="91" ht="39.75" customHeight="1">
      <c r="A91" s="1">
        <v>90.0</v>
      </c>
      <c r="B91" s="2" t="s">
        <v>24</v>
      </c>
      <c r="C91" s="2" t="s">
        <v>63</v>
      </c>
      <c r="D91" s="13"/>
      <c r="E91" s="13"/>
      <c r="F91" s="45"/>
      <c r="G91" s="42"/>
      <c r="H91" s="42"/>
      <c r="I91" s="42"/>
      <c r="J91" s="14"/>
      <c r="K91" s="43"/>
    </row>
    <row r="92" ht="39.75" customHeight="1">
      <c r="A92" s="1">
        <v>91.0</v>
      </c>
      <c r="B92" s="2" t="s">
        <v>25</v>
      </c>
      <c r="C92" s="2" t="s">
        <v>44</v>
      </c>
      <c r="D92" s="13"/>
      <c r="E92" s="13"/>
      <c r="F92" s="45"/>
      <c r="G92" s="42"/>
      <c r="H92" s="42"/>
      <c r="I92" s="42"/>
      <c r="J92" s="14"/>
      <c r="K92" s="43"/>
    </row>
    <row r="93" ht="39.75" customHeight="1">
      <c r="A93" s="1">
        <v>92.0</v>
      </c>
      <c r="B93" s="2" t="s">
        <v>26</v>
      </c>
      <c r="C93" s="2" t="s">
        <v>54</v>
      </c>
      <c r="D93" s="53">
        <v>0.2986111111111111</v>
      </c>
      <c r="E93" s="51">
        <v>0.8958333333333334</v>
      </c>
      <c r="F93" s="44" t="s">
        <v>5132</v>
      </c>
      <c r="G93" s="43">
        <v>1.0</v>
      </c>
      <c r="H93" s="43">
        <v>1.0</v>
      </c>
      <c r="I93" s="42"/>
      <c r="J93" s="14"/>
      <c r="K93" s="43"/>
    </row>
    <row r="94" ht="39.75" hidden="1" customHeight="1">
      <c r="A94" s="1">
        <v>93.0</v>
      </c>
      <c r="B94" s="2" t="s">
        <v>29</v>
      </c>
      <c r="C94" s="2" t="s">
        <v>58</v>
      </c>
      <c r="D94" s="13"/>
      <c r="E94" s="13"/>
      <c r="F94" s="45"/>
      <c r="G94" s="42"/>
      <c r="H94" s="42"/>
      <c r="I94" s="42"/>
      <c r="J94" s="14"/>
      <c r="K94" s="43"/>
    </row>
    <row r="95" ht="39.75" customHeight="1">
      <c r="A95" s="1">
        <v>94.0</v>
      </c>
      <c r="B95" s="2" t="s">
        <v>30</v>
      </c>
      <c r="C95" s="2" t="s">
        <v>64</v>
      </c>
      <c r="D95" s="13"/>
      <c r="E95" s="13"/>
      <c r="F95" s="44" t="s">
        <v>2592</v>
      </c>
      <c r="G95" s="43">
        <v>1.0</v>
      </c>
      <c r="H95" s="42"/>
      <c r="I95" s="43">
        <v>1.0</v>
      </c>
      <c r="J95" s="14"/>
      <c r="K95" s="43"/>
    </row>
    <row r="96" ht="39.75" customHeight="1">
      <c r="A96" s="1">
        <v>95.0</v>
      </c>
      <c r="B96" s="2" t="s">
        <v>31</v>
      </c>
      <c r="C96" s="2" t="s">
        <v>39</v>
      </c>
      <c r="D96" s="13"/>
      <c r="E96" s="13"/>
      <c r="F96" s="44" t="s">
        <v>2768</v>
      </c>
      <c r="G96" s="43">
        <v>1.0</v>
      </c>
      <c r="H96" s="42"/>
      <c r="I96" s="43">
        <v>1.0</v>
      </c>
      <c r="J96" s="14"/>
      <c r="K96" s="43"/>
    </row>
    <row r="97" ht="39.75" customHeight="1">
      <c r="A97" s="1">
        <v>96.0</v>
      </c>
      <c r="B97" s="2" t="s">
        <v>32</v>
      </c>
      <c r="C97" s="2" t="s">
        <v>54</v>
      </c>
      <c r="D97" s="13"/>
      <c r="E97" s="13"/>
      <c r="F97" s="44" t="s">
        <v>5133</v>
      </c>
      <c r="G97" s="43">
        <v>1.0</v>
      </c>
      <c r="H97" s="42"/>
      <c r="I97" s="42"/>
      <c r="J97" s="14"/>
      <c r="K97" s="43"/>
    </row>
    <row r="98" ht="39.75" hidden="1" customHeight="1">
      <c r="A98" s="1">
        <v>97.0</v>
      </c>
      <c r="B98" s="2" t="s">
        <v>67</v>
      </c>
      <c r="C98" s="2" t="s">
        <v>58</v>
      </c>
      <c r="D98" s="13"/>
      <c r="E98" s="13"/>
      <c r="F98" s="45"/>
      <c r="G98" s="42"/>
      <c r="H98" s="42"/>
      <c r="I98" s="42"/>
      <c r="J98" s="14"/>
      <c r="K98" s="43"/>
    </row>
    <row r="99" ht="39.75" customHeight="1">
      <c r="A99" s="1">
        <v>98.0</v>
      </c>
      <c r="B99" s="2" t="s">
        <v>35</v>
      </c>
      <c r="C99" s="2"/>
      <c r="D99" s="13"/>
      <c r="E99" s="13"/>
      <c r="F99" s="44" t="s">
        <v>5134</v>
      </c>
      <c r="G99" s="43">
        <v>1.0</v>
      </c>
      <c r="H99" s="42"/>
      <c r="I99" s="42"/>
      <c r="J99" s="14"/>
      <c r="K99" s="43"/>
    </row>
    <row r="100" ht="39.75" customHeight="1">
      <c r="A100" s="1">
        <v>99.0</v>
      </c>
      <c r="B100" s="2" t="s">
        <v>36</v>
      </c>
      <c r="C100" s="2" t="s">
        <v>69</v>
      </c>
      <c r="D100" s="13"/>
      <c r="E100" s="13"/>
      <c r="F100" s="44" t="s">
        <v>5135</v>
      </c>
      <c r="G100" s="43">
        <v>2.0</v>
      </c>
      <c r="H100" s="42"/>
      <c r="I100" s="43">
        <v>1.0</v>
      </c>
      <c r="J100" s="14"/>
      <c r="K100" s="43"/>
    </row>
    <row r="101" ht="39.75" customHeight="1">
      <c r="A101" s="1">
        <v>100.0</v>
      </c>
      <c r="B101" s="2" t="s">
        <v>38</v>
      </c>
      <c r="C101" s="2"/>
      <c r="D101" s="13"/>
      <c r="E101" s="13"/>
      <c r="F101" s="45"/>
      <c r="G101" s="42"/>
      <c r="H101" s="42"/>
      <c r="I101" s="42"/>
      <c r="J101" s="14"/>
      <c r="K101" s="43"/>
    </row>
    <row r="102" ht="39.75" hidden="1" customHeight="1">
      <c r="A102" s="1">
        <v>101.0</v>
      </c>
      <c r="B102" s="2" t="s">
        <v>41</v>
      </c>
      <c r="C102" s="2" t="s">
        <v>58</v>
      </c>
      <c r="D102" s="13"/>
      <c r="E102" s="13"/>
      <c r="F102" s="45"/>
      <c r="G102" s="42"/>
      <c r="H102" s="42"/>
      <c r="I102" s="42"/>
      <c r="J102" s="14"/>
      <c r="K102" s="43"/>
    </row>
    <row r="103" ht="39.75" customHeight="1">
      <c r="A103" s="1">
        <v>102.0</v>
      </c>
      <c r="B103" s="2" t="s">
        <v>42</v>
      </c>
      <c r="C103" s="2" t="s">
        <v>69</v>
      </c>
      <c r="D103" s="13"/>
      <c r="E103" s="40">
        <v>0.8958333333333334</v>
      </c>
      <c r="F103" s="44" t="s">
        <v>5136</v>
      </c>
      <c r="G103" s="43">
        <v>1.0</v>
      </c>
      <c r="H103" s="42"/>
      <c r="I103" s="42"/>
      <c r="J103" s="14"/>
      <c r="K103" s="43"/>
    </row>
    <row r="104" ht="39.75" customHeight="1">
      <c r="A104" s="1">
        <v>103.0</v>
      </c>
      <c r="B104" s="2" t="s">
        <v>43</v>
      </c>
      <c r="C104" s="2" t="s">
        <v>54</v>
      </c>
      <c r="D104" s="53">
        <v>0.375</v>
      </c>
      <c r="E104" s="13"/>
      <c r="F104" s="44" t="s">
        <v>5125</v>
      </c>
      <c r="G104" s="43">
        <v>1.0</v>
      </c>
      <c r="H104" s="42"/>
      <c r="I104" s="42"/>
      <c r="J104" s="14"/>
      <c r="K104" s="43"/>
    </row>
    <row r="105" ht="39.75" hidden="1" customHeight="1">
      <c r="A105" s="1">
        <v>104.0</v>
      </c>
      <c r="B105" s="2" t="s">
        <v>45</v>
      </c>
      <c r="C105" s="2" t="s">
        <v>58</v>
      </c>
      <c r="D105" s="13"/>
      <c r="E105" s="13"/>
      <c r="F105" s="45"/>
      <c r="G105" s="42"/>
      <c r="H105" s="42"/>
      <c r="I105" s="42"/>
      <c r="J105" s="14"/>
      <c r="K105" s="43"/>
    </row>
    <row r="106" ht="39.75" customHeight="1">
      <c r="A106" s="1">
        <v>105.0</v>
      </c>
      <c r="B106" s="2" t="s">
        <v>46</v>
      </c>
      <c r="C106" s="2"/>
      <c r="D106" s="13"/>
      <c r="E106" s="13"/>
      <c r="F106" s="45"/>
      <c r="G106" s="42"/>
      <c r="H106" s="42"/>
      <c r="I106" s="42"/>
      <c r="J106" s="14"/>
      <c r="K106" s="43"/>
    </row>
    <row r="107" ht="39.75" customHeight="1">
      <c r="A107" s="1">
        <v>106.0</v>
      </c>
      <c r="B107" s="2" t="s">
        <v>47</v>
      </c>
      <c r="C107" s="2" t="s">
        <v>27</v>
      </c>
      <c r="D107" s="13"/>
      <c r="E107" s="13"/>
      <c r="F107" s="44" t="s">
        <v>5137</v>
      </c>
      <c r="G107" s="43">
        <v>1.0</v>
      </c>
      <c r="H107" s="42"/>
      <c r="I107" s="43">
        <v>1.0</v>
      </c>
      <c r="J107" s="14"/>
      <c r="K107" s="43"/>
    </row>
    <row r="108" ht="39.75" customHeight="1">
      <c r="A108" s="1">
        <v>107.0</v>
      </c>
      <c r="B108" s="2" t="s">
        <v>48</v>
      </c>
      <c r="C108" s="2" t="s">
        <v>54</v>
      </c>
      <c r="D108" s="13"/>
      <c r="E108" s="13"/>
      <c r="F108" s="45"/>
      <c r="G108" s="42"/>
      <c r="H108" s="42"/>
      <c r="I108" s="42"/>
      <c r="J108" s="14"/>
      <c r="K108" s="43"/>
    </row>
    <row r="109" ht="39.75" customHeight="1">
      <c r="A109" s="1">
        <v>108.0</v>
      </c>
      <c r="B109" s="21"/>
      <c r="C109" s="21"/>
      <c r="D109" s="21"/>
      <c r="E109" s="21"/>
      <c r="F109" s="46"/>
      <c r="G109" s="47"/>
      <c r="H109" s="47"/>
      <c r="I109" s="47"/>
      <c r="J109" s="54"/>
      <c r="K109" s="72"/>
      <c r="L109" s="49"/>
      <c r="M109" s="49"/>
      <c r="N109" s="49"/>
    </row>
    <row r="110" ht="39.75" customHeight="1">
      <c r="A110" s="1">
        <v>109.0</v>
      </c>
      <c r="B110" s="2" t="s">
        <v>12</v>
      </c>
      <c r="C110" s="2" t="s">
        <v>62</v>
      </c>
      <c r="D110" s="13"/>
      <c r="E110" s="13"/>
      <c r="F110" s="44" t="s">
        <v>1543</v>
      </c>
      <c r="G110" s="43">
        <v>1.0</v>
      </c>
      <c r="H110" s="42"/>
      <c r="I110" s="43">
        <v>1.0</v>
      </c>
      <c r="J110" s="27" t="s">
        <v>14</v>
      </c>
      <c r="K110" s="43"/>
      <c r="L110" s="15" t="s">
        <v>109</v>
      </c>
    </row>
    <row r="111" ht="39.75" customHeight="1">
      <c r="A111" s="1">
        <v>110.0</v>
      </c>
      <c r="B111" s="2" t="s">
        <v>16</v>
      </c>
      <c r="C111" s="2" t="s">
        <v>39</v>
      </c>
      <c r="D111" s="13"/>
      <c r="E111" s="13"/>
      <c r="F111" s="44" t="s">
        <v>5138</v>
      </c>
      <c r="G111" s="43">
        <v>1.0</v>
      </c>
      <c r="H111" s="42"/>
      <c r="I111" s="42"/>
      <c r="J111" s="27" t="s">
        <v>109</v>
      </c>
      <c r="K111" s="43"/>
    </row>
    <row r="112" ht="39.75" hidden="1" customHeight="1">
      <c r="A112" s="1">
        <v>111.0</v>
      </c>
      <c r="B112" s="2" t="s">
        <v>116</v>
      </c>
      <c r="C112" s="2" t="s">
        <v>66</v>
      </c>
      <c r="D112" s="13"/>
      <c r="E112" s="13"/>
      <c r="F112" s="45"/>
      <c r="G112" s="42"/>
      <c r="H112" s="42"/>
      <c r="I112" s="42"/>
      <c r="J112" s="27" t="s">
        <v>131</v>
      </c>
      <c r="K112" s="43"/>
    </row>
    <row r="113" ht="39.75" hidden="1" customHeight="1">
      <c r="A113" s="1">
        <v>112.0</v>
      </c>
      <c r="B113" s="2" t="s">
        <v>17</v>
      </c>
      <c r="C113" s="2" t="s">
        <v>58</v>
      </c>
      <c r="D113" s="13"/>
      <c r="E113" s="13"/>
      <c r="F113" s="44"/>
      <c r="G113" s="42"/>
      <c r="H113" s="42"/>
      <c r="I113" s="42"/>
      <c r="J113" s="22"/>
      <c r="K113" s="42"/>
    </row>
    <row r="114" ht="39.75" customHeight="1">
      <c r="A114" s="1">
        <v>113.0</v>
      </c>
      <c r="B114" s="2" t="s">
        <v>331</v>
      </c>
      <c r="C114" s="2" t="s">
        <v>542</v>
      </c>
      <c r="D114" s="13"/>
      <c r="E114" s="13"/>
      <c r="F114" s="44" t="s">
        <v>5139</v>
      </c>
      <c r="G114" s="43">
        <v>1.0</v>
      </c>
      <c r="H114" s="42"/>
      <c r="I114" s="43">
        <v>1.0</v>
      </c>
      <c r="J114" s="22"/>
      <c r="K114" s="42"/>
    </row>
    <row r="115" ht="39.75" customHeight="1">
      <c r="A115" s="1">
        <v>114.0</v>
      </c>
      <c r="B115" s="2" t="s">
        <v>21</v>
      </c>
      <c r="C115" s="2"/>
      <c r="D115" s="13"/>
      <c r="E115" s="13"/>
      <c r="F115" s="44" t="s">
        <v>5140</v>
      </c>
      <c r="G115" s="43">
        <v>1.0</v>
      </c>
      <c r="H115" s="42"/>
      <c r="I115" s="42"/>
      <c r="J115" s="22"/>
      <c r="K115" s="42"/>
    </row>
    <row r="116" ht="39.75" hidden="1" customHeight="1">
      <c r="A116" s="1">
        <v>115.0</v>
      </c>
      <c r="B116" s="2" t="s">
        <v>22</v>
      </c>
      <c r="C116" s="2" t="s">
        <v>58</v>
      </c>
      <c r="D116" s="13"/>
      <c r="E116" s="13"/>
      <c r="F116" s="45"/>
      <c r="G116" s="42"/>
      <c r="H116" s="42"/>
      <c r="I116" s="42"/>
      <c r="J116" s="22"/>
      <c r="K116" s="42"/>
    </row>
    <row r="117" ht="39.75" customHeight="1">
      <c r="A117" s="1">
        <v>116.0</v>
      </c>
      <c r="B117" s="2" t="s">
        <v>23</v>
      </c>
      <c r="C117" s="13"/>
      <c r="D117" s="13"/>
      <c r="E117" s="13"/>
      <c r="F117" s="44" t="s">
        <v>1204</v>
      </c>
      <c r="G117" s="43">
        <v>1.0</v>
      </c>
      <c r="H117" s="42"/>
      <c r="I117" s="43">
        <v>1.0</v>
      </c>
      <c r="J117" s="22"/>
      <c r="K117" s="42"/>
    </row>
    <row r="118" ht="39.75" customHeight="1">
      <c r="A118" s="1">
        <v>117.0</v>
      </c>
      <c r="B118" s="2" t="s">
        <v>24</v>
      </c>
      <c r="C118" s="2" t="s">
        <v>63</v>
      </c>
      <c r="D118" s="13"/>
      <c r="E118" s="13"/>
      <c r="F118" s="45"/>
      <c r="G118" s="42"/>
      <c r="H118" s="42"/>
      <c r="I118" s="42"/>
      <c r="J118" s="22"/>
      <c r="K118" s="42"/>
    </row>
    <row r="119" ht="39.75" hidden="1" customHeight="1">
      <c r="A119" s="1">
        <v>118.0</v>
      </c>
      <c r="B119" s="2" t="s">
        <v>25</v>
      </c>
      <c r="C119" s="2" t="s">
        <v>58</v>
      </c>
      <c r="D119" s="13"/>
      <c r="E119" s="13"/>
      <c r="F119" s="45"/>
      <c r="G119" s="42"/>
      <c r="H119" s="42"/>
      <c r="I119" s="42"/>
      <c r="J119" s="22"/>
      <c r="K119" s="42"/>
    </row>
    <row r="120" ht="39.75" customHeight="1">
      <c r="A120" s="1">
        <v>119.0</v>
      </c>
      <c r="B120" s="2" t="s">
        <v>26</v>
      </c>
      <c r="C120" s="2" t="s">
        <v>54</v>
      </c>
      <c r="D120" s="13"/>
      <c r="E120" s="13"/>
      <c r="F120" s="44" t="s">
        <v>5141</v>
      </c>
      <c r="G120" s="43">
        <v>1.0</v>
      </c>
      <c r="H120" s="42"/>
      <c r="I120" s="43">
        <v>1.0</v>
      </c>
      <c r="J120" s="22"/>
      <c r="K120" s="42"/>
    </row>
    <row r="121" ht="39.75" customHeight="1">
      <c r="A121" s="1">
        <v>120.0</v>
      </c>
      <c r="B121" s="2" t="s">
        <v>29</v>
      </c>
      <c r="C121" s="2" t="s">
        <v>69</v>
      </c>
      <c r="D121" s="13"/>
      <c r="E121" s="40">
        <v>0.8541666666666666</v>
      </c>
      <c r="F121" s="44" t="s">
        <v>5142</v>
      </c>
      <c r="G121" s="43">
        <v>2.0</v>
      </c>
      <c r="H121" s="42"/>
      <c r="I121" s="43">
        <v>2.0</v>
      </c>
      <c r="J121" s="22"/>
      <c r="K121" s="42"/>
    </row>
    <row r="122" ht="39.75" customHeight="1">
      <c r="A122" s="1">
        <v>121.0</v>
      </c>
      <c r="B122" s="2" t="s">
        <v>30</v>
      </c>
      <c r="C122" s="2" t="s">
        <v>64</v>
      </c>
      <c r="D122" s="13"/>
      <c r="E122" s="13"/>
      <c r="F122" s="44" t="s">
        <v>2592</v>
      </c>
      <c r="G122" s="43">
        <v>1.0</v>
      </c>
      <c r="H122" s="42"/>
      <c r="I122" s="43">
        <v>1.0</v>
      </c>
      <c r="J122" s="22"/>
      <c r="K122" s="42"/>
    </row>
    <row r="123" ht="39.75" customHeight="1">
      <c r="A123" s="1">
        <v>122.0</v>
      </c>
      <c r="B123" s="2" t="s">
        <v>31</v>
      </c>
      <c r="C123" s="2" t="s">
        <v>39</v>
      </c>
      <c r="D123" s="13"/>
      <c r="E123" s="13"/>
      <c r="F123" s="44" t="s">
        <v>5143</v>
      </c>
      <c r="G123" s="43">
        <v>2.0</v>
      </c>
      <c r="H123" s="42"/>
      <c r="I123" s="43">
        <v>2.0</v>
      </c>
      <c r="J123" s="22"/>
      <c r="K123" s="42"/>
    </row>
    <row r="124" ht="39.75" hidden="1" customHeight="1">
      <c r="A124" s="1">
        <v>123.0</v>
      </c>
      <c r="B124" s="2" t="s">
        <v>32</v>
      </c>
      <c r="C124" s="2" t="s">
        <v>58</v>
      </c>
      <c r="D124" s="13"/>
      <c r="E124" s="13"/>
      <c r="F124" s="45"/>
      <c r="G124" s="42"/>
      <c r="H124" s="42"/>
      <c r="I124" s="42"/>
      <c r="J124" s="22"/>
      <c r="K124" s="42"/>
    </row>
    <row r="125" ht="39.75" customHeight="1">
      <c r="A125" s="1">
        <v>124.0</v>
      </c>
      <c r="B125" s="2" t="s">
        <v>67</v>
      </c>
      <c r="C125" s="2" t="s">
        <v>54</v>
      </c>
      <c r="D125" s="53">
        <v>0.2916666666666667</v>
      </c>
      <c r="E125" s="40">
        <v>0.625</v>
      </c>
      <c r="F125" s="44" t="s">
        <v>5144</v>
      </c>
      <c r="G125" s="43">
        <v>1.0</v>
      </c>
      <c r="H125" s="42"/>
      <c r="I125" s="42"/>
      <c r="J125" s="22"/>
      <c r="K125" s="42"/>
    </row>
    <row r="126" ht="39.75" customHeight="1">
      <c r="A126" s="1">
        <v>125.0</v>
      </c>
      <c r="B126" s="2" t="s">
        <v>35</v>
      </c>
      <c r="C126" s="2" t="s">
        <v>69</v>
      </c>
      <c r="D126" s="13"/>
      <c r="E126" s="13"/>
      <c r="F126" s="44" t="s">
        <v>5145</v>
      </c>
      <c r="G126" s="42"/>
      <c r="H126" s="42"/>
      <c r="I126" s="42"/>
      <c r="J126" s="22"/>
      <c r="K126" s="42"/>
    </row>
    <row r="127" ht="39.75" customHeight="1">
      <c r="A127" s="1">
        <v>126.0</v>
      </c>
      <c r="B127" s="2" t="s">
        <v>36</v>
      </c>
      <c r="C127" s="2" t="s">
        <v>27</v>
      </c>
      <c r="D127" s="13"/>
      <c r="E127" s="13"/>
      <c r="F127" s="45"/>
      <c r="G127" s="42"/>
      <c r="H127" s="42"/>
      <c r="I127" s="42"/>
      <c r="J127" s="22"/>
      <c r="K127" s="42"/>
    </row>
    <row r="128" ht="39.75" customHeight="1">
      <c r="A128" s="1">
        <v>127.0</v>
      </c>
      <c r="B128" s="2" t="s">
        <v>38</v>
      </c>
      <c r="C128" s="2"/>
      <c r="D128" s="50"/>
      <c r="E128" s="13"/>
      <c r="F128" s="44" t="s">
        <v>5146</v>
      </c>
      <c r="G128" s="43">
        <v>2.0</v>
      </c>
      <c r="H128" s="42"/>
      <c r="I128" s="42"/>
      <c r="J128" s="22"/>
      <c r="K128" s="42"/>
    </row>
    <row r="129" ht="39.75" hidden="1" customHeight="1">
      <c r="A129" s="1">
        <v>128.0</v>
      </c>
      <c r="B129" s="2" t="s">
        <v>41</v>
      </c>
      <c r="C129" s="2" t="s">
        <v>58</v>
      </c>
      <c r="D129" s="13"/>
      <c r="E129" s="13"/>
      <c r="F129" s="45"/>
      <c r="G129" s="42"/>
      <c r="H129" s="42"/>
      <c r="I129" s="42"/>
      <c r="J129" s="22"/>
      <c r="K129" s="42"/>
    </row>
    <row r="130" ht="39.75" customHeight="1">
      <c r="A130" s="1">
        <v>129.0</v>
      </c>
      <c r="B130" s="2" t="s">
        <v>42</v>
      </c>
      <c r="C130" s="2"/>
      <c r="D130" s="13"/>
      <c r="E130" s="13"/>
      <c r="F130" s="44" t="s">
        <v>5147</v>
      </c>
      <c r="G130" s="43">
        <v>2.0</v>
      </c>
      <c r="H130" s="42"/>
      <c r="I130" s="42"/>
      <c r="J130" s="22"/>
      <c r="K130" s="42"/>
    </row>
    <row r="131" ht="39.75" customHeight="1">
      <c r="A131" s="1">
        <v>130.0</v>
      </c>
      <c r="B131" s="2" t="s">
        <v>43</v>
      </c>
      <c r="C131" s="2" t="s">
        <v>54</v>
      </c>
      <c r="D131" s="13"/>
      <c r="E131" s="13"/>
      <c r="F131" s="44" t="s">
        <v>5148</v>
      </c>
      <c r="G131" s="43">
        <v>1.0</v>
      </c>
      <c r="H131" s="42"/>
      <c r="I131" s="42"/>
      <c r="J131" s="22"/>
      <c r="K131" s="42"/>
    </row>
    <row r="132" ht="39.75" hidden="1" customHeight="1">
      <c r="A132" s="1">
        <v>131.0</v>
      </c>
      <c r="B132" s="2" t="s">
        <v>45</v>
      </c>
      <c r="C132" s="2" t="s">
        <v>58</v>
      </c>
      <c r="D132" s="13"/>
      <c r="E132" s="13"/>
      <c r="F132" s="45"/>
      <c r="G132" s="42"/>
      <c r="H132" s="42"/>
      <c r="I132" s="42"/>
      <c r="J132" s="22"/>
      <c r="K132" s="42"/>
    </row>
    <row r="133" ht="39.75" hidden="1" customHeight="1">
      <c r="A133" s="1">
        <v>132.0</v>
      </c>
      <c r="B133" s="2" t="s">
        <v>46</v>
      </c>
      <c r="C133" s="2" t="s">
        <v>58</v>
      </c>
      <c r="D133" s="13"/>
      <c r="E133" s="13"/>
      <c r="F133" s="45"/>
      <c r="G133" s="42"/>
      <c r="H133" s="42"/>
      <c r="I133" s="42"/>
      <c r="J133" s="22"/>
      <c r="K133" s="42"/>
    </row>
    <row r="134" ht="39.75" customHeight="1">
      <c r="A134" s="1">
        <v>133.0</v>
      </c>
      <c r="B134" s="2" t="s">
        <v>47</v>
      </c>
      <c r="C134" s="2" t="s">
        <v>44</v>
      </c>
      <c r="D134" s="13"/>
      <c r="E134" s="55">
        <v>0.3611111111111111</v>
      </c>
      <c r="F134" s="52" t="s">
        <v>5149</v>
      </c>
      <c r="G134" s="56">
        <v>1.0</v>
      </c>
      <c r="H134" s="42"/>
      <c r="I134" s="42"/>
      <c r="J134" s="22"/>
      <c r="K134" s="42"/>
    </row>
    <row r="135" ht="39.75" customHeight="1">
      <c r="A135" s="1">
        <v>134.0</v>
      </c>
      <c r="B135" s="2" t="s">
        <v>48</v>
      </c>
      <c r="C135" s="2"/>
      <c r="D135" s="13"/>
      <c r="E135" s="13"/>
      <c r="F135" s="44" t="s">
        <v>5150</v>
      </c>
      <c r="G135" s="43">
        <v>2.0</v>
      </c>
      <c r="H135" s="42"/>
      <c r="I135" s="42"/>
      <c r="J135" s="22"/>
      <c r="K135" s="42"/>
    </row>
    <row r="136" ht="39.75" customHeight="1">
      <c r="A136" s="1">
        <v>135.0</v>
      </c>
      <c r="B136" s="21"/>
      <c r="C136" s="21"/>
      <c r="D136" s="21"/>
      <c r="E136" s="21"/>
      <c r="F136" s="46"/>
      <c r="G136" s="47"/>
      <c r="H136" s="47"/>
      <c r="I136" s="47"/>
      <c r="J136" s="48"/>
      <c r="K136" s="47"/>
      <c r="L136" s="49"/>
      <c r="M136" s="49"/>
      <c r="N136" s="49"/>
    </row>
    <row r="137" ht="39.75" customHeight="1">
      <c r="A137" s="1">
        <v>136.0</v>
      </c>
      <c r="B137" s="2" t="s">
        <v>268</v>
      </c>
      <c r="C137" s="2" t="s">
        <v>63</v>
      </c>
      <c r="D137" s="13"/>
      <c r="E137" s="13"/>
      <c r="F137" s="45"/>
      <c r="G137" s="42"/>
      <c r="H137" s="42"/>
      <c r="I137" s="42"/>
      <c r="J137" s="27" t="s">
        <v>14</v>
      </c>
      <c r="K137" s="43"/>
      <c r="L137" s="15" t="s">
        <v>128</v>
      </c>
    </row>
    <row r="138" ht="39.75" customHeight="1">
      <c r="A138" s="1">
        <v>137.0</v>
      </c>
      <c r="B138" s="2" t="s">
        <v>16</v>
      </c>
      <c r="C138" s="2"/>
      <c r="D138" s="40">
        <v>0.375</v>
      </c>
      <c r="E138" s="51">
        <v>0.7708333333333334</v>
      </c>
      <c r="F138" s="44" t="s">
        <v>5151</v>
      </c>
      <c r="G138" s="43">
        <v>1.0</v>
      </c>
      <c r="H138" s="42"/>
      <c r="I138" s="43">
        <v>1.0</v>
      </c>
      <c r="J138" s="27" t="s">
        <v>128</v>
      </c>
      <c r="K138" s="43"/>
    </row>
    <row r="139" ht="39.75" hidden="1" customHeight="1">
      <c r="A139" s="1">
        <v>138.0</v>
      </c>
      <c r="B139" s="2" t="s">
        <v>116</v>
      </c>
      <c r="C139" s="2" t="s">
        <v>13</v>
      </c>
      <c r="D139" s="13"/>
      <c r="E139" s="13"/>
      <c r="F139" s="45"/>
      <c r="G139" s="42"/>
      <c r="H139" s="42"/>
      <c r="I139" s="42"/>
      <c r="J139" s="27" t="s">
        <v>149</v>
      </c>
      <c r="K139" s="43"/>
    </row>
    <row r="140" ht="39.75" customHeight="1">
      <c r="A140" s="1">
        <v>139.0</v>
      </c>
      <c r="B140" s="2" t="s">
        <v>17</v>
      </c>
      <c r="C140" s="2"/>
      <c r="D140" s="40">
        <v>0.375</v>
      </c>
      <c r="E140" s="51">
        <v>0.7708333333333334</v>
      </c>
      <c r="F140" s="44" t="s">
        <v>5152</v>
      </c>
      <c r="G140" s="43">
        <v>2.0</v>
      </c>
      <c r="H140" s="42"/>
      <c r="I140" s="43">
        <v>1.0</v>
      </c>
      <c r="J140" s="27" t="s">
        <v>151</v>
      </c>
      <c r="K140" s="43"/>
    </row>
    <row r="141" ht="39.75" hidden="1" customHeight="1">
      <c r="A141" s="1">
        <v>140.0</v>
      </c>
      <c r="B141" s="2" t="s">
        <v>331</v>
      </c>
      <c r="C141" s="2" t="s">
        <v>13</v>
      </c>
      <c r="D141" s="13"/>
      <c r="E141" s="13"/>
      <c r="F141" s="45"/>
      <c r="G141" s="42"/>
      <c r="H141" s="42"/>
      <c r="I141" s="42"/>
      <c r="J141" s="27" t="s">
        <v>152</v>
      </c>
      <c r="K141" s="43"/>
    </row>
    <row r="142" ht="39.75" hidden="1" customHeight="1">
      <c r="A142" s="1">
        <v>141.0</v>
      </c>
      <c r="B142" s="2" t="s">
        <v>21</v>
      </c>
      <c r="C142" s="2" t="s">
        <v>13</v>
      </c>
      <c r="D142" s="13"/>
      <c r="E142" s="13"/>
      <c r="F142" s="45"/>
      <c r="G142" s="42"/>
      <c r="H142" s="42"/>
      <c r="I142" s="42"/>
      <c r="J142" s="27" t="s">
        <v>154</v>
      </c>
      <c r="K142" s="43"/>
    </row>
    <row r="143" ht="39.75" hidden="1" customHeight="1">
      <c r="A143" s="1">
        <v>142.0</v>
      </c>
      <c r="B143" s="2" t="s">
        <v>22</v>
      </c>
      <c r="C143" s="2" t="s">
        <v>13</v>
      </c>
      <c r="D143" s="40"/>
      <c r="E143" s="13"/>
      <c r="F143" s="45"/>
      <c r="G143" s="42"/>
      <c r="H143" s="42"/>
      <c r="I143" s="42"/>
      <c r="J143" s="22"/>
      <c r="K143" s="42"/>
    </row>
    <row r="144" ht="39.75" hidden="1" customHeight="1">
      <c r="A144" s="1">
        <v>143.0</v>
      </c>
      <c r="B144" s="2" t="s">
        <v>23</v>
      </c>
      <c r="C144" s="2" t="s">
        <v>13</v>
      </c>
      <c r="D144" s="13"/>
      <c r="E144" s="13"/>
      <c r="F144" s="45"/>
      <c r="G144" s="42"/>
      <c r="H144" s="42"/>
      <c r="I144" s="42"/>
      <c r="J144" s="22"/>
      <c r="K144" s="42"/>
    </row>
    <row r="145" ht="39.75" hidden="1" customHeight="1">
      <c r="A145" s="1">
        <v>144.0</v>
      </c>
      <c r="B145" s="2" t="s">
        <v>24</v>
      </c>
      <c r="C145" s="2" t="s">
        <v>13</v>
      </c>
      <c r="D145" s="13"/>
      <c r="E145" s="13"/>
      <c r="F145" s="45"/>
      <c r="G145" s="42"/>
      <c r="H145" s="42"/>
      <c r="I145" s="42"/>
      <c r="J145" s="22"/>
      <c r="K145" s="42"/>
    </row>
    <row r="146" ht="39.75" hidden="1" customHeight="1">
      <c r="A146" s="1">
        <v>145.0</v>
      </c>
      <c r="B146" s="2" t="s">
        <v>25</v>
      </c>
      <c r="C146" s="2" t="s">
        <v>13</v>
      </c>
      <c r="D146" s="13"/>
      <c r="E146" s="13"/>
      <c r="F146" s="45"/>
      <c r="G146" s="42"/>
      <c r="H146" s="42"/>
      <c r="I146" s="42"/>
      <c r="J146" s="22"/>
      <c r="K146" s="42"/>
    </row>
    <row r="147" ht="39.75" hidden="1" customHeight="1">
      <c r="A147" s="1">
        <v>146.0</v>
      </c>
      <c r="B147" s="2" t="s">
        <v>26</v>
      </c>
      <c r="C147" s="2" t="s">
        <v>13</v>
      </c>
      <c r="D147" s="13"/>
      <c r="E147" s="13"/>
      <c r="F147" s="45"/>
      <c r="G147" s="42"/>
      <c r="H147" s="42"/>
      <c r="I147" s="42"/>
      <c r="J147" s="22"/>
      <c r="K147" s="42"/>
    </row>
    <row r="148" ht="39.75" customHeight="1">
      <c r="A148" s="1">
        <v>147.0</v>
      </c>
      <c r="B148" s="2" t="s">
        <v>29</v>
      </c>
      <c r="C148" s="2" t="s">
        <v>49</v>
      </c>
      <c r="D148" s="13"/>
      <c r="E148" s="13"/>
      <c r="F148" s="44" t="s">
        <v>5153</v>
      </c>
      <c r="G148" s="43">
        <v>1.0</v>
      </c>
      <c r="H148" s="42"/>
      <c r="I148" s="43">
        <v>1.0</v>
      </c>
      <c r="J148" s="22"/>
      <c r="K148" s="42"/>
    </row>
    <row r="149" ht="39.75" hidden="1" customHeight="1">
      <c r="A149" s="1">
        <v>148.0</v>
      </c>
      <c r="B149" s="2" t="s">
        <v>30</v>
      </c>
      <c r="C149" s="2" t="s">
        <v>13</v>
      </c>
      <c r="D149" s="13"/>
      <c r="E149" s="13"/>
      <c r="F149" s="45"/>
      <c r="G149" s="42"/>
      <c r="H149" s="42"/>
      <c r="I149" s="42"/>
      <c r="J149" s="22"/>
      <c r="K149" s="42"/>
    </row>
    <row r="150" ht="39.75" customHeight="1">
      <c r="A150" s="1">
        <v>149.0</v>
      </c>
      <c r="B150" s="2" t="s">
        <v>34</v>
      </c>
      <c r="C150" s="2" t="s">
        <v>272</v>
      </c>
      <c r="D150" s="13"/>
      <c r="E150" s="13"/>
      <c r="F150" s="44" t="s">
        <v>1186</v>
      </c>
      <c r="G150" s="43">
        <v>1.0</v>
      </c>
      <c r="H150" s="42"/>
      <c r="I150" s="43">
        <v>1.0</v>
      </c>
      <c r="J150" s="22"/>
      <c r="K150" s="42"/>
    </row>
    <row r="151" ht="39.75" hidden="1" customHeight="1">
      <c r="A151" s="1">
        <v>150.0</v>
      </c>
      <c r="B151" s="2" t="s">
        <v>32</v>
      </c>
      <c r="C151" s="2" t="s">
        <v>13</v>
      </c>
      <c r="D151" s="13"/>
      <c r="E151" s="13"/>
      <c r="F151" s="45"/>
      <c r="G151" s="42"/>
      <c r="H151" s="42"/>
      <c r="I151" s="42"/>
      <c r="J151" s="22"/>
      <c r="K151" s="42"/>
    </row>
    <row r="152" ht="39.75" hidden="1" customHeight="1">
      <c r="A152" s="1">
        <v>151.0</v>
      </c>
      <c r="B152" s="2" t="s">
        <v>67</v>
      </c>
      <c r="C152" s="2" t="s">
        <v>13</v>
      </c>
      <c r="D152" s="13"/>
      <c r="E152" s="13"/>
      <c r="F152" s="45"/>
      <c r="G152" s="42"/>
      <c r="H152" s="42"/>
      <c r="I152" s="42"/>
      <c r="J152" s="22"/>
      <c r="K152" s="42"/>
    </row>
    <row r="153" ht="39.75" hidden="1" customHeight="1">
      <c r="A153" s="1">
        <v>152.0</v>
      </c>
      <c r="B153" s="2" t="s">
        <v>35</v>
      </c>
      <c r="C153" s="2" t="s">
        <v>13</v>
      </c>
      <c r="D153" s="13"/>
      <c r="E153" s="13"/>
      <c r="F153" s="45"/>
      <c r="G153" s="42"/>
      <c r="H153" s="42"/>
      <c r="I153" s="42"/>
      <c r="J153" s="22"/>
      <c r="K153" s="42"/>
    </row>
    <row r="154" ht="39.75" customHeight="1">
      <c r="A154" s="1">
        <v>153.0</v>
      </c>
      <c r="B154" s="2" t="s">
        <v>36</v>
      </c>
      <c r="C154" s="2" t="s">
        <v>44</v>
      </c>
      <c r="D154" s="13"/>
      <c r="E154" s="13"/>
      <c r="F154" s="52" t="s">
        <v>5154</v>
      </c>
      <c r="G154" s="56">
        <v>1.0</v>
      </c>
      <c r="H154" s="42"/>
      <c r="I154" s="42"/>
      <c r="J154" s="22"/>
      <c r="K154" s="42"/>
    </row>
    <row r="155" ht="39.75" hidden="1" customHeight="1">
      <c r="A155" s="1">
        <v>154.0</v>
      </c>
      <c r="B155" s="2" t="s">
        <v>38</v>
      </c>
      <c r="C155" s="2" t="s">
        <v>13</v>
      </c>
      <c r="D155" s="13"/>
      <c r="E155" s="13"/>
      <c r="F155" s="45"/>
      <c r="G155" s="42"/>
      <c r="H155" s="42"/>
      <c r="I155" s="42"/>
      <c r="J155" s="22"/>
      <c r="K155" s="42"/>
    </row>
    <row r="156" ht="39.75" hidden="1" customHeight="1">
      <c r="A156" s="1">
        <v>155.0</v>
      </c>
      <c r="B156" s="2" t="s">
        <v>41</v>
      </c>
      <c r="C156" s="2" t="s">
        <v>13</v>
      </c>
      <c r="D156" s="13"/>
      <c r="E156" s="13"/>
      <c r="F156" s="45"/>
      <c r="G156" s="42"/>
      <c r="H156" s="42"/>
      <c r="I156" s="42"/>
      <c r="J156" s="22"/>
      <c r="K156" s="42"/>
    </row>
    <row r="157" ht="39.75" customHeight="1">
      <c r="A157" s="1">
        <v>156.0</v>
      </c>
      <c r="B157" s="2" t="s">
        <v>42</v>
      </c>
      <c r="C157" s="2" t="s">
        <v>39</v>
      </c>
      <c r="D157" s="53">
        <v>0.3472222222222222</v>
      </c>
      <c r="E157" s="40">
        <v>0.7083333333333334</v>
      </c>
      <c r="F157" s="44" t="s">
        <v>5155</v>
      </c>
      <c r="G157" s="43">
        <v>1.0</v>
      </c>
      <c r="H157" s="42"/>
      <c r="I157" s="43">
        <v>1.0</v>
      </c>
      <c r="J157" s="22"/>
      <c r="K157" s="42"/>
    </row>
    <row r="158" ht="39.75" hidden="1" customHeight="1">
      <c r="A158" s="1">
        <v>157.0</v>
      </c>
      <c r="B158" s="2" t="s">
        <v>43</v>
      </c>
      <c r="C158" s="2" t="s">
        <v>13</v>
      </c>
      <c r="D158" s="40"/>
      <c r="E158" s="13"/>
      <c r="F158" s="45"/>
      <c r="G158" s="42"/>
      <c r="H158" s="42"/>
      <c r="I158" s="42"/>
      <c r="J158" s="22"/>
      <c r="K158" s="42"/>
    </row>
    <row r="159" ht="39.75" hidden="1" customHeight="1">
      <c r="A159" s="1">
        <v>158.0</v>
      </c>
      <c r="B159" s="2" t="s">
        <v>45</v>
      </c>
      <c r="C159" s="2" t="s">
        <v>13</v>
      </c>
      <c r="D159" s="13"/>
      <c r="E159" s="13"/>
      <c r="F159" s="45"/>
      <c r="G159" s="42"/>
      <c r="H159" s="42"/>
      <c r="I159" s="42"/>
      <c r="J159" s="22"/>
      <c r="K159" s="42"/>
    </row>
    <row r="160" ht="39.75" hidden="1" customHeight="1">
      <c r="A160" s="1">
        <v>159.0</v>
      </c>
      <c r="B160" s="2" t="s">
        <v>46</v>
      </c>
      <c r="C160" s="2" t="s">
        <v>13</v>
      </c>
      <c r="D160" s="13"/>
      <c r="E160" s="13"/>
      <c r="F160" s="45"/>
      <c r="G160" s="42"/>
      <c r="H160" s="42"/>
      <c r="I160" s="42"/>
      <c r="J160" s="22"/>
      <c r="K160" s="42"/>
    </row>
    <row r="161" ht="39.75" hidden="1" customHeight="1">
      <c r="A161" s="1">
        <v>160.0</v>
      </c>
      <c r="B161" s="2" t="s">
        <v>47</v>
      </c>
      <c r="C161" s="2" t="s">
        <v>13</v>
      </c>
      <c r="D161" s="13"/>
      <c r="E161" s="13"/>
      <c r="F161" s="45"/>
      <c r="G161" s="42"/>
      <c r="H161" s="42"/>
      <c r="I161" s="42"/>
      <c r="J161" s="22"/>
      <c r="K161" s="42"/>
    </row>
    <row r="162" ht="39.75" customHeight="1">
      <c r="A162" s="1">
        <v>161.0</v>
      </c>
      <c r="B162" s="2" t="s">
        <v>48</v>
      </c>
      <c r="C162" s="2" t="s">
        <v>27</v>
      </c>
      <c r="D162" s="13"/>
      <c r="E162" s="13"/>
      <c r="F162" s="44" t="s">
        <v>5156</v>
      </c>
      <c r="G162" s="43">
        <v>1.0</v>
      </c>
      <c r="H162" s="42"/>
      <c r="I162" s="42"/>
      <c r="J162" s="22"/>
      <c r="K162" s="42"/>
    </row>
    <row r="163" ht="39.75" customHeight="1">
      <c r="A163" s="1">
        <v>162.0</v>
      </c>
      <c r="B163" s="21"/>
      <c r="C163" s="21"/>
      <c r="D163" s="21"/>
      <c r="E163" s="21"/>
      <c r="F163" s="46"/>
      <c r="G163" s="47"/>
      <c r="H163" s="47"/>
      <c r="I163" s="47"/>
      <c r="J163" s="48"/>
      <c r="K163" s="47"/>
      <c r="L163" s="49"/>
      <c r="M163" s="49"/>
      <c r="N163" s="49"/>
    </row>
    <row r="164" ht="39.75" hidden="1" customHeight="1">
      <c r="A164" s="1">
        <v>163.0</v>
      </c>
      <c r="B164" s="2" t="s">
        <v>12</v>
      </c>
      <c r="C164" s="2" t="s">
        <v>13</v>
      </c>
      <c r="D164" s="13"/>
      <c r="E164" s="13"/>
      <c r="F164" s="45"/>
      <c r="G164" s="42"/>
      <c r="H164" s="42"/>
      <c r="I164" s="42"/>
      <c r="J164" s="27" t="s">
        <v>14</v>
      </c>
      <c r="K164" s="43"/>
      <c r="L164" s="15" t="s">
        <v>147</v>
      </c>
    </row>
    <row r="165" ht="39.75" hidden="1" customHeight="1">
      <c r="A165" s="1">
        <v>164.0</v>
      </c>
      <c r="B165" s="2" t="s">
        <v>16</v>
      </c>
      <c r="C165" s="2" t="s">
        <v>13</v>
      </c>
      <c r="D165" s="40"/>
      <c r="E165" s="13"/>
      <c r="F165" s="45"/>
      <c r="G165" s="42"/>
      <c r="H165" s="42"/>
      <c r="I165" s="42"/>
      <c r="J165" s="27" t="s">
        <v>147</v>
      </c>
      <c r="K165" s="43"/>
    </row>
    <row r="166" ht="39.75" hidden="1" customHeight="1">
      <c r="A166" s="1">
        <v>165.0</v>
      </c>
      <c r="B166" s="2" t="s">
        <v>116</v>
      </c>
      <c r="C166" s="2" t="s">
        <v>13</v>
      </c>
      <c r="D166" s="13"/>
      <c r="E166" s="13"/>
      <c r="F166" s="45"/>
      <c r="G166" s="42"/>
      <c r="H166" s="42"/>
      <c r="I166" s="42"/>
      <c r="J166" s="27" t="s">
        <v>19</v>
      </c>
      <c r="K166" s="43"/>
    </row>
    <row r="167" ht="39.75" hidden="1" customHeight="1">
      <c r="A167" s="1">
        <v>166.0</v>
      </c>
      <c r="B167" s="2" t="s">
        <v>17</v>
      </c>
      <c r="C167" s="2" t="s">
        <v>13</v>
      </c>
      <c r="D167" s="40"/>
      <c r="E167" s="13"/>
      <c r="F167" s="44"/>
      <c r="G167" s="42"/>
      <c r="H167" s="42"/>
      <c r="I167" s="42"/>
      <c r="J167" s="27" t="s">
        <v>410</v>
      </c>
      <c r="K167" s="43"/>
    </row>
    <row r="168" ht="39.75" hidden="1" customHeight="1">
      <c r="A168" s="1">
        <v>167.0</v>
      </c>
      <c r="B168" s="2" t="s">
        <v>331</v>
      </c>
      <c r="C168" s="2" t="s">
        <v>13</v>
      </c>
      <c r="D168" s="13"/>
      <c r="E168" s="13"/>
      <c r="F168" s="45"/>
      <c r="G168" s="42"/>
      <c r="H168" s="42"/>
      <c r="I168" s="42"/>
      <c r="J168" s="27" t="s">
        <v>412</v>
      </c>
      <c r="K168" s="43"/>
    </row>
    <row r="169" ht="39.75" customHeight="1">
      <c r="A169" s="1">
        <v>168.0</v>
      </c>
      <c r="B169" s="2" t="s">
        <v>21</v>
      </c>
      <c r="C169" s="2" t="s">
        <v>63</v>
      </c>
      <c r="D169" s="13"/>
      <c r="E169" s="13"/>
      <c r="F169" s="45"/>
      <c r="G169" s="42"/>
      <c r="H169" s="42"/>
      <c r="I169" s="42"/>
      <c r="J169" s="27" t="s">
        <v>413</v>
      </c>
      <c r="K169" s="43"/>
    </row>
    <row r="170" ht="39.75" customHeight="1">
      <c r="A170" s="1">
        <v>169.0</v>
      </c>
      <c r="B170" s="2" t="s">
        <v>22</v>
      </c>
      <c r="C170" s="2"/>
      <c r="D170" s="40">
        <v>0.375</v>
      </c>
      <c r="E170" s="13"/>
      <c r="F170" s="44" t="s">
        <v>5157</v>
      </c>
      <c r="G170" s="43">
        <v>1.0</v>
      </c>
      <c r="H170" s="42"/>
      <c r="I170" s="42"/>
      <c r="J170" s="22"/>
      <c r="K170" s="42"/>
    </row>
    <row r="171" ht="39.75" hidden="1" customHeight="1">
      <c r="A171" s="1">
        <v>170.0</v>
      </c>
      <c r="B171" s="2" t="s">
        <v>23</v>
      </c>
      <c r="C171" s="2" t="s">
        <v>13</v>
      </c>
      <c r="D171" s="13"/>
      <c r="E171" s="13"/>
      <c r="F171" s="45"/>
      <c r="G171" s="42"/>
      <c r="H171" s="42"/>
      <c r="I171" s="42"/>
      <c r="J171" s="22"/>
      <c r="K171" s="42"/>
    </row>
    <row r="172" ht="39.75" hidden="1" customHeight="1">
      <c r="A172" s="1">
        <v>171.0</v>
      </c>
      <c r="B172" s="2" t="s">
        <v>24</v>
      </c>
      <c r="C172" s="2" t="s">
        <v>13</v>
      </c>
      <c r="D172" s="13"/>
      <c r="E172" s="13"/>
      <c r="F172" s="45"/>
      <c r="G172" s="42"/>
      <c r="H172" s="42"/>
      <c r="I172" s="42"/>
      <c r="J172" s="22"/>
      <c r="K172" s="42"/>
    </row>
    <row r="173" ht="39.75" hidden="1" customHeight="1">
      <c r="A173" s="1">
        <v>172.0</v>
      </c>
      <c r="B173" s="2" t="s">
        <v>25</v>
      </c>
      <c r="C173" s="2" t="s">
        <v>13</v>
      </c>
      <c r="D173" s="13"/>
      <c r="E173" s="13"/>
      <c r="F173" s="45"/>
      <c r="G173" s="42"/>
      <c r="H173" s="42"/>
      <c r="I173" s="42"/>
      <c r="J173" s="22"/>
      <c r="K173" s="42"/>
    </row>
    <row r="174" ht="39.75" hidden="1" customHeight="1">
      <c r="A174" s="1">
        <v>173.0</v>
      </c>
      <c r="B174" s="2" t="s">
        <v>26</v>
      </c>
      <c r="C174" s="2" t="s">
        <v>13</v>
      </c>
      <c r="D174" s="13"/>
      <c r="E174" s="13"/>
      <c r="F174" s="45"/>
      <c r="G174" s="42"/>
      <c r="H174" s="42"/>
      <c r="I174" s="42"/>
      <c r="J174" s="22"/>
      <c r="K174" s="42"/>
    </row>
    <row r="175" ht="39.75" hidden="1" customHeight="1">
      <c r="A175" s="1">
        <v>174.0</v>
      </c>
      <c r="B175" s="2" t="s">
        <v>29</v>
      </c>
      <c r="C175" s="2" t="s">
        <v>13</v>
      </c>
      <c r="D175" s="13"/>
      <c r="E175" s="13"/>
      <c r="F175" s="45"/>
      <c r="G175" s="42"/>
      <c r="H175" s="42"/>
      <c r="I175" s="42"/>
      <c r="J175" s="22"/>
      <c r="K175" s="42"/>
    </row>
    <row r="176" ht="39.75" hidden="1" customHeight="1">
      <c r="A176" s="1">
        <v>175.0</v>
      </c>
      <c r="B176" s="2" t="s">
        <v>30</v>
      </c>
      <c r="C176" s="2" t="s">
        <v>13</v>
      </c>
      <c r="D176" s="13"/>
      <c r="E176" s="13"/>
      <c r="F176" s="45"/>
      <c r="G176" s="42"/>
      <c r="H176" s="42"/>
      <c r="I176" s="42"/>
      <c r="J176" s="22"/>
      <c r="K176" s="42"/>
    </row>
    <row r="177" ht="39.75" customHeight="1">
      <c r="A177" s="1">
        <v>176.0</v>
      </c>
      <c r="B177" s="2" t="s">
        <v>31</v>
      </c>
      <c r="C177" s="2" t="s">
        <v>39</v>
      </c>
      <c r="D177" s="13"/>
      <c r="E177" s="13"/>
      <c r="F177" s="44" t="s">
        <v>535</v>
      </c>
      <c r="G177" s="43">
        <v>1.0</v>
      </c>
      <c r="H177" s="42"/>
      <c r="I177" s="43">
        <v>1.0</v>
      </c>
      <c r="J177" s="22"/>
      <c r="K177" s="42"/>
    </row>
    <row r="178" ht="39.75" hidden="1" customHeight="1">
      <c r="A178" s="1">
        <v>177.0</v>
      </c>
      <c r="B178" s="2" t="s">
        <v>32</v>
      </c>
      <c r="C178" s="2" t="s">
        <v>13</v>
      </c>
      <c r="D178" s="13"/>
      <c r="E178" s="13"/>
      <c r="F178" s="45"/>
      <c r="G178" s="42"/>
      <c r="H178" s="42"/>
      <c r="I178" s="42"/>
      <c r="J178" s="22"/>
      <c r="K178" s="42"/>
    </row>
    <row r="179" ht="39.75" customHeight="1">
      <c r="A179" s="1">
        <v>178.0</v>
      </c>
      <c r="B179" s="2" t="s">
        <v>67</v>
      </c>
      <c r="C179" s="2" t="s">
        <v>27</v>
      </c>
      <c r="D179" s="13"/>
      <c r="E179" s="13"/>
      <c r="F179" s="45"/>
      <c r="G179" s="42"/>
      <c r="H179" s="42"/>
      <c r="I179" s="42"/>
      <c r="J179" s="22"/>
      <c r="K179" s="42"/>
    </row>
    <row r="180" ht="39.75" hidden="1" customHeight="1">
      <c r="A180" s="1">
        <v>179.0</v>
      </c>
      <c r="B180" s="2" t="s">
        <v>35</v>
      </c>
      <c r="C180" s="2" t="s">
        <v>13</v>
      </c>
      <c r="D180" s="13"/>
      <c r="E180" s="13"/>
      <c r="F180" s="45"/>
      <c r="G180" s="42"/>
      <c r="H180" s="42"/>
      <c r="I180" s="42"/>
      <c r="J180" s="22"/>
      <c r="K180" s="42"/>
    </row>
    <row r="181" ht="39.75" hidden="1" customHeight="1">
      <c r="A181" s="1">
        <v>180.0</v>
      </c>
      <c r="B181" s="2" t="s">
        <v>36</v>
      </c>
      <c r="C181" s="2" t="s">
        <v>13</v>
      </c>
      <c r="D181" s="13"/>
      <c r="E181" s="13"/>
      <c r="F181" s="45"/>
      <c r="G181" s="42"/>
      <c r="H181" s="42"/>
      <c r="I181" s="42"/>
      <c r="J181" s="22"/>
      <c r="K181" s="42"/>
    </row>
    <row r="182" ht="39.75" hidden="1" customHeight="1">
      <c r="A182" s="1">
        <v>181.0</v>
      </c>
      <c r="B182" s="2" t="s">
        <v>38</v>
      </c>
      <c r="C182" s="2" t="s">
        <v>13</v>
      </c>
      <c r="D182" s="13"/>
      <c r="E182" s="13"/>
      <c r="F182" s="45"/>
      <c r="G182" s="42"/>
      <c r="H182" s="42"/>
      <c r="I182" s="42"/>
      <c r="J182" s="22"/>
      <c r="K182" s="42"/>
    </row>
    <row r="183" ht="39.75" hidden="1" customHeight="1">
      <c r="A183" s="1">
        <v>182.0</v>
      </c>
      <c r="B183" s="2" t="s">
        <v>41</v>
      </c>
      <c r="C183" s="2" t="s">
        <v>13</v>
      </c>
      <c r="D183" s="13"/>
      <c r="E183" s="13"/>
      <c r="F183" s="45"/>
      <c r="G183" s="42"/>
      <c r="H183" s="42"/>
      <c r="I183" s="42"/>
      <c r="J183" s="22"/>
      <c r="K183" s="42"/>
    </row>
    <row r="184" ht="39.75" customHeight="1">
      <c r="A184" s="1">
        <v>183.0</v>
      </c>
      <c r="B184" s="2" t="s">
        <v>267</v>
      </c>
      <c r="C184" s="2" t="s">
        <v>272</v>
      </c>
      <c r="D184" s="13"/>
      <c r="E184" s="13"/>
      <c r="F184" s="44" t="s">
        <v>1186</v>
      </c>
      <c r="G184" s="43">
        <v>1.0</v>
      </c>
      <c r="H184" s="42"/>
      <c r="I184" s="43">
        <v>1.0</v>
      </c>
      <c r="J184" s="22"/>
      <c r="K184" s="42"/>
    </row>
    <row r="185" ht="39.75" customHeight="1">
      <c r="A185" s="1">
        <v>184.0</v>
      </c>
      <c r="B185" s="2" t="s">
        <v>43</v>
      </c>
      <c r="C185" s="2"/>
      <c r="D185" s="40">
        <v>0.375</v>
      </c>
      <c r="E185" s="13"/>
      <c r="F185" s="44" t="s">
        <v>5158</v>
      </c>
      <c r="G185" s="43">
        <v>1.0</v>
      </c>
      <c r="H185" s="42"/>
      <c r="I185" s="42"/>
      <c r="J185" s="22"/>
      <c r="K185" s="42"/>
    </row>
    <row r="186" ht="39.75" hidden="1" customHeight="1">
      <c r="A186" s="1">
        <v>185.0</v>
      </c>
      <c r="B186" s="2" t="s">
        <v>45</v>
      </c>
      <c r="C186" s="2" t="s">
        <v>13</v>
      </c>
      <c r="D186" s="13"/>
      <c r="E186" s="13"/>
      <c r="F186" s="45"/>
      <c r="G186" s="42"/>
      <c r="H186" s="42"/>
      <c r="I186" s="42"/>
      <c r="J186" s="22"/>
      <c r="K186" s="42"/>
    </row>
    <row r="187" ht="39.75" hidden="1" customHeight="1">
      <c r="A187" s="1">
        <v>186.0</v>
      </c>
      <c r="B187" s="2" t="s">
        <v>46</v>
      </c>
      <c r="C187" s="2" t="s">
        <v>13</v>
      </c>
      <c r="D187" s="13"/>
      <c r="E187" s="13"/>
      <c r="F187" s="45"/>
      <c r="G187" s="42"/>
      <c r="H187" s="42"/>
      <c r="I187" s="42"/>
      <c r="J187" s="22"/>
      <c r="K187" s="42"/>
    </row>
    <row r="188" ht="39.75" hidden="1" customHeight="1">
      <c r="A188" s="1">
        <v>187.0</v>
      </c>
      <c r="B188" s="2" t="s">
        <v>47</v>
      </c>
      <c r="C188" s="2" t="s">
        <v>13</v>
      </c>
      <c r="D188" s="13"/>
      <c r="E188" s="13"/>
      <c r="F188" s="45"/>
      <c r="G188" s="42"/>
      <c r="H188" s="42"/>
      <c r="I188" s="42"/>
      <c r="J188" s="22"/>
      <c r="K188" s="42"/>
    </row>
    <row r="189" ht="39.75" customHeight="1">
      <c r="A189" s="1">
        <v>188.0</v>
      </c>
      <c r="B189" s="2" t="s">
        <v>48</v>
      </c>
      <c r="C189" s="2" t="s">
        <v>44</v>
      </c>
      <c r="D189" s="13"/>
      <c r="E189" s="13"/>
      <c r="F189" s="45"/>
      <c r="G189" s="42"/>
      <c r="H189" s="42"/>
      <c r="I189" s="42"/>
      <c r="J189" s="22"/>
      <c r="K189" s="42"/>
    </row>
    <row r="190" ht="39.75" customHeight="1">
      <c r="A190" s="1">
        <v>189.0</v>
      </c>
      <c r="B190" s="21"/>
      <c r="C190" s="21"/>
      <c r="D190" s="21"/>
      <c r="E190" s="21"/>
      <c r="F190" s="46"/>
      <c r="G190" s="47"/>
      <c r="H190" s="47"/>
      <c r="I190" s="47"/>
      <c r="J190" s="48"/>
      <c r="K190" s="47"/>
      <c r="L190" s="49"/>
      <c r="M190" s="49"/>
      <c r="N190" s="49"/>
    </row>
    <row r="191" ht="39.75" customHeight="1">
      <c r="A191" s="1">
        <v>190.0</v>
      </c>
      <c r="B191" s="2" t="s">
        <v>12</v>
      </c>
      <c r="C191" s="2" t="s">
        <v>62</v>
      </c>
      <c r="D191" s="13"/>
      <c r="E191" s="13"/>
      <c r="F191" s="44" t="s">
        <v>1543</v>
      </c>
      <c r="G191" s="43">
        <v>1.0</v>
      </c>
      <c r="H191" s="42"/>
      <c r="I191" s="43">
        <v>1.0</v>
      </c>
      <c r="J191" s="27" t="s">
        <v>14</v>
      </c>
      <c r="K191" s="42"/>
      <c r="L191" s="15" t="s">
        <v>163</v>
      </c>
    </row>
    <row r="192" ht="39.75" customHeight="1">
      <c r="A192" s="1">
        <v>191.0</v>
      </c>
      <c r="B192" s="2" t="s">
        <v>16</v>
      </c>
      <c r="C192" s="2"/>
      <c r="D192" s="13"/>
      <c r="E192" s="13"/>
      <c r="F192" s="44" t="s">
        <v>5159</v>
      </c>
      <c r="G192" s="43">
        <v>1.0</v>
      </c>
      <c r="H192" s="42"/>
      <c r="I192" s="43">
        <v>1.0</v>
      </c>
      <c r="J192" s="27" t="s">
        <v>163</v>
      </c>
      <c r="K192" s="43"/>
    </row>
    <row r="193" ht="39.75" customHeight="1">
      <c r="A193" s="1">
        <v>192.0</v>
      </c>
      <c r="B193" s="2" t="s">
        <v>116</v>
      </c>
      <c r="C193" s="2" t="s">
        <v>27</v>
      </c>
      <c r="D193" s="59">
        <v>0.6909722222222222</v>
      </c>
      <c r="E193" s="168"/>
      <c r="F193" s="65" t="s">
        <v>5160</v>
      </c>
      <c r="G193" s="42"/>
      <c r="H193" s="42"/>
      <c r="I193" s="42"/>
      <c r="J193" s="27" t="s">
        <v>56</v>
      </c>
      <c r="K193" s="42"/>
    </row>
    <row r="194" ht="39.75" customHeight="1">
      <c r="A194" s="1">
        <v>193.0</v>
      </c>
      <c r="B194" s="2" t="s">
        <v>17</v>
      </c>
      <c r="C194" s="2" t="s">
        <v>69</v>
      </c>
      <c r="D194" s="13"/>
      <c r="E194" s="13"/>
      <c r="F194" s="44" t="s">
        <v>5161</v>
      </c>
      <c r="G194" s="43">
        <v>1.0</v>
      </c>
      <c r="H194" s="42"/>
      <c r="I194" s="42"/>
      <c r="J194" s="22"/>
      <c r="K194" s="42"/>
    </row>
    <row r="195" ht="39.75" customHeight="1">
      <c r="A195" s="1">
        <v>194.0</v>
      </c>
      <c r="B195" s="2" t="s">
        <v>331</v>
      </c>
      <c r="C195" s="2" t="s">
        <v>542</v>
      </c>
      <c r="D195" s="13"/>
      <c r="E195" s="13"/>
      <c r="F195" s="45"/>
      <c r="G195" s="42"/>
      <c r="H195" s="42"/>
      <c r="I195" s="42"/>
      <c r="J195" s="22"/>
      <c r="K195" s="42"/>
    </row>
    <row r="196" ht="39.75" customHeight="1">
      <c r="A196" s="1">
        <v>195.0</v>
      </c>
      <c r="B196" s="2" t="s">
        <v>21</v>
      </c>
      <c r="C196" s="2" t="s">
        <v>63</v>
      </c>
      <c r="D196" s="13"/>
      <c r="E196" s="13"/>
      <c r="F196" s="45"/>
      <c r="G196" s="42"/>
      <c r="H196" s="42"/>
      <c r="I196" s="42"/>
      <c r="J196" s="22"/>
      <c r="K196" s="42"/>
    </row>
    <row r="197" ht="39.75" hidden="1" customHeight="1">
      <c r="A197" s="1">
        <v>196.0</v>
      </c>
      <c r="B197" s="2" t="s">
        <v>22</v>
      </c>
      <c r="C197" s="2" t="s">
        <v>58</v>
      </c>
      <c r="D197" s="13"/>
      <c r="E197" s="13"/>
      <c r="F197" s="45"/>
      <c r="G197" s="42"/>
      <c r="H197" s="42"/>
      <c r="I197" s="42"/>
      <c r="J197" s="22"/>
      <c r="K197" s="42"/>
    </row>
    <row r="198" ht="39.75" hidden="1" customHeight="1">
      <c r="A198" s="1">
        <v>197.0</v>
      </c>
      <c r="B198" s="2" t="s">
        <v>23</v>
      </c>
      <c r="C198" s="2" t="s">
        <v>58</v>
      </c>
      <c r="D198" s="13"/>
      <c r="E198" s="13"/>
      <c r="F198" s="45"/>
      <c r="G198" s="42"/>
      <c r="H198" s="42"/>
      <c r="I198" s="42"/>
      <c r="J198" s="22"/>
      <c r="K198" s="42"/>
    </row>
    <row r="199" ht="39.75" hidden="1" customHeight="1">
      <c r="A199" s="1">
        <v>198.0</v>
      </c>
      <c r="B199" s="2" t="s">
        <v>24</v>
      </c>
      <c r="C199" s="2" t="s">
        <v>58</v>
      </c>
      <c r="D199" s="13"/>
      <c r="E199" s="13"/>
      <c r="F199" s="45"/>
      <c r="G199" s="42"/>
      <c r="H199" s="42"/>
      <c r="I199" s="42"/>
      <c r="J199" s="22"/>
      <c r="K199" s="42"/>
    </row>
    <row r="200" ht="39.75" customHeight="1">
      <c r="A200" s="1">
        <v>199.0</v>
      </c>
      <c r="B200" s="2" t="s">
        <v>25</v>
      </c>
      <c r="C200" s="2" t="s">
        <v>39</v>
      </c>
      <c r="D200" s="13"/>
      <c r="E200" s="13"/>
      <c r="F200" s="44" t="s">
        <v>5162</v>
      </c>
      <c r="G200" s="43">
        <v>1.0</v>
      </c>
      <c r="H200" s="42"/>
      <c r="I200" s="42"/>
      <c r="J200" s="22"/>
      <c r="K200" s="42"/>
    </row>
    <row r="201" ht="39.75" customHeight="1">
      <c r="A201" s="1">
        <v>200.0</v>
      </c>
      <c r="B201" s="2" t="s">
        <v>26</v>
      </c>
      <c r="C201" s="2" t="s">
        <v>54</v>
      </c>
      <c r="D201" s="13"/>
      <c r="E201" s="13"/>
      <c r="F201" s="45"/>
      <c r="G201" s="42"/>
      <c r="H201" s="42"/>
      <c r="I201" s="42"/>
      <c r="J201" s="22"/>
      <c r="K201" s="42"/>
    </row>
    <row r="202" ht="39.75" customHeight="1">
      <c r="A202" s="1">
        <v>201.0</v>
      </c>
      <c r="B202" s="2" t="s">
        <v>29</v>
      </c>
      <c r="C202" s="2" t="s">
        <v>54</v>
      </c>
      <c r="D202" s="13"/>
      <c r="E202" s="13"/>
      <c r="F202" s="45"/>
      <c r="G202" s="42"/>
      <c r="H202" s="42"/>
      <c r="I202" s="42"/>
      <c r="J202" s="22"/>
      <c r="K202" s="42"/>
    </row>
    <row r="203" ht="39.75" customHeight="1">
      <c r="A203" s="1">
        <v>202.0</v>
      </c>
      <c r="B203" s="2" t="s">
        <v>30</v>
      </c>
      <c r="C203" s="2" t="s">
        <v>64</v>
      </c>
      <c r="D203" s="13"/>
      <c r="E203" s="13"/>
      <c r="F203" s="44" t="s">
        <v>2592</v>
      </c>
      <c r="G203" s="43">
        <v>1.0</v>
      </c>
      <c r="H203" s="42"/>
      <c r="I203" s="43">
        <v>1.0</v>
      </c>
      <c r="J203" s="22"/>
      <c r="K203" s="42"/>
    </row>
    <row r="204" ht="39.75" customHeight="1">
      <c r="A204" s="1">
        <v>203.0</v>
      </c>
      <c r="B204" s="2" t="s">
        <v>31</v>
      </c>
      <c r="C204" s="13"/>
      <c r="D204" s="13"/>
      <c r="E204" s="13"/>
      <c r="F204" s="44" t="s">
        <v>2821</v>
      </c>
      <c r="G204" s="43">
        <v>1.0</v>
      </c>
      <c r="H204" s="42"/>
      <c r="I204" s="43">
        <v>1.0</v>
      </c>
      <c r="J204" s="22"/>
      <c r="K204" s="42"/>
    </row>
    <row r="205" ht="39.75" customHeight="1">
      <c r="A205" s="1">
        <v>204.0</v>
      </c>
      <c r="B205" s="2" t="s">
        <v>32</v>
      </c>
      <c r="C205" s="2"/>
      <c r="D205" s="13"/>
      <c r="E205" s="13"/>
      <c r="F205" s="45"/>
      <c r="G205" s="42"/>
      <c r="H205" s="42"/>
      <c r="I205" s="42"/>
      <c r="J205" s="22"/>
      <c r="K205" s="42"/>
    </row>
    <row r="206" ht="39.75" customHeight="1">
      <c r="A206" s="1">
        <v>205.0</v>
      </c>
      <c r="B206" s="2" t="s">
        <v>67</v>
      </c>
      <c r="C206" s="2" t="s">
        <v>44</v>
      </c>
      <c r="D206" s="13"/>
      <c r="E206" s="13"/>
      <c r="F206" s="45"/>
      <c r="G206" s="42"/>
      <c r="H206" s="42"/>
      <c r="I206" s="42"/>
      <c r="J206" s="22"/>
      <c r="K206" s="42"/>
    </row>
    <row r="207" ht="39.75" customHeight="1">
      <c r="A207" s="1">
        <v>206.0</v>
      </c>
      <c r="B207" s="2" t="s">
        <v>35</v>
      </c>
      <c r="C207" s="2" t="s">
        <v>39</v>
      </c>
      <c r="D207" s="13"/>
      <c r="E207" s="13"/>
      <c r="F207" s="44" t="s">
        <v>5163</v>
      </c>
      <c r="G207" s="43">
        <v>1.0</v>
      </c>
      <c r="H207" s="42"/>
      <c r="I207" s="43"/>
      <c r="J207" s="22"/>
      <c r="K207" s="42"/>
    </row>
    <row r="208" ht="39.75" customHeight="1">
      <c r="A208" s="1">
        <v>207.0</v>
      </c>
      <c r="B208" s="2" t="s">
        <v>36</v>
      </c>
      <c r="C208" s="2" t="s">
        <v>69</v>
      </c>
      <c r="D208" s="13"/>
      <c r="E208" s="13"/>
      <c r="F208" s="45"/>
      <c r="G208" s="42"/>
      <c r="H208" s="42"/>
      <c r="I208" s="42"/>
      <c r="J208" s="22"/>
      <c r="K208" s="42"/>
    </row>
    <row r="209" ht="39.75" hidden="1" customHeight="1">
      <c r="A209" s="1">
        <v>208.0</v>
      </c>
      <c r="B209" s="2" t="s">
        <v>38</v>
      </c>
      <c r="C209" s="2" t="s">
        <v>58</v>
      </c>
      <c r="D209" s="13"/>
      <c r="E209" s="13"/>
      <c r="F209" s="45"/>
      <c r="G209" s="42"/>
      <c r="H209" s="42"/>
      <c r="I209" s="42"/>
      <c r="J209" s="22"/>
      <c r="K209" s="42"/>
    </row>
    <row r="210" ht="39.75" hidden="1" customHeight="1">
      <c r="A210" s="1">
        <v>209.0</v>
      </c>
      <c r="B210" s="2" t="s">
        <v>41</v>
      </c>
      <c r="C210" s="2" t="s">
        <v>58</v>
      </c>
      <c r="D210" s="13"/>
      <c r="E210" s="13"/>
      <c r="F210" s="45"/>
      <c r="G210" s="42"/>
      <c r="H210" s="42"/>
      <c r="I210" s="42"/>
      <c r="J210" s="22"/>
      <c r="K210" s="42"/>
    </row>
    <row r="211" ht="39.75" customHeight="1">
      <c r="A211" s="1">
        <v>210.0</v>
      </c>
      <c r="B211" s="2" t="s">
        <v>42</v>
      </c>
      <c r="C211" s="2" t="s">
        <v>54</v>
      </c>
      <c r="D211" s="13"/>
      <c r="E211" s="13"/>
      <c r="F211" s="45"/>
      <c r="G211" s="42"/>
      <c r="H211" s="42"/>
      <c r="I211" s="42"/>
      <c r="J211" s="22"/>
      <c r="K211" s="42"/>
    </row>
    <row r="212" ht="39.75" customHeight="1">
      <c r="A212" s="1">
        <v>211.0</v>
      </c>
      <c r="B212" s="2" t="s">
        <v>43</v>
      </c>
      <c r="C212" s="2"/>
      <c r="D212" s="13"/>
      <c r="E212" s="13"/>
      <c r="F212" s="44" t="s">
        <v>5164</v>
      </c>
      <c r="G212" s="43">
        <v>1.0</v>
      </c>
      <c r="H212" s="42"/>
      <c r="I212" s="42"/>
      <c r="J212" s="22"/>
      <c r="K212" s="42"/>
    </row>
    <row r="213" ht="39.75" customHeight="1">
      <c r="A213" s="1">
        <v>212.0</v>
      </c>
      <c r="B213" s="2" t="s">
        <v>45</v>
      </c>
      <c r="C213" s="2" t="s">
        <v>69</v>
      </c>
      <c r="D213" s="13"/>
      <c r="E213" s="40">
        <v>0.8541666666666666</v>
      </c>
      <c r="F213" s="44" t="s">
        <v>5165</v>
      </c>
      <c r="G213" s="43">
        <v>2.0</v>
      </c>
      <c r="H213" s="42"/>
      <c r="I213" s="43">
        <v>2.0</v>
      </c>
      <c r="J213" s="22"/>
      <c r="K213" s="42"/>
    </row>
    <row r="214" ht="39.75" hidden="1" customHeight="1">
      <c r="A214" s="1">
        <v>213.0</v>
      </c>
      <c r="B214" s="2" t="s">
        <v>46</v>
      </c>
      <c r="C214" s="2" t="s">
        <v>58</v>
      </c>
      <c r="D214" s="13"/>
      <c r="E214" s="13"/>
      <c r="F214" s="45"/>
      <c r="G214" s="42"/>
      <c r="H214" s="42"/>
      <c r="I214" s="42"/>
      <c r="J214" s="22"/>
      <c r="K214" s="42"/>
    </row>
    <row r="215" ht="39.75" customHeight="1">
      <c r="A215" s="1">
        <v>214.0</v>
      </c>
      <c r="B215" s="2" t="s">
        <v>47</v>
      </c>
      <c r="C215" s="2"/>
      <c r="D215" s="13"/>
      <c r="E215" s="13"/>
      <c r="F215" s="45"/>
      <c r="G215" s="42"/>
      <c r="H215" s="42"/>
      <c r="I215" s="42"/>
      <c r="J215" s="22"/>
      <c r="K215" s="42"/>
    </row>
    <row r="216" ht="39.75" customHeight="1">
      <c r="A216" s="1">
        <v>215.0</v>
      </c>
      <c r="B216" s="2" t="s">
        <v>48</v>
      </c>
      <c r="C216" s="2" t="s">
        <v>54</v>
      </c>
      <c r="D216" s="53">
        <v>0.3333333333333333</v>
      </c>
      <c r="E216" s="13"/>
      <c r="F216" s="44" t="s">
        <v>5166</v>
      </c>
      <c r="G216" s="43">
        <v>1.0</v>
      </c>
      <c r="H216" s="42"/>
      <c r="I216" s="42"/>
      <c r="J216" s="22"/>
      <c r="K216" s="42"/>
    </row>
    <row r="217" ht="39.75" customHeight="1">
      <c r="A217" s="1">
        <v>216.0</v>
      </c>
      <c r="B217" s="21"/>
      <c r="C217" s="21"/>
      <c r="D217" s="21"/>
      <c r="E217" s="21"/>
      <c r="F217" s="46"/>
      <c r="G217" s="47"/>
      <c r="H217" s="47"/>
      <c r="I217" s="47"/>
      <c r="J217" s="48"/>
      <c r="K217" s="47"/>
      <c r="L217" s="49"/>
      <c r="M217" s="49"/>
      <c r="N217" s="49"/>
    </row>
    <row r="218" ht="39.75" customHeight="1">
      <c r="A218" s="1">
        <v>217.0</v>
      </c>
      <c r="B218" s="2" t="s">
        <v>12</v>
      </c>
      <c r="C218" s="2" t="s">
        <v>62</v>
      </c>
      <c r="D218" s="13"/>
      <c r="E218" s="13"/>
      <c r="F218" s="44" t="s">
        <v>1543</v>
      </c>
      <c r="G218" s="43">
        <v>1.0</v>
      </c>
      <c r="H218" s="42"/>
      <c r="I218" s="43">
        <v>1.0</v>
      </c>
      <c r="J218" s="27" t="s">
        <v>14</v>
      </c>
      <c r="K218" s="42"/>
      <c r="L218" s="15" t="s">
        <v>175</v>
      </c>
    </row>
    <row r="219" ht="39.75" customHeight="1">
      <c r="A219" s="1">
        <v>218.0</v>
      </c>
      <c r="B219" s="2" t="s">
        <v>16</v>
      </c>
      <c r="C219" s="2" t="s">
        <v>69</v>
      </c>
      <c r="D219" s="13"/>
      <c r="E219" s="13"/>
      <c r="F219" s="44" t="s">
        <v>5167</v>
      </c>
      <c r="G219" s="43">
        <v>1.0</v>
      </c>
      <c r="H219" s="42"/>
      <c r="I219" s="42"/>
      <c r="J219" s="27" t="s">
        <v>175</v>
      </c>
      <c r="K219" s="43"/>
    </row>
    <row r="220" ht="39.75" customHeight="1">
      <c r="A220" s="1">
        <v>219.0</v>
      </c>
      <c r="B220" s="2" t="s">
        <v>116</v>
      </c>
      <c r="C220" s="2" t="s">
        <v>44</v>
      </c>
      <c r="D220" s="13"/>
      <c r="E220" s="13"/>
      <c r="F220" s="45"/>
      <c r="G220" s="42"/>
      <c r="H220" s="42"/>
      <c r="I220" s="42"/>
      <c r="J220" s="27" t="s">
        <v>77</v>
      </c>
      <c r="K220" s="42"/>
    </row>
    <row r="221" ht="39.75" customHeight="1">
      <c r="A221" s="1">
        <v>220.0</v>
      </c>
      <c r="B221" s="2" t="s">
        <v>17</v>
      </c>
      <c r="C221" s="2" t="s">
        <v>39</v>
      </c>
      <c r="D221" s="53">
        <v>0.2708333333333333</v>
      </c>
      <c r="E221" s="13"/>
      <c r="F221" s="44" t="s">
        <v>5168</v>
      </c>
      <c r="G221" s="43">
        <v>1.0</v>
      </c>
      <c r="H221" s="42"/>
      <c r="I221" s="42"/>
      <c r="J221" s="22"/>
      <c r="K221" s="42"/>
    </row>
    <row r="222" ht="39.75" customHeight="1">
      <c r="A222" s="1">
        <v>221.0</v>
      </c>
      <c r="B222" s="2" t="s">
        <v>331</v>
      </c>
      <c r="C222" s="2" t="s">
        <v>542</v>
      </c>
      <c r="D222" s="13"/>
      <c r="E222" s="13"/>
      <c r="F222" s="44" t="s">
        <v>5169</v>
      </c>
      <c r="G222" s="43">
        <v>1.0</v>
      </c>
      <c r="H222" s="42"/>
      <c r="I222" s="42"/>
      <c r="J222" s="22"/>
      <c r="K222" s="42"/>
    </row>
    <row r="223" ht="39.75" customHeight="1">
      <c r="A223" s="1">
        <v>222.0</v>
      </c>
      <c r="B223" s="2" t="s">
        <v>21</v>
      </c>
      <c r="C223" s="2" t="s">
        <v>63</v>
      </c>
      <c r="D223" s="13"/>
      <c r="E223" s="13"/>
      <c r="F223" s="45"/>
      <c r="G223" s="42"/>
      <c r="H223" s="42"/>
      <c r="I223" s="42"/>
      <c r="J223" s="22"/>
      <c r="K223" s="42"/>
    </row>
    <row r="224" ht="39.75" hidden="1" customHeight="1">
      <c r="A224" s="1">
        <v>223.0</v>
      </c>
      <c r="B224" s="2" t="s">
        <v>22</v>
      </c>
      <c r="C224" s="2" t="s">
        <v>58</v>
      </c>
      <c r="D224" s="13"/>
      <c r="E224" s="13"/>
      <c r="F224" s="45"/>
      <c r="G224" s="42"/>
      <c r="H224" s="42"/>
      <c r="I224" s="42"/>
      <c r="J224" s="22"/>
      <c r="K224" s="42"/>
    </row>
    <row r="225" ht="39.75" customHeight="1">
      <c r="A225" s="1">
        <v>224.0</v>
      </c>
      <c r="B225" s="2" t="s">
        <v>23</v>
      </c>
      <c r="C225" s="2" t="s">
        <v>69</v>
      </c>
      <c r="D225" s="13"/>
      <c r="E225" s="13"/>
      <c r="F225" s="44" t="s">
        <v>5170</v>
      </c>
      <c r="G225" s="43">
        <v>1.0</v>
      </c>
      <c r="H225" s="42"/>
      <c r="I225" s="42"/>
      <c r="J225" s="22"/>
      <c r="K225" s="42"/>
    </row>
    <row r="226" ht="39.75" hidden="1" customHeight="1">
      <c r="A226" s="1">
        <v>225.0</v>
      </c>
      <c r="B226" s="2" t="s">
        <v>24</v>
      </c>
      <c r="C226" s="2" t="s">
        <v>66</v>
      </c>
      <c r="D226" s="13"/>
      <c r="E226" s="13"/>
      <c r="F226" s="45"/>
      <c r="G226" s="42"/>
      <c r="H226" s="42"/>
      <c r="I226" s="42"/>
      <c r="J226" s="22"/>
      <c r="K226" s="42"/>
    </row>
    <row r="227" ht="39.75" hidden="1" customHeight="1">
      <c r="A227" s="1">
        <v>226.0</v>
      </c>
      <c r="B227" s="2" t="s">
        <v>25</v>
      </c>
      <c r="C227" s="2" t="s">
        <v>66</v>
      </c>
      <c r="D227" s="13"/>
      <c r="E227" s="13"/>
      <c r="F227" s="45"/>
      <c r="G227" s="42"/>
      <c r="H227" s="42"/>
      <c r="I227" s="42"/>
      <c r="J227" s="22"/>
      <c r="K227" s="42"/>
    </row>
    <row r="228" ht="39.75" customHeight="1">
      <c r="A228" s="1">
        <v>227.0</v>
      </c>
      <c r="B228" s="2" t="s">
        <v>26</v>
      </c>
      <c r="C228" s="2"/>
      <c r="D228" s="13"/>
      <c r="E228" s="13"/>
      <c r="F228" s="44" t="s">
        <v>5171</v>
      </c>
      <c r="G228" s="43">
        <v>1.0</v>
      </c>
      <c r="H228" s="42"/>
      <c r="I228" s="42"/>
      <c r="J228" s="22"/>
      <c r="K228" s="42"/>
    </row>
    <row r="229" ht="39.75" customHeight="1">
      <c r="A229" s="1">
        <v>228.0</v>
      </c>
      <c r="B229" s="2" t="s">
        <v>29</v>
      </c>
      <c r="C229" s="2" t="s">
        <v>54</v>
      </c>
      <c r="D229" s="40">
        <v>0.5347222222222222</v>
      </c>
      <c r="E229" s="51">
        <v>0.9375</v>
      </c>
      <c r="F229" s="44" t="s">
        <v>5172</v>
      </c>
      <c r="G229" s="43">
        <v>1.0</v>
      </c>
      <c r="H229" s="43">
        <v>1.0</v>
      </c>
      <c r="I229" s="42"/>
      <c r="J229" s="22"/>
      <c r="K229" s="42"/>
    </row>
    <row r="230" ht="39.75" hidden="1" customHeight="1">
      <c r="A230" s="1">
        <v>229.0</v>
      </c>
      <c r="B230" s="2" t="s">
        <v>30</v>
      </c>
      <c r="C230" s="2" t="s">
        <v>58</v>
      </c>
      <c r="D230" s="13"/>
      <c r="E230" s="13"/>
      <c r="F230" s="45"/>
      <c r="G230" s="42"/>
      <c r="H230" s="42"/>
      <c r="I230" s="42"/>
      <c r="J230" s="22"/>
      <c r="K230" s="42"/>
    </row>
    <row r="231" ht="39.75" customHeight="1">
      <c r="A231" s="1">
        <v>230.0</v>
      </c>
      <c r="B231" s="2" t="s">
        <v>31</v>
      </c>
      <c r="C231" s="2" t="s">
        <v>69</v>
      </c>
      <c r="D231" s="13"/>
      <c r="E231" s="13"/>
      <c r="F231" s="44" t="s">
        <v>5173</v>
      </c>
      <c r="G231" s="43">
        <v>2.0</v>
      </c>
      <c r="H231" s="42"/>
      <c r="I231" s="43">
        <v>2.0</v>
      </c>
      <c r="J231" s="22"/>
      <c r="K231" s="42"/>
    </row>
    <row r="232" ht="39.75" customHeight="1">
      <c r="A232" s="1">
        <v>231.0</v>
      </c>
      <c r="B232" s="2" t="s">
        <v>32</v>
      </c>
      <c r="C232" s="2"/>
      <c r="D232" s="13"/>
      <c r="E232" s="13"/>
      <c r="F232" s="44" t="s">
        <v>5174</v>
      </c>
      <c r="G232" s="43">
        <v>1.0</v>
      </c>
      <c r="H232" s="42"/>
      <c r="I232" s="43">
        <v>1.0</v>
      </c>
      <c r="J232" s="22"/>
      <c r="K232" s="42"/>
    </row>
    <row r="233" ht="39.75" customHeight="1">
      <c r="A233" s="1">
        <v>232.0</v>
      </c>
      <c r="B233" s="2" t="s">
        <v>67</v>
      </c>
      <c r="C233" s="2" t="s">
        <v>39</v>
      </c>
      <c r="D233" s="13"/>
      <c r="E233" s="13"/>
      <c r="F233" s="44" t="s">
        <v>2664</v>
      </c>
      <c r="G233" s="43">
        <v>1.0</v>
      </c>
      <c r="H233" s="42"/>
      <c r="I233" s="43">
        <v>1.0</v>
      </c>
      <c r="J233" s="22"/>
      <c r="K233" s="42"/>
    </row>
    <row r="234" ht="39.75" customHeight="1">
      <c r="A234" s="1">
        <v>233.0</v>
      </c>
      <c r="B234" s="2" t="s">
        <v>35</v>
      </c>
      <c r="C234" s="2"/>
      <c r="D234" s="13"/>
      <c r="E234" s="13"/>
      <c r="F234" s="44" t="s">
        <v>5175</v>
      </c>
      <c r="G234" s="43">
        <v>1.0</v>
      </c>
      <c r="H234" s="42"/>
      <c r="I234" s="42"/>
      <c r="J234" s="22"/>
      <c r="K234" s="42"/>
    </row>
    <row r="235" ht="39.75" customHeight="1">
      <c r="A235" s="1">
        <v>234.0</v>
      </c>
      <c r="B235" s="2" t="s">
        <v>36</v>
      </c>
      <c r="C235" s="2"/>
      <c r="D235" s="13"/>
      <c r="E235" s="13"/>
      <c r="F235" s="44" t="s">
        <v>5176</v>
      </c>
      <c r="G235" s="43">
        <v>2.0</v>
      </c>
      <c r="H235" s="42"/>
      <c r="I235" s="43">
        <v>1.0</v>
      </c>
      <c r="J235" s="22"/>
      <c r="K235" s="42"/>
    </row>
    <row r="236" ht="39.75" hidden="1" customHeight="1">
      <c r="A236" s="1">
        <v>235.0</v>
      </c>
      <c r="B236" s="2" t="s">
        <v>38</v>
      </c>
      <c r="C236" s="2" t="s">
        <v>58</v>
      </c>
      <c r="D236" s="13"/>
      <c r="E236" s="13"/>
      <c r="F236" s="45"/>
      <c r="G236" s="42"/>
      <c r="H236" s="42"/>
      <c r="I236" s="42"/>
      <c r="J236" s="22"/>
      <c r="K236" s="42"/>
    </row>
    <row r="237" ht="39.75" hidden="1" customHeight="1">
      <c r="A237" s="1">
        <v>236.0</v>
      </c>
      <c r="B237" s="2" t="s">
        <v>41</v>
      </c>
      <c r="C237" s="2" t="s">
        <v>58</v>
      </c>
      <c r="D237" s="13"/>
      <c r="E237" s="13"/>
      <c r="F237" s="45"/>
      <c r="G237" s="42"/>
      <c r="H237" s="42"/>
      <c r="I237" s="42"/>
      <c r="J237" s="22"/>
      <c r="K237" s="42"/>
    </row>
    <row r="238" ht="39.75" customHeight="1">
      <c r="A238" s="1">
        <v>237.0</v>
      </c>
      <c r="B238" s="2" t="s">
        <v>42</v>
      </c>
      <c r="C238" s="2" t="s">
        <v>54</v>
      </c>
      <c r="D238" s="13"/>
      <c r="E238" s="59">
        <v>0.8263888888888888</v>
      </c>
      <c r="F238" s="44" t="s">
        <v>5177</v>
      </c>
      <c r="G238" s="43">
        <v>1.0</v>
      </c>
      <c r="H238" s="42"/>
      <c r="I238" s="43">
        <v>1.0</v>
      </c>
      <c r="J238" s="22"/>
      <c r="K238" s="42"/>
    </row>
    <row r="239" ht="39.75" customHeight="1">
      <c r="A239" s="1">
        <v>238.0</v>
      </c>
      <c r="B239" s="2" t="s">
        <v>43</v>
      </c>
      <c r="C239" s="2" t="s">
        <v>54</v>
      </c>
      <c r="D239" s="53">
        <v>0.2916666666666667</v>
      </c>
      <c r="E239" s="13"/>
      <c r="F239" s="44" t="s">
        <v>5178</v>
      </c>
      <c r="G239" s="43">
        <v>2.0</v>
      </c>
      <c r="H239" s="42"/>
      <c r="I239" s="43">
        <v>1.0</v>
      </c>
      <c r="J239" s="22"/>
      <c r="K239" s="42"/>
    </row>
    <row r="240" ht="39.75" customHeight="1">
      <c r="A240" s="1">
        <v>239.0</v>
      </c>
      <c r="B240" s="2" t="s">
        <v>45</v>
      </c>
      <c r="C240" s="2"/>
      <c r="D240" s="13"/>
      <c r="E240" s="13"/>
      <c r="F240" s="44" t="s">
        <v>2941</v>
      </c>
      <c r="G240" s="43">
        <v>1.0</v>
      </c>
      <c r="H240" s="42"/>
      <c r="I240" s="43">
        <v>1.0</v>
      </c>
      <c r="J240" s="22"/>
      <c r="K240" s="42"/>
    </row>
    <row r="241" ht="39.75" hidden="1" customHeight="1">
      <c r="A241" s="1">
        <v>240.0</v>
      </c>
      <c r="B241" s="2" t="s">
        <v>46</v>
      </c>
      <c r="C241" s="2" t="s">
        <v>58</v>
      </c>
      <c r="D241" s="13"/>
      <c r="E241" s="13"/>
      <c r="F241" s="45"/>
      <c r="G241" s="42"/>
      <c r="H241" s="42"/>
      <c r="I241" s="42"/>
      <c r="J241" s="22"/>
      <c r="K241" s="42"/>
    </row>
    <row r="242" ht="39.75" customHeight="1">
      <c r="A242" s="1">
        <v>241.0</v>
      </c>
      <c r="B242" s="2" t="s">
        <v>47</v>
      </c>
      <c r="C242" s="2" t="s">
        <v>54</v>
      </c>
      <c r="D242" s="53">
        <v>0.3680555555555556</v>
      </c>
      <c r="E242" s="40">
        <v>0.7708333333333334</v>
      </c>
      <c r="F242" s="44" t="s">
        <v>5179</v>
      </c>
      <c r="G242" s="43">
        <v>1.0</v>
      </c>
      <c r="H242" s="43">
        <v>1.0</v>
      </c>
      <c r="I242" s="42"/>
      <c r="J242" s="22"/>
      <c r="K242" s="42"/>
    </row>
    <row r="243" ht="39.75" customHeight="1">
      <c r="A243" s="1">
        <v>242.0</v>
      </c>
      <c r="B243" s="2" t="s">
        <v>48</v>
      </c>
      <c r="C243" s="2" t="s">
        <v>27</v>
      </c>
      <c r="D243" s="13"/>
      <c r="E243" s="13"/>
      <c r="F243" s="44" t="s">
        <v>5180</v>
      </c>
      <c r="G243" s="43">
        <v>1.0</v>
      </c>
      <c r="H243" s="42"/>
      <c r="I243" s="43">
        <v>1.0</v>
      </c>
      <c r="J243" s="22"/>
      <c r="K243" s="42"/>
    </row>
    <row r="244" ht="39.75" customHeight="1">
      <c r="A244" s="1">
        <v>243.0</v>
      </c>
      <c r="B244" s="21"/>
      <c r="C244" s="21"/>
      <c r="D244" s="21"/>
      <c r="E244" s="21"/>
      <c r="F244" s="46"/>
      <c r="G244" s="47"/>
      <c r="H244" s="47"/>
      <c r="I244" s="47"/>
      <c r="J244" s="48"/>
      <c r="K244" s="47"/>
      <c r="L244" s="49"/>
      <c r="M244" s="49"/>
      <c r="N244" s="49"/>
    </row>
    <row r="245" ht="39.75" customHeight="1">
      <c r="A245" s="1">
        <v>244.0</v>
      </c>
      <c r="B245" s="2" t="s">
        <v>12</v>
      </c>
      <c r="C245" s="2" t="s">
        <v>62</v>
      </c>
      <c r="D245" s="13"/>
      <c r="E245" s="13"/>
      <c r="F245" s="45"/>
      <c r="G245" s="42"/>
      <c r="H245" s="42"/>
      <c r="I245" s="42"/>
      <c r="J245" s="27" t="s">
        <v>14</v>
      </c>
      <c r="K245" s="42"/>
      <c r="L245" s="15" t="s">
        <v>192</v>
      </c>
    </row>
    <row r="246" ht="39.75" customHeight="1">
      <c r="A246" s="1">
        <v>245.0</v>
      </c>
      <c r="B246" s="2" t="s">
        <v>16</v>
      </c>
      <c r="C246" s="2" t="s">
        <v>27</v>
      </c>
      <c r="D246" s="13"/>
      <c r="E246" s="13"/>
      <c r="F246" s="45"/>
      <c r="G246" s="42"/>
      <c r="H246" s="42"/>
      <c r="I246" s="42"/>
      <c r="J246" s="27" t="s">
        <v>192</v>
      </c>
      <c r="K246" s="43"/>
    </row>
    <row r="247" ht="39.75" customHeight="1">
      <c r="A247" s="1">
        <v>246.0</v>
      </c>
      <c r="B247" s="2" t="s">
        <v>116</v>
      </c>
      <c r="C247" s="2" t="s">
        <v>69</v>
      </c>
      <c r="D247" s="13"/>
      <c r="E247" s="40">
        <v>0.8333333333333334</v>
      </c>
      <c r="F247" s="44" t="s">
        <v>5181</v>
      </c>
      <c r="G247" s="43">
        <v>2.0</v>
      </c>
      <c r="H247" s="42"/>
      <c r="I247" s="43">
        <v>1.0</v>
      </c>
      <c r="J247" s="27" t="s">
        <v>95</v>
      </c>
      <c r="K247" s="42"/>
    </row>
    <row r="248" ht="39.75" customHeight="1">
      <c r="A248" s="1">
        <v>247.0</v>
      </c>
      <c r="B248" s="2" t="s">
        <v>17</v>
      </c>
      <c r="C248" s="2" t="s">
        <v>69</v>
      </c>
      <c r="D248" s="13"/>
      <c r="E248" s="13"/>
      <c r="F248" s="44"/>
      <c r="G248" s="42"/>
      <c r="H248" s="42"/>
      <c r="I248" s="42"/>
      <c r="J248" s="22"/>
      <c r="K248" s="42"/>
    </row>
    <row r="249" ht="39.75" customHeight="1">
      <c r="A249" s="1">
        <v>248.0</v>
      </c>
      <c r="B249" s="2" t="s">
        <v>331</v>
      </c>
      <c r="C249" s="2" t="s">
        <v>542</v>
      </c>
      <c r="D249" s="13"/>
      <c r="E249" s="13"/>
      <c r="F249" s="45"/>
      <c r="G249" s="42"/>
      <c r="H249" s="42"/>
      <c r="I249" s="42"/>
      <c r="J249" s="22"/>
      <c r="K249" s="42"/>
    </row>
    <row r="250" ht="39.75" customHeight="1">
      <c r="A250" s="1">
        <v>249.0</v>
      </c>
      <c r="B250" s="2" t="s">
        <v>21</v>
      </c>
      <c r="C250" s="2" t="s">
        <v>63</v>
      </c>
      <c r="D250" s="13"/>
      <c r="E250" s="13"/>
      <c r="F250" s="45"/>
      <c r="G250" s="42"/>
      <c r="H250" s="42"/>
      <c r="I250" s="42"/>
      <c r="J250" s="22"/>
      <c r="K250" s="42"/>
    </row>
    <row r="251" ht="39.75" hidden="1" customHeight="1">
      <c r="A251" s="1">
        <v>250.0</v>
      </c>
      <c r="B251" s="2" t="s">
        <v>22</v>
      </c>
      <c r="C251" s="2" t="s">
        <v>66</v>
      </c>
      <c r="D251" s="13"/>
      <c r="E251" s="13"/>
      <c r="F251" s="45"/>
      <c r="G251" s="42"/>
      <c r="H251" s="42"/>
      <c r="I251" s="42"/>
      <c r="J251" s="22"/>
      <c r="K251" s="42"/>
    </row>
    <row r="252" ht="39.75" customHeight="1">
      <c r="A252" s="1">
        <v>251.0</v>
      </c>
      <c r="B252" s="2" t="s">
        <v>23</v>
      </c>
      <c r="C252" s="2" t="s">
        <v>54</v>
      </c>
      <c r="D252" s="53">
        <v>0.3055555555555556</v>
      </c>
      <c r="E252" s="40">
        <v>0.6458333333333334</v>
      </c>
      <c r="F252" s="44" t="s">
        <v>5182</v>
      </c>
      <c r="G252" s="43">
        <v>1.0</v>
      </c>
      <c r="H252" s="43">
        <v>1.0</v>
      </c>
      <c r="I252" s="43"/>
      <c r="J252" s="22"/>
      <c r="K252" s="42"/>
    </row>
    <row r="253" ht="39.75" customHeight="1">
      <c r="A253" s="1">
        <v>252.0</v>
      </c>
      <c r="B253" s="2" t="s">
        <v>24</v>
      </c>
      <c r="C253" s="2"/>
      <c r="D253" s="13"/>
      <c r="E253" s="13"/>
      <c r="F253" s="44" t="s">
        <v>5183</v>
      </c>
      <c r="G253" s="43">
        <v>1.0</v>
      </c>
      <c r="H253" s="42"/>
      <c r="I253" s="42"/>
      <c r="J253" s="22"/>
      <c r="K253" s="42"/>
    </row>
    <row r="254" ht="39.75" customHeight="1">
      <c r="A254" s="1">
        <v>253.0</v>
      </c>
      <c r="B254" s="2" t="s">
        <v>25</v>
      </c>
      <c r="C254" s="2" t="s">
        <v>69</v>
      </c>
      <c r="D254" s="13"/>
      <c r="E254" s="40">
        <v>0.9166666666666666</v>
      </c>
      <c r="F254" s="44" t="s">
        <v>5184</v>
      </c>
      <c r="G254" s="43">
        <v>1.0</v>
      </c>
      <c r="H254" s="42"/>
      <c r="I254" s="42"/>
      <c r="J254" s="22"/>
      <c r="K254" s="42"/>
    </row>
    <row r="255" ht="39.75" hidden="1" customHeight="1">
      <c r="A255" s="1">
        <v>254.0</v>
      </c>
      <c r="B255" s="2" t="s">
        <v>26</v>
      </c>
      <c r="C255" s="2" t="s">
        <v>58</v>
      </c>
      <c r="D255" s="13"/>
      <c r="E255" s="13"/>
      <c r="F255" s="45"/>
      <c r="G255" s="42"/>
      <c r="H255" s="42"/>
      <c r="I255" s="42"/>
      <c r="J255" s="22"/>
      <c r="K255" s="42"/>
    </row>
    <row r="256" ht="39.75" customHeight="1">
      <c r="A256" s="1">
        <v>255.0</v>
      </c>
      <c r="B256" s="2" t="s">
        <v>29</v>
      </c>
      <c r="C256" s="2" t="s">
        <v>54</v>
      </c>
      <c r="D256" s="13"/>
      <c r="E256" s="51">
        <v>0.8541666666666666</v>
      </c>
      <c r="F256" s="44" t="s">
        <v>5172</v>
      </c>
      <c r="G256" s="43">
        <v>1.0</v>
      </c>
      <c r="H256" s="43">
        <v>1.0</v>
      </c>
      <c r="I256" s="42"/>
      <c r="J256" s="22"/>
      <c r="K256" s="42"/>
    </row>
    <row r="257" ht="39.75" customHeight="1">
      <c r="A257" s="1">
        <v>256.0</v>
      </c>
      <c r="B257" s="2" t="s">
        <v>30</v>
      </c>
      <c r="C257" s="2" t="s">
        <v>64</v>
      </c>
      <c r="D257" s="13"/>
      <c r="E257" s="13"/>
      <c r="F257" s="44" t="s">
        <v>2592</v>
      </c>
      <c r="G257" s="43">
        <v>1.0</v>
      </c>
      <c r="H257" s="42"/>
      <c r="I257" s="43">
        <v>1.0</v>
      </c>
      <c r="J257" s="22"/>
      <c r="K257" s="42"/>
    </row>
    <row r="258" ht="39.75" hidden="1" customHeight="1">
      <c r="A258" s="1">
        <v>257.0</v>
      </c>
      <c r="B258" s="2" t="s">
        <v>31</v>
      </c>
      <c r="C258" s="2" t="s">
        <v>58</v>
      </c>
      <c r="D258" s="13"/>
      <c r="E258" s="13"/>
      <c r="F258" s="44"/>
      <c r="G258" s="42"/>
      <c r="H258" s="42"/>
      <c r="I258" s="42"/>
      <c r="J258" s="22"/>
      <c r="K258" s="42"/>
    </row>
    <row r="259" ht="39.75" customHeight="1">
      <c r="A259" s="1">
        <v>258.0</v>
      </c>
      <c r="B259" s="2" t="s">
        <v>32</v>
      </c>
      <c r="C259" s="2"/>
      <c r="D259" s="13"/>
      <c r="E259" s="13"/>
      <c r="F259" s="44" t="s">
        <v>5185</v>
      </c>
      <c r="G259" s="43">
        <v>1.0</v>
      </c>
      <c r="H259" s="42"/>
      <c r="I259" s="42"/>
      <c r="J259" s="22"/>
      <c r="K259" s="42"/>
    </row>
    <row r="260" ht="39.75" hidden="1" customHeight="1">
      <c r="A260" s="1">
        <v>259.0</v>
      </c>
      <c r="B260" s="2" t="s">
        <v>67</v>
      </c>
      <c r="C260" s="2" t="s">
        <v>58</v>
      </c>
      <c r="D260" s="13"/>
      <c r="E260" s="13"/>
      <c r="F260" s="45"/>
      <c r="G260" s="42"/>
      <c r="H260" s="42"/>
      <c r="I260" s="42"/>
      <c r="J260" s="22"/>
      <c r="K260" s="42"/>
    </row>
    <row r="261" ht="39.75" customHeight="1">
      <c r="A261" s="1">
        <v>260.0</v>
      </c>
      <c r="B261" s="2" t="s">
        <v>35</v>
      </c>
      <c r="C261" s="2"/>
      <c r="D261" s="13"/>
      <c r="E261" s="13"/>
      <c r="F261" s="44" t="s">
        <v>5186</v>
      </c>
      <c r="G261" s="43">
        <v>1.0</v>
      </c>
      <c r="H261" s="42"/>
      <c r="I261" s="42"/>
      <c r="J261" s="22"/>
      <c r="K261" s="42"/>
    </row>
    <row r="262" ht="39.75" customHeight="1">
      <c r="A262" s="1">
        <v>261.0</v>
      </c>
      <c r="B262" s="2" t="s">
        <v>36</v>
      </c>
      <c r="C262" s="2"/>
      <c r="D262" s="13"/>
      <c r="E262" s="13"/>
      <c r="F262" s="44" t="s">
        <v>5187</v>
      </c>
      <c r="G262" s="43">
        <v>1.0</v>
      </c>
      <c r="H262" s="42"/>
      <c r="I262" s="43">
        <v>1.0</v>
      </c>
      <c r="J262" s="22"/>
      <c r="K262" s="42"/>
    </row>
    <row r="263" ht="39.75" hidden="1" customHeight="1">
      <c r="A263" s="1">
        <v>262.0</v>
      </c>
      <c r="B263" s="2" t="s">
        <v>38</v>
      </c>
      <c r="C263" s="2" t="s">
        <v>58</v>
      </c>
      <c r="D263" s="13"/>
      <c r="E263" s="13"/>
      <c r="F263" s="45"/>
      <c r="G263" s="42"/>
      <c r="H263" s="42"/>
      <c r="I263" s="42"/>
      <c r="J263" s="22"/>
      <c r="K263" s="42"/>
    </row>
    <row r="264" ht="39.75" hidden="1" customHeight="1">
      <c r="A264" s="1">
        <v>263.0</v>
      </c>
      <c r="B264" s="2" t="s">
        <v>41</v>
      </c>
      <c r="C264" s="2" t="s">
        <v>58</v>
      </c>
      <c r="D264" s="13"/>
      <c r="E264" s="13"/>
      <c r="F264" s="45"/>
      <c r="G264" s="42"/>
      <c r="H264" s="42"/>
      <c r="I264" s="42"/>
      <c r="J264" s="22"/>
      <c r="K264" s="42"/>
    </row>
    <row r="265" ht="39.75" customHeight="1">
      <c r="A265" s="1">
        <v>264.0</v>
      </c>
      <c r="B265" s="2" t="s">
        <v>42</v>
      </c>
      <c r="C265" s="2" t="s">
        <v>39</v>
      </c>
      <c r="D265" s="40">
        <v>0.2916666666666667</v>
      </c>
      <c r="E265" s="13"/>
      <c r="F265" s="44" t="s">
        <v>5188</v>
      </c>
      <c r="G265" s="43">
        <v>2.0</v>
      </c>
      <c r="H265" s="42"/>
      <c r="I265" s="43">
        <v>2.0</v>
      </c>
      <c r="J265" s="22"/>
      <c r="K265" s="42"/>
    </row>
    <row r="266" ht="39.75" customHeight="1">
      <c r="A266" s="1">
        <v>265.0</v>
      </c>
      <c r="B266" s="2" t="s">
        <v>43</v>
      </c>
      <c r="C266" s="2" t="s">
        <v>54</v>
      </c>
      <c r="D266" s="13"/>
      <c r="E266" s="13"/>
      <c r="F266" s="45"/>
      <c r="G266" s="42"/>
      <c r="H266" s="42"/>
      <c r="I266" s="42"/>
      <c r="J266" s="22"/>
      <c r="K266" s="42"/>
    </row>
    <row r="267" ht="39.75" customHeight="1">
      <c r="A267" s="1">
        <v>266.0</v>
      </c>
      <c r="B267" s="2" t="s">
        <v>45</v>
      </c>
      <c r="C267" s="2" t="s">
        <v>39</v>
      </c>
      <c r="D267" s="13"/>
      <c r="E267" s="13"/>
      <c r="F267" s="45"/>
      <c r="G267" s="42"/>
      <c r="H267" s="42"/>
      <c r="I267" s="42"/>
      <c r="J267" s="22"/>
      <c r="K267" s="42"/>
    </row>
    <row r="268" ht="39.75" customHeight="1">
      <c r="A268" s="1">
        <v>267.0</v>
      </c>
      <c r="B268" s="2" t="s">
        <v>46</v>
      </c>
      <c r="C268" s="2"/>
      <c r="D268" s="13"/>
      <c r="E268" s="13"/>
      <c r="F268" s="44" t="s">
        <v>5189</v>
      </c>
      <c r="G268" s="43">
        <v>1.0</v>
      </c>
      <c r="H268" s="42"/>
      <c r="I268" s="43">
        <v>1.0</v>
      </c>
      <c r="J268" s="22"/>
      <c r="K268" s="42"/>
    </row>
    <row r="269" ht="39.75" customHeight="1">
      <c r="A269" s="1">
        <v>268.0</v>
      </c>
      <c r="B269" s="2" t="s">
        <v>47</v>
      </c>
      <c r="C269" s="2" t="s">
        <v>54</v>
      </c>
      <c r="D269" s="13"/>
      <c r="E269" s="13"/>
      <c r="F269" s="45"/>
      <c r="G269" s="42"/>
      <c r="H269" s="42"/>
      <c r="I269" s="42"/>
      <c r="J269" s="22"/>
      <c r="K269" s="42"/>
    </row>
    <row r="270" ht="39.75" customHeight="1">
      <c r="A270" s="1">
        <v>269.0</v>
      </c>
      <c r="B270" s="2" t="s">
        <v>48</v>
      </c>
      <c r="C270" s="2" t="s">
        <v>44</v>
      </c>
      <c r="D270" s="13"/>
      <c r="E270" s="13"/>
      <c r="F270" s="45"/>
      <c r="G270" s="42"/>
      <c r="H270" s="42"/>
      <c r="I270" s="42"/>
      <c r="J270" s="22"/>
      <c r="K270" s="42"/>
    </row>
    <row r="271" ht="39.75" customHeight="1">
      <c r="A271" s="1">
        <v>270.0</v>
      </c>
      <c r="B271" s="21"/>
      <c r="C271" s="21"/>
      <c r="D271" s="21"/>
      <c r="E271" s="21"/>
      <c r="F271" s="46"/>
      <c r="G271" s="47"/>
      <c r="H271" s="47"/>
      <c r="I271" s="47"/>
      <c r="J271" s="48"/>
      <c r="K271" s="47"/>
      <c r="L271" s="49"/>
      <c r="M271" s="49"/>
      <c r="N271" s="49"/>
    </row>
    <row r="272" ht="39.75" customHeight="1">
      <c r="A272" s="1">
        <v>271.0</v>
      </c>
      <c r="B272" s="2" t="s">
        <v>12</v>
      </c>
      <c r="C272" s="2" t="s">
        <v>62</v>
      </c>
      <c r="D272" s="13"/>
      <c r="E272" s="13"/>
      <c r="F272" s="44" t="s">
        <v>1543</v>
      </c>
      <c r="G272" s="43">
        <v>1.0</v>
      </c>
      <c r="H272" s="42"/>
      <c r="I272" s="43">
        <v>1.0</v>
      </c>
      <c r="J272" s="27" t="s">
        <v>14</v>
      </c>
      <c r="K272" s="42"/>
      <c r="L272" s="15" t="s">
        <v>209</v>
      </c>
    </row>
    <row r="273" ht="39.75" customHeight="1">
      <c r="A273" s="1">
        <v>272.0</v>
      </c>
      <c r="B273" s="2" t="s">
        <v>16</v>
      </c>
      <c r="C273" s="2" t="s">
        <v>44</v>
      </c>
      <c r="D273" s="13"/>
      <c r="E273" s="55">
        <v>0.3402777777777778</v>
      </c>
      <c r="F273" s="52" t="s">
        <v>5190</v>
      </c>
      <c r="G273" s="56">
        <v>1.0</v>
      </c>
      <c r="H273" s="42"/>
      <c r="I273" s="56"/>
      <c r="J273" s="27" t="s">
        <v>209</v>
      </c>
      <c r="K273" s="43"/>
    </row>
    <row r="274" ht="39.75" customHeight="1">
      <c r="A274" s="1">
        <v>273.0</v>
      </c>
      <c r="B274" s="2" t="s">
        <v>116</v>
      </c>
      <c r="C274" s="2" t="s">
        <v>54</v>
      </c>
      <c r="D274" s="13"/>
      <c r="E274" s="13"/>
      <c r="F274" s="45"/>
      <c r="G274" s="42"/>
      <c r="H274" s="42"/>
      <c r="I274" s="43"/>
      <c r="J274" s="27" t="s">
        <v>111</v>
      </c>
      <c r="K274" s="42"/>
    </row>
    <row r="275" ht="39.75" customHeight="1">
      <c r="A275" s="1">
        <v>274.0</v>
      </c>
      <c r="B275" s="2" t="s">
        <v>17</v>
      </c>
      <c r="C275" s="2" t="s">
        <v>39</v>
      </c>
      <c r="D275" s="13"/>
      <c r="E275" s="13"/>
      <c r="F275" s="44" t="s">
        <v>5191</v>
      </c>
      <c r="G275" s="43">
        <v>2.0</v>
      </c>
      <c r="H275" s="42"/>
      <c r="I275" s="43">
        <v>1.0</v>
      </c>
      <c r="J275" s="22"/>
      <c r="K275" s="42"/>
    </row>
    <row r="276" ht="39.75" customHeight="1">
      <c r="A276" s="1">
        <v>275.0</v>
      </c>
      <c r="B276" s="2" t="s">
        <v>331</v>
      </c>
      <c r="C276" s="2" t="s">
        <v>542</v>
      </c>
      <c r="D276" s="13"/>
      <c r="E276" s="13"/>
      <c r="F276" s="45"/>
      <c r="G276" s="42"/>
      <c r="H276" s="42"/>
      <c r="I276" s="42"/>
      <c r="J276" s="22"/>
      <c r="K276" s="42"/>
    </row>
    <row r="277" ht="39.75" customHeight="1">
      <c r="A277" s="1">
        <v>276.0</v>
      </c>
      <c r="B277" s="2" t="s">
        <v>21</v>
      </c>
      <c r="C277" s="2" t="s">
        <v>63</v>
      </c>
      <c r="D277" s="13"/>
      <c r="E277" s="13"/>
      <c r="F277" s="45"/>
      <c r="G277" s="42"/>
      <c r="H277" s="42"/>
      <c r="I277" s="42"/>
      <c r="J277" s="22"/>
      <c r="K277" s="42"/>
    </row>
    <row r="278" ht="39.75" hidden="1" customHeight="1">
      <c r="A278" s="1">
        <v>277.0</v>
      </c>
      <c r="B278" s="2" t="s">
        <v>22</v>
      </c>
      <c r="C278" s="2" t="s">
        <v>58</v>
      </c>
      <c r="D278" s="13"/>
      <c r="E278" s="13"/>
      <c r="F278" s="45"/>
      <c r="G278" s="42"/>
      <c r="H278" s="42"/>
      <c r="I278" s="42"/>
      <c r="J278" s="22"/>
      <c r="K278" s="42"/>
    </row>
    <row r="279" ht="39.75" customHeight="1">
      <c r="A279" s="1">
        <v>278.0</v>
      </c>
      <c r="B279" s="2" t="s">
        <v>23</v>
      </c>
      <c r="C279" s="2"/>
      <c r="D279" s="13"/>
      <c r="E279" s="13"/>
      <c r="F279" s="44" t="s">
        <v>5192</v>
      </c>
      <c r="G279" s="43">
        <v>1.0</v>
      </c>
      <c r="H279" s="42"/>
      <c r="I279" s="43">
        <v>1.0</v>
      </c>
      <c r="J279" s="22"/>
      <c r="K279" s="42"/>
    </row>
    <row r="280" ht="39.75" customHeight="1">
      <c r="A280" s="1">
        <v>279.0</v>
      </c>
      <c r="B280" s="2" t="s">
        <v>24</v>
      </c>
      <c r="C280" s="2"/>
      <c r="D280" s="13"/>
      <c r="E280" s="13"/>
      <c r="F280" s="44" t="s">
        <v>5193</v>
      </c>
      <c r="G280" s="43">
        <v>1.0</v>
      </c>
      <c r="H280" s="42"/>
      <c r="I280" s="43">
        <v>1.0</v>
      </c>
      <c r="J280" s="22"/>
      <c r="K280" s="42"/>
    </row>
    <row r="281" ht="39.75" customHeight="1">
      <c r="A281" s="1">
        <v>280.0</v>
      </c>
      <c r="B281" s="2" t="s">
        <v>25</v>
      </c>
      <c r="C281" s="2"/>
      <c r="D281" s="13"/>
      <c r="E281" s="13"/>
      <c r="F281" s="44" t="s">
        <v>5194</v>
      </c>
      <c r="G281" s="43">
        <v>1.0</v>
      </c>
      <c r="H281" s="42"/>
      <c r="I281" s="42"/>
      <c r="J281" s="22"/>
      <c r="K281" s="42"/>
    </row>
    <row r="282" ht="39.75" hidden="1" customHeight="1">
      <c r="A282" s="1">
        <v>281.0</v>
      </c>
      <c r="B282" s="2" t="s">
        <v>26</v>
      </c>
      <c r="C282" s="2" t="s">
        <v>58</v>
      </c>
      <c r="D282" s="13"/>
      <c r="E282" s="13"/>
      <c r="F282" s="45"/>
      <c r="G282" s="42"/>
      <c r="H282" s="42"/>
      <c r="I282" s="42"/>
      <c r="J282" s="22"/>
      <c r="K282" s="42"/>
    </row>
    <row r="283" ht="39.75" hidden="1" customHeight="1">
      <c r="A283" s="1">
        <v>282.0</v>
      </c>
      <c r="B283" s="2" t="s">
        <v>29</v>
      </c>
      <c r="C283" s="2" t="s">
        <v>58</v>
      </c>
      <c r="D283" s="13"/>
      <c r="E283" s="13"/>
      <c r="F283" s="45"/>
      <c r="G283" s="42"/>
      <c r="H283" s="42"/>
      <c r="I283" s="42"/>
      <c r="J283" s="22"/>
      <c r="K283" s="42"/>
    </row>
    <row r="284" ht="39.75" customHeight="1">
      <c r="A284" s="1">
        <v>283.0</v>
      </c>
      <c r="B284" s="2" t="s">
        <v>30</v>
      </c>
      <c r="C284" s="2" t="s">
        <v>64</v>
      </c>
      <c r="D284" s="13"/>
      <c r="E284" s="13"/>
      <c r="F284" s="44" t="s">
        <v>2592</v>
      </c>
      <c r="G284" s="43">
        <v>1.0</v>
      </c>
      <c r="H284" s="42"/>
      <c r="I284" s="43">
        <v>1.0</v>
      </c>
      <c r="J284" s="22"/>
      <c r="K284" s="42"/>
    </row>
    <row r="285" ht="39.75" customHeight="1">
      <c r="A285" s="1">
        <v>284.0</v>
      </c>
      <c r="B285" s="2" t="s">
        <v>31</v>
      </c>
      <c r="C285" s="2" t="s">
        <v>69</v>
      </c>
      <c r="D285" s="13"/>
      <c r="E285" s="13"/>
      <c r="F285" s="44" t="s">
        <v>5195</v>
      </c>
      <c r="G285" s="43">
        <v>1.0</v>
      </c>
      <c r="H285" s="42"/>
      <c r="I285" s="43">
        <v>1.0</v>
      </c>
      <c r="J285" s="22"/>
      <c r="K285" s="42"/>
    </row>
    <row r="286" ht="39.75" customHeight="1">
      <c r="A286" s="1">
        <v>285.0</v>
      </c>
      <c r="B286" s="2" t="s">
        <v>32</v>
      </c>
      <c r="C286" s="2" t="s">
        <v>27</v>
      </c>
      <c r="D286" s="13"/>
      <c r="E286" s="13"/>
      <c r="F286" s="44" t="s">
        <v>5196</v>
      </c>
      <c r="G286" s="43">
        <v>1.0</v>
      </c>
      <c r="H286" s="42"/>
      <c r="I286" s="42"/>
      <c r="J286" s="22"/>
      <c r="K286" s="42"/>
    </row>
    <row r="287" ht="39.75" hidden="1" customHeight="1">
      <c r="A287" s="1">
        <v>286.0</v>
      </c>
      <c r="B287" s="2" t="s">
        <v>67</v>
      </c>
      <c r="C287" s="2" t="s">
        <v>66</v>
      </c>
      <c r="D287" s="13"/>
      <c r="E287" s="13"/>
      <c r="F287" s="45"/>
      <c r="G287" s="42"/>
      <c r="H287" s="42"/>
      <c r="I287" s="42"/>
      <c r="J287" s="22"/>
      <c r="K287" s="42"/>
    </row>
    <row r="288" ht="39.75" customHeight="1">
      <c r="A288" s="1">
        <v>287.0</v>
      </c>
      <c r="B288" s="2" t="s">
        <v>35</v>
      </c>
      <c r="C288" s="2" t="s">
        <v>69</v>
      </c>
      <c r="D288" s="13"/>
      <c r="E288" s="13"/>
      <c r="F288" s="45"/>
      <c r="G288" s="42"/>
      <c r="H288" s="42"/>
      <c r="I288" s="42"/>
      <c r="J288" s="22"/>
      <c r="K288" s="42"/>
    </row>
    <row r="289" ht="39.75" customHeight="1">
      <c r="A289" s="1">
        <v>288.0</v>
      </c>
      <c r="B289" s="2" t="s">
        <v>36</v>
      </c>
      <c r="C289" s="2" t="s">
        <v>39</v>
      </c>
      <c r="D289" s="13"/>
      <c r="E289" s="13"/>
      <c r="F289" s="44" t="s">
        <v>5197</v>
      </c>
      <c r="G289" s="43">
        <v>1.0</v>
      </c>
      <c r="H289" s="42"/>
      <c r="I289" s="42"/>
      <c r="J289" s="22"/>
      <c r="K289" s="42"/>
    </row>
    <row r="290" ht="39.75" hidden="1" customHeight="1">
      <c r="A290" s="1">
        <v>289.0</v>
      </c>
      <c r="B290" s="2" t="s">
        <v>38</v>
      </c>
      <c r="C290" s="2" t="s">
        <v>58</v>
      </c>
      <c r="D290" s="13"/>
      <c r="E290" s="13"/>
      <c r="F290" s="45"/>
      <c r="G290" s="42"/>
      <c r="H290" s="42"/>
      <c r="I290" s="42"/>
      <c r="J290" s="22"/>
      <c r="K290" s="42"/>
    </row>
    <row r="291" ht="39.75" hidden="1" customHeight="1">
      <c r="A291" s="1">
        <v>290.0</v>
      </c>
      <c r="B291" s="2" t="s">
        <v>41</v>
      </c>
      <c r="C291" s="2" t="s">
        <v>58</v>
      </c>
      <c r="D291" s="13"/>
      <c r="E291" s="13"/>
      <c r="F291" s="45"/>
      <c r="G291" s="42"/>
      <c r="H291" s="42"/>
      <c r="I291" s="42"/>
      <c r="J291" s="22"/>
      <c r="K291" s="42"/>
    </row>
    <row r="292" ht="39.75" customHeight="1">
      <c r="A292" s="1">
        <v>291.0</v>
      </c>
      <c r="B292" s="2" t="s">
        <v>42</v>
      </c>
      <c r="C292" s="2" t="s">
        <v>54</v>
      </c>
      <c r="D292" s="13"/>
      <c r="E292" s="13"/>
      <c r="F292" s="44"/>
      <c r="G292" s="43"/>
      <c r="H292" s="43"/>
      <c r="I292" s="42"/>
      <c r="J292" s="22"/>
      <c r="K292" s="42"/>
    </row>
    <row r="293" ht="39.75" customHeight="1">
      <c r="A293" s="1">
        <v>292.0</v>
      </c>
      <c r="B293" s="2" t="s">
        <v>43</v>
      </c>
      <c r="C293" s="2" t="s">
        <v>54</v>
      </c>
      <c r="D293" s="13"/>
      <c r="E293" s="13"/>
      <c r="F293" s="44" t="s">
        <v>5198</v>
      </c>
      <c r="G293" s="43">
        <v>1.0</v>
      </c>
      <c r="H293" s="42"/>
      <c r="I293" s="43">
        <v>1.0</v>
      </c>
      <c r="J293" s="22"/>
      <c r="K293" s="42"/>
    </row>
    <row r="294" ht="39.75" hidden="1" customHeight="1">
      <c r="A294" s="1">
        <v>293.0</v>
      </c>
      <c r="B294" s="2" t="s">
        <v>45</v>
      </c>
      <c r="C294" s="2" t="s">
        <v>66</v>
      </c>
      <c r="D294" s="13"/>
      <c r="E294" s="13"/>
      <c r="F294" s="45"/>
      <c r="G294" s="42"/>
      <c r="H294" s="42"/>
      <c r="I294" s="42"/>
      <c r="J294" s="22"/>
      <c r="K294" s="42"/>
    </row>
    <row r="295" ht="39.75" customHeight="1">
      <c r="A295" s="1">
        <v>294.0</v>
      </c>
      <c r="B295" s="2" t="s">
        <v>46</v>
      </c>
      <c r="C295" s="2"/>
      <c r="D295" s="13"/>
      <c r="E295" s="13"/>
      <c r="F295" s="45"/>
      <c r="G295" s="42"/>
      <c r="H295" s="42"/>
      <c r="I295" s="42"/>
      <c r="J295" s="22"/>
      <c r="K295" s="42"/>
    </row>
    <row r="296" ht="39.75" customHeight="1">
      <c r="A296" s="1">
        <v>295.0</v>
      </c>
      <c r="B296" s="2" t="s">
        <v>47</v>
      </c>
      <c r="C296" s="2" t="s">
        <v>54</v>
      </c>
      <c r="D296" s="13"/>
      <c r="E296" s="13"/>
      <c r="F296" s="45"/>
      <c r="G296" s="42"/>
      <c r="H296" s="42"/>
      <c r="I296" s="42"/>
      <c r="J296" s="22"/>
      <c r="K296" s="42"/>
    </row>
    <row r="297" ht="39.75" customHeight="1">
      <c r="A297" s="1">
        <v>296.0</v>
      </c>
      <c r="B297" s="2" t="s">
        <v>48</v>
      </c>
      <c r="C297" s="2" t="s">
        <v>69</v>
      </c>
      <c r="D297" s="13"/>
      <c r="E297" s="13"/>
      <c r="F297" s="44" t="s">
        <v>5199</v>
      </c>
      <c r="G297" s="43"/>
      <c r="H297" s="42"/>
      <c r="I297" s="42"/>
      <c r="J297" s="22"/>
      <c r="K297" s="42"/>
    </row>
    <row r="298" ht="39.75" customHeight="1">
      <c r="A298" s="1">
        <v>297.0</v>
      </c>
      <c r="B298" s="21"/>
      <c r="C298" s="21"/>
      <c r="D298" s="21"/>
      <c r="E298" s="21"/>
      <c r="F298" s="46"/>
      <c r="G298" s="47"/>
      <c r="H298" s="47"/>
      <c r="I298" s="47"/>
      <c r="J298" s="48"/>
      <c r="K298" s="47"/>
      <c r="L298" s="49"/>
      <c r="M298" s="49"/>
      <c r="N298" s="49"/>
    </row>
    <row r="299" ht="39.75" hidden="1" customHeight="1">
      <c r="A299" s="1">
        <v>298.0</v>
      </c>
      <c r="B299" s="2" t="s">
        <v>12</v>
      </c>
      <c r="C299" s="2" t="s">
        <v>66</v>
      </c>
      <c r="D299" s="13"/>
      <c r="E299" s="13"/>
      <c r="F299" s="45"/>
      <c r="G299" s="42"/>
      <c r="H299" s="42"/>
      <c r="I299" s="42"/>
      <c r="J299" s="27" t="s">
        <v>14</v>
      </c>
      <c r="K299" s="42"/>
      <c r="L299" s="15" t="s">
        <v>228</v>
      </c>
    </row>
    <row r="300" ht="39.75" customHeight="1">
      <c r="A300" s="1">
        <v>299.0</v>
      </c>
      <c r="B300" s="2" t="s">
        <v>16</v>
      </c>
      <c r="C300" s="2"/>
      <c r="D300" s="13"/>
      <c r="E300" s="13"/>
      <c r="F300" s="44" t="s">
        <v>5200</v>
      </c>
      <c r="G300" s="43">
        <v>1.0</v>
      </c>
      <c r="H300" s="42"/>
      <c r="I300" s="43">
        <v>1.0</v>
      </c>
      <c r="J300" s="27" t="s">
        <v>228</v>
      </c>
      <c r="K300" s="43"/>
    </row>
    <row r="301" ht="39.75" customHeight="1">
      <c r="A301" s="1">
        <v>300.0</v>
      </c>
      <c r="B301" s="2" t="s">
        <v>116</v>
      </c>
      <c r="C301" s="2"/>
      <c r="D301" s="13"/>
      <c r="E301" s="13"/>
      <c r="F301" s="45"/>
      <c r="G301" s="42"/>
      <c r="H301" s="42"/>
      <c r="I301" s="42"/>
      <c r="J301" s="27" t="s">
        <v>131</v>
      </c>
      <c r="K301" s="42"/>
    </row>
    <row r="302" ht="39.75" customHeight="1">
      <c r="A302" s="1">
        <v>301.0</v>
      </c>
      <c r="B302" s="2" t="s">
        <v>17</v>
      </c>
      <c r="C302" s="2" t="s">
        <v>69</v>
      </c>
      <c r="D302" s="13"/>
      <c r="E302" s="13"/>
      <c r="F302" s="44"/>
      <c r="G302" s="42"/>
      <c r="H302" s="42"/>
      <c r="I302" s="42"/>
      <c r="J302" s="22"/>
      <c r="K302" s="42"/>
    </row>
    <row r="303" ht="39.75" customHeight="1">
      <c r="A303" s="1">
        <v>302.0</v>
      </c>
      <c r="B303" s="2" t="s">
        <v>331</v>
      </c>
      <c r="C303" s="2" t="s">
        <v>542</v>
      </c>
      <c r="D303" s="13"/>
      <c r="E303" s="13"/>
      <c r="F303" s="44" t="s">
        <v>5201</v>
      </c>
      <c r="G303" s="43">
        <v>1.0</v>
      </c>
      <c r="H303" s="42"/>
      <c r="I303" s="42"/>
      <c r="J303" s="22"/>
      <c r="K303" s="42"/>
    </row>
    <row r="304" ht="39.75" customHeight="1">
      <c r="A304" s="1">
        <v>303.0</v>
      </c>
      <c r="B304" s="2" t="s">
        <v>21</v>
      </c>
      <c r="C304" s="2" t="s">
        <v>63</v>
      </c>
      <c r="D304" s="13"/>
      <c r="E304" s="13"/>
      <c r="F304" s="45"/>
      <c r="G304" s="42"/>
      <c r="H304" s="42"/>
      <c r="I304" s="42"/>
      <c r="J304" s="22"/>
      <c r="K304" s="42"/>
    </row>
    <row r="305" ht="39.75" customHeight="1">
      <c r="A305" s="1">
        <v>304.0</v>
      </c>
      <c r="B305" s="2" t="s">
        <v>22</v>
      </c>
      <c r="C305" s="2" t="s">
        <v>69</v>
      </c>
      <c r="D305" s="13"/>
      <c r="E305" s="40">
        <v>0.8194444444444444</v>
      </c>
      <c r="F305" s="44" t="s">
        <v>5202</v>
      </c>
      <c r="G305" s="43">
        <v>1.0</v>
      </c>
      <c r="H305" s="42"/>
      <c r="I305" s="42"/>
      <c r="J305" s="22"/>
      <c r="K305" s="42"/>
    </row>
    <row r="306" ht="39.75" hidden="1" customHeight="1">
      <c r="A306" s="1">
        <v>305.0</v>
      </c>
      <c r="B306" s="2" t="s">
        <v>23</v>
      </c>
      <c r="C306" s="2" t="s">
        <v>58</v>
      </c>
      <c r="D306" s="13"/>
      <c r="E306" s="13"/>
      <c r="F306" s="45"/>
      <c r="G306" s="42"/>
      <c r="H306" s="42"/>
      <c r="I306" s="42"/>
      <c r="J306" s="22"/>
      <c r="K306" s="42"/>
    </row>
    <row r="307" ht="39.75" customHeight="1">
      <c r="A307" s="1">
        <v>306.0</v>
      </c>
      <c r="B307" s="2" t="s">
        <v>24</v>
      </c>
      <c r="C307" s="2"/>
      <c r="D307" s="13"/>
      <c r="E307" s="13"/>
      <c r="F307" s="44" t="s">
        <v>5203</v>
      </c>
      <c r="G307" s="43">
        <v>1.0</v>
      </c>
      <c r="H307" s="42"/>
      <c r="I307" s="42"/>
      <c r="J307" s="22"/>
      <c r="K307" s="42"/>
    </row>
    <row r="308" ht="39.75" customHeight="1">
      <c r="A308" s="1">
        <v>307.0</v>
      </c>
      <c r="B308" s="2" t="s">
        <v>25</v>
      </c>
      <c r="C308" s="2"/>
      <c r="D308" s="13"/>
      <c r="E308" s="13"/>
      <c r="F308" s="44" t="s">
        <v>5204</v>
      </c>
      <c r="G308" s="43">
        <v>1.0</v>
      </c>
      <c r="H308" s="42"/>
      <c r="I308" s="42"/>
      <c r="J308" s="22"/>
      <c r="K308" s="42"/>
    </row>
    <row r="309" ht="39.75" hidden="1" customHeight="1">
      <c r="A309" s="1">
        <v>308.0</v>
      </c>
      <c r="B309" s="2" t="s">
        <v>26</v>
      </c>
      <c r="C309" s="2" t="s">
        <v>58</v>
      </c>
      <c r="D309" s="13"/>
      <c r="E309" s="13"/>
      <c r="F309" s="45"/>
      <c r="G309" s="42"/>
      <c r="H309" s="42"/>
      <c r="I309" s="42"/>
      <c r="J309" s="22"/>
      <c r="K309" s="42"/>
    </row>
    <row r="310" ht="39.75" customHeight="1">
      <c r="A310" s="1">
        <v>309.0</v>
      </c>
      <c r="B310" s="2" t="s">
        <v>29</v>
      </c>
      <c r="C310" s="2" t="s">
        <v>54</v>
      </c>
      <c r="D310" s="13"/>
      <c r="E310" s="13"/>
      <c r="F310" s="45"/>
      <c r="G310" s="42"/>
      <c r="H310" s="42"/>
      <c r="I310" s="42"/>
      <c r="J310" s="22"/>
      <c r="K310" s="42"/>
    </row>
    <row r="311" ht="39.75" customHeight="1">
      <c r="A311" s="1">
        <v>310.0</v>
      </c>
      <c r="B311" s="2" t="s">
        <v>30</v>
      </c>
      <c r="C311" s="2" t="s">
        <v>64</v>
      </c>
      <c r="D311" s="13"/>
      <c r="E311" s="13"/>
      <c r="F311" s="44" t="s">
        <v>2592</v>
      </c>
      <c r="G311" s="43">
        <v>1.0</v>
      </c>
      <c r="H311" s="42"/>
      <c r="I311" s="43">
        <v>1.0</v>
      </c>
      <c r="J311" s="22"/>
      <c r="K311" s="42"/>
    </row>
    <row r="312" ht="39.75" hidden="1" customHeight="1">
      <c r="A312" s="1">
        <v>311.0</v>
      </c>
      <c r="B312" s="2" t="s">
        <v>31</v>
      </c>
      <c r="C312" s="2" t="s">
        <v>58</v>
      </c>
      <c r="D312" s="13"/>
      <c r="E312" s="13"/>
      <c r="F312" s="45"/>
      <c r="G312" s="42"/>
      <c r="H312" s="42"/>
      <c r="I312" s="42"/>
      <c r="J312" s="22"/>
      <c r="K312" s="42"/>
    </row>
    <row r="313" ht="39.75" customHeight="1">
      <c r="A313" s="1">
        <v>312.0</v>
      </c>
      <c r="B313" s="2" t="s">
        <v>32</v>
      </c>
      <c r="C313" s="2" t="s">
        <v>44</v>
      </c>
      <c r="D313" s="13"/>
      <c r="E313" s="13"/>
      <c r="F313" s="45"/>
      <c r="G313" s="42"/>
      <c r="H313" s="42"/>
      <c r="I313" s="42"/>
      <c r="J313" s="22"/>
      <c r="K313" s="42"/>
    </row>
    <row r="314" ht="39.75" customHeight="1">
      <c r="A314" s="1">
        <v>313.0</v>
      </c>
      <c r="B314" s="2" t="s">
        <v>67</v>
      </c>
      <c r="C314" s="2"/>
      <c r="D314" s="13"/>
      <c r="E314" s="13"/>
      <c r="F314" s="44" t="s">
        <v>5205</v>
      </c>
      <c r="G314" s="43">
        <v>2.0</v>
      </c>
      <c r="H314" s="42"/>
      <c r="I314" s="42"/>
      <c r="J314" s="22"/>
      <c r="K314" s="42"/>
    </row>
    <row r="315" ht="39.75" customHeight="1">
      <c r="A315" s="1">
        <v>314.0</v>
      </c>
      <c r="B315" s="2" t="s">
        <v>35</v>
      </c>
      <c r="C315" s="2" t="s">
        <v>39</v>
      </c>
      <c r="D315" s="40">
        <v>0.2916666666666667</v>
      </c>
      <c r="E315" s="13"/>
      <c r="F315" s="44" t="s">
        <v>3491</v>
      </c>
      <c r="G315" s="43">
        <v>2.0</v>
      </c>
      <c r="H315" s="42"/>
      <c r="I315" s="43">
        <v>2.0</v>
      </c>
      <c r="J315" s="22"/>
      <c r="K315" s="42"/>
    </row>
    <row r="316" ht="39.75" hidden="1" customHeight="1">
      <c r="A316" s="1">
        <v>315.0</v>
      </c>
      <c r="B316" s="2" t="s">
        <v>36</v>
      </c>
      <c r="C316" s="2" t="s">
        <v>66</v>
      </c>
      <c r="D316" s="13"/>
      <c r="E316" s="13"/>
      <c r="F316" s="45"/>
      <c r="G316" s="42"/>
      <c r="H316" s="42"/>
      <c r="I316" s="42"/>
      <c r="J316" s="22"/>
      <c r="K316" s="42"/>
    </row>
    <row r="317" ht="39.75" hidden="1" customHeight="1">
      <c r="A317" s="1">
        <v>316.0</v>
      </c>
      <c r="B317" s="2" t="s">
        <v>38</v>
      </c>
      <c r="C317" s="2" t="s">
        <v>58</v>
      </c>
      <c r="D317" s="13"/>
      <c r="E317" s="13"/>
      <c r="F317" s="45"/>
      <c r="G317" s="42"/>
      <c r="H317" s="42"/>
      <c r="I317" s="42"/>
      <c r="J317" s="22"/>
      <c r="K317" s="42"/>
    </row>
    <row r="318" ht="39.75" hidden="1" customHeight="1">
      <c r="A318" s="1">
        <v>317.0</v>
      </c>
      <c r="B318" s="2" t="s">
        <v>41</v>
      </c>
      <c r="C318" s="2" t="s">
        <v>58</v>
      </c>
      <c r="D318" s="13"/>
      <c r="E318" s="13"/>
      <c r="F318" s="45"/>
      <c r="G318" s="42"/>
      <c r="H318" s="42"/>
      <c r="I318" s="42"/>
      <c r="J318" s="22"/>
      <c r="K318" s="42"/>
    </row>
    <row r="319" ht="39.75" customHeight="1">
      <c r="A319" s="1">
        <v>318.0</v>
      </c>
      <c r="B319" s="2" t="s">
        <v>42</v>
      </c>
      <c r="C319" s="2" t="s">
        <v>54</v>
      </c>
      <c r="D319" s="13"/>
      <c r="E319" s="13"/>
      <c r="F319" s="45"/>
      <c r="G319" s="42"/>
      <c r="H319" s="42"/>
      <c r="I319" s="42"/>
      <c r="J319" s="22"/>
      <c r="K319" s="42"/>
    </row>
    <row r="320" ht="39.75" customHeight="1">
      <c r="A320" s="1">
        <v>319.0</v>
      </c>
      <c r="B320" s="2" t="s">
        <v>43</v>
      </c>
      <c r="C320" s="2" t="s">
        <v>54</v>
      </c>
      <c r="D320" s="13"/>
      <c r="E320" s="13"/>
      <c r="F320" s="45"/>
      <c r="G320" s="42"/>
      <c r="H320" s="42"/>
      <c r="I320" s="42"/>
      <c r="J320" s="22"/>
      <c r="K320" s="42"/>
    </row>
    <row r="321" ht="39.75" customHeight="1">
      <c r="A321" s="1">
        <v>320.0</v>
      </c>
      <c r="B321" s="2" t="s">
        <v>45</v>
      </c>
      <c r="C321" s="2" t="s">
        <v>69</v>
      </c>
      <c r="D321" s="13"/>
      <c r="E321" s="40">
        <v>0.8263888888888888</v>
      </c>
      <c r="F321" s="44" t="s">
        <v>2770</v>
      </c>
      <c r="G321" s="43">
        <v>1.0</v>
      </c>
      <c r="H321" s="42"/>
      <c r="I321" s="43">
        <v>1.0</v>
      </c>
      <c r="J321" s="22"/>
      <c r="K321" s="42"/>
    </row>
    <row r="322" ht="39.75" customHeight="1">
      <c r="A322" s="1">
        <v>321.0</v>
      </c>
      <c r="B322" s="2" t="s">
        <v>46</v>
      </c>
      <c r="C322" s="2" t="s">
        <v>27</v>
      </c>
      <c r="D322" s="13"/>
      <c r="E322" s="13"/>
      <c r="F322" s="44" t="s">
        <v>5206</v>
      </c>
      <c r="G322" s="43">
        <v>1.0</v>
      </c>
      <c r="H322" s="42"/>
      <c r="I322" s="43"/>
      <c r="J322" s="22"/>
      <c r="K322" s="42"/>
    </row>
    <row r="323" ht="39.75" customHeight="1">
      <c r="A323" s="1">
        <v>322.0</v>
      </c>
      <c r="B323" s="2" t="s">
        <v>47</v>
      </c>
      <c r="C323" s="2" t="s">
        <v>54</v>
      </c>
      <c r="D323" s="13"/>
      <c r="E323" s="13"/>
      <c r="F323" s="45"/>
      <c r="G323" s="42"/>
      <c r="H323" s="42"/>
      <c r="I323" s="42"/>
      <c r="J323" s="22"/>
      <c r="K323" s="42"/>
    </row>
    <row r="324" ht="39.75" customHeight="1">
      <c r="A324" s="1">
        <v>323.0</v>
      </c>
      <c r="B324" s="2" t="s">
        <v>48</v>
      </c>
      <c r="C324" s="2" t="s">
        <v>39</v>
      </c>
      <c r="D324" s="13"/>
      <c r="E324" s="13"/>
      <c r="F324" s="44" t="s">
        <v>5207</v>
      </c>
      <c r="G324" s="43">
        <v>1.0</v>
      </c>
      <c r="H324" s="42"/>
      <c r="I324" s="42"/>
      <c r="J324" s="22"/>
      <c r="K324" s="42"/>
    </row>
    <row r="325" ht="39.75" customHeight="1">
      <c r="A325" s="1">
        <v>324.0</v>
      </c>
      <c r="B325" s="21"/>
      <c r="C325" s="21"/>
      <c r="D325" s="21"/>
      <c r="E325" s="21"/>
      <c r="F325" s="46"/>
      <c r="G325" s="47"/>
      <c r="H325" s="47"/>
      <c r="I325" s="47"/>
      <c r="J325" s="48"/>
      <c r="K325" s="47"/>
      <c r="L325" s="49"/>
      <c r="M325" s="49"/>
      <c r="N325" s="49"/>
    </row>
    <row r="326" ht="39.75" customHeight="1">
      <c r="A326" s="1">
        <v>325.0</v>
      </c>
      <c r="B326" s="2" t="s">
        <v>12</v>
      </c>
      <c r="C326" s="2" t="s">
        <v>49</v>
      </c>
      <c r="D326" s="2"/>
      <c r="E326" s="13"/>
      <c r="F326" s="44" t="s">
        <v>1889</v>
      </c>
      <c r="G326" s="42"/>
      <c r="H326" s="42"/>
      <c r="I326" s="42"/>
      <c r="J326" s="27" t="s">
        <v>14</v>
      </c>
      <c r="K326" s="42"/>
      <c r="L326" s="15" t="s">
        <v>244</v>
      </c>
    </row>
    <row r="327" ht="39.75" customHeight="1">
      <c r="A327" s="1">
        <v>326.0</v>
      </c>
      <c r="B327" s="2" t="s">
        <v>16</v>
      </c>
      <c r="C327" s="2" t="s">
        <v>39</v>
      </c>
      <c r="D327" s="40">
        <v>0.375</v>
      </c>
      <c r="E327" s="13"/>
      <c r="F327" s="44" t="s">
        <v>5208</v>
      </c>
      <c r="G327" s="43">
        <v>1.0</v>
      </c>
      <c r="H327" s="42"/>
      <c r="I327" s="42"/>
      <c r="J327" s="27" t="s">
        <v>244</v>
      </c>
      <c r="K327" s="43"/>
    </row>
    <row r="328" ht="39.75" hidden="1" customHeight="1">
      <c r="A328" s="1">
        <v>327.0</v>
      </c>
      <c r="B328" s="2" t="s">
        <v>116</v>
      </c>
      <c r="C328" s="2" t="s">
        <v>13</v>
      </c>
      <c r="D328" s="13"/>
      <c r="E328" s="13"/>
      <c r="F328" s="45"/>
      <c r="G328" s="42"/>
      <c r="H328" s="42"/>
      <c r="I328" s="42"/>
      <c r="J328" s="27" t="s">
        <v>149</v>
      </c>
      <c r="K328" s="42"/>
    </row>
    <row r="329" ht="39.75" customHeight="1">
      <c r="A329" s="1">
        <v>328.0</v>
      </c>
      <c r="B329" s="2" t="s">
        <v>263</v>
      </c>
      <c r="C329" s="2" t="s">
        <v>272</v>
      </c>
      <c r="D329" s="13"/>
      <c r="E329" s="13"/>
      <c r="F329" s="44" t="s">
        <v>1186</v>
      </c>
      <c r="G329" s="43">
        <v>1.0</v>
      </c>
      <c r="H329" s="42"/>
      <c r="I329" s="43">
        <v>1.0</v>
      </c>
      <c r="J329" s="27" t="s">
        <v>151</v>
      </c>
      <c r="K329" s="42"/>
    </row>
    <row r="330" ht="39.75" hidden="1" customHeight="1">
      <c r="A330" s="1">
        <v>329.0</v>
      </c>
      <c r="B330" s="2" t="s">
        <v>331</v>
      </c>
      <c r="C330" s="2" t="s">
        <v>13</v>
      </c>
      <c r="D330" s="13"/>
      <c r="E330" s="13"/>
      <c r="F330" s="45"/>
      <c r="G330" s="42"/>
      <c r="H330" s="42"/>
      <c r="I330" s="42"/>
      <c r="J330" s="27" t="s">
        <v>152</v>
      </c>
      <c r="K330" s="42"/>
    </row>
    <row r="331" ht="39.75" customHeight="1">
      <c r="A331" s="1">
        <v>330.0</v>
      </c>
      <c r="B331" s="2" t="s">
        <v>21</v>
      </c>
      <c r="C331" s="2" t="s">
        <v>63</v>
      </c>
      <c r="D331" s="13"/>
      <c r="E331" s="13"/>
      <c r="F331" s="45"/>
      <c r="G331" s="42"/>
      <c r="H331" s="42"/>
      <c r="I331" s="42"/>
      <c r="J331" s="27" t="s">
        <v>154</v>
      </c>
      <c r="K331" s="42"/>
    </row>
    <row r="332" ht="39.75" hidden="1" customHeight="1">
      <c r="A332" s="1">
        <v>331.0</v>
      </c>
      <c r="B332" s="2" t="s">
        <v>22</v>
      </c>
      <c r="C332" s="2" t="s">
        <v>13</v>
      </c>
      <c r="D332" s="13"/>
      <c r="E332" s="13"/>
      <c r="F332" s="45"/>
      <c r="G332" s="42"/>
      <c r="H332" s="42"/>
      <c r="I332" s="42"/>
      <c r="J332" s="22"/>
      <c r="K332" s="42"/>
    </row>
    <row r="333" ht="39.75" hidden="1" customHeight="1">
      <c r="A333" s="1">
        <v>332.0</v>
      </c>
      <c r="B333" s="2" t="s">
        <v>23</v>
      </c>
      <c r="C333" s="2" t="s">
        <v>13</v>
      </c>
      <c r="D333" s="13"/>
      <c r="E333" s="13"/>
      <c r="F333" s="45"/>
      <c r="G333" s="42"/>
      <c r="H333" s="42"/>
      <c r="I333" s="42"/>
      <c r="J333" s="22"/>
      <c r="K333" s="42"/>
    </row>
    <row r="334" ht="39.75" hidden="1" customHeight="1">
      <c r="A334" s="1">
        <v>333.0</v>
      </c>
      <c r="B334" s="2" t="s">
        <v>24</v>
      </c>
      <c r="C334" s="2" t="s">
        <v>13</v>
      </c>
      <c r="D334" s="13"/>
      <c r="E334" s="13"/>
      <c r="F334" s="45"/>
      <c r="G334" s="42"/>
      <c r="H334" s="42"/>
      <c r="I334" s="42"/>
      <c r="J334" s="22"/>
      <c r="K334" s="42"/>
    </row>
    <row r="335" ht="39.75" hidden="1" customHeight="1">
      <c r="A335" s="1">
        <v>334.0</v>
      </c>
      <c r="B335" s="2" t="s">
        <v>25</v>
      </c>
      <c r="C335" s="2" t="s">
        <v>13</v>
      </c>
      <c r="D335" s="13"/>
      <c r="E335" s="13"/>
      <c r="F335" s="45"/>
      <c r="G335" s="42"/>
      <c r="H335" s="42"/>
      <c r="I335" s="42"/>
      <c r="J335" s="22"/>
      <c r="K335" s="42"/>
    </row>
    <row r="336" ht="39.75" hidden="1" customHeight="1">
      <c r="A336" s="1">
        <v>335.0</v>
      </c>
      <c r="B336" s="2" t="s">
        <v>26</v>
      </c>
      <c r="C336" s="2" t="s">
        <v>13</v>
      </c>
      <c r="D336" s="13"/>
      <c r="E336" s="13"/>
      <c r="F336" s="45"/>
      <c r="G336" s="42"/>
      <c r="H336" s="42"/>
      <c r="I336" s="42"/>
      <c r="J336" s="22"/>
      <c r="K336" s="42"/>
    </row>
    <row r="337" ht="39.75" hidden="1" customHeight="1">
      <c r="A337" s="1">
        <v>336.0</v>
      </c>
      <c r="B337" s="2" t="s">
        <v>29</v>
      </c>
      <c r="C337" s="2" t="s">
        <v>13</v>
      </c>
      <c r="D337" s="13"/>
      <c r="E337" s="13"/>
      <c r="F337" s="45"/>
      <c r="G337" s="42"/>
      <c r="H337" s="42"/>
      <c r="I337" s="42"/>
      <c r="J337" s="22"/>
      <c r="K337" s="42"/>
    </row>
    <row r="338" ht="39.75" hidden="1" customHeight="1">
      <c r="A338" s="1">
        <v>337.0</v>
      </c>
      <c r="B338" s="2" t="s">
        <v>30</v>
      </c>
      <c r="C338" s="2" t="s">
        <v>13</v>
      </c>
      <c r="D338" s="13"/>
      <c r="E338" s="13"/>
      <c r="F338" s="45"/>
      <c r="G338" s="42"/>
      <c r="H338" s="42"/>
      <c r="I338" s="42"/>
      <c r="J338" s="22"/>
      <c r="K338" s="42"/>
    </row>
    <row r="339" ht="39.75" hidden="1" customHeight="1">
      <c r="A339" s="1">
        <v>338.0</v>
      </c>
      <c r="B339" s="2" t="s">
        <v>31</v>
      </c>
      <c r="C339" s="2" t="s">
        <v>13</v>
      </c>
      <c r="D339" s="13"/>
      <c r="E339" s="13"/>
      <c r="F339" s="44"/>
      <c r="G339" s="42"/>
      <c r="H339" s="42"/>
      <c r="I339" s="42"/>
      <c r="J339" s="22"/>
      <c r="K339" s="42"/>
    </row>
    <row r="340" ht="39.75" customHeight="1">
      <c r="A340" s="1">
        <v>339.0</v>
      </c>
      <c r="B340" s="2" t="s">
        <v>32</v>
      </c>
      <c r="C340" s="2"/>
      <c r="D340" s="40">
        <v>0.375</v>
      </c>
      <c r="E340" s="13"/>
      <c r="F340" s="44" t="s">
        <v>5209</v>
      </c>
      <c r="G340" s="43">
        <v>1.0</v>
      </c>
      <c r="H340" s="42"/>
      <c r="I340" s="42"/>
      <c r="J340" s="22"/>
      <c r="K340" s="42"/>
    </row>
    <row r="341" ht="39.75" hidden="1" customHeight="1">
      <c r="A341" s="1">
        <v>340.0</v>
      </c>
      <c r="B341" s="2" t="s">
        <v>67</v>
      </c>
      <c r="C341" s="2" t="s">
        <v>13</v>
      </c>
      <c r="D341" s="13"/>
      <c r="E341" s="13"/>
      <c r="F341" s="45"/>
      <c r="G341" s="42"/>
      <c r="H341" s="42"/>
      <c r="I341" s="42"/>
      <c r="J341" s="22"/>
      <c r="K341" s="42"/>
    </row>
    <row r="342" ht="39.75" hidden="1" customHeight="1">
      <c r="A342" s="1">
        <v>341.0</v>
      </c>
      <c r="B342" s="2" t="s">
        <v>35</v>
      </c>
      <c r="C342" s="2" t="s">
        <v>13</v>
      </c>
      <c r="D342" s="13"/>
      <c r="E342" s="13"/>
      <c r="F342" s="45"/>
      <c r="G342" s="42"/>
      <c r="H342" s="42"/>
      <c r="I342" s="42"/>
      <c r="J342" s="22"/>
      <c r="K342" s="42"/>
    </row>
    <row r="343" ht="39.75" hidden="1" customHeight="1">
      <c r="A343" s="1">
        <v>342.0</v>
      </c>
      <c r="B343" s="2" t="s">
        <v>36</v>
      </c>
      <c r="C343" s="2" t="s">
        <v>13</v>
      </c>
      <c r="D343" s="13"/>
      <c r="E343" s="13"/>
      <c r="F343" s="45"/>
      <c r="G343" s="42"/>
      <c r="H343" s="42"/>
      <c r="I343" s="42"/>
      <c r="J343" s="22"/>
      <c r="K343" s="42"/>
    </row>
    <row r="344" ht="39.75" hidden="1" customHeight="1">
      <c r="A344" s="1">
        <v>343.0</v>
      </c>
      <c r="B344" s="2" t="s">
        <v>38</v>
      </c>
      <c r="C344" s="2" t="s">
        <v>13</v>
      </c>
      <c r="D344" s="13"/>
      <c r="E344" s="13"/>
      <c r="F344" s="45"/>
      <c r="G344" s="42"/>
      <c r="H344" s="42"/>
      <c r="I344" s="42"/>
      <c r="J344" s="22"/>
      <c r="K344" s="42"/>
    </row>
    <row r="345" ht="39.75" hidden="1" customHeight="1">
      <c r="A345" s="1">
        <v>344.0</v>
      </c>
      <c r="B345" s="2" t="s">
        <v>41</v>
      </c>
      <c r="C345" s="2" t="s">
        <v>13</v>
      </c>
      <c r="D345" s="13"/>
      <c r="E345" s="13"/>
      <c r="F345" s="45"/>
      <c r="G345" s="42"/>
      <c r="H345" s="42"/>
      <c r="I345" s="42"/>
      <c r="J345" s="22"/>
      <c r="K345" s="42"/>
    </row>
    <row r="346" ht="39.75" customHeight="1">
      <c r="A346" s="1">
        <v>345.0</v>
      </c>
      <c r="B346" s="2" t="s">
        <v>42</v>
      </c>
      <c r="C346" s="2" t="s">
        <v>27</v>
      </c>
      <c r="D346" s="13"/>
      <c r="E346" s="13"/>
      <c r="F346" s="44" t="s">
        <v>5210</v>
      </c>
      <c r="G346" s="43">
        <v>2.0</v>
      </c>
      <c r="H346" s="42"/>
      <c r="I346" s="43">
        <v>1.0</v>
      </c>
      <c r="J346" s="22"/>
      <c r="K346" s="42"/>
    </row>
    <row r="347" ht="39.75" hidden="1" customHeight="1">
      <c r="A347" s="1">
        <v>346.0</v>
      </c>
      <c r="B347" s="2" t="s">
        <v>43</v>
      </c>
      <c r="C347" s="2" t="s">
        <v>13</v>
      </c>
      <c r="D347" s="13"/>
      <c r="E347" s="13"/>
      <c r="F347" s="45"/>
      <c r="G347" s="42"/>
      <c r="H347" s="42"/>
      <c r="I347" s="42"/>
      <c r="J347" s="22"/>
      <c r="K347" s="42"/>
    </row>
    <row r="348" ht="39.75" hidden="1" customHeight="1">
      <c r="A348" s="1">
        <v>347.0</v>
      </c>
      <c r="B348" s="2" t="s">
        <v>45</v>
      </c>
      <c r="C348" s="2" t="s">
        <v>13</v>
      </c>
      <c r="D348" s="13"/>
      <c r="E348" s="13"/>
      <c r="F348" s="45"/>
      <c r="G348" s="42"/>
      <c r="H348" s="42"/>
      <c r="I348" s="42"/>
      <c r="J348" s="22"/>
      <c r="K348" s="42"/>
    </row>
    <row r="349" ht="39.75" customHeight="1">
      <c r="A349" s="1">
        <v>348.0</v>
      </c>
      <c r="B349" s="2" t="s">
        <v>46</v>
      </c>
      <c r="C349" s="2" t="s">
        <v>44</v>
      </c>
      <c r="D349" s="13"/>
      <c r="E349" s="13"/>
      <c r="F349" s="45"/>
      <c r="G349" s="42"/>
      <c r="H349" s="42"/>
      <c r="I349" s="42"/>
      <c r="J349" s="22"/>
      <c r="K349" s="42"/>
    </row>
    <row r="350" ht="39.75" hidden="1" customHeight="1">
      <c r="A350" s="1">
        <v>349.0</v>
      </c>
      <c r="B350" s="2" t="s">
        <v>47</v>
      </c>
      <c r="C350" s="2" t="s">
        <v>13</v>
      </c>
      <c r="D350" s="13"/>
      <c r="E350" s="13"/>
      <c r="F350" s="45"/>
      <c r="G350" s="42"/>
      <c r="H350" s="42"/>
      <c r="I350" s="42"/>
      <c r="J350" s="22"/>
      <c r="K350" s="42"/>
    </row>
    <row r="351" ht="39.75" customHeight="1">
      <c r="A351" s="1">
        <v>350.0</v>
      </c>
      <c r="B351" s="2" t="s">
        <v>48</v>
      </c>
      <c r="C351" s="2"/>
      <c r="D351" s="40">
        <v>0.375</v>
      </c>
      <c r="E351" s="13"/>
      <c r="F351" s="44" t="s">
        <v>5211</v>
      </c>
      <c r="G351" s="43">
        <v>1.0</v>
      </c>
      <c r="H351" s="42"/>
      <c r="I351" s="43">
        <v>1.0</v>
      </c>
      <c r="J351" s="22"/>
      <c r="K351" s="42"/>
    </row>
    <row r="352" ht="39.75" customHeight="1">
      <c r="A352" s="1">
        <v>351.0</v>
      </c>
      <c r="B352" s="21"/>
      <c r="C352" s="21"/>
      <c r="D352" s="21"/>
      <c r="E352" s="21"/>
      <c r="F352" s="46"/>
      <c r="G352" s="47"/>
      <c r="H352" s="47"/>
      <c r="I352" s="47"/>
      <c r="J352" s="48"/>
      <c r="K352" s="47"/>
      <c r="L352" s="49"/>
      <c r="M352" s="49"/>
      <c r="N352" s="49"/>
    </row>
    <row r="353" ht="39.75" hidden="1" customHeight="1">
      <c r="A353" s="1">
        <v>352.0</v>
      </c>
      <c r="B353" s="2" t="s">
        <v>12</v>
      </c>
      <c r="C353" s="2" t="s">
        <v>13</v>
      </c>
      <c r="D353" s="13"/>
      <c r="E353" s="13"/>
      <c r="F353" s="45"/>
      <c r="G353" s="42"/>
      <c r="H353" s="42"/>
      <c r="I353" s="42"/>
      <c r="J353" s="27" t="s">
        <v>14</v>
      </c>
      <c r="K353" s="42"/>
      <c r="L353" s="15" t="s">
        <v>260</v>
      </c>
    </row>
    <row r="354" ht="39.75" hidden="1" customHeight="1">
      <c r="A354" s="1">
        <v>353.0</v>
      </c>
      <c r="B354" s="2" t="s">
        <v>16</v>
      </c>
      <c r="C354" s="2" t="s">
        <v>13</v>
      </c>
      <c r="D354" s="13"/>
      <c r="E354" s="13"/>
      <c r="F354" s="45"/>
      <c r="G354" s="42"/>
      <c r="H354" s="42"/>
      <c r="I354" s="42"/>
      <c r="J354" s="27" t="s">
        <v>260</v>
      </c>
      <c r="K354" s="43"/>
    </row>
    <row r="355" ht="39.75" hidden="1" customHeight="1">
      <c r="A355" s="1">
        <v>354.0</v>
      </c>
      <c r="B355" s="2" t="s">
        <v>116</v>
      </c>
      <c r="C355" s="2" t="s">
        <v>13</v>
      </c>
      <c r="D355" s="13"/>
      <c r="E355" s="13"/>
      <c r="F355" s="45"/>
      <c r="G355" s="42"/>
      <c r="H355" s="42"/>
      <c r="I355" s="42"/>
      <c r="J355" s="27" t="s">
        <v>19</v>
      </c>
      <c r="K355" s="42"/>
    </row>
    <row r="356" ht="39.75" customHeight="1">
      <c r="A356" s="1">
        <v>355.0</v>
      </c>
      <c r="B356" s="2" t="s">
        <v>20</v>
      </c>
      <c r="C356" s="2" t="s">
        <v>271</v>
      </c>
      <c r="D356" s="13"/>
      <c r="E356" s="13"/>
      <c r="F356" s="44" t="s">
        <v>3521</v>
      </c>
      <c r="G356" s="43">
        <v>1.0</v>
      </c>
      <c r="H356" s="42"/>
      <c r="I356" s="43">
        <v>1.0</v>
      </c>
      <c r="J356" s="27" t="s">
        <v>165</v>
      </c>
      <c r="K356" s="42"/>
    </row>
    <row r="357" ht="39.75" hidden="1" customHeight="1">
      <c r="A357" s="1">
        <v>356.0</v>
      </c>
      <c r="B357" s="2" t="s">
        <v>331</v>
      </c>
      <c r="C357" s="2" t="s">
        <v>13</v>
      </c>
      <c r="D357" s="13"/>
      <c r="E357" s="13"/>
      <c r="F357" s="45"/>
      <c r="G357" s="42"/>
      <c r="H357" s="42"/>
      <c r="I357" s="42"/>
      <c r="J357" s="27" t="s">
        <v>2637</v>
      </c>
      <c r="K357" s="42"/>
    </row>
    <row r="358" ht="39.75" hidden="1" customHeight="1">
      <c r="A358" s="1">
        <v>357.0</v>
      </c>
      <c r="B358" s="2" t="s">
        <v>21</v>
      </c>
      <c r="C358" s="2" t="s">
        <v>13</v>
      </c>
      <c r="D358" s="13"/>
      <c r="E358" s="13"/>
      <c r="F358" s="45"/>
      <c r="G358" s="42"/>
      <c r="H358" s="42"/>
      <c r="I358" s="42"/>
      <c r="J358" s="27" t="s">
        <v>2638</v>
      </c>
      <c r="K358" s="42"/>
    </row>
    <row r="359" ht="39.75" customHeight="1">
      <c r="A359" s="1">
        <v>358.0</v>
      </c>
      <c r="B359" s="2" t="s">
        <v>22</v>
      </c>
      <c r="C359" s="2" t="s">
        <v>39</v>
      </c>
      <c r="D359" s="2"/>
      <c r="E359" s="13"/>
      <c r="F359" s="44" t="s">
        <v>5212</v>
      </c>
      <c r="G359" s="43">
        <v>1.0</v>
      </c>
      <c r="H359" s="42"/>
      <c r="I359" s="43">
        <v>1.0</v>
      </c>
      <c r="J359" s="22"/>
      <c r="K359" s="42"/>
    </row>
    <row r="360" ht="39.75" hidden="1" customHeight="1">
      <c r="A360" s="1">
        <v>359.0</v>
      </c>
      <c r="B360" s="2" t="s">
        <v>23</v>
      </c>
      <c r="C360" s="2" t="s">
        <v>13</v>
      </c>
      <c r="D360" s="13"/>
      <c r="E360" s="13"/>
      <c r="F360" s="45"/>
      <c r="G360" s="42"/>
      <c r="H360" s="42"/>
      <c r="I360" s="42"/>
      <c r="J360" s="22"/>
      <c r="K360" s="42"/>
    </row>
    <row r="361" ht="39.75" customHeight="1">
      <c r="A361" s="1">
        <v>360.0</v>
      </c>
      <c r="B361" s="2" t="s">
        <v>24</v>
      </c>
      <c r="C361" s="2" t="s">
        <v>63</v>
      </c>
      <c r="D361" s="13"/>
      <c r="E361" s="13"/>
      <c r="F361" s="45"/>
      <c r="G361" s="42"/>
      <c r="H361" s="42"/>
      <c r="I361" s="42"/>
      <c r="J361" s="22"/>
      <c r="K361" s="42"/>
    </row>
    <row r="362" ht="39.75" hidden="1" customHeight="1">
      <c r="A362" s="1">
        <v>361.0</v>
      </c>
      <c r="B362" s="2" t="s">
        <v>25</v>
      </c>
      <c r="C362" s="2" t="s">
        <v>13</v>
      </c>
      <c r="D362" s="13"/>
      <c r="E362" s="13"/>
      <c r="F362" s="45"/>
      <c r="G362" s="42"/>
      <c r="H362" s="42"/>
      <c r="I362" s="42"/>
      <c r="J362" s="22"/>
      <c r="K362" s="42"/>
    </row>
    <row r="363" ht="39.75" hidden="1" customHeight="1">
      <c r="A363" s="1">
        <v>362.0</v>
      </c>
      <c r="B363" s="2" t="s">
        <v>26</v>
      </c>
      <c r="C363" s="2" t="s">
        <v>13</v>
      </c>
      <c r="D363" s="13"/>
      <c r="E363" s="13"/>
      <c r="F363" s="45"/>
      <c r="G363" s="42"/>
      <c r="H363" s="42"/>
      <c r="I363" s="42"/>
      <c r="J363" s="22"/>
      <c r="K363" s="42"/>
    </row>
    <row r="364" ht="39.75" customHeight="1">
      <c r="A364" s="1">
        <v>363.0</v>
      </c>
      <c r="B364" s="2" t="s">
        <v>29</v>
      </c>
      <c r="C364" s="2"/>
      <c r="D364" s="13"/>
      <c r="E364" s="40">
        <v>0.375</v>
      </c>
      <c r="F364" s="44" t="s">
        <v>3871</v>
      </c>
      <c r="G364" s="43">
        <v>1.0</v>
      </c>
      <c r="H364" s="42"/>
      <c r="I364" s="43">
        <v>1.0</v>
      </c>
      <c r="J364" s="22"/>
      <c r="K364" s="42"/>
    </row>
    <row r="365" ht="39.75" hidden="1" customHeight="1">
      <c r="A365" s="1">
        <v>364.0</v>
      </c>
      <c r="B365" s="2" t="s">
        <v>30</v>
      </c>
      <c r="C365" s="2" t="s">
        <v>13</v>
      </c>
      <c r="D365" s="13"/>
      <c r="E365" s="13"/>
      <c r="F365" s="45"/>
      <c r="G365" s="42"/>
      <c r="H365" s="42"/>
      <c r="I365" s="42"/>
      <c r="J365" s="22"/>
      <c r="K365" s="42"/>
    </row>
    <row r="366" ht="39.75" customHeight="1">
      <c r="A366" s="1">
        <v>365.0</v>
      </c>
      <c r="B366" s="2" t="s">
        <v>33</v>
      </c>
      <c r="C366" s="2" t="s">
        <v>272</v>
      </c>
      <c r="D366" s="13"/>
      <c r="E366" s="13"/>
      <c r="F366" s="44" t="s">
        <v>1186</v>
      </c>
      <c r="G366" s="43">
        <v>1.0</v>
      </c>
      <c r="H366" s="42"/>
      <c r="I366" s="43">
        <v>1.0</v>
      </c>
      <c r="J366" s="22"/>
      <c r="K366" s="42"/>
    </row>
    <row r="367" ht="39.75" hidden="1" customHeight="1">
      <c r="A367" s="1">
        <v>366.0</v>
      </c>
      <c r="B367" s="2" t="s">
        <v>32</v>
      </c>
      <c r="C367" s="2" t="s">
        <v>13</v>
      </c>
      <c r="D367" s="13"/>
      <c r="E367" s="13"/>
      <c r="F367" s="45"/>
      <c r="G367" s="42"/>
      <c r="H367" s="42"/>
      <c r="I367" s="42"/>
      <c r="J367" s="22"/>
      <c r="K367" s="42"/>
    </row>
    <row r="368" ht="39.75" hidden="1" customHeight="1">
      <c r="A368" s="1">
        <v>367.0</v>
      </c>
      <c r="B368" s="2" t="s">
        <v>67</v>
      </c>
      <c r="C368" s="2" t="s">
        <v>13</v>
      </c>
      <c r="D368" s="13"/>
      <c r="E368" s="13"/>
      <c r="F368" s="45"/>
      <c r="G368" s="42"/>
      <c r="H368" s="42"/>
      <c r="I368" s="42"/>
      <c r="J368" s="22"/>
      <c r="K368" s="42"/>
    </row>
    <row r="369" ht="39.75" customHeight="1">
      <c r="A369" s="1">
        <v>368.0</v>
      </c>
      <c r="B369" s="2" t="s">
        <v>35</v>
      </c>
      <c r="C369" s="2" t="s">
        <v>49</v>
      </c>
      <c r="D369" s="13"/>
      <c r="E369" s="13"/>
      <c r="F369" s="44" t="s">
        <v>5213</v>
      </c>
      <c r="G369" s="43">
        <v>1.0</v>
      </c>
      <c r="H369" s="42"/>
      <c r="I369" s="42"/>
      <c r="J369" s="22"/>
      <c r="K369" s="42"/>
    </row>
    <row r="370" ht="39.75" customHeight="1">
      <c r="A370" s="1">
        <v>369.0</v>
      </c>
      <c r="B370" s="2" t="s">
        <v>36</v>
      </c>
      <c r="C370" s="2"/>
      <c r="D370" s="13"/>
      <c r="E370" s="40">
        <v>0.375</v>
      </c>
      <c r="F370" s="45"/>
      <c r="G370" s="42"/>
      <c r="H370" s="42"/>
      <c r="I370" s="42"/>
      <c r="J370" s="22"/>
      <c r="K370" s="42"/>
    </row>
    <row r="371" ht="39.75" hidden="1" customHeight="1">
      <c r="A371" s="1">
        <v>370.0</v>
      </c>
      <c r="B371" s="2" t="s">
        <v>38</v>
      </c>
      <c r="C371" s="2" t="s">
        <v>13</v>
      </c>
      <c r="D371" s="13"/>
      <c r="E371" s="13"/>
      <c r="F371" s="45"/>
      <c r="G371" s="42"/>
      <c r="H371" s="42"/>
      <c r="I371" s="42"/>
      <c r="J371" s="22"/>
      <c r="K371" s="42"/>
    </row>
    <row r="372" ht="39.75" hidden="1" customHeight="1">
      <c r="A372" s="1">
        <v>371.0</v>
      </c>
      <c r="B372" s="2" t="s">
        <v>41</v>
      </c>
      <c r="C372" s="2" t="s">
        <v>13</v>
      </c>
      <c r="D372" s="13"/>
      <c r="E372" s="13"/>
      <c r="F372" s="45"/>
      <c r="G372" s="42"/>
      <c r="H372" s="42"/>
      <c r="I372" s="42"/>
      <c r="J372" s="22"/>
      <c r="K372" s="42"/>
    </row>
    <row r="373" ht="39.75" customHeight="1">
      <c r="A373" s="1">
        <v>372.0</v>
      </c>
      <c r="B373" s="2" t="s">
        <v>42</v>
      </c>
      <c r="C373" s="2" t="s">
        <v>44</v>
      </c>
      <c r="D373" s="13"/>
      <c r="E373" s="13"/>
      <c r="F373" s="45"/>
      <c r="G373" s="42"/>
      <c r="H373" s="42"/>
      <c r="I373" s="42"/>
      <c r="J373" s="22"/>
      <c r="K373" s="42"/>
    </row>
    <row r="374" ht="39.75" customHeight="1">
      <c r="A374" s="1">
        <v>373.0</v>
      </c>
      <c r="B374" s="2" t="s">
        <v>43</v>
      </c>
      <c r="C374" s="2" t="s">
        <v>27</v>
      </c>
      <c r="D374" s="13"/>
      <c r="E374" s="13"/>
      <c r="F374" s="45"/>
      <c r="G374" s="42"/>
      <c r="H374" s="42"/>
      <c r="I374" s="42"/>
      <c r="J374" s="22"/>
      <c r="K374" s="42"/>
    </row>
    <row r="375" ht="39.75" hidden="1" customHeight="1">
      <c r="A375" s="1">
        <v>374.0</v>
      </c>
      <c r="B375" s="2" t="s">
        <v>45</v>
      </c>
      <c r="C375" s="2" t="s">
        <v>13</v>
      </c>
      <c r="D375" s="13"/>
      <c r="E375" s="13"/>
      <c r="F375" s="45"/>
      <c r="G375" s="42"/>
      <c r="H375" s="42"/>
      <c r="I375" s="42"/>
      <c r="J375" s="22"/>
      <c r="K375" s="42"/>
    </row>
    <row r="376" ht="39.75" hidden="1" customHeight="1">
      <c r="A376" s="1">
        <v>375.0</v>
      </c>
      <c r="B376" s="2" t="s">
        <v>46</v>
      </c>
      <c r="C376" s="2" t="s">
        <v>13</v>
      </c>
      <c r="D376" s="13"/>
      <c r="E376" s="13"/>
      <c r="F376" s="45"/>
      <c r="G376" s="42"/>
      <c r="H376" s="42"/>
      <c r="I376" s="42"/>
      <c r="J376" s="22"/>
      <c r="K376" s="42"/>
    </row>
    <row r="377" ht="39.75" hidden="1" customHeight="1">
      <c r="A377" s="1">
        <v>376.0</v>
      </c>
      <c r="B377" s="2" t="s">
        <v>47</v>
      </c>
      <c r="C377" s="2" t="s">
        <v>13</v>
      </c>
      <c r="D377" s="13"/>
      <c r="E377" s="13"/>
      <c r="F377" s="45"/>
      <c r="G377" s="42"/>
      <c r="H377" s="42"/>
      <c r="I377" s="42"/>
      <c r="J377" s="22"/>
      <c r="K377" s="42"/>
    </row>
    <row r="378" ht="39.75" hidden="1" customHeight="1">
      <c r="A378" s="1">
        <v>377.0</v>
      </c>
      <c r="B378" s="2" t="s">
        <v>48</v>
      </c>
      <c r="C378" s="2" t="s">
        <v>13</v>
      </c>
      <c r="D378" s="13"/>
      <c r="E378" s="13"/>
      <c r="F378" s="45"/>
      <c r="G378" s="42"/>
      <c r="H378" s="42"/>
      <c r="I378" s="42"/>
      <c r="J378" s="22"/>
      <c r="K378" s="42"/>
    </row>
    <row r="379" ht="39.75" customHeight="1">
      <c r="A379" s="1">
        <v>378.0</v>
      </c>
      <c r="B379" s="21"/>
      <c r="C379" s="21"/>
      <c r="D379" s="21"/>
      <c r="E379" s="21"/>
      <c r="F379" s="46"/>
      <c r="G379" s="47"/>
      <c r="H379" s="47"/>
      <c r="I379" s="47"/>
      <c r="J379" s="48"/>
      <c r="K379" s="47"/>
      <c r="L379" s="49"/>
      <c r="M379" s="49"/>
      <c r="N379" s="49"/>
    </row>
    <row r="380" ht="39.75" hidden="1" customHeight="1">
      <c r="A380" s="1">
        <v>379.0</v>
      </c>
      <c r="B380" s="2" t="s">
        <v>12</v>
      </c>
      <c r="C380" s="2" t="s">
        <v>58</v>
      </c>
      <c r="D380" s="13"/>
      <c r="E380" s="13"/>
      <c r="F380" s="45"/>
      <c r="G380" s="42"/>
      <c r="H380" s="42"/>
      <c r="I380" s="42"/>
      <c r="J380" s="27" t="s">
        <v>14</v>
      </c>
      <c r="K380" s="42"/>
      <c r="L380" s="15" t="s">
        <v>269</v>
      </c>
    </row>
    <row r="381" ht="39.75" customHeight="1">
      <c r="A381" s="1">
        <v>380.0</v>
      </c>
      <c r="B381" s="2" t="s">
        <v>16</v>
      </c>
      <c r="C381" s="2"/>
      <c r="D381" s="13"/>
      <c r="E381" s="13"/>
      <c r="F381" s="44" t="s">
        <v>5214</v>
      </c>
      <c r="G381" s="43">
        <v>1.0</v>
      </c>
      <c r="H381" s="42"/>
      <c r="I381" s="43"/>
      <c r="J381" s="27" t="s">
        <v>269</v>
      </c>
      <c r="K381" s="43"/>
    </row>
    <row r="382" ht="39.75" customHeight="1">
      <c r="A382" s="1">
        <v>381.0</v>
      </c>
      <c r="B382" s="2" t="s">
        <v>116</v>
      </c>
      <c r="C382" s="2"/>
      <c r="D382" s="13"/>
      <c r="E382" s="13"/>
      <c r="F382" s="44" t="s">
        <v>5215</v>
      </c>
      <c r="G382" s="43">
        <v>1.0</v>
      </c>
      <c r="H382" s="42"/>
      <c r="I382" s="42"/>
      <c r="J382" s="27" t="s">
        <v>56</v>
      </c>
      <c r="K382" s="42"/>
    </row>
    <row r="383" ht="39.75" customHeight="1">
      <c r="A383" s="1">
        <v>382.0</v>
      </c>
      <c r="B383" s="2" t="s">
        <v>17</v>
      </c>
      <c r="C383" s="2" t="s">
        <v>54</v>
      </c>
      <c r="D383" s="13"/>
      <c r="E383" s="13"/>
      <c r="F383" s="44" t="s">
        <v>5216</v>
      </c>
      <c r="G383" s="43">
        <v>2.0</v>
      </c>
      <c r="H383" s="42"/>
      <c r="I383" s="42"/>
      <c r="J383" s="22"/>
      <c r="K383" s="42"/>
    </row>
    <row r="384" ht="39.75" customHeight="1">
      <c r="A384" s="1">
        <v>383.0</v>
      </c>
      <c r="B384" s="2" t="s">
        <v>331</v>
      </c>
      <c r="C384" s="2" t="s">
        <v>542</v>
      </c>
      <c r="D384" s="13"/>
      <c r="E384" s="13"/>
      <c r="F384" s="44" t="s">
        <v>5217</v>
      </c>
      <c r="G384" s="43">
        <v>1.0</v>
      </c>
      <c r="H384" s="42"/>
      <c r="I384" s="42"/>
      <c r="J384" s="22"/>
      <c r="K384" s="42"/>
    </row>
    <row r="385" ht="39.75" hidden="1" customHeight="1">
      <c r="A385" s="1">
        <v>384.0</v>
      </c>
      <c r="B385" s="2" t="s">
        <v>21</v>
      </c>
      <c r="C385" s="2" t="s">
        <v>58</v>
      </c>
      <c r="D385" s="13"/>
      <c r="E385" s="13"/>
      <c r="F385" s="45"/>
      <c r="G385" s="42"/>
      <c r="H385" s="42"/>
      <c r="I385" s="42"/>
      <c r="J385" s="22"/>
      <c r="K385" s="42"/>
    </row>
    <row r="386" ht="39.75" customHeight="1">
      <c r="A386" s="1">
        <v>385.0</v>
      </c>
      <c r="B386" s="2" t="s">
        <v>22</v>
      </c>
      <c r="C386" s="2"/>
      <c r="D386" s="13"/>
      <c r="E386" s="13"/>
      <c r="F386" s="44" t="s">
        <v>2788</v>
      </c>
      <c r="G386" s="43">
        <v>1.0</v>
      </c>
      <c r="H386" s="42"/>
      <c r="I386" s="43">
        <v>1.0</v>
      </c>
      <c r="J386" s="22"/>
      <c r="K386" s="42"/>
    </row>
    <row r="387" ht="39.75" customHeight="1">
      <c r="A387" s="1">
        <v>386.0</v>
      </c>
      <c r="B387" s="2" t="s">
        <v>23</v>
      </c>
      <c r="C387" s="2" t="s">
        <v>54</v>
      </c>
      <c r="D387" s="13"/>
      <c r="E387" s="13"/>
      <c r="F387" s="44" t="s">
        <v>5218</v>
      </c>
      <c r="G387" s="43">
        <v>1.0</v>
      </c>
      <c r="H387" s="42"/>
      <c r="I387" s="43">
        <v>1.0</v>
      </c>
      <c r="J387" s="22"/>
      <c r="K387" s="42"/>
    </row>
    <row r="388" ht="39.75" customHeight="1">
      <c r="A388" s="1">
        <v>387.0</v>
      </c>
      <c r="B388" s="2" t="s">
        <v>24</v>
      </c>
      <c r="C388" s="2" t="s">
        <v>63</v>
      </c>
      <c r="D388" s="13"/>
      <c r="E388" s="13"/>
      <c r="F388" s="45"/>
      <c r="G388" s="42"/>
      <c r="H388" s="42"/>
      <c r="I388" s="42"/>
      <c r="J388" s="22"/>
      <c r="K388" s="42"/>
    </row>
    <row r="389" ht="39.75" hidden="1" customHeight="1">
      <c r="A389" s="1">
        <v>388.0</v>
      </c>
      <c r="B389" s="2" t="s">
        <v>25</v>
      </c>
      <c r="C389" s="2" t="s">
        <v>58</v>
      </c>
      <c r="D389" s="13"/>
      <c r="E389" s="13"/>
      <c r="F389" s="45"/>
      <c r="G389" s="42"/>
      <c r="H389" s="42"/>
      <c r="I389" s="42"/>
      <c r="J389" s="22"/>
      <c r="K389" s="42"/>
    </row>
    <row r="390" ht="39.75" customHeight="1">
      <c r="A390" s="1">
        <v>389.0</v>
      </c>
      <c r="B390" s="2" t="s">
        <v>26</v>
      </c>
      <c r="C390" s="2"/>
      <c r="D390" s="13"/>
      <c r="E390" s="13"/>
      <c r="F390" s="44" t="s">
        <v>5219</v>
      </c>
      <c r="G390" s="43">
        <v>1.0</v>
      </c>
      <c r="H390" s="42"/>
      <c r="I390" s="42"/>
      <c r="J390" s="22"/>
      <c r="K390" s="42"/>
    </row>
    <row r="391" ht="39.75" customHeight="1">
      <c r="A391" s="1">
        <v>390.0</v>
      </c>
      <c r="B391" s="2" t="s">
        <v>29</v>
      </c>
      <c r="C391" s="2" t="s">
        <v>39</v>
      </c>
      <c r="D391" s="13"/>
      <c r="E391" s="13"/>
      <c r="F391" s="44" t="s">
        <v>5220</v>
      </c>
      <c r="G391" s="43">
        <v>1.0</v>
      </c>
      <c r="H391" s="42"/>
      <c r="I391" s="43">
        <v>1.0</v>
      </c>
      <c r="J391" s="22"/>
      <c r="K391" s="42"/>
    </row>
    <row r="392" ht="39.75" customHeight="1">
      <c r="A392" s="1">
        <v>391.0</v>
      </c>
      <c r="B392" s="2" t="s">
        <v>30</v>
      </c>
      <c r="C392" s="2" t="s">
        <v>64</v>
      </c>
      <c r="D392" s="13"/>
      <c r="E392" s="13"/>
      <c r="F392" s="44" t="s">
        <v>2034</v>
      </c>
      <c r="G392" s="43">
        <v>1.0</v>
      </c>
      <c r="H392" s="42"/>
      <c r="I392" s="43">
        <v>1.0</v>
      </c>
      <c r="J392" s="22"/>
      <c r="K392" s="42"/>
    </row>
    <row r="393" ht="39.75" customHeight="1">
      <c r="A393" s="1">
        <v>392.0</v>
      </c>
      <c r="B393" s="2" t="s">
        <v>31</v>
      </c>
      <c r="C393" s="2" t="s">
        <v>54</v>
      </c>
      <c r="D393" s="13"/>
      <c r="E393" s="13"/>
      <c r="F393" s="44" t="s">
        <v>5221</v>
      </c>
      <c r="G393" s="43">
        <v>1.0</v>
      </c>
      <c r="H393" s="42"/>
      <c r="I393" s="42"/>
      <c r="J393" s="22"/>
      <c r="K393" s="42"/>
    </row>
    <row r="394" ht="39.75" customHeight="1">
      <c r="A394" s="1">
        <v>393.0</v>
      </c>
      <c r="B394" s="2" t="s">
        <v>32</v>
      </c>
      <c r="C394" s="2"/>
      <c r="D394" s="13"/>
      <c r="E394" s="13"/>
      <c r="F394" s="44" t="s">
        <v>5222</v>
      </c>
      <c r="G394" s="43">
        <v>1.0</v>
      </c>
      <c r="H394" s="42"/>
      <c r="I394" s="42"/>
      <c r="J394" s="22"/>
      <c r="K394" s="42"/>
    </row>
    <row r="395" ht="39.75" customHeight="1">
      <c r="A395" s="1">
        <v>394.0</v>
      </c>
      <c r="B395" s="2" t="s">
        <v>67</v>
      </c>
      <c r="C395" s="2"/>
      <c r="D395" s="13"/>
      <c r="E395" s="13"/>
      <c r="F395" s="44" t="s">
        <v>5223</v>
      </c>
      <c r="G395" s="43">
        <v>2.0</v>
      </c>
      <c r="H395" s="42"/>
      <c r="I395" s="42"/>
      <c r="J395" s="22"/>
      <c r="K395" s="42"/>
    </row>
    <row r="396" ht="39.75" customHeight="1">
      <c r="A396" s="1">
        <v>395.0</v>
      </c>
      <c r="B396" s="2" t="s">
        <v>35</v>
      </c>
      <c r="C396" s="2" t="s">
        <v>39</v>
      </c>
      <c r="D396" s="13"/>
      <c r="E396" s="13"/>
      <c r="F396" s="44" t="s">
        <v>5224</v>
      </c>
      <c r="G396" s="43">
        <v>1.0</v>
      </c>
      <c r="H396" s="42"/>
      <c r="I396" s="42"/>
      <c r="J396" s="22"/>
      <c r="K396" s="42"/>
    </row>
    <row r="397" ht="39.75" customHeight="1">
      <c r="A397" s="1">
        <v>396.0</v>
      </c>
      <c r="B397" s="2" t="s">
        <v>36</v>
      </c>
      <c r="C397" s="2" t="s">
        <v>69</v>
      </c>
      <c r="D397" s="13"/>
      <c r="E397" s="13"/>
      <c r="F397" s="44" t="s">
        <v>5225</v>
      </c>
      <c r="G397" s="43">
        <v>1.0</v>
      </c>
      <c r="H397" s="42"/>
      <c r="I397" s="42"/>
      <c r="J397" s="22"/>
      <c r="K397" s="42"/>
    </row>
    <row r="398" ht="39.75" customHeight="1">
      <c r="A398" s="1">
        <v>397.0</v>
      </c>
      <c r="B398" s="2" t="s">
        <v>38</v>
      </c>
      <c r="C398" s="2" t="s">
        <v>69</v>
      </c>
      <c r="D398" s="13"/>
      <c r="E398" s="40">
        <v>0.8541666666666666</v>
      </c>
      <c r="F398" s="44" t="s">
        <v>5226</v>
      </c>
      <c r="G398" s="43">
        <v>2.0</v>
      </c>
      <c r="H398" s="42"/>
      <c r="I398" s="43">
        <v>1.0</v>
      </c>
      <c r="J398" s="22"/>
      <c r="K398" s="42"/>
    </row>
    <row r="399" ht="39.75" hidden="1" customHeight="1">
      <c r="A399" s="1">
        <v>398.0</v>
      </c>
      <c r="B399" s="2" t="s">
        <v>41</v>
      </c>
      <c r="C399" s="2" t="s">
        <v>58</v>
      </c>
      <c r="D399" s="13"/>
      <c r="E399" s="13"/>
      <c r="F399" s="45"/>
      <c r="G399" s="42"/>
      <c r="H399" s="42"/>
      <c r="I399" s="42"/>
      <c r="J399" s="22"/>
      <c r="K399" s="42"/>
    </row>
    <row r="400" ht="39.75" hidden="1" customHeight="1">
      <c r="A400" s="1">
        <v>399.0</v>
      </c>
      <c r="B400" s="2" t="s">
        <v>42</v>
      </c>
      <c r="C400" s="2" t="s">
        <v>58</v>
      </c>
      <c r="D400" s="13"/>
      <c r="E400" s="13"/>
      <c r="F400" s="45"/>
      <c r="G400" s="42"/>
      <c r="H400" s="42"/>
      <c r="I400" s="42"/>
      <c r="J400" s="22"/>
      <c r="K400" s="42"/>
    </row>
    <row r="401" ht="39.75" customHeight="1">
      <c r="A401" s="1">
        <v>400.0</v>
      </c>
      <c r="B401" s="2" t="s">
        <v>43</v>
      </c>
      <c r="C401" s="2" t="s">
        <v>44</v>
      </c>
      <c r="D401" s="13"/>
      <c r="E401" s="13"/>
      <c r="F401" s="45"/>
      <c r="G401" s="42"/>
      <c r="H401" s="42"/>
      <c r="I401" s="42"/>
      <c r="J401" s="22"/>
      <c r="K401" s="42"/>
    </row>
    <row r="402" ht="39.75" customHeight="1">
      <c r="A402" s="1">
        <v>401.0</v>
      </c>
      <c r="B402" s="2" t="s">
        <v>45</v>
      </c>
      <c r="C402" s="2" t="s">
        <v>27</v>
      </c>
      <c r="D402" s="13"/>
      <c r="E402" s="13"/>
      <c r="F402" s="44" t="s">
        <v>5227</v>
      </c>
      <c r="G402" s="43">
        <v>1.0</v>
      </c>
      <c r="H402" s="42"/>
      <c r="I402" s="43">
        <v>1.0</v>
      </c>
      <c r="J402" s="22"/>
      <c r="K402" s="42"/>
    </row>
    <row r="403" ht="39.75" customHeight="1">
      <c r="A403" s="1">
        <v>402.0</v>
      </c>
      <c r="B403" s="2" t="s">
        <v>46</v>
      </c>
      <c r="C403" s="2" t="s">
        <v>69</v>
      </c>
      <c r="D403" s="13"/>
      <c r="E403" s="40">
        <v>0.8472222222222222</v>
      </c>
      <c r="F403" s="44" t="s">
        <v>5228</v>
      </c>
      <c r="G403" s="43">
        <v>2.0</v>
      </c>
      <c r="H403" s="42"/>
      <c r="I403" s="43"/>
      <c r="J403" s="22"/>
      <c r="K403" s="42"/>
    </row>
    <row r="404" ht="39.75" hidden="1" customHeight="1">
      <c r="A404" s="1">
        <v>403.0</v>
      </c>
      <c r="B404" s="2" t="s">
        <v>47</v>
      </c>
      <c r="C404" s="2" t="s">
        <v>66</v>
      </c>
      <c r="D404" s="13"/>
      <c r="E404" s="13"/>
      <c r="F404" s="45"/>
      <c r="G404" s="42"/>
      <c r="H404" s="42"/>
      <c r="I404" s="42"/>
      <c r="J404" s="22"/>
      <c r="K404" s="42"/>
    </row>
    <row r="405" ht="39.75" customHeight="1">
      <c r="A405" s="1">
        <v>404.0</v>
      </c>
      <c r="B405" s="2" t="s">
        <v>48</v>
      </c>
      <c r="C405" s="2" t="s">
        <v>54</v>
      </c>
      <c r="D405" s="13"/>
      <c r="E405" s="51">
        <v>0.8333333333333334</v>
      </c>
      <c r="F405" s="44" t="s">
        <v>5229</v>
      </c>
      <c r="G405" s="43">
        <v>2.0</v>
      </c>
      <c r="H405" s="42"/>
      <c r="I405" s="42"/>
      <c r="J405" s="22"/>
      <c r="K405" s="42"/>
    </row>
    <row r="406" ht="39.75" customHeight="1">
      <c r="A406" s="1">
        <v>405.0</v>
      </c>
      <c r="B406" s="21"/>
      <c r="C406" s="21"/>
      <c r="D406" s="21"/>
      <c r="E406" s="21"/>
      <c r="F406" s="46"/>
      <c r="G406" s="47"/>
      <c r="H406" s="47"/>
      <c r="I406" s="47"/>
      <c r="J406" s="48"/>
      <c r="K406" s="47"/>
      <c r="L406" s="49"/>
      <c r="M406" s="49"/>
      <c r="N406" s="49"/>
    </row>
    <row r="407" ht="39.75" customHeight="1">
      <c r="A407" s="1">
        <v>406.0</v>
      </c>
      <c r="B407" s="2" t="s">
        <v>12</v>
      </c>
      <c r="C407" s="2" t="s">
        <v>62</v>
      </c>
      <c r="D407" s="40"/>
      <c r="E407" s="40"/>
      <c r="F407" s="44" t="s">
        <v>1543</v>
      </c>
      <c r="G407" s="43">
        <v>1.0</v>
      </c>
      <c r="H407" s="42"/>
      <c r="I407" s="43">
        <v>1.0</v>
      </c>
      <c r="J407" s="27" t="s">
        <v>14</v>
      </c>
      <c r="K407" s="42"/>
      <c r="L407" s="15" t="s">
        <v>274</v>
      </c>
    </row>
    <row r="408" ht="39.75" customHeight="1">
      <c r="A408" s="1">
        <v>407.0</v>
      </c>
      <c r="B408" s="2" t="s">
        <v>16</v>
      </c>
      <c r="C408" s="2" t="s">
        <v>54</v>
      </c>
      <c r="D408" s="13"/>
      <c r="E408" s="13"/>
      <c r="F408" s="44"/>
      <c r="G408" s="42"/>
      <c r="H408" s="42"/>
      <c r="I408" s="42"/>
      <c r="J408" s="27" t="s">
        <v>274</v>
      </c>
      <c r="K408" s="43"/>
    </row>
    <row r="409" ht="39.75" customHeight="1">
      <c r="A409" s="1">
        <v>408.0</v>
      </c>
      <c r="B409" s="2" t="s">
        <v>116</v>
      </c>
      <c r="C409" s="2"/>
      <c r="D409" s="13"/>
      <c r="E409" s="13"/>
      <c r="F409" s="44" t="s">
        <v>2788</v>
      </c>
      <c r="G409" s="43">
        <v>1.0</v>
      </c>
      <c r="H409" s="42"/>
      <c r="I409" s="43">
        <v>1.0</v>
      </c>
      <c r="J409" s="27" t="s">
        <v>77</v>
      </c>
      <c r="K409" s="42"/>
    </row>
    <row r="410" ht="39.75" customHeight="1">
      <c r="A410" s="1">
        <v>409.0</v>
      </c>
      <c r="B410" s="2" t="s">
        <v>17</v>
      </c>
      <c r="C410" s="2" t="s">
        <v>54</v>
      </c>
      <c r="D410" s="13"/>
      <c r="E410" s="13"/>
      <c r="F410" s="44" t="s">
        <v>5230</v>
      </c>
      <c r="G410" s="43">
        <v>1.0</v>
      </c>
      <c r="H410" s="42"/>
      <c r="I410" s="42"/>
      <c r="J410" s="22"/>
      <c r="K410" s="42"/>
    </row>
    <row r="411" ht="39.75" hidden="1" customHeight="1">
      <c r="A411" s="1">
        <v>410.0</v>
      </c>
      <c r="B411" s="2" t="s">
        <v>331</v>
      </c>
      <c r="C411" s="2" t="s">
        <v>58</v>
      </c>
      <c r="D411" s="13"/>
      <c r="E411" s="13"/>
      <c r="F411" s="45"/>
      <c r="G411" s="42"/>
      <c r="H411" s="42"/>
      <c r="I411" s="42"/>
      <c r="J411" s="22"/>
      <c r="K411" s="42"/>
    </row>
    <row r="412" ht="39.75" customHeight="1">
      <c r="A412" s="1">
        <v>411.0</v>
      </c>
      <c r="B412" s="2" t="s">
        <v>21</v>
      </c>
      <c r="C412" s="2"/>
      <c r="D412" s="13"/>
      <c r="E412" s="13"/>
      <c r="F412" s="44" t="s">
        <v>5231</v>
      </c>
      <c r="G412" s="43">
        <v>1.0</v>
      </c>
      <c r="H412" s="42"/>
      <c r="I412" s="42"/>
      <c r="J412" s="22"/>
      <c r="K412" s="42"/>
    </row>
    <row r="413" ht="39.75" customHeight="1">
      <c r="A413" s="1">
        <v>412.0</v>
      </c>
      <c r="B413" s="2" t="s">
        <v>22</v>
      </c>
      <c r="C413" s="2" t="s">
        <v>39</v>
      </c>
      <c r="D413" s="13"/>
      <c r="E413" s="13"/>
      <c r="F413" s="44" t="s">
        <v>5220</v>
      </c>
      <c r="G413" s="43">
        <v>1.0</v>
      </c>
      <c r="H413" s="42"/>
      <c r="I413" s="43">
        <v>1.0</v>
      </c>
      <c r="J413" s="22"/>
      <c r="K413" s="42"/>
    </row>
    <row r="414" ht="39.75" customHeight="1">
      <c r="A414" s="1">
        <v>413.0</v>
      </c>
      <c r="B414" s="2" t="s">
        <v>23</v>
      </c>
      <c r="C414" s="13"/>
      <c r="D414" s="13"/>
      <c r="E414" s="13"/>
      <c r="F414" s="44" t="s">
        <v>5232</v>
      </c>
      <c r="G414" s="43">
        <v>1.0</v>
      </c>
      <c r="H414" s="42"/>
      <c r="I414" s="42"/>
      <c r="J414" s="22"/>
      <c r="K414" s="42"/>
    </row>
    <row r="415" ht="39.75" customHeight="1">
      <c r="A415" s="1">
        <v>414.0</v>
      </c>
      <c r="B415" s="2" t="s">
        <v>24</v>
      </c>
      <c r="C415" s="2" t="s">
        <v>63</v>
      </c>
      <c r="D415" s="13"/>
      <c r="E415" s="13"/>
      <c r="F415" s="44"/>
      <c r="G415" s="42"/>
      <c r="H415" s="43"/>
      <c r="I415" s="43"/>
      <c r="J415" s="22"/>
      <c r="K415" s="42"/>
    </row>
    <row r="416" ht="39.75" hidden="1" customHeight="1">
      <c r="A416" s="1">
        <v>415.0</v>
      </c>
      <c r="B416" s="2" t="s">
        <v>25</v>
      </c>
      <c r="C416" s="2" t="s">
        <v>58</v>
      </c>
      <c r="D416" s="13"/>
      <c r="E416" s="13"/>
      <c r="F416" s="45"/>
      <c r="G416" s="42"/>
      <c r="H416" s="42"/>
      <c r="I416" s="42"/>
      <c r="J416" s="22"/>
      <c r="K416" s="42"/>
    </row>
    <row r="417" ht="39.75" customHeight="1">
      <c r="A417" s="1">
        <v>416.0</v>
      </c>
      <c r="B417" s="2" t="s">
        <v>26</v>
      </c>
      <c r="C417" s="2" t="s">
        <v>27</v>
      </c>
      <c r="D417" s="13"/>
      <c r="E417" s="13"/>
      <c r="F417" s="44"/>
      <c r="G417" s="42"/>
      <c r="H417" s="42"/>
      <c r="I417" s="42"/>
      <c r="J417" s="22"/>
      <c r="K417" s="42"/>
    </row>
    <row r="418" ht="39.75" customHeight="1">
      <c r="A418" s="1">
        <v>417.0</v>
      </c>
      <c r="B418" s="2" t="s">
        <v>29</v>
      </c>
      <c r="C418" s="2" t="s">
        <v>69</v>
      </c>
      <c r="D418" s="13"/>
      <c r="E418" s="13"/>
      <c r="F418" s="44" t="s">
        <v>5233</v>
      </c>
      <c r="G418" s="43">
        <v>1.0</v>
      </c>
      <c r="H418" s="42"/>
      <c r="I418" s="42"/>
      <c r="J418" s="22"/>
      <c r="K418" s="42"/>
    </row>
    <row r="419" ht="39.75" customHeight="1">
      <c r="A419" s="1">
        <v>418.0</v>
      </c>
      <c r="B419" s="2" t="s">
        <v>30</v>
      </c>
      <c r="C419" s="2" t="s">
        <v>64</v>
      </c>
      <c r="D419" s="13"/>
      <c r="E419" s="13"/>
      <c r="F419" s="44" t="s">
        <v>2034</v>
      </c>
      <c r="G419" s="43">
        <v>1.0</v>
      </c>
      <c r="H419" s="42"/>
      <c r="I419" s="43">
        <v>1.0</v>
      </c>
      <c r="J419" s="22"/>
      <c r="K419" s="42"/>
    </row>
    <row r="420" ht="39.75" customHeight="1">
      <c r="A420" s="1">
        <v>419.0</v>
      </c>
      <c r="B420" s="2" t="s">
        <v>31</v>
      </c>
      <c r="C420" s="2" t="s">
        <v>54</v>
      </c>
      <c r="D420" s="13"/>
      <c r="E420" s="13"/>
      <c r="F420" s="44" t="s">
        <v>5234</v>
      </c>
      <c r="G420" s="43">
        <v>2.0</v>
      </c>
      <c r="H420" s="42"/>
      <c r="I420" s="43">
        <v>1.0</v>
      </c>
      <c r="J420" s="22"/>
      <c r="K420" s="42"/>
    </row>
    <row r="421" ht="39.75" customHeight="1">
      <c r="A421" s="1">
        <v>420.0</v>
      </c>
      <c r="B421" s="2" t="s">
        <v>32</v>
      </c>
      <c r="C421" s="2" t="s">
        <v>69</v>
      </c>
      <c r="D421" s="13"/>
      <c r="E421" s="13"/>
      <c r="F421" s="44" t="s">
        <v>5235</v>
      </c>
      <c r="G421" s="43">
        <v>1.0</v>
      </c>
      <c r="H421" s="42"/>
      <c r="I421" s="43">
        <v>1.0</v>
      </c>
      <c r="J421" s="22"/>
      <c r="K421" s="42"/>
    </row>
    <row r="422" ht="39.75" customHeight="1">
      <c r="A422" s="1">
        <v>421.0</v>
      </c>
      <c r="B422" s="2" t="s">
        <v>67</v>
      </c>
      <c r="C422" s="2" t="s">
        <v>69</v>
      </c>
      <c r="D422" s="13"/>
      <c r="E422" s="13"/>
      <c r="F422" s="44" t="s">
        <v>5236</v>
      </c>
      <c r="G422" s="43">
        <v>1.0</v>
      </c>
      <c r="H422" s="43"/>
      <c r="I422" s="43"/>
      <c r="J422" s="22"/>
      <c r="K422" s="42"/>
    </row>
    <row r="423" ht="39.75" hidden="1" customHeight="1">
      <c r="A423" s="1">
        <v>422.0</v>
      </c>
      <c r="B423" s="2" t="s">
        <v>35</v>
      </c>
      <c r="C423" s="2" t="s">
        <v>58</v>
      </c>
      <c r="D423" s="13"/>
      <c r="E423" s="13"/>
      <c r="F423" s="45"/>
      <c r="G423" s="42"/>
      <c r="H423" s="42"/>
      <c r="I423" s="42"/>
      <c r="J423" s="22"/>
      <c r="K423" s="42"/>
    </row>
    <row r="424" ht="39.75" customHeight="1">
      <c r="A424" s="1">
        <v>423.0</v>
      </c>
      <c r="B424" s="2" t="s">
        <v>36</v>
      </c>
      <c r="C424" s="2"/>
      <c r="D424" s="13"/>
      <c r="E424" s="13"/>
      <c r="F424" s="44" t="s">
        <v>5237</v>
      </c>
      <c r="G424" s="43">
        <v>1.0</v>
      </c>
      <c r="H424" s="42"/>
      <c r="I424" s="42"/>
      <c r="J424" s="22"/>
      <c r="K424" s="42"/>
    </row>
    <row r="425" ht="39.75" customHeight="1">
      <c r="A425" s="1">
        <v>424.0</v>
      </c>
      <c r="B425" s="2" t="s">
        <v>38</v>
      </c>
      <c r="C425" s="2" t="s">
        <v>39</v>
      </c>
      <c r="D425" s="13"/>
      <c r="E425" s="13"/>
      <c r="F425" s="44" t="s">
        <v>5238</v>
      </c>
      <c r="G425" s="43">
        <v>1.0</v>
      </c>
      <c r="H425" s="42"/>
      <c r="I425" s="42"/>
      <c r="J425" s="22"/>
      <c r="K425" s="42"/>
    </row>
    <row r="426" ht="39.75" hidden="1" customHeight="1">
      <c r="A426" s="1">
        <v>425.0</v>
      </c>
      <c r="B426" s="2" t="s">
        <v>41</v>
      </c>
      <c r="C426" s="2" t="s">
        <v>58</v>
      </c>
      <c r="D426" s="13"/>
      <c r="E426" s="13"/>
      <c r="F426" s="44"/>
      <c r="G426" s="42"/>
      <c r="H426" s="42"/>
      <c r="I426" s="42"/>
      <c r="J426" s="22"/>
      <c r="K426" s="42"/>
    </row>
    <row r="427" ht="39.75" hidden="1" customHeight="1">
      <c r="A427" s="1">
        <v>426.0</v>
      </c>
      <c r="B427" s="2" t="s">
        <v>42</v>
      </c>
      <c r="C427" s="2" t="s">
        <v>58</v>
      </c>
      <c r="D427" s="13"/>
      <c r="E427" s="13"/>
      <c r="F427" s="45"/>
      <c r="G427" s="42"/>
      <c r="H427" s="42"/>
      <c r="I427" s="42"/>
      <c r="J427" s="22"/>
      <c r="K427" s="42"/>
    </row>
    <row r="428" ht="39.75" hidden="1" customHeight="1">
      <c r="A428" s="1">
        <v>427.0</v>
      </c>
      <c r="B428" s="2" t="s">
        <v>43</v>
      </c>
      <c r="C428" s="2" t="s">
        <v>66</v>
      </c>
      <c r="D428" s="13"/>
      <c r="E428" s="13"/>
      <c r="F428" s="45"/>
      <c r="G428" s="42"/>
      <c r="H428" s="42"/>
      <c r="I428" s="42"/>
      <c r="J428" s="22"/>
      <c r="K428" s="42"/>
    </row>
    <row r="429" ht="39.75" customHeight="1">
      <c r="A429" s="1">
        <v>428.0</v>
      </c>
      <c r="B429" s="2" t="s">
        <v>45</v>
      </c>
      <c r="C429" s="2" t="s">
        <v>44</v>
      </c>
      <c r="D429" s="13"/>
      <c r="E429" s="13"/>
      <c r="F429" s="45"/>
      <c r="G429" s="42"/>
      <c r="H429" s="42"/>
      <c r="I429" s="42"/>
      <c r="J429" s="22"/>
      <c r="K429" s="42"/>
    </row>
    <row r="430" ht="39.75" customHeight="1">
      <c r="A430" s="1">
        <v>429.0</v>
      </c>
      <c r="B430" s="2" t="s">
        <v>46</v>
      </c>
      <c r="C430" s="2"/>
      <c r="D430" s="40"/>
      <c r="E430" s="13"/>
      <c r="F430" s="44" t="s">
        <v>5239</v>
      </c>
      <c r="G430" s="43">
        <v>1.0</v>
      </c>
      <c r="H430" s="42"/>
      <c r="I430" s="42"/>
      <c r="J430" s="22"/>
      <c r="K430" s="42"/>
    </row>
    <row r="431" ht="39.75" customHeight="1">
      <c r="A431" s="1">
        <v>430.0</v>
      </c>
      <c r="B431" s="2" t="s">
        <v>47</v>
      </c>
      <c r="C431" s="2"/>
      <c r="D431" s="13"/>
      <c r="E431" s="13"/>
      <c r="F431" s="44" t="s">
        <v>5240</v>
      </c>
      <c r="G431" s="43">
        <v>1.0</v>
      </c>
      <c r="H431" s="42"/>
      <c r="I431" s="43">
        <v>1.0</v>
      </c>
      <c r="J431" s="22"/>
      <c r="K431" s="42"/>
    </row>
    <row r="432" ht="39.75" customHeight="1">
      <c r="A432" s="1">
        <v>431.0</v>
      </c>
      <c r="B432" s="2" t="s">
        <v>48</v>
      </c>
      <c r="C432" s="2" t="s">
        <v>54</v>
      </c>
      <c r="D432" s="53">
        <v>0.3125</v>
      </c>
      <c r="E432" s="13"/>
      <c r="F432" s="44" t="s">
        <v>5241</v>
      </c>
      <c r="G432" s="43">
        <v>2.0</v>
      </c>
      <c r="H432" s="42"/>
      <c r="I432" s="43">
        <v>1.0</v>
      </c>
      <c r="J432" s="22"/>
      <c r="K432" s="42"/>
    </row>
    <row r="433" ht="39.75" customHeight="1">
      <c r="A433" s="1">
        <v>432.0</v>
      </c>
      <c r="B433" s="21"/>
      <c r="C433" s="21"/>
      <c r="D433" s="21"/>
      <c r="E433" s="21"/>
      <c r="F433" s="46"/>
      <c r="G433" s="47"/>
      <c r="H433" s="47"/>
      <c r="I433" s="47"/>
      <c r="J433" s="48"/>
      <c r="K433" s="47"/>
      <c r="L433" s="49"/>
      <c r="M433" s="49"/>
      <c r="N433" s="49"/>
    </row>
    <row r="434" ht="39.75" customHeight="1">
      <c r="A434" s="1">
        <v>433.0</v>
      </c>
      <c r="B434" s="2" t="s">
        <v>12</v>
      </c>
      <c r="C434" s="2" t="s">
        <v>62</v>
      </c>
      <c r="D434" s="13"/>
      <c r="E434" s="13"/>
      <c r="F434" s="44" t="s">
        <v>1543</v>
      </c>
      <c r="G434" s="43">
        <v>1.0</v>
      </c>
      <c r="H434" s="42"/>
      <c r="I434" s="43">
        <v>1.0</v>
      </c>
      <c r="J434" s="27" t="s">
        <v>14</v>
      </c>
      <c r="K434" s="42"/>
      <c r="L434" s="15" t="s">
        <v>294</v>
      </c>
    </row>
    <row r="435" ht="39.75" customHeight="1">
      <c r="A435" s="1">
        <v>434.0</v>
      </c>
      <c r="B435" s="2" t="s">
        <v>16</v>
      </c>
      <c r="C435" s="2" t="s">
        <v>54</v>
      </c>
      <c r="D435" s="13"/>
      <c r="E435" s="13"/>
      <c r="F435" s="44" t="s">
        <v>5242</v>
      </c>
      <c r="G435" s="43">
        <v>1.0</v>
      </c>
      <c r="H435" s="42"/>
      <c r="I435" s="42"/>
      <c r="J435" s="27" t="s">
        <v>294</v>
      </c>
      <c r="K435" s="43"/>
    </row>
    <row r="436" ht="39.75" customHeight="1">
      <c r="A436" s="1">
        <v>435.0</v>
      </c>
      <c r="B436" s="2" t="s">
        <v>116</v>
      </c>
      <c r="C436" s="2" t="s">
        <v>39</v>
      </c>
      <c r="D436" s="13"/>
      <c r="E436" s="13"/>
      <c r="F436" s="44" t="s">
        <v>5243</v>
      </c>
      <c r="G436" s="43">
        <v>1.0</v>
      </c>
      <c r="H436" s="42"/>
      <c r="I436" s="43">
        <v>1.0</v>
      </c>
      <c r="J436" s="27" t="s">
        <v>95</v>
      </c>
      <c r="K436" s="42"/>
    </row>
    <row r="437" ht="39.75" customHeight="1">
      <c r="A437" s="1">
        <v>436.0</v>
      </c>
      <c r="B437" s="2" t="s">
        <v>17</v>
      </c>
      <c r="C437" s="2" t="s">
        <v>54</v>
      </c>
      <c r="D437" s="13"/>
      <c r="E437" s="13"/>
      <c r="F437" s="44" t="s">
        <v>5244</v>
      </c>
      <c r="G437" s="43">
        <v>1.0</v>
      </c>
      <c r="H437" s="42"/>
      <c r="I437" s="43">
        <v>1.0</v>
      </c>
      <c r="J437" s="22"/>
      <c r="K437" s="42"/>
    </row>
    <row r="438" ht="39.75" hidden="1" customHeight="1">
      <c r="A438" s="1">
        <v>437.0</v>
      </c>
      <c r="B438" s="2" t="s">
        <v>331</v>
      </c>
      <c r="C438" s="2" t="s">
        <v>58</v>
      </c>
      <c r="D438" s="13"/>
      <c r="E438" s="13"/>
      <c r="F438" s="45"/>
      <c r="G438" s="42"/>
      <c r="H438" s="42"/>
      <c r="I438" s="42"/>
      <c r="J438" s="22"/>
      <c r="K438" s="42"/>
    </row>
    <row r="439" ht="39.75" hidden="1" customHeight="1">
      <c r="A439" s="1">
        <v>438.0</v>
      </c>
      <c r="B439" s="2" t="s">
        <v>21</v>
      </c>
      <c r="C439" s="2" t="s">
        <v>58</v>
      </c>
      <c r="D439" s="13"/>
      <c r="E439" s="13"/>
      <c r="F439" s="45"/>
      <c r="G439" s="42"/>
      <c r="H439" s="42"/>
      <c r="I439" s="42"/>
      <c r="J439" s="22"/>
      <c r="K439" s="42"/>
    </row>
    <row r="440" ht="39.75" customHeight="1">
      <c r="A440" s="1">
        <v>439.0</v>
      </c>
      <c r="B440" s="2" t="s">
        <v>22</v>
      </c>
      <c r="C440" s="2" t="s">
        <v>27</v>
      </c>
      <c r="D440" s="13"/>
      <c r="E440" s="13"/>
      <c r="F440" s="44" t="s">
        <v>5245</v>
      </c>
      <c r="G440" s="43">
        <v>2.0</v>
      </c>
      <c r="H440" s="42"/>
      <c r="I440" s="43">
        <v>2.0</v>
      </c>
      <c r="J440" s="22"/>
      <c r="K440" s="42"/>
    </row>
    <row r="441" ht="39.75" customHeight="1">
      <c r="A441" s="1">
        <v>440.0</v>
      </c>
      <c r="B441" s="2" t="s">
        <v>23</v>
      </c>
      <c r="C441" s="13"/>
      <c r="D441" s="13"/>
      <c r="E441" s="13"/>
      <c r="F441" s="44" t="s">
        <v>5246</v>
      </c>
      <c r="G441" s="43">
        <v>1.0</v>
      </c>
      <c r="H441" s="42"/>
      <c r="I441" s="43">
        <v>1.0</v>
      </c>
      <c r="J441" s="22"/>
      <c r="K441" s="42"/>
    </row>
    <row r="442" ht="39.75" customHeight="1">
      <c r="A442" s="1">
        <v>441.0</v>
      </c>
      <c r="B442" s="2" t="s">
        <v>24</v>
      </c>
      <c r="C442" s="2" t="s">
        <v>63</v>
      </c>
      <c r="D442" s="13"/>
      <c r="E442" s="13"/>
      <c r="F442" s="45"/>
      <c r="G442" s="42"/>
      <c r="H442" s="42"/>
      <c r="I442" s="42"/>
      <c r="J442" s="22"/>
      <c r="K442" s="42"/>
    </row>
    <row r="443" ht="39.75" customHeight="1">
      <c r="A443" s="1">
        <v>442.0</v>
      </c>
      <c r="B443" s="2" t="s">
        <v>25</v>
      </c>
      <c r="C443" s="2" t="s">
        <v>69</v>
      </c>
      <c r="D443" s="13"/>
      <c r="E443" s="13"/>
      <c r="F443" s="44" t="s">
        <v>5247</v>
      </c>
      <c r="G443" s="43">
        <v>2.0</v>
      </c>
      <c r="H443" s="42"/>
      <c r="I443" s="43">
        <v>1.0</v>
      </c>
      <c r="J443" s="22"/>
      <c r="K443" s="42"/>
    </row>
    <row r="444" ht="39.75" customHeight="1">
      <c r="A444" s="1">
        <v>443.0</v>
      </c>
      <c r="B444" s="2" t="s">
        <v>26</v>
      </c>
      <c r="C444" s="2" t="s">
        <v>44</v>
      </c>
      <c r="D444" s="13"/>
      <c r="E444" s="13"/>
      <c r="F444" s="45"/>
      <c r="G444" s="42"/>
      <c r="H444" s="42"/>
      <c r="I444" s="42"/>
      <c r="J444" s="22"/>
      <c r="K444" s="42"/>
    </row>
    <row r="445" ht="39.75" customHeight="1">
      <c r="A445" s="1">
        <v>444.0</v>
      </c>
      <c r="B445" s="2" t="s">
        <v>29</v>
      </c>
      <c r="C445" s="2" t="s">
        <v>69</v>
      </c>
      <c r="D445" s="13"/>
      <c r="E445" s="13"/>
      <c r="F445" s="44" t="s">
        <v>5248</v>
      </c>
      <c r="G445" s="43">
        <v>1.0</v>
      </c>
      <c r="H445" s="42"/>
      <c r="I445" s="42"/>
      <c r="J445" s="22"/>
      <c r="K445" s="42"/>
    </row>
    <row r="446" ht="39.75" customHeight="1">
      <c r="A446" s="1">
        <v>445.0</v>
      </c>
      <c r="B446" s="2" t="s">
        <v>30</v>
      </c>
      <c r="C446" s="2" t="s">
        <v>64</v>
      </c>
      <c r="D446" s="13"/>
      <c r="E446" s="13"/>
      <c r="F446" s="44" t="s">
        <v>2034</v>
      </c>
      <c r="G446" s="43">
        <v>1.0</v>
      </c>
      <c r="H446" s="42"/>
      <c r="I446" s="43">
        <v>1.0</v>
      </c>
      <c r="J446" s="22"/>
      <c r="K446" s="42"/>
    </row>
    <row r="447" ht="39.75" customHeight="1">
      <c r="A447" s="1">
        <v>446.0</v>
      </c>
      <c r="B447" s="2" t="s">
        <v>31</v>
      </c>
      <c r="C447" s="2" t="s">
        <v>54</v>
      </c>
      <c r="D447" s="13"/>
      <c r="E447" s="13"/>
      <c r="F447" s="44" t="s">
        <v>5249</v>
      </c>
      <c r="G447" s="43">
        <v>2.0</v>
      </c>
      <c r="H447" s="42"/>
      <c r="I447" s="43">
        <v>2.0</v>
      </c>
      <c r="J447" s="22"/>
      <c r="K447" s="42"/>
    </row>
    <row r="448" ht="39.75" customHeight="1">
      <c r="A448" s="1">
        <v>447.0</v>
      </c>
      <c r="B448" s="2" t="s">
        <v>32</v>
      </c>
      <c r="C448" s="2"/>
      <c r="D448" s="13"/>
      <c r="E448" s="13"/>
      <c r="F448" s="44" t="s">
        <v>5250</v>
      </c>
      <c r="G448" s="43">
        <v>2.0</v>
      </c>
      <c r="H448" s="42"/>
      <c r="I448" s="42"/>
      <c r="J448" s="22"/>
      <c r="K448" s="42"/>
    </row>
    <row r="449" ht="39.75" hidden="1" customHeight="1">
      <c r="A449" s="1">
        <v>448.0</v>
      </c>
      <c r="B449" s="2" t="s">
        <v>67</v>
      </c>
      <c r="C449" s="2" t="s">
        <v>58</v>
      </c>
      <c r="D449" s="13"/>
      <c r="E449" s="13"/>
      <c r="F449" s="45"/>
      <c r="G449" s="42"/>
      <c r="H449" s="42"/>
      <c r="I449" s="42"/>
      <c r="J449" s="22"/>
      <c r="K449" s="42"/>
    </row>
    <row r="450" ht="39.75" customHeight="1">
      <c r="A450" s="1">
        <v>449.0</v>
      </c>
      <c r="B450" s="2" t="s">
        <v>35</v>
      </c>
      <c r="C450" s="2"/>
      <c r="D450" s="13"/>
      <c r="E450" s="13"/>
      <c r="F450" s="44" t="s">
        <v>5220</v>
      </c>
      <c r="G450" s="43">
        <v>1.0</v>
      </c>
      <c r="H450" s="42"/>
      <c r="I450" s="43">
        <v>1.0</v>
      </c>
      <c r="J450" s="22"/>
      <c r="K450" s="42"/>
    </row>
    <row r="451" ht="39.75" customHeight="1">
      <c r="A451" s="1">
        <v>450.0</v>
      </c>
      <c r="B451" s="2" t="s">
        <v>36</v>
      </c>
      <c r="C451" s="2" t="s">
        <v>54</v>
      </c>
      <c r="D451" s="13"/>
      <c r="E451" s="13"/>
      <c r="F451" s="44" t="s">
        <v>5251</v>
      </c>
      <c r="G451" s="43">
        <v>1.0</v>
      </c>
      <c r="H451" s="42"/>
      <c r="I451" s="42"/>
      <c r="J451" s="22"/>
      <c r="K451" s="42"/>
    </row>
    <row r="452" ht="39.75" customHeight="1">
      <c r="A452" s="1">
        <v>451.0</v>
      </c>
      <c r="B452" s="2" t="s">
        <v>38</v>
      </c>
      <c r="C452" s="2" t="s">
        <v>69</v>
      </c>
      <c r="D452" s="13"/>
      <c r="E452" s="13"/>
      <c r="F452" s="44" t="s">
        <v>5252</v>
      </c>
      <c r="G452" s="43">
        <v>2.0</v>
      </c>
      <c r="H452" s="42"/>
      <c r="I452" s="42"/>
      <c r="J452" s="22"/>
      <c r="K452" s="42"/>
    </row>
    <row r="453" ht="39.75" hidden="1" customHeight="1">
      <c r="A453" s="1">
        <v>452.0</v>
      </c>
      <c r="B453" s="2" t="s">
        <v>41</v>
      </c>
      <c r="C453" s="2" t="s">
        <v>58</v>
      </c>
      <c r="D453" s="13"/>
      <c r="E453" s="13"/>
      <c r="F453" s="45"/>
      <c r="G453" s="42"/>
      <c r="H453" s="42"/>
      <c r="I453" s="42"/>
      <c r="J453" s="22"/>
      <c r="K453" s="42"/>
    </row>
    <row r="454" ht="39.75" hidden="1" customHeight="1">
      <c r="A454" s="1">
        <v>453.0</v>
      </c>
      <c r="B454" s="2" t="s">
        <v>42</v>
      </c>
      <c r="C454" s="2" t="s">
        <v>66</v>
      </c>
      <c r="D454" s="13"/>
      <c r="E454" s="13"/>
      <c r="F454" s="45"/>
      <c r="G454" s="42"/>
      <c r="H454" s="42"/>
      <c r="I454" s="42"/>
      <c r="J454" s="22"/>
      <c r="K454" s="42"/>
    </row>
    <row r="455" ht="39.75" customHeight="1">
      <c r="A455" s="1">
        <v>454.0</v>
      </c>
      <c r="B455" s="2" t="s">
        <v>43</v>
      </c>
      <c r="C455" s="2" t="s">
        <v>39</v>
      </c>
      <c r="D455" s="13"/>
      <c r="E455" s="13"/>
      <c r="F455" s="44" t="s">
        <v>5253</v>
      </c>
      <c r="G455" s="43">
        <v>1.0</v>
      </c>
      <c r="H455" s="42"/>
      <c r="I455" s="43"/>
      <c r="J455" s="22"/>
      <c r="K455" s="42"/>
    </row>
    <row r="456" ht="39.75" hidden="1" customHeight="1">
      <c r="A456" s="1">
        <v>455.0</v>
      </c>
      <c r="B456" s="2" t="s">
        <v>45</v>
      </c>
      <c r="C456" s="2" t="s">
        <v>58</v>
      </c>
      <c r="D456" s="13"/>
      <c r="E456" s="13"/>
      <c r="F456" s="45"/>
      <c r="G456" s="42"/>
      <c r="H456" s="42"/>
      <c r="I456" s="42"/>
      <c r="J456" s="22"/>
      <c r="K456" s="42"/>
    </row>
    <row r="457" ht="39.75" customHeight="1">
      <c r="A457" s="1">
        <v>456.0</v>
      </c>
      <c r="B457" s="2" t="s">
        <v>46</v>
      </c>
      <c r="C457" s="2"/>
      <c r="D457" s="13"/>
      <c r="E457" s="13"/>
      <c r="F457" s="44" t="s">
        <v>5254</v>
      </c>
      <c r="G457" s="43">
        <v>2.0</v>
      </c>
      <c r="H457" s="42"/>
      <c r="I457" s="43">
        <v>2.0</v>
      </c>
      <c r="J457" s="22"/>
      <c r="K457" s="42"/>
    </row>
    <row r="458" ht="39.75" customHeight="1">
      <c r="A458" s="1">
        <v>457.0</v>
      </c>
      <c r="B458" s="2" t="s">
        <v>47</v>
      </c>
      <c r="C458" s="2"/>
      <c r="D458" s="13"/>
      <c r="E458" s="13"/>
      <c r="F458" s="44" t="s">
        <v>5255</v>
      </c>
      <c r="G458" s="43">
        <v>1.0</v>
      </c>
      <c r="H458" s="42"/>
      <c r="I458" s="43">
        <v>1.0</v>
      </c>
      <c r="J458" s="22"/>
      <c r="K458" s="42"/>
    </row>
    <row r="459" ht="39.75" customHeight="1">
      <c r="A459" s="1">
        <v>458.0</v>
      </c>
      <c r="B459" s="2" t="s">
        <v>48</v>
      </c>
      <c r="C459" s="2"/>
      <c r="D459" s="13"/>
      <c r="E459" s="13"/>
      <c r="F459" s="44" t="s">
        <v>5256</v>
      </c>
      <c r="G459" s="43">
        <v>1.0</v>
      </c>
      <c r="H459" s="42"/>
      <c r="I459" s="42"/>
      <c r="J459" s="22"/>
      <c r="K459" s="42"/>
    </row>
    <row r="460" ht="39.75" customHeight="1">
      <c r="A460" s="1">
        <v>459.0</v>
      </c>
      <c r="B460" s="21"/>
      <c r="C460" s="21"/>
      <c r="D460" s="21"/>
      <c r="E460" s="21"/>
      <c r="F460" s="46"/>
      <c r="G460" s="47"/>
      <c r="H460" s="47"/>
      <c r="I460" s="47"/>
      <c r="J460" s="48"/>
      <c r="K460" s="47"/>
      <c r="L460" s="49"/>
      <c r="M460" s="49"/>
      <c r="N460" s="49"/>
    </row>
    <row r="461" ht="39.75" customHeight="1">
      <c r="A461" s="1">
        <v>460.0</v>
      </c>
      <c r="B461" s="2" t="s">
        <v>12</v>
      </c>
      <c r="C461" s="2" t="s">
        <v>62</v>
      </c>
      <c r="D461" s="13"/>
      <c r="E461" s="13"/>
      <c r="F461" s="44" t="s">
        <v>1543</v>
      </c>
      <c r="G461" s="43">
        <v>1.0</v>
      </c>
      <c r="H461" s="42"/>
      <c r="I461" s="43">
        <v>1.0</v>
      </c>
      <c r="J461" s="27" t="s">
        <v>14</v>
      </c>
      <c r="K461" s="42"/>
      <c r="L461" s="15" t="s">
        <v>309</v>
      </c>
    </row>
    <row r="462" ht="39.75" customHeight="1">
      <c r="A462" s="1">
        <v>461.0</v>
      </c>
      <c r="B462" s="2" t="s">
        <v>16</v>
      </c>
      <c r="C462" s="2" t="s">
        <v>54</v>
      </c>
      <c r="D462" s="13"/>
      <c r="E462" s="13"/>
      <c r="F462" s="44" t="s">
        <v>5257</v>
      </c>
      <c r="G462" s="43">
        <v>1.0</v>
      </c>
      <c r="H462" s="42"/>
      <c r="I462" s="42"/>
      <c r="J462" s="27" t="s">
        <v>309</v>
      </c>
      <c r="K462" s="43"/>
    </row>
    <row r="463" ht="39.75" customHeight="1">
      <c r="A463" s="1">
        <v>462.0</v>
      </c>
      <c r="B463" s="2" t="s">
        <v>116</v>
      </c>
      <c r="C463" s="2"/>
      <c r="D463" s="13"/>
      <c r="E463" s="13"/>
      <c r="F463" s="44" t="s">
        <v>5258</v>
      </c>
      <c r="G463" s="43">
        <v>2.0</v>
      </c>
      <c r="H463" s="42"/>
      <c r="I463" s="43">
        <v>1.0</v>
      </c>
      <c r="J463" s="27" t="s">
        <v>111</v>
      </c>
      <c r="K463" s="42"/>
    </row>
    <row r="464" ht="39.75" customHeight="1">
      <c r="A464" s="1">
        <v>463.0</v>
      </c>
      <c r="B464" s="2" t="s">
        <v>17</v>
      </c>
      <c r="C464" s="2" t="s">
        <v>54</v>
      </c>
      <c r="D464" s="13"/>
      <c r="E464" s="13"/>
      <c r="F464" s="44" t="s">
        <v>5259</v>
      </c>
      <c r="G464" s="43">
        <v>1.0</v>
      </c>
      <c r="H464" s="42"/>
      <c r="I464" s="42"/>
      <c r="J464" s="22"/>
      <c r="K464" s="42"/>
    </row>
    <row r="465" ht="39.75" customHeight="1">
      <c r="A465" s="1">
        <v>464.0</v>
      </c>
      <c r="B465" s="2" t="s">
        <v>331</v>
      </c>
      <c r="C465" s="2" t="s">
        <v>542</v>
      </c>
      <c r="D465" s="13"/>
      <c r="E465" s="13"/>
      <c r="F465" s="44" t="s">
        <v>5260</v>
      </c>
      <c r="G465" s="43">
        <v>3.0</v>
      </c>
      <c r="H465" s="42"/>
      <c r="I465" s="43">
        <v>3.0</v>
      </c>
      <c r="J465" s="22"/>
      <c r="K465" s="42"/>
    </row>
    <row r="466" ht="39.75" customHeight="1">
      <c r="A466" s="1">
        <v>465.0</v>
      </c>
      <c r="B466" s="2" t="s">
        <v>21</v>
      </c>
      <c r="C466" s="2"/>
      <c r="D466" s="13"/>
      <c r="E466" s="13"/>
      <c r="F466" s="44" t="s">
        <v>5261</v>
      </c>
      <c r="G466" s="43">
        <v>1.0</v>
      </c>
      <c r="H466" s="42"/>
      <c r="I466" s="42"/>
      <c r="J466" s="22"/>
      <c r="K466" s="42"/>
    </row>
    <row r="467" ht="39.75" customHeight="1">
      <c r="A467" s="1">
        <v>466.0</v>
      </c>
      <c r="B467" s="2" t="s">
        <v>22</v>
      </c>
      <c r="C467" s="2" t="s">
        <v>44</v>
      </c>
      <c r="D467" s="13"/>
      <c r="E467" s="13"/>
      <c r="F467" s="45"/>
      <c r="G467" s="42"/>
      <c r="H467" s="42"/>
      <c r="I467" s="42"/>
      <c r="J467" s="22"/>
      <c r="K467" s="42"/>
    </row>
    <row r="468" ht="39.75" customHeight="1">
      <c r="A468" s="1">
        <v>467.0</v>
      </c>
      <c r="B468" s="2" t="s">
        <v>23</v>
      </c>
      <c r="C468" s="2" t="s">
        <v>54</v>
      </c>
      <c r="D468" s="13"/>
      <c r="E468" s="13"/>
      <c r="F468" s="44" t="s">
        <v>5262</v>
      </c>
      <c r="G468" s="43">
        <v>2.0</v>
      </c>
      <c r="H468" s="42"/>
      <c r="I468" s="42"/>
      <c r="J468" s="22"/>
      <c r="K468" s="42"/>
    </row>
    <row r="469" ht="39.75" customHeight="1">
      <c r="A469" s="1">
        <v>468.0</v>
      </c>
      <c r="B469" s="2" t="s">
        <v>24</v>
      </c>
      <c r="C469" s="2" t="s">
        <v>63</v>
      </c>
      <c r="D469" s="13"/>
      <c r="E469" s="13"/>
      <c r="F469" s="45"/>
      <c r="G469" s="42"/>
      <c r="H469" s="42"/>
      <c r="I469" s="42"/>
      <c r="J469" s="22"/>
      <c r="K469" s="42"/>
    </row>
    <row r="470" ht="39.75" customHeight="1">
      <c r="A470" s="1">
        <v>469.0</v>
      </c>
      <c r="B470" s="2" t="s">
        <v>25</v>
      </c>
      <c r="C470" s="2" t="s">
        <v>69</v>
      </c>
      <c r="D470" s="13"/>
      <c r="E470" s="13"/>
      <c r="F470" s="44" t="s">
        <v>5263</v>
      </c>
      <c r="G470" s="43">
        <v>1.0</v>
      </c>
      <c r="H470" s="42"/>
      <c r="I470" s="42"/>
      <c r="J470" s="22"/>
      <c r="K470" s="42"/>
    </row>
    <row r="471" ht="39.75" customHeight="1">
      <c r="A471" s="1">
        <v>470.0</v>
      </c>
      <c r="B471" s="2" t="s">
        <v>26</v>
      </c>
      <c r="C471" s="2" t="s">
        <v>69</v>
      </c>
      <c r="D471" s="13"/>
      <c r="E471" s="40">
        <v>0.8611111111111112</v>
      </c>
      <c r="F471" s="44" t="s">
        <v>5264</v>
      </c>
      <c r="G471" s="43">
        <v>3.0</v>
      </c>
      <c r="H471" s="42"/>
      <c r="I471" s="43">
        <v>1.0</v>
      </c>
      <c r="J471" s="22"/>
      <c r="K471" s="42"/>
    </row>
    <row r="472" ht="39.75" customHeight="1">
      <c r="A472" s="1">
        <v>471.0</v>
      </c>
      <c r="B472" s="2" t="s">
        <v>29</v>
      </c>
      <c r="C472" s="2" t="s">
        <v>39</v>
      </c>
      <c r="D472" s="13"/>
      <c r="E472" s="13"/>
      <c r="F472" s="44" t="s">
        <v>5265</v>
      </c>
      <c r="G472" s="43">
        <v>1.0</v>
      </c>
      <c r="H472" s="42"/>
      <c r="I472" s="42"/>
      <c r="J472" s="22"/>
      <c r="K472" s="42"/>
    </row>
    <row r="473" ht="39.75" customHeight="1">
      <c r="A473" s="1">
        <v>472.0</v>
      </c>
      <c r="B473" s="2" t="s">
        <v>30</v>
      </c>
      <c r="C473" s="2" t="s">
        <v>64</v>
      </c>
      <c r="D473" s="13"/>
      <c r="E473" s="13"/>
      <c r="F473" s="44" t="s">
        <v>2034</v>
      </c>
      <c r="G473" s="43">
        <v>1.0</v>
      </c>
      <c r="H473" s="42"/>
      <c r="I473" s="43">
        <v>1.0</v>
      </c>
      <c r="J473" s="22"/>
      <c r="K473" s="42"/>
    </row>
    <row r="474" ht="39.75" customHeight="1">
      <c r="A474" s="1">
        <v>473.0</v>
      </c>
      <c r="B474" s="2" t="s">
        <v>31</v>
      </c>
      <c r="C474" s="2" t="s">
        <v>54</v>
      </c>
      <c r="D474" s="13"/>
      <c r="E474" s="13"/>
      <c r="F474" s="44" t="s">
        <v>5266</v>
      </c>
      <c r="G474" s="43">
        <v>1.0</v>
      </c>
      <c r="H474" s="42"/>
      <c r="I474" s="42"/>
      <c r="J474" s="22"/>
      <c r="K474" s="42"/>
    </row>
    <row r="475" ht="39.75" customHeight="1">
      <c r="A475" s="1">
        <v>474.0</v>
      </c>
      <c r="B475" s="2" t="s">
        <v>32</v>
      </c>
      <c r="C475" s="2" t="s">
        <v>39</v>
      </c>
      <c r="D475" s="13"/>
      <c r="E475" s="13"/>
      <c r="F475" s="44" t="s">
        <v>5267</v>
      </c>
      <c r="G475" s="43">
        <v>2.0</v>
      </c>
      <c r="H475" s="42"/>
      <c r="I475" s="43">
        <v>2.0</v>
      </c>
      <c r="J475" s="22"/>
      <c r="K475" s="42"/>
    </row>
    <row r="476" ht="39.75" customHeight="1">
      <c r="A476" s="1">
        <v>475.0</v>
      </c>
      <c r="B476" s="2" t="s">
        <v>67</v>
      </c>
      <c r="C476" s="2"/>
      <c r="D476" s="13"/>
      <c r="E476" s="13"/>
      <c r="F476" s="44" t="s">
        <v>5268</v>
      </c>
      <c r="G476" s="43">
        <v>1.0</v>
      </c>
      <c r="H476" s="42"/>
      <c r="I476" s="42"/>
      <c r="J476" s="22"/>
      <c r="K476" s="42"/>
    </row>
    <row r="477" ht="39.75" customHeight="1">
      <c r="A477" s="1">
        <v>476.0</v>
      </c>
      <c r="B477" s="2" t="s">
        <v>35</v>
      </c>
      <c r="C477" s="2"/>
      <c r="D477" s="13"/>
      <c r="E477" s="13"/>
      <c r="F477" s="44" t="s">
        <v>5269</v>
      </c>
      <c r="G477" s="43">
        <v>1.0</v>
      </c>
      <c r="H477" s="42"/>
      <c r="I477" s="42"/>
      <c r="J477" s="22"/>
      <c r="K477" s="42"/>
    </row>
    <row r="478" ht="39.75" hidden="1" customHeight="1">
      <c r="A478" s="1">
        <v>477.0</v>
      </c>
      <c r="B478" s="2" t="s">
        <v>36</v>
      </c>
      <c r="C478" s="2" t="s">
        <v>58</v>
      </c>
      <c r="D478" s="13"/>
      <c r="E478" s="13"/>
      <c r="F478" s="45"/>
      <c r="G478" s="42"/>
      <c r="H478" s="42"/>
      <c r="I478" s="42"/>
      <c r="J478" s="22"/>
      <c r="K478" s="42"/>
    </row>
    <row r="479" ht="39.75" customHeight="1">
      <c r="A479" s="1">
        <v>478.0</v>
      </c>
      <c r="B479" s="2" t="s">
        <v>38</v>
      </c>
      <c r="C479" s="2"/>
      <c r="D479" s="13"/>
      <c r="E479" s="13"/>
      <c r="F479" s="44" t="s">
        <v>1331</v>
      </c>
      <c r="G479" s="43">
        <v>1.0</v>
      </c>
      <c r="H479" s="42"/>
      <c r="I479" s="43">
        <v>1.0</v>
      </c>
      <c r="J479" s="22"/>
      <c r="K479" s="42"/>
    </row>
    <row r="480" ht="39.75" hidden="1" customHeight="1">
      <c r="A480" s="1">
        <v>479.0</v>
      </c>
      <c r="B480" s="2" t="s">
        <v>41</v>
      </c>
      <c r="C480" s="2" t="s">
        <v>58</v>
      </c>
      <c r="D480" s="13"/>
      <c r="E480" s="13"/>
      <c r="F480" s="45"/>
      <c r="G480" s="42"/>
      <c r="H480" s="42"/>
      <c r="I480" s="42"/>
      <c r="J480" s="22"/>
      <c r="K480" s="42"/>
    </row>
    <row r="481" ht="39.75" customHeight="1">
      <c r="A481" s="1">
        <v>480.0</v>
      </c>
      <c r="B481" s="2" t="s">
        <v>42</v>
      </c>
      <c r="C481" s="2"/>
      <c r="D481" s="13"/>
      <c r="E481" s="13"/>
      <c r="F481" s="44" t="s">
        <v>5270</v>
      </c>
      <c r="G481" s="43">
        <v>1.0</v>
      </c>
      <c r="H481" s="42"/>
      <c r="I481" s="42"/>
      <c r="J481" s="22"/>
      <c r="K481" s="42"/>
    </row>
    <row r="482" ht="39.75" customHeight="1">
      <c r="A482" s="1">
        <v>481.0</v>
      </c>
      <c r="B482" s="2" t="s">
        <v>43</v>
      </c>
      <c r="C482" s="2" t="s">
        <v>27</v>
      </c>
      <c r="D482" s="13"/>
      <c r="E482" s="13"/>
      <c r="F482" s="44" t="s">
        <v>5271</v>
      </c>
      <c r="G482" s="43">
        <v>1.0</v>
      </c>
      <c r="H482" s="42"/>
      <c r="I482" s="42"/>
      <c r="J482" s="22"/>
      <c r="K482" s="42"/>
    </row>
    <row r="483" ht="39.75" hidden="1" customHeight="1">
      <c r="A483" s="1">
        <v>482.0</v>
      </c>
      <c r="B483" s="2" t="s">
        <v>45</v>
      </c>
      <c r="C483" s="2" t="s">
        <v>58</v>
      </c>
      <c r="D483" s="13"/>
      <c r="E483" s="13"/>
      <c r="F483" s="45"/>
      <c r="G483" s="42"/>
      <c r="H483" s="42"/>
      <c r="I483" s="42"/>
      <c r="J483" s="22"/>
      <c r="K483" s="42"/>
    </row>
    <row r="484" ht="39.75" customHeight="1">
      <c r="A484" s="1">
        <v>483.0</v>
      </c>
      <c r="B484" s="2" t="s">
        <v>46</v>
      </c>
      <c r="C484" s="2" t="s">
        <v>69</v>
      </c>
      <c r="D484" s="13"/>
      <c r="E484" s="13"/>
      <c r="F484" s="44" t="s">
        <v>5272</v>
      </c>
      <c r="G484" s="43">
        <v>4.0</v>
      </c>
      <c r="H484" s="42"/>
      <c r="I484" s="43">
        <v>1.0</v>
      </c>
      <c r="J484" s="22"/>
      <c r="K484" s="42"/>
    </row>
    <row r="485" ht="39.75" hidden="1" customHeight="1">
      <c r="A485" s="1">
        <v>484.0</v>
      </c>
      <c r="B485" s="2" t="s">
        <v>47</v>
      </c>
      <c r="C485" s="2" t="s">
        <v>58</v>
      </c>
      <c r="D485" s="13"/>
      <c r="E485" s="13"/>
      <c r="F485" s="45"/>
      <c r="G485" s="42"/>
      <c r="H485" s="42"/>
      <c r="I485" s="42"/>
      <c r="J485" s="22"/>
      <c r="K485" s="42"/>
    </row>
    <row r="486" ht="39.75" hidden="1" customHeight="1">
      <c r="A486" s="1">
        <v>485.0</v>
      </c>
      <c r="B486" s="2" t="s">
        <v>48</v>
      </c>
      <c r="C486" s="2" t="s">
        <v>58</v>
      </c>
      <c r="D486" s="13"/>
      <c r="E486" s="13"/>
      <c r="F486" s="45"/>
      <c r="G486" s="42"/>
      <c r="H486" s="42"/>
      <c r="I486" s="42"/>
      <c r="J486" s="22"/>
      <c r="K486" s="42"/>
    </row>
    <row r="487" ht="39.75" customHeight="1">
      <c r="A487" s="1">
        <v>486.0</v>
      </c>
      <c r="B487" s="21"/>
      <c r="C487" s="21"/>
      <c r="D487" s="21"/>
      <c r="E487" s="21"/>
      <c r="F487" s="46"/>
      <c r="G487" s="47"/>
      <c r="H487" s="47"/>
      <c r="I487" s="47"/>
      <c r="J487" s="48"/>
      <c r="K487" s="47"/>
      <c r="L487" s="49"/>
      <c r="M487" s="49"/>
      <c r="N487" s="49"/>
    </row>
    <row r="488" ht="39.75" customHeight="1">
      <c r="A488" s="1">
        <v>487.0</v>
      </c>
      <c r="B488" s="2" t="s">
        <v>12</v>
      </c>
      <c r="C488" s="2" t="s">
        <v>62</v>
      </c>
      <c r="D488" s="13"/>
      <c r="E488" s="13"/>
      <c r="F488" s="44" t="s">
        <v>1543</v>
      </c>
      <c r="G488" s="43">
        <v>1.0</v>
      </c>
      <c r="H488" s="42"/>
      <c r="I488" s="43">
        <v>1.0</v>
      </c>
      <c r="J488" s="27" t="s">
        <v>14</v>
      </c>
      <c r="K488" s="42"/>
      <c r="L488" s="15" t="s">
        <v>328</v>
      </c>
    </row>
    <row r="489" ht="39.75" customHeight="1">
      <c r="A489" s="1">
        <v>488.0</v>
      </c>
      <c r="B489" s="2" t="s">
        <v>16</v>
      </c>
      <c r="C489" s="2" t="s">
        <v>54</v>
      </c>
      <c r="D489" s="13"/>
      <c r="E489" s="13"/>
      <c r="F489" s="44" t="s">
        <v>5273</v>
      </c>
      <c r="G489" s="43">
        <v>1.0</v>
      </c>
      <c r="H489" s="42"/>
      <c r="I489" s="43">
        <v>1.0</v>
      </c>
      <c r="J489" s="27" t="s">
        <v>328</v>
      </c>
      <c r="K489" s="43"/>
    </row>
    <row r="490" ht="39.75" customHeight="1">
      <c r="A490" s="1">
        <v>489.0</v>
      </c>
      <c r="B490" s="2" t="s">
        <v>116</v>
      </c>
      <c r="C490" s="2" t="s">
        <v>69</v>
      </c>
      <c r="D490" s="13"/>
      <c r="E490" s="13"/>
      <c r="F490" s="44" t="s">
        <v>5274</v>
      </c>
      <c r="G490" s="43">
        <v>2.0</v>
      </c>
      <c r="H490" s="42"/>
      <c r="I490" s="43">
        <v>1.0</v>
      </c>
      <c r="J490" s="27" t="s">
        <v>131</v>
      </c>
      <c r="K490" s="42"/>
    </row>
    <row r="491" ht="39.75" customHeight="1">
      <c r="A491" s="1">
        <v>490.0</v>
      </c>
      <c r="B491" s="2" t="s">
        <v>17</v>
      </c>
      <c r="C491" s="2" t="s">
        <v>54</v>
      </c>
      <c r="D491" s="53">
        <v>0.375</v>
      </c>
      <c r="E491" s="13"/>
      <c r="F491" s="44" t="s">
        <v>5275</v>
      </c>
      <c r="G491" s="43">
        <v>1.0</v>
      </c>
      <c r="H491" s="42"/>
      <c r="I491" s="42"/>
      <c r="J491" s="22"/>
      <c r="K491" s="42"/>
    </row>
    <row r="492" ht="39.75" customHeight="1">
      <c r="A492" s="1">
        <v>491.0</v>
      </c>
      <c r="B492" s="2" t="s">
        <v>331</v>
      </c>
      <c r="C492" s="2" t="s">
        <v>542</v>
      </c>
      <c r="D492" s="13"/>
      <c r="E492" s="13"/>
      <c r="F492" s="44" t="s">
        <v>5276</v>
      </c>
      <c r="G492" s="43">
        <v>1.0</v>
      </c>
      <c r="H492" s="42"/>
      <c r="I492" s="42"/>
      <c r="J492" s="22"/>
      <c r="K492" s="42"/>
    </row>
    <row r="493" ht="39.75" customHeight="1">
      <c r="A493" s="1">
        <v>492.0</v>
      </c>
      <c r="B493" s="2" t="s">
        <v>21</v>
      </c>
      <c r="C493" s="2"/>
      <c r="D493" s="13"/>
      <c r="E493" s="13"/>
      <c r="F493" s="44" t="s">
        <v>5277</v>
      </c>
      <c r="G493" s="43">
        <v>1.0</v>
      </c>
      <c r="H493" s="42"/>
      <c r="I493" s="42"/>
      <c r="J493" s="22"/>
      <c r="K493" s="42"/>
    </row>
    <row r="494" ht="39.75" customHeight="1">
      <c r="A494" s="1">
        <v>493.0</v>
      </c>
      <c r="B494" s="2" t="s">
        <v>22</v>
      </c>
      <c r="C494" s="2" t="s">
        <v>27</v>
      </c>
      <c r="D494" s="13"/>
      <c r="E494" s="13"/>
      <c r="F494" s="44" t="s">
        <v>5278</v>
      </c>
      <c r="G494" s="43">
        <v>1.0</v>
      </c>
      <c r="H494" s="42"/>
      <c r="I494" s="43">
        <v>1.0</v>
      </c>
      <c r="J494" s="22"/>
      <c r="K494" s="42"/>
    </row>
    <row r="495" ht="39.75" customHeight="1">
      <c r="A495" s="1">
        <v>494.0</v>
      </c>
      <c r="B495" s="2" t="s">
        <v>23</v>
      </c>
      <c r="C495" s="2" t="s">
        <v>54</v>
      </c>
      <c r="D495" s="13"/>
      <c r="E495" s="13"/>
      <c r="F495" s="44" t="s">
        <v>5279</v>
      </c>
      <c r="G495" s="43">
        <v>1.0</v>
      </c>
      <c r="H495" s="42"/>
      <c r="I495" s="43">
        <v>1.0</v>
      </c>
      <c r="J495" s="22"/>
      <c r="K495" s="42"/>
    </row>
    <row r="496" ht="39.75" customHeight="1">
      <c r="A496" s="1">
        <v>495.0</v>
      </c>
      <c r="B496" s="2" t="s">
        <v>24</v>
      </c>
      <c r="C496" s="2" t="s">
        <v>63</v>
      </c>
      <c r="D496" s="13"/>
      <c r="E496" s="13"/>
      <c r="F496" s="45"/>
      <c r="G496" s="42"/>
      <c r="H496" s="42"/>
      <c r="I496" s="42"/>
      <c r="J496" s="22"/>
      <c r="K496" s="42"/>
    </row>
    <row r="497" ht="39.75" customHeight="1">
      <c r="A497" s="1">
        <v>496.0</v>
      </c>
      <c r="B497" s="2" t="s">
        <v>25</v>
      </c>
      <c r="C497" s="2"/>
      <c r="D497" s="13"/>
      <c r="E497" s="13"/>
      <c r="F497" s="44" t="s">
        <v>5280</v>
      </c>
      <c r="G497" s="43">
        <v>1.0</v>
      </c>
      <c r="H497" s="42"/>
      <c r="I497" s="42"/>
      <c r="J497" s="22"/>
      <c r="K497" s="42"/>
    </row>
    <row r="498" ht="39.75" hidden="1" customHeight="1">
      <c r="A498" s="1">
        <v>497.0</v>
      </c>
      <c r="B498" s="2" t="s">
        <v>26</v>
      </c>
      <c r="C498" s="2" t="s">
        <v>58</v>
      </c>
      <c r="D498" s="13"/>
      <c r="E498" s="13"/>
      <c r="F498" s="45"/>
      <c r="G498" s="42"/>
      <c r="H498" s="42"/>
      <c r="I498" s="42"/>
      <c r="J498" s="22"/>
      <c r="K498" s="42"/>
    </row>
    <row r="499" ht="39.75" customHeight="1">
      <c r="A499" s="1">
        <v>498.0</v>
      </c>
      <c r="B499" s="2" t="s">
        <v>29</v>
      </c>
      <c r="C499" s="2" t="s">
        <v>69</v>
      </c>
      <c r="D499" s="13"/>
      <c r="E499" s="13"/>
      <c r="F499" s="44" t="s">
        <v>5281</v>
      </c>
      <c r="G499" s="43">
        <v>3.0</v>
      </c>
      <c r="H499" s="42"/>
      <c r="I499" s="43"/>
      <c r="J499" s="22"/>
      <c r="K499" s="42"/>
    </row>
    <row r="500" ht="39.75" customHeight="1">
      <c r="A500" s="1">
        <v>499.0</v>
      </c>
      <c r="B500" s="2" t="s">
        <v>30</v>
      </c>
      <c r="C500" s="2" t="s">
        <v>64</v>
      </c>
      <c r="D500" s="13"/>
      <c r="E500" s="13"/>
      <c r="F500" s="44" t="s">
        <v>2034</v>
      </c>
      <c r="G500" s="43">
        <v>1.0</v>
      </c>
      <c r="H500" s="42"/>
      <c r="I500" s="43">
        <v>1.0</v>
      </c>
      <c r="J500" s="22"/>
      <c r="K500" s="42"/>
    </row>
    <row r="501" ht="39.75" customHeight="1">
      <c r="A501" s="1">
        <v>500.0</v>
      </c>
      <c r="B501" s="2" t="s">
        <v>31</v>
      </c>
      <c r="C501" s="2" t="s">
        <v>54</v>
      </c>
      <c r="D501" s="13"/>
      <c r="E501" s="13"/>
      <c r="F501" s="44" t="s">
        <v>5282</v>
      </c>
      <c r="G501" s="43">
        <v>1.0</v>
      </c>
      <c r="H501" s="42"/>
      <c r="I501" s="43"/>
      <c r="J501" s="22"/>
      <c r="K501" s="42"/>
    </row>
    <row r="502" ht="39.75" customHeight="1">
      <c r="A502" s="1">
        <v>501.0</v>
      </c>
      <c r="B502" s="2" t="s">
        <v>32</v>
      </c>
      <c r="C502" s="2"/>
      <c r="D502" s="13"/>
      <c r="E502" s="13"/>
      <c r="F502" s="44" t="s">
        <v>5283</v>
      </c>
      <c r="G502" s="43">
        <v>1.0</v>
      </c>
      <c r="H502" s="42"/>
      <c r="I502" s="42"/>
      <c r="J502" s="22"/>
      <c r="K502" s="42"/>
    </row>
    <row r="503" ht="39.75" customHeight="1">
      <c r="A503" s="1">
        <v>502.0</v>
      </c>
      <c r="B503" s="2" t="s">
        <v>67</v>
      </c>
      <c r="C503" s="2"/>
      <c r="D503" s="53">
        <v>0.3611111111111111</v>
      </c>
      <c r="E503" s="13"/>
      <c r="F503" s="44" t="s">
        <v>5284</v>
      </c>
      <c r="G503" s="43">
        <v>2.0</v>
      </c>
      <c r="H503" s="42"/>
      <c r="I503" s="43">
        <v>1.0</v>
      </c>
      <c r="J503" s="22"/>
      <c r="K503" s="42"/>
    </row>
    <row r="504" ht="39.75" hidden="1" customHeight="1">
      <c r="A504" s="1">
        <v>503.0</v>
      </c>
      <c r="B504" s="2" t="s">
        <v>35</v>
      </c>
      <c r="C504" s="2" t="s">
        <v>66</v>
      </c>
      <c r="D504" s="13"/>
      <c r="E504" s="13"/>
      <c r="F504" s="45"/>
      <c r="G504" s="42"/>
      <c r="H504" s="42"/>
      <c r="I504" s="42"/>
      <c r="J504" s="22"/>
      <c r="K504" s="42"/>
    </row>
    <row r="505" ht="39.75" hidden="1" customHeight="1">
      <c r="A505" s="1">
        <v>504.0</v>
      </c>
      <c r="B505" s="2" t="s">
        <v>36</v>
      </c>
      <c r="C505" s="2" t="s">
        <v>58</v>
      </c>
      <c r="D505" s="13"/>
      <c r="E505" s="13"/>
      <c r="F505" s="45"/>
      <c r="G505" s="42"/>
      <c r="H505" s="42"/>
      <c r="I505" s="42"/>
      <c r="J505" s="22"/>
      <c r="K505" s="42"/>
    </row>
    <row r="506" ht="39.75" hidden="1" customHeight="1">
      <c r="A506" s="1">
        <v>505.0</v>
      </c>
      <c r="B506" s="2" t="s">
        <v>38</v>
      </c>
      <c r="C506" s="2" t="s">
        <v>58</v>
      </c>
      <c r="D506" s="13"/>
      <c r="E506" s="13"/>
      <c r="F506" s="45"/>
      <c r="G506" s="42"/>
      <c r="H506" s="42"/>
      <c r="I506" s="42"/>
      <c r="J506" s="22"/>
      <c r="K506" s="42"/>
    </row>
    <row r="507" ht="39.75" hidden="1" customHeight="1">
      <c r="A507" s="1">
        <v>506.0</v>
      </c>
      <c r="B507" s="2" t="s">
        <v>41</v>
      </c>
      <c r="C507" s="2" t="s">
        <v>58</v>
      </c>
      <c r="D507" s="13"/>
      <c r="E507" s="13"/>
      <c r="F507" s="45"/>
      <c r="G507" s="42"/>
      <c r="H507" s="42"/>
      <c r="I507" s="42"/>
      <c r="J507" s="22"/>
      <c r="K507" s="42"/>
    </row>
    <row r="508" ht="39.75" customHeight="1">
      <c r="A508" s="1">
        <v>507.0</v>
      </c>
      <c r="B508" s="2" t="s">
        <v>42</v>
      </c>
      <c r="C508" s="2" t="s">
        <v>39</v>
      </c>
      <c r="D508" s="13"/>
      <c r="E508" s="13"/>
      <c r="F508" s="44" t="s">
        <v>5285</v>
      </c>
      <c r="G508" s="43">
        <v>1.0</v>
      </c>
      <c r="H508" s="42"/>
      <c r="I508" s="42"/>
      <c r="J508" s="22"/>
      <c r="K508" s="42"/>
    </row>
    <row r="509" ht="39.75" customHeight="1">
      <c r="A509" s="1">
        <v>508.0</v>
      </c>
      <c r="B509" s="2" t="s">
        <v>43</v>
      </c>
      <c r="C509" s="2" t="s">
        <v>44</v>
      </c>
      <c r="D509" s="13"/>
      <c r="E509" s="13"/>
      <c r="F509" s="45"/>
      <c r="G509" s="42"/>
      <c r="H509" s="42"/>
      <c r="I509" s="42"/>
      <c r="J509" s="22"/>
      <c r="K509" s="42"/>
    </row>
    <row r="510" ht="39.75" customHeight="1">
      <c r="A510" s="1">
        <v>509.0</v>
      </c>
      <c r="B510" s="2" t="s">
        <v>45</v>
      </c>
      <c r="C510" s="2" t="s">
        <v>39</v>
      </c>
      <c r="D510" s="13"/>
      <c r="E510" s="13"/>
      <c r="F510" s="44" t="s">
        <v>5286</v>
      </c>
      <c r="G510" s="43">
        <v>2.0</v>
      </c>
      <c r="H510" s="42"/>
      <c r="I510" s="43">
        <v>1.0</v>
      </c>
      <c r="J510" s="22"/>
      <c r="K510" s="42"/>
    </row>
    <row r="511" ht="39.75" customHeight="1">
      <c r="A511" s="1">
        <v>510.0</v>
      </c>
      <c r="B511" s="2" t="s">
        <v>46</v>
      </c>
      <c r="C511" s="2"/>
      <c r="D511" s="13"/>
      <c r="E511" s="13"/>
      <c r="F511" s="44" t="s">
        <v>5287</v>
      </c>
      <c r="G511" s="43">
        <v>1.0</v>
      </c>
      <c r="H511" s="42"/>
      <c r="I511" s="42"/>
      <c r="J511" s="22"/>
      <c r="K511" s="42"/>
    </row>
    <row r="512" ht="39.75" customHeight="1">
      <c r="A512" s="1">
        <v>511.0</v>
      </c>
      <c r="B512" s="2" t="s">
        <v>47</v>
      </c>
      <c r="C512" s="2" t="s">
        <v>69</v>
      </c>
      <c r="D512" s="13"/>
      <c r="E512" s="13"/>
      <c r="F512" s="44" t="s">
        <v>5288</v>
      </c>
      <c r="G512" s="43">
        <v>2.0</v>
      </c>
      <c r="H512" s="42"/>
      <c r="I512" s="43">
        <v>1.0</v>
      </c>
      <c r="J512" s="22"/>
      <c r="K512" s="42"/>
    </row>
    <row r="513" ht="39.75" hidden="1" customHeight="1">
      <c r="A513" s="1">
        <v>512.0</v>
      </c>
      <c r="B513" s="2" t="s">
        <v>48</v>
      </c>
      <c r="C513" s="2" t="s">
        <v>58</v>
      </c>
      <c r="D513" s="13"/>
      <c r="E513" s="13"/>
      <c r="F513" s="45"/>
      <c r="G513" s="42"/>
      <c r="H513" s="42"/>
      <c r="I513" s="42"/>
      <c r="J513" s="22"/>
      <c r="K513" s="42"/>
    </row>
    <row r="514" ht="39.75" customHeight="1">
      <c r="A514" s="1">
        <v>513.0</v>
      </c>
      <c r="B514" s="21"/>
      <c r="C514" s="21"/>
      <c r="D514" s="21"/>
      <c r="E514" s="21"/>
      <c r="F514" s="46"/>
      <c r="G514" s="47"/>
      <c r="H514" s="47"/>
      <c r="I514" s="47"/>
      <c r="J514" s="48"/>
      <c r="K514" s="47"/>
      <c r="L514" s="49"/>
      <c r="M514" s="49"/>
      <c r="N514" s="49"/>
    </row>
    <row r="515" ht="39.75" customHeight="1">
      <c r="A515" s="1">
        <v>514.0</v>
      </c>
      <c r="B515" s="2" t="s">
        <v>268</v>
      </c>
      <c r="C515" s="2" t="s">
        <v>63</v>
      </c>
      <c r="D515" s="13"/>
      <c r="E515" s="13"/>
      <c r="F515" s="45"/>
      <c r="G515" s="42"/>
      <c r="H515" s="42"/>
      <c r="I515" s="42"/>
      <c r="J515" s="27" t="s">
        <v>14</v>
      </c>
      <c r="K515" s="42"/>
      <c r="L515" s="15" t="s">
        <v>347</v>
      </c>
    </row>
    <row r="516" ht="39.75" hidden="1" customHeight="1">
      <c r="A516" s="1">
        <v>515.0</v>
      </c>
      <c r="B516" s="2" t="s">
        <v>16</v>
      </c>
      <c r="C516" s="2" t="s">
        <v>13</v>
      </c>
      <c r="D516" s="13"/>
      <c r="E516" s="13"/>
      <c r="F516" s="45"/>
      <c r="G516" s="42"/>
      <c r="H516" s="42"/>
      <c r="I516" s="42"/>
      <c r="J516" s="27" t="s">
        <v>347</v>
      </c>
      <c r="K516" s="43"/>
    </row>
    <row r="517" ht="39.75" hidden="1" customHeight="1">
      <c r="A517" s="1">
        <v>516.0</v>
      </c>
      <c r="B517" s="2" t="s">
        <v>116</v>
      </c>
      <c r="C517" s="2" t="s">
        <v>13</v>
      </c>
      <c r="D517" s="13"/>
      <c r="E517" s="13"/>
      <c r="F517" s="45"/>
      <c r="G517" s="42"/>
      <c r="H517" s="42"/>
      <c r="I517" s="42"/>
      <c r="J517" s="27" t="s">
        <v>149</v>
      </c>
      <c r="K517" s="42"/>
    </row>
    <row r="518" ht="39.75" customHeight="1">
      <c r="A518" s="1">
        <v>517.0</v>
      </c>
      <c r="B518" s="2" t="s">
        <v>17</v>
      </c>
      <c r="C518" s="2"/>
      <c r="D518" s="40">
        <v>0.375</v>
      </c>
      <c r="E518" s="13"/>
      <c r="F518" s="44" t="s">
        <v>3871</v>
      </c>
      <c r="G518" s="43">
        <v>1.0</v>
      </c>
      <c r="H518" s="42"/>
      <c r="I518" s="43">
        <v>1.0</v>
      </c>
      <c r="J518" s="27" t="s">
        <v>165</v>
      </c>
      <c r="K518" s="42"/>
    </row>
    <row r="519" ht="39.75" hidden="1" customHeight="1">
      <c r="A519" s="1">
        <v>518.0</v>
      </c>
      <c r="B519" s="2" t="s">
        <v>331</v>
      </c>
      <c r="C519" s="2" t="s">
        <v>13</v>
      </c>
      <c r="D519" s="13"/>
      <c r="E519" s="13"/>
      <c r="F519" s="45"/>
      <c r="G519" s="42"/>
      <c r="H519" s="42"/>
      <c r="I519" s="42"/>
      <c r="J519" s="27" t="s">
        <v>2637</v>
      </c>
      <c r="K519" s="42"/>
    </row>
    <row r="520" ht="39.75" hidden="1" customHeight="1">
      <c r="A520" s="1">
        <v>519.0</v>
      </c>
      <c r="B520" s="2" t="s">
        <v>21</v>
      </c>
      <c r="C520" s="2" t="s">
        <v>13</v>
      </c>
      <c r="D520" s="13"/>
      <c r="E520" s="13"/>
      <c r="F520" s="45"/>
      <c r="G520" s="42"/>
      <c r="H520" s="42"/>
      <c r="I520" s="42"/>
      <c r="J520" s="27" t="s">
        <v>2638</v>
      </c>
      <c r="K520" s="42"/>
    </row>
    <row r="521" ht="39.75" customHeight="1">
      <c r="A521" s="1">
        <v>520.0</v>
      </c>
      <c r="B521" s="2" t="s">
        <v>22</v>
      </c>
      <c r="C521" s="2" t="s">
        <v>44</v>
      </c>
      <c r="D521" s="13"/>
      <c r="E521" s="13"/>
      <c r="F521" s="45"/>
      <c r="G521" s="42"/>
      <c r="H521" s="42"/>
      <c r="I521" s="42"/>
      <c r="J521" s="22"/>
      <c r="K521" s="42"/>
    </row>
    <row r="522" ht="39.75" hidden="1" customHeight="1">
      <c r="A522" s="1">
        <v>521.0</v>
      </c>
      <c r="B522" s="2" t="s">
        <v>23</v>
      </c>
      <c r="C522" s="2" t="s">
        <v>13</v>
      </c>
      <c r="D522" s="13"/>
      <c r="E522" s="13"/>
      <c r="F522" s="45"/>
      <c r="G522" s="42"/>
      <c r="H522" s="42"/>
      <c r="I522" s="42"/>
      <c r="J522" s="22"/>
      <c r="K522" s="42"/>
    </row>
    <row r="523" ht="39.75" hidden="1" customHeight="1">
      <c r="A523" s="1">
        <v>522.0</v>
      </c>
      <c r="B523" s="2" t="s">
        <v>24</v>
      </c>
      <c r="C523" s="2" t="s">
        <v>13</v>
      </c>
      <c r="D523" s="13"/>
      <c r="E523" s="13"/>
      <c r="F523" s="45"/>
      <c r="G523" s="42"/>
      <c r="H523" s="42"/>
      <c r="I523" s="42"/>
      <c r="J523" s="22"/>
      <c r="K523" s="42"/>
    </row>
    <row r="524" ht="39.75" hidden="1" customHeight="1">
      <c r="A524" s="1">
        <v>523.0</v>
      </c>
      <c r="B524" s="2" t="s">
        <v>25</v>
      </c>
      <c r="C524" s="2" t="s">
        <v>13</v>
      </c>
      <c r="D524" s="13"/>
      <c r="E524" s="13"/>
      <c r="F524" s="45"/>
      <c r="G524" s="42"/>
      <c r="H524" s="42"/>
      <c r="I524" s="42"/>
      <c r="J524" s="22"/>
      <c r="K524" s="42"/>
    </row>
    <row r="525" ht="39.75" customHeight="1">
      <c r="A525" s="1">
        <v>524.0</v>
      </c>
      <c r="B525" s="2" t="s">
        <v>26</v>
      </c>
      <c r="C525" s="2" t="s">
        <v>49</v>
      </c>
      <c r="D525" s="13"/>
      <c r="E525" s="13"/>
      <c r="F525" s="44" t="s">
        <v>5289</v>
      </c>
      <c r="G525" s="43">
        <v>1.0</v>
      </c>
      <c r="H525" s="42"/>
      <c r="I525" s="42"/>
      <c r="J525" s="22"/>
      <c r="K525" s="42"/>
    </row>
    <row r="526" ht="39.75" hidden="1" customHeight="1">
      <c r="A526" s="1">
        <v>525.0</v>
      </c>
      <c r="B526" s="2" t="s">
        <v>29</v>
      </c>
      <c r="C526" s="2" t="s">
        <v>13</v>
      </c>
      <c r="D526" s="13"/>
      <c r="E526" s="13"/>
      <c r="F526" s="45"/>
      <c r="G526" s="42"/>
      <c r="H526" s="42"/>
      <c r="I526" s="42"/>
      <c r="J526" s="22"/>
      <c r="K526" s="42"/>
    </row>
    <row r="527" ht="39.75" customHeight="1">
      <c r="A527" s="1">
        <v>526.0</v>
      </c>
      <c r="B527" s="2" t="s">
        <v>30</v>
      </c>
      <c r="C527" s="2"/>
      <c r="D527" s="40">
        <v>0.375</v>
      </c>
      <c r="E527" s="13"/>
      <c r="F527" s="44" t="s">
        <v>5290</v>
      </c>
      <c r="G527" s="43">
        <v>2.0</v>
      </c>
      <c r="H527" s="42"/>
      <c r="I527" s="43">
        <v>2.0</v>
      </c>
      <c r="J527" s="22"/>
      <c r="K527" s="42"/>
    </row>
    <row r="528" ht="39.75" customHeight="1">
      <c r="A528" s="1">
        <v>527.0</v>
      </c>
      <c r="B528" s="2" t="s">
        <v>33</v>
      </c>
      <c r="C528" s="2" t="s">
        <v>272</v>
      </c>
      <c r="D528" s="13"/>
      <c r="E528" s="13"/>
      <c r="F528" s="44" t="s">
        <v>1186</v>
      </c>
      <c r="G528" s="43">
        <v>1.0</v>
      </c>
      <c r="H528" s="42"/>
      <c r="I528" s="43">
        <v>1.0</v>
      </c>
      <c r="J528" s="22"/>
      <c r="K528" s="42"/>
    </row>
    <row r="529" ht="39.75" hidden="1" customHeight="1">
      <c r="A529" s="1">
        <v>528.0</v>
      </c>
      <c r="B529" s="2" t="s">
        <v>32</v>
      </c>
      <c r="C529" s="2" t="s">
        <v>13</v>
      </c>
      <c r="D529" s="13"/>
      <c r="E529" s="13"/>
      <c r="F529" s="45"/>
      <c r="G529" s="42"/>
      <c r="H529" s="42"/>
      <c r="I529" s="42"/>
      <c r="J529" s="22"/>
      <c r="K529" s="42"/>
    </row>
    <row r="530" ht="39.75" customHeight="1">
      <c r="A530" s="1">
        <v>529.0</v>
      </c>
      <c r="B530" s="2" t="s">
        <v>67</v>
      </c>
      <c r="C530" s="2" t="s">
        <v>39</v>
      </c>
      <c r="D530" s="53">
        <v>0.3541666666666667</v>
      </c>
      <c r="E530" s="13"/>
      <c r="F530" s="44" t="s">
        <v>5291</v>
      </c>
      <c r="G530" s="43">
        <v>2.0</v>
      </c>
      <c r="H530" s="42"/>
      <c r="I530" s="43">
        <v>2.0</v>
      </c>
      <c r="J530" s="22"/>
      <c r="K530" s="42"/>
    </row>
    <row r="531" ht="39.75" hidden="1" customHeight="1">
      <c r="A531" s="1">
        <v>530.0</v>
      </c>
      <c r="B531" s="2" t="s">
        <v>35</v>
      </c>
      <c r="C531" s="2" t="s">
        <v>13</v>
      </c>
      <c r="D531" s="13"/>
      <c r="E531" s="13"/>
      <c r="F531" s="45"/>
      <c r="G531" s="42"/>
      <c r="H531" s="42"/>
      <c r="I531" s="42"/>
      <c r="J531" s="22"/>
      <c r="K531" s="42"/>
    </row>
    <row r="532" ht="39.75" hidden="1" customHeight="1">
      <c r="A532" s="1">
        <v>531.0</v>
      </c>
      <c r="B532" s="2" t="s">
        <v>36</v>
      </c>
      <c r="C532" s="2" t="s">
        <v>13</v>
      </c>
      <c r="D532" s="13"/>
      <c r="E532" s="13"/>
      <c r="F532" s="45"/>
      <c r="G532" s="42"/>
      <c r="H532" s="42"/>
      <c r="I532" s="42"/>
      <c r="J532" s="22"/>
      <c r="K532" s="42"/>
    </row>
    <row r="533" ht="39.75" hidden="1" customHeight="1">
      <c r="A533" s="1">
        <v>532.0</v>
      </c>
      <c r="B533" s="2" t="s">
        <v>38</v>
      </c>
      <c r="C533" s="2" t="s">
        <v>13</v>
      </c>
      <c r="D533" s="13"/>
      <c r="E533" s="13"/>
      <c r="F533" s="45"/>
      <c r="G533" s="42"/>
      <c r="H533" s="42"/>
      <c r="I533" s="42"/>
      <c r="J533" s="22"/>
      <c r="K533" s="42"/>
    </row>
    <row r="534" ht="39.75" hidden="1" customHeight="1">
      <c r="A534" s="1">
        <v>533.0</v>
      </c>
      <c r="B534" s="2" t="s">
        <v>41</v>
      </c>
      <c r="C534" s="2" t="s">
        <v>13</v>
      </c>
      <c r="D534" s="13"/>
      <c r="E534" s="13"/>
      <c r="F534" s="45"/>
      <c r="G534" s="42"/>
      <c r="H534" s="42"/>
      <c r="I534" s="42"/>
      <c r="J534" s="22"/>
      <c r="K534" s="42"/>
    </row>
    <row r="535" ht="39.75" hidden="1" customHeight="1">
      <c r="A535" s="1">
        <v>534.0</v>
      </c>
      <c r="B535" s="2" t="s">
        <v>42</v>
      </c>
      <c r="C535" s="2" t="s">
        <v>13</v>
      </c>
      <c r="D535" s="13"/>
      <c r="E535" s="13"/>
      <c r="F535" s="45"/>
      <c r="G535" s="42"/>
      <c r="H535" s="42"/>
      <c r="I535" s="42"/>
      <c r="J535" s="22"/>
      <c r="K535" s="42"/>
    </row>
    <row r="536" ht="39.75" hidden="1" customHeight="1">
      <c r="A536" s="1">
        <v>535.0</v>
      </c>
      <c r="B536" s="2" t="s">
        <v>43</v>
      </c>
      <c r="C536" s="2" t="s">
        <v>13</v>
      </c>
      <c r="D536" s="13"/>
      <c r="E536" s="13"/>
      <c r="F536" s="45"/>
      <c r="G536" s="42"/>
      <c r="H536" s="42"/>
      <c r="I536" s="42"/>
      <c r="J536" s="22"/>
      <c r="K536" s="42"/>
    </row>
    <row r="537" ht="39.75" customHeight="1">
      <c r="A537" s="1">
        <v>536.0</v>
      </c>
      <c r="B537" s="2" t="s">
        <v>45</v>
      </c>
      <c r="C537" s="2" t="s">
        <v>27</v>
      </c>
      <c r="D537" s="13"/>
      <c r="E537" s="13"/>
      <c r="F537" s="44" t="s">
        <v>5292</v>
      </c>
      <c r="G537" s="43">
        <v>1.0</v>
      </c>
      <c r="H537" s="42"/>
      <c r="I537" s="42"/>
      <c r="J537" s="22"/>
      <c r="K537" s="42"/>
    </row>
    <row r="538" ht="39.75" hidden="1" customHeight="1">
      <c r="A538" s="1">
        <v>537.0</v>
      </c>
      <c r="B538" s="2" t="s">
        <v>46</v>
      </c>
      <c r="C538" s="2" t="s">
        <v>13</v>
      </c>
      <c r="D538" s="13"/>
      <c r="E538" s="13"/>
      <c r="F538" s="45"/>
      <c r="G538" s="42"/>
      <c r="H538" s="42"/>
      <c r="I538" s="42"/>
      <c r="J538" s="22"/>
      <c r="K538" s="42"/>
    </row>
    <row r="539" ht="39.75" hidden="1" customHeight="1">
      <c r="A539" s="1">
        <v>538.0</v>
      </c>
      <c r="B539" s="2" t="s">
        <v>47</v>
      </c>
      <c r="C539" s="2" t="s">
        <v>13</v>
      </c>
      <c r="D539" s="13"/>
      <c r="E539" s="13"/>
      <c r="F539" s="45"/>
      <c r="G539" s="42"/>
      <c r="H539" s="42"/>
      <c r="I539" s="42"/>
      <c r="J539" s="22"/>
      <c r="K539" s="42"/>
    </row>
    <row r="540" ht="39.75" hidden="1" customHeight="1">
      <c r="A540" s="1">
        <v>539.0</v>
      </c>
      <c r="B540" s="2" t="s">
        <v>48</v>
      </c>
      <c r="C540" s="2" t="s">
        <v>13</v>
      </c>
      <c r="D540" s="13"/>
      <c r="E540" s="13"/>
      <c r="F540" s="45"/>
      <c r="G540" s="42"/>
      <c r="H540" s="42"/>
      <c r="I540" s="42"/>
      <c r="J540" s="22"/>
      <c r="K540" s="42"/>
    </row>
    <row r="541" ht="39.75" customHeight="1">
      <c r="A541" s="1">
        <v>540.0</v>
      </c>
      <c r="B541" s="21"/>
      <c r="C541" s="21"/>
      <c r="D541" s="21"/>
      <c r="E541" s="21"/>
      <c r="F541" s="46"/>
      <c r="G541" s="47"/>
      <c r="H541" s="47"/>
      <c r="I541" s="47"/>
      <c r="J541" s="48"/>
      <c r="K541" s="47"/>
      <c r="L541" s="49"/>
      <c r="M541" s="49"/>
      <c r="N541" s="49"/>
    </row>
    <row r="542" ht="39.75" customHeight="1">
      <c r="A542" s="1">
        <v>541.0</v>
      </c>
      <c r="B542" s="2" t="s">
        <v>268</v>
      </c>
      <c r="C542" s="2" t="s">
        <v>63</v>
      </c>
      <c r="D542" s="13"/>
      <c r="E542" s="13"/>
      <c r="F542" s="45"/>
      <c r="G542" s="42"/>
      <c r="H542" s="42"/>
      <c r="I542" s="42"/>
      <c r="J542" s="27" t="s">
        <v>14</v>
      </c>
      <c r="K542" s="42"/>
      <c r="L542" s="15" t="s">
        <v>362</v>
      </c>
    </row>
    <row r="543" ht="39.75" hidden="1" customHeight="1">
      <c r="A543" s="1">
        <v>542.0</v>
      </c>
      <c r="B543" s="2" t="s">
        <v>16</v>
      </c>
      <c r="C543" s="2" t="s">
        <v>13</v>
      </c>
      <c r="D543" s="13"/>
      <c r="E543" s="13"/>
      <c r="F543" s="45"/>
      <c r="G543" s="42"/>
      <c r="H543" s="42"/>
      <c r="I543" s="42"/>
      <c r="J543" s="27" t="s">
        <v>362</v>
      </c>
      <c r="K543" s="43"/>
    </row>
    <row r="544" ht="39.75" customHeight="1">
      <c r="A544" s="1">
        <v>543.0</v>
      </c>
      <c r="B544" s="2" t="s">
        <v>116</v>
      </c>
      <c r="C544" s="2" t="s">
        <v>27</v>
      </c>
      <c r="D544" s="13"/>
      <c r="E544" s="13"/>
      <c r="F544" s="44" t="s">
        <v>5293</v>
      </c>
      <c r="G544" s="43">
        <v>1.0</v>
      </c>
      <c r="H544" s="42"/>
      <c r="I544" s="43">
        <v>1.0</v>
      </c>
      <c r="J544" s="27" t="s">
        <v>19</v>
      </c>
      <c r="K544" s="42"/>
    </row>
    <row r="545" ht="39.75" customHeight="1">
      <c r="A545" s="1">
        <v>544.0</v>
      </c>
      <c r="B545" s="2" t="s">
        <v>263</v>
      </c>
      <c r="C545" s="2" t="s">
        <v>272</v>
      </c>
      <c r="D545" s="13"/>
      <c r="E545" s="13"/>
      <c r="F545" s="44" t="s">
        <v>1186</v>
      </c>
      <c r="G545" s="43">
        <v>1.0</v>
      </c>
      <c r="H545" s="42"/>
      <c r="I545" s="43">
        <v>1.0</v>
      </c>
      <c r="J545" s="27" t="s">
        <v>165</v>
      </c>
      <c r="K545" s="42"/>
    </row>
    <row r="546" ht="39.75" hidden="1" customHeight="1">
      <c r="A546" s="1">
        <v>545.0</v>
      </c>
      <c r="B546" s="2" t="s">
        <v>331</v>
      </c>
      <c r="C546" s="2" t="s">
        <v>13</v>
      </c>
      <c r="D546" s="13"/>
      <c r="E546" s="13"/>
      <c r="F546" s="45"/>
      <c r="G546" s="42"/>
      <c r="H546" s="42"/>
      <c r="I546" s="42"/>
      <c r="J546" s="27" t="s">
        <v>166</v>
      </c>
      <c r="K546" s="42"/>
    </row>
    <row r="547" ht="39.75" hidden="1" customHeight="1">
      <c r="A547" s="1">
        <v>546.0</v>
      </c>
      <c r="B547" s="2" t="s">
        <v>21</v>
      </c>
      <c r="C547" s="2" t="s">
        <v>13</v>
      </c>
      <c r="D547" s="13"/>
      <c r="E547" s="13"/>
      <c r="F547" s="45"/>
      <c r="G547" s="42"/>
      <c r="H547" s="42"/>
      <c r="I547" s="42"/>
      <c r="J547" s="27" t="s">
        <v>167</v>
      </c>
      <c r="K547" s="42"/>
    </row>
    <row r="548" ht="39.75" hidden="1" customHeight="1">
      <c r="A548" s="1">
        <v>547.0</v>
      </c>
      <c r="B548" s="2" t="s">
        <v>22</v>
      </c>
      <c r="C548" s="2" t="s">
        <v>13</v>
      </c>
      <c r="D548" s="13"/>
      <c r="E548" s="13"/>
      <c r="F548" s="45"/>
      <c r="G548" s="42"/>
      <c r="H548" s="42"/>
      <c r="I548" s="42"/>
      <c r="J548" s="22"/>
      <c r="K548" s="42"/>
    </row>
    <row r="549" ht="39.75" hidden="1" customHeight="1">
      <c r="A549" s="1">
        <v>548.0</v>
      </c>
      <c r="B549" s="2" t="s">
        <v>23</v>
      </c>
      <c r="C549" s="2" t="s">
        <v>13</v>
      </c>
      <c r="D549" s="13"/>
      <c r="E549" s="13"/>
      <c r="F549" s="45"/>
      <c r="G549" s="42"/>
      <c r="H549" s="42"/>
      <c r="I549" s="42"/>
      <c r="J549" s="22"/>
      <c r="K549" s="42"/>
    </row>
    <row r="550" ht="39.75" hidden="1" customHeight="1">
      <c r="A550" s="1">
        <v>549.0</v>
      </c>
      <c r="B550" s="2" t="s">
        <v>24</v>
      </c>
      <c r="C550" s="2" t="s">
        <v>13</v>
      </c>
      <c r="D550" s="13"/>
      <c r="E550" s="13"/>
      <c r="F550" s="45"/>
      <c r="G550" s="42"/>
      <c r="H550" s="42"/>
      <c r="I550" s="42"/>
      <c r="J550" s="22"/>
      <c r="K550" s="42"/>
    </row>
    <row r="551" ht="39.75" hidden="1" customHeight="1">
      <c r="A551" s="1">
        <v>550.0</v>
      </c>
      <c r="B551" s="2" t="s">
        <v>25</v>
      </c>
      <c r="C551" s="2" t="s">
        <v>13</v>
      </c>
      <c r="D551" s="13"/>
      <c r="E551" s="13"/>
      <c r="F551" s="45"/>
      <c r="G551" s="42"/>
      <c r="H551" s="42"/>
      <c r="I551" s="42"/>
      <c r="J551" s="22"/>
      <c r="K551" s="42"/>
    </row>
    <row r="552" ht="39.75" hidden="1" customHeight="1">
      <c r="A552" s="1">
        <v>551.0</v>
      </c>
      <c r="B552" s="2" t="s">
        <v>26</v>
      </c>
      <c r="C552" s="2" t="s">
        <v>13</v>
      </c>
      <c r="D552" s="13"/>
      <c r="E552" s="13"/>
      <c r="F552" s="45"/>
      <c r="G552" s="42"/>
      <c r="H552" s="42"/>
      <c r="I552" s="42"/>
      <c r="J552" s="22"/>
      <c r="K552" s="42"/>
    </row>
    <row r="553" ht="39.75" hidden="1" customHeight="1">
      <c r="A553" s="1">
        <v>552.0</v>
      </c>
      <c r="B553" s="2" t="s">
        <v>29</v>
      </c>
      <c r="C553" s="2" t="s">
        <v>13</v>
      </c>
      <c r="D553" s="13"/>
      <c r="E553" s="13"/>
      <c r="F553" s="45"/>
      <c r="G553" s="42"/>
      <c r="H553" s="42"/>
      <c r="I553" s="42"/>
      <c r="J553" s="22"/>
      <c r="K553" s="42"/>
    </row>
    <row r="554" ht="39.75" hidden="1" customHeight="1">
      <c r="A554" s="1">
        <v>553.0</v>
      </c>
      <c r="B554" s="2" t="s">
        <v>30</v>
      </c>
      <c r="C554" s="2" t="s">
        <v>13</v>
      </c>
      <c r="D554" s="13"/>
      <c r="E554" s="13"/>
      <c r="F554" s="45"/>
      <c r="G554" s="42"/>
      <c r="H554" s="42"/>
      <c r="I554" s="42"/>
      <c r="J554" s="22"/>
      <c r="K554" s="42"/>
    </row>
    <row r="555" ht="39.75" customHeight="1">
      <c r="A555" s="1">
        <v>554.0</v>
      </c>
      <c r="B555" s="2" t="s">
        <v>31</v>
      </c>
      <c r="C555" s="13"/>
      <c r="D555" s="40">
        <v>0.375</v>
      </c>
      <c r="E555" s="13"/>
      <c r="F555" s="44" t="s">
        <v>5294</v>
      </c>
      <c r="G555" s="43">
        <v>1.0</v>
      </c>
      <c r="H555" s="42"/>
      <c r="I555" s="43">
        <v>1.0</v>
      </c>
      <c r="J555" s="22"/>
      <c r="K555" s="42"/>
    </row>
    <row r="556" ht="39.75" hidden="1" customHeight="1">
      <c r="A556" s="1">
        <v>555.0</v>
      </c>
      <c r="B556" s="2" t="s">
        <v>32</v>
      </c>
      <c r="C556" s="2" t="s">
        <v>13</v>
      </c>
      <c r="D556" s="13"/>
      <c r="E556" s="13"/>
      <c r="F556" s="45"/>
      <c r="G556" s="42"/>
      <c r="H556" s="42"/>
      <c r="I556" s="42"/>
      <c r="J556" s="22"/>
      <c r="K556" s="42"/>
    </row>
    <row r="557" ht="39.75" hidden="1" customHeight="1">
      <c r="A557" s="1">
        <v>556.0</v>
      </c>
      <c r="B557" s="2" t="s">
        <v>67</v>
      </c>
      <c r="C557" s="2" t="s">
        <v>13</v>
      </c>
      <c r="D557" s="13"/>
      <c r="E557" s="13"/>
      <c r="F557" s="45"/>
      <c r="G557" s="42"/>
      <c r="H557" s="42"/>
      <c r="I557" s="42"/>
      <c r="J557" s="22"/>
      <c r="K557" s="42"/>
    </row>
    <row r="558" ht="39.75" hidden="1" customHeight="1">
      <c r="A558" s="1">
        <v>557.0</v>
      </c>
      <c r="B558" s="2" t="s">
        <v>35</v>
      </c>
      <c r="C558" s="2" t="s">
        <v>13</v>
      </c>
      <c r="D558" s="13"/>
      <c r="E558" s="13"/>
      <c r="F558" s="45"/>
      <c r="G558" s="42"/>
      <c r="H558" s="42"/>
      <c r="I558" s="42"/>
      <c r="J558" s="22"/>
      <c r="K558" s="42"/>
    </row>
    <row r="559" ht="39.75" hidden="1" customHeight="1">
      <c r="A559" s="1">
        <v>558.0</v>
      </c>
      <c r="B559" s="2" t="s">
        <v>36</v>
      </c>
      <c r="C559" s="2" t="s">
        <v>13</v>
      </c>
      <c r="D559" s="13"/>
      <c r="E559" s="13"/>
      <c r="F559" s="45"/>
      <c r="G559" s="42"/>
      <c r="H559" s="42"/>
      <c r="I559" s="42"/>
      <c r="J559" s="22"/>
      <c r="K559" s="42"/>
    </row>
    <row r="560" ht="39.75" hidden="1" customHeight="1">
      <c r="A560" s="1">
        <v>559.0</v>
      </c>
      <c r="B560" s="2" t="s">
        <v>38</v>
      </c>
      <c r="C560" s="2" t="s">
        <v>13</v>
      </c>
      <c r="D560" s="13"/>
      <c r="E560" s="13"/>
      <c r="F560" s="45"/>
      <c r="G560" s="42"/>
      <c r="H560" s="42"/>
      <c r="I560" s="42"/>
      <c r="J560" s="22"/>
      <c r="K560" s="42"/>
    </row>
    <row r="561" ht="39.75" hidden="1" customHeight="1">
      <c r="A561" s="1">
        <v>560.0</v>
      </c>
      <c r="B561" s="2" t="s">
        <v>41</v>
      </c>
      <c r="C561" s="2" t="s">
        <v>13</v>
      </c>
      <c r="D561" s="13"/>
      <c r="E561" s="13"/>
      <c r="F561" s="45"/>
      <c r="G561" s="42"/>
      <c r="H561" s="42"/>
      <c r="I561" s="42"/>
      <c r="J561" s="22"/>
      <c r="K561" s="42"/>
    </row>
    <row r="562" ht="39.75" customHeight="1">
      <c r="A562" s="1">
        <v>561.0</v>
      </c>
      <c r="B562" s="2" t="s">
        <v>42</v>
      </c>
      <c r="C562" s="2"/>
      <c r="D562" s="53">
        <v>0.3541666666666667</v>
      </c>
      <c r="E562" s="13"/>
      <c r="F562" s="44" t="s">
        <v>5295</v>
      </c>
      <c r="G562" s="43">
        <v>2.0</v>
      </c>
      <c r="H562" s="42"/>
      <c r="I562" s="43">
        <v>2.0</v>
      </c>
      <c r="J562" s="22"/>
      <c r="K562" s="42"/>
    </row>
    <row r="563" ht="39.75" customHeight="1">
      <c r="A563" s="1">
        <v>562.0</v>
      </c>
      <c r="B563" s="2" t="s">
        <v>43</v>
      </c>
      <c r="C563" s="2" t="s">
        <v>39</v>
      </c>
      <c r="D563" s="53">
        <v>0.2916666666666667</v>
      </c>
      <c r="E563" s="13"/>
      <c r="F563" s="44" t="s">
        <v>5296</v>
      </c>
      <c r="G563" s="43">
        <v>2.0</v>
      </c>
      <c r="H563" s="42"/>
      <c r="I563" s="43">
        <v>1.0</v>
      </c>
      <c r="J563" s="22"/>
      <c r="K563" s="42"/>
    </row>
    <row r="564" ht="39.75" customHeight="1">
      <c r="A564" s="1">
        <v>563.0</v>
      </c>
      <c r="B564" s="2" t="s">
        <v>45</v>
      </c>
      <c r="C564" s="2" t="s">
        <v>44</v>
      </c>
      <c r="D564" s="13"/>
      <c r="E564" s="13"/>
      <c r="F564" s="52"/>
      <c r="G564" s="56">
        <v>1.0</v>
      </c>
      <c r="H564" s="42"/>
      <c r="I564" s="56">
        <v>1.0</v>
      </c>
      <c r="J564" s="22"/>
      <c r="K564" s="42"/>
    </row>
    <row r="565" ht="39.75" hidden="1" customHeight="1">
      <c r="A565" s="1">
        <v>564.0</v>
      </c>
      <c r="B565" s="2" t="s">
        <v>46</v>
      </c>
      <c r="C565" s="2" t="s">
        <v>13</v>
      </c>
      <c r="D565" s="13"/>
      <c r="E565" s="13"/>
      <c r="F565" s="45"/>
      <c r="G565" s="42"/>
      <c r="H565" s="42"/>
      <c r="I565" s="42"/>
      <c r="J565" s="22"/>
      <c r="K565" s="42"/>
    </row>
    <row r="566" ht="39.75" customHeight="1">
      <c r="A566" s="1">
        <v>565.0</v>
      </c>
      <c r="B566" s="2" t="s">
        <v>47</v>
      </c>
      <c r="C566" s="2" t="s">
        <v>49</v>
      </c>
      <c r="D566" s="13"/>
      <c r="E566" s="13"/>
      <c r="F566" s="44" t="s">
        <v>5297</v>
      </c>
      <c r="G566" s="42"/>
      <c r="H566" s="42"/>
      <c r="I566" s="42"/>
      <c r="J566" s="22"/>
      <c r="K566" s="42"/>
    </row>
    <row r="567" ht="39.75" hidden="1" customHeight="1">
      <c r="A567" s="1">
        <v>566.0</v>
      </c>
      <c r="B567" s="2" t="s">
        <v>48</v>
      </c>
      <c r="C567" s="2" t="s">
        <v>13</v>
      </c>
      <c r="D567" s="13"/>
      <c r="E567" s="13"/>
      <c r="F567" s="45"/>
      <c r="G567" s="42"/>
      <c r="H567" s="42"/>
      <c r="I567" s="42"/>
      <c r="J567" s="22"/>
      <c r="K567" s="42"/>
    </row>
    <row r="568" ht="39.75" customHeight="1">
      <c r="A568" s="1">
        <v>567.0</v>
      </c>
      <c r="B568" s="21"/>
      <c r="C568" s="21"/>
      <c r="D568" s="21"/>
      <c r="E568" s="21"/>
      <c r="F568" s="46"/>
      <c r="G568" s="47"/>
      <c r="H568" s="47"/>
      <c r="I568" s="47"/>
      <c r="J568" s="48"/>
      <c r="K568" s="47"/>
      <c r="L568" s="49"/>
      <c r="M568" s="49"/>
      <c r="N568" s="49"/>
    </row>
    <row r="569" ht="39.75" hidden="1" customHeight="1">
      <c r="A569" s="1">
        <v>568.0</v>
      </c>
      <c r="B569" s="2" t="s">
        <v>12</v>
      </c>
      <c r="C569" s="2" t="s">
        <v>58</v>
      </c>
      <c r="D569" s="13"/>
      <c r="E569" s="13"/>
      <c r="F569" s="45"/>
      <c r="G569" s="42"/>
      <c r="H569" s="42"/>
      <c r="I569" s="42"/>
      <c r="J569" s="27" t="s">
        <v>14</v>
      </c>
      <c r="K569" s="42"/>
      <c r="L569" s="15" t="s">
        <v>369</v>
      </c>
    </row>
    <row r="570" ht="39.75" customHeight="1">
      <c r="A570" s="1">
        <v>569.0</v>
      </c>
      <c r="B570" s="2" t="s">
        <v>16</v>
      </c>
      <c r="C570" s="2" t="s">
        <v>69</v>
      </c>
      <c r="D570" s="13"/>
      <c r="E570" s="13"/>
      <c r="F570" s="44" t="s">
        <v>2770</v>
      </c>
      <c r="G570" s="43">
        <v>1.0</v>
      </c>
      <c r="H570" s="42"/>
      <c r="I570" s="43">
        <v>1.0</v>
      </c>
      <c r="J570" s="27" t="s">
        <v>369</v>
      </c>
      <c r="K570" s="43"/>
    </row>
    <row r="571" ht="39.75" customHeight="1">
      <c r="A571" s="1">
        <v>570.0</v>
      </c>
      <c r="B571" s="2" t="s">
        <v>116</v>
      </c>
      <c r="C571" s="2" t="s">
        <v>44</v>
      </c>
      <c r="D571" s="13"/>
      <c r="E571" s="13"/>
      <c r="F571" s="44"/>
      <c r="G571" s="56"/>
      <c r="H571" s="42"/>
      <c r="I571" s="56"/>
      <c r="J571" s="27" t="s">
        <v>56</v>
      </c>
      <c r="K571" s="42"/>
    </row>
    <row r="572" ht="39.75" customHeight="1">
      <c r="A572" s="1">
        <v>571.0</v>
      </c>
      <c r="B572" s="2" t="s">
        <v>17</v>
      </c>
      <c r="C572" s="2" t="s">
        <v>64</v>
      </c>
      <c r="D572" s="13"/>
      <c r="E572" s="13"/>
      <c r="F572" s="44" t="s">
        <v>2034</v>
      </c>
      <c r="G572" s="43">
        <v>1.0</v>
      </c>
      <c r="H572" s="42"/>
      <c r="I572" s="43">
        <v>1.0</v>
      </c>
      <c r="J572" s="22"/>
      <c r="K572" s="42"/>
    </row>
    <row r="573" ht="39.75" hidden="1" customHeight="1">
      <c r="A573" s="1">
        <v>572.0</v>
      </c>
      <c r="B573" s="2" t="s">
        <v>331</v>
      </c>
      <c r="C573" s="2" t="s">
        <v>66</v>
      </c>
      <c r="D573" s="13"/>
      <c r="E573" s="13"/>
      <c r="F573" s="45"/>
      <c r="G573" s="42"/>
      <c r="H573" s="42"/>
      <c r="I573" s="42"/>
      <c r="J573" s="22"/>
      <c r="K573" s="42"/>
    </row>
    <row r="574" ht="39.75" customHeight="1">
      <c r="A574" s="1">
        <v>573.0</v>
      </c>
      <c r="B574" s="2" t="s">
        <v>21</v>
      </c>
      <c r="C574" s="2" t="s">
        <v>63</v>
      </c>
      <c r="D574" s="13"/>
      <c r="E574" s="13"/>
      <c r="F574" s="45"/>
      <c r="G574" s="42"/>
      <c r="H574" s="42"/>
      <c r="I574" s="42"/>
      <c r="J574" s="22"/>
      <c r="K574" s="42"/>
    </row>
    <row r="575" ht="39.75" customHeight="1">
      <c r="A575" s="1">
        <v>574.0</v>
      </c>
      <c r="B575" s="2" t="s">
        <v>22</v>
      </c>
      <c r="C575" s="2" t="s">
        <v>54</v>
      </c>
      <c r="D575" s="13"/>
      <c r="E575" s="13"/>
      <c r="F575" s="45"/>
      <c r="G575" s="42"/>
      <c r="H575" s="42"/>
      <c r="I575" s="42"/>
      <c r="J575" s="22"/>
      <c r="K575" s="42"/>
    </row>
    <row r="576" ht="39.75" customHeight="1">
      <c r="A576" s="1">
        <v>575.0</v>
      </c>
      <c r="B576" s="2" t="s">
        <v>23</v>
      </c>
      <c r="C576" s="13"/>
      <c r="D576" s="13"/>
      <c r="E576" s="13"/>
      <c r="F576" s="44" t="s">
        <v>5298</v>
      </c>
      <c r="G576" s="43">
        <v>1.0</v>
      </c>
      <c r="H576" s="42"/>
      <c r="I576" s="42"/>
      <c r="J576" s="22"/>
      <c r="K576" s="42"/>
    </row>
    <row r="577" ht="39.75" customHeight="1">
      <c r="A577" s="1">
        <v>576.0</v>
      </c>
      <c r="B577" s="2" t="s">
        <v>24</v>
      </c>
      <c r="C577" s="2"/>
      <c r="D577" s="13"/>
      <c r="E577" s="13"/>
      <c r="F577" s="44" t="s">
        <v>5299</v>
      </c>
      <c r="G577" s="43">
        <v>1.0</v>
      </c>
      <c r="H577" s="42"/>
      <c r="I577" s="43">
        <v>1.0</v>
      </c>
      <c r="J577" s="22"/>
      <c r="K577" s="42"/>
    </row>
    <row r="578" ht="39.75" customHeight="1">
      <c r="A578" s="1">
        <v>577.0</v>
      </c>
      <c r="B578" s="2" t="s">
        <v>25</v>
      </c>
      <c r="C578" s="2" t="s">
        <v>39</v>
      </c>
      <c r="D578" s="13"/>
      <c r="E578" s="13"/>
      <c r="F578" s="45"/>
      <c r="G578" s="42"/>
      <c r="H578" s="42"/>
      <c r="I578" s="42"/>
      <c r="J578" s="22"/>
      <c r="K578" s="42"/>
    </row>
    <row r="579" ht="39.75" customHeight="1">
      <c r="A579" s="1">
        <v>578.0</v>
      </c>
      <c r="B579" s="2" t="s">
        <v>26</v>
      </c>
      <c r="C579" s="2"/>
      <c r="D579" s="13"/>
      <c r="E579" s="13"/>
      <c r="F579" s="44" t="s">
        <v>5300</v>
      </c>
      <c r="G579" s="43">
        <v>1.0</v>
      </c>
      <c r="H579" s="42"/>
      <c r="I579" s="42"/>
      <c r="J579" s="22"/>
      <c r="K579" s="42"/>
    </row>
    <row r="580" ht="39.75" customHeight="1">
      <c r="A580" s="1">
        <v>579.0</v>
      </c>
      <c r="B580" s="2" t="s">
        <v>29</v>
      </c>
      <c r="C580" s="2" t="s">
        <v>27</v>
      </c>
      <c r="D580" s="13"/>
      <c r="E580" s="13"/>
      <c r="F580" s="44" t="s">
        <v>5301</v>
      </c>
      <c r="G580" s="43">
        <v>1.0</v>
      </c>
      <c r="H580" s="42"/>
      <c r="I580" s="43">
        <v>1.0</v>
      </c>
      <c r="J580" s="22"/>
      <c r="K580" s="42"/>
    </row>
    <row r="581" ht="39.75" customHeight="1">
      <c r="A581" s="1">
        <v>580.0</v>
      </c>
      <c r="B581" s="2" t="s">
        <v>30</v>
      </c>
      <c r="C581" s="2" t="s">
        <v>3562</v>
      </c>
      <c r="D581" s="13"/>
      <c r="E581" s="13"/>
      <c r="F581" s="45"/>
      <c r="G581" s="42"/>
      <c r="H581" s="42"/>
      <c r="I581" s="42"/>
      <c r="J581" s="22"/>
      <c r="K581" s="42"/>
    </row>
    <row r="582" ht="39.75" customHeight="1">
      <c r="A582" s="1">
        <v>581.0</v>
      </c>
      <c r="B582" s="2" t="s">
        <v>31</v>
      </c>
      <c r="C582" s="2" t="s">
        <v>39</v>
      </c>
      <c r="D582" s="13"/>
      <c r="E582" s="13"/>
      <c r="F582" s="44" t="s">
        <v>5302</v>
      </c>
      <c r="G582" s="43">
        <v>1.0</v>
      </c>
      <c r="H582" s="43">
        <v>1.0</v>
      </c>
      <c r="I582" s="43">
        <v>1.0</v>
      </c>
      <c r="J582" s="22"/>
      <c r="K582" s="42"/>
    </row>
    <row r="583" ht="39.75" customHeight="1">
      <c r="A583" s="1">
        <v>582.0</v>
      </c>
      <c r="B583" s="2" t="s">
        <v>32</v>
      </c>
      <c r="C583" s="2"/>
      <c r="D583" s="53">
        <v>0.25</v>
      </c>
      <c r="E583" s="13"/>
      <c r="F583" s="44" t="s">
        <v>5303</v>
      </c>
      <c r="G583" s="43">
        <v>1.0</v>
      </c>
      <c r="H583" s="43">
        <v>1.0</v>
      </c>
      <c r="I583" s="42"/>
      <c r="J583" s="22"/>
      <c r="K583" s="42"/>
    </row>
    <row r="584" ht="39.75" customHeight="1">
      <c r="A584" s="1">
        <v>583.0</v>
      </c>
      <c r="B584" s="2" t="s">
        <v>67</v>
      </c>
      <c r="C584" s="2"/>
      <c r="D584" s="13"/>
      <c r="E584" s="13"/>
      <c r="F584" s="44" t="s">
        <v>5304</v>
      </c>
      <c r="G584" s="43">
        <v>1.0</v>
      </c>
      <c r="H584" s="42"/>
      <c r="I584" s="42"/>
      <c r="J584" s="22"/>
      <c r="K584" s="42"/>
    </row>
    <row r="585" ht="39.75" customHeight="1">
      <c r="A585" s="1">
        <v>584.0</v>
      </c>
      <c r="B585" s="2" t="s">
        <v>35</v>
      </c>
      <c r="C585" s="2" t="s">
        <v>54</v>
      </c>
      <c r="D585" s="13"/>
      <c r="E585" s="13"/>
      <c r="F585" s="45"/>
      <c r="G585" s="42"/>
      <c r="H585" s="42"/>
      <c r="I585" s="42"/>
      <c r="J585" s="22"/>
      <c r="K585" s="42"/>
    </row>
    <row r="586" ht="39.75" customHeight="1">
      <c r="A586" s="1">
        <v>585.0</v>
      </c>
      <c r="B586" s="2" t="s">
        <v>36</v>
      </c>
      <c r="C586" s="2" t="s">
        <v>69</v>
      </c>
      <c r="D586" s="13"/>
      <c r="E586" s="40">
        <v>0.8645833333333334</v>
      </c>
      <c r="F586" s="44" t="s">
        <v>5305</v>
      </c>
      <c r="G586" s="43">
        <v>1.0</v>
      </c>
      <c r="H586" s="42"/>
      <c r="I586" s="42"/>
      <c r="J586" s="22"/>
      <c r="K586" s="42"/>
    </row>
    <row r="587" ht="39.75" hidden="1" customHeight="1">
      <c r="A587" s="1">
        <v>586.0</v>
      </c>
      <c r="B587" s="2" t="s">
        <v>38</v>
      </c>
      <c r="C587" s="2" t="s">
        <v>66</v>
      </c>
      <c r="D587" s="13"/>
      <c r="E587" s="13"/>
      <c r="F587" s="45"/>
      <c r="G587" s="42"/>
      <c r="H587" s="42"/>
      <c r="I587" s="42"/>
      <c r="J587" s="22"/>
      <c r="K587" s="42"/>
    </row>
    <row r="588" ht="39.75" hidden="1" customHeight="1">
      <c r="A588" s="1">
        <v>587.0</v>
      </c>
      <c r="B588" s="2" t="s">
        <v>41</v>
      </c>
      <c r="C588" s="2" t="s">
        <v>58</v>
      </c>
      <c r="D588" s="13"/>
      <c r="E588" s="13"/>
      <c r="F588" s="45"/>
      <c r="G588" s="42"/>
      <c r="H588" s="42"/>
      <c r="I588" s="42"/>
      <c r="J588" s="22"/>
      <c r="K588" s="42"/>
    </row>
    <row r="589" ht="39.75" customHeight="1">
      <c r="A589" s="1">
        <v>588.0</v>
      </c>
      <c r="B589" s="2" t="s">
        <v>42</v>
      </c>
      <c r="C589" s="2" t="s">
        <v>54</v>
      </c>
      <c r="D589" s="13"/>
      <c r="E589" s="13"/>
      <c r="F589" s="44" t="s">
        <v>5306</v>
      </c>
      <c r="G589" s="43">
        <v>1.0</v>
      </c>
      <c r="H589" s="42"/>
      <c r="I589" s="42"/>
      <c r="J589" s="22"/>
      <c r="K589" s="42"/>
    </row>
    <row r="590" ht="39.75" hidden="1" customHeight="1">
      <c r="A590" s="1">
        <v>589.0</v>
      </c>
      <c r="B590" s="2" t="s">
        <v>43</v>
      </c>
      <c r="C590" s="2" t="s">
        <v>58</v>
      </c>
      <c r="D590" s="13"/>
      <c r="E590" s="13"/>
      <c r="F590" s="45"/>
      <c r="G590" s="42"/>
      <c r="H590" s="42"/>
      <c r="I590" s="42"/>
      <c r="J590" s="22"/>
      <c r="K590" s="42"/>
    </row>
    <row r="591" ht="39.75" customHeight="1">
      <c r="A591" s="1">
        <v>590.0</v>
      </c>
      <c r="B591" s="2" t="s">
        <v>45</v>
      </c>
      <c r="C591" s="2"/>
      <c r="D591" s="13"/>
      <c r="E591" s="13"/>
      <c r="F591" s="44" t="s">
        <v>5307</v>
      </c>
      <c r="G591" s="43">
        <v>1.0</v>
      </c>
      <c r="H591" s="42"/>
      <c r="I591" s="43">
        <v>1.0</v>
      </c>
      <c r="J591" s="22"/>
      <c r="K591" s="42"/>
    </row>
    <row r="592" ht="39.75" customHeight="1">
      <c r="A592" s="1">
        <v>591.0</v>
      </c>
      <c r="B592" s="2" t="s">
        <v>46</v>
      </c>
      <c r="C592" s="2" t="s">
        <v>69</v>
      </c>
      <c r="D592" s="13"/>
      <c r="E592" s="13"/>
      <c r="F592" s="44" t="s">
        <v>5308</v>
      </c>
      <c r="G592" s="43">
        <v>1.0</v>
      </c>
      <c r="H592" s="42"/>
      <c r="I592" s="43">
        <v>1.0</v>
      </c>
      <c r="J592" s="22"/>
      <c r="K592" s="42"/>
    </row>
    <row r="593" ht="39.75" customHeight="1">
      <c r="A593" s="1">
        <v>592.0</v>
      </c>
      <c r="B593" s="2" t="s">
        <v>47</v>
      </c>
      <c r="C593" s="2" t="s">
        <v>54</v>
      </c>
      <c r="D593" s="13"/>
      <c r="E593" s="13"/>
      <c r="F593" s="44" t="s">
        <v>5309</v>
      </c>
      <c r="G593" s="43"/>
      <c r="H593" s="43">
        <v>1.0</v>
      </c>
      <c r="I593" s="42"/>
      <c r="J593" s="22"/>
      <c r="K593" s="42"/>
    </row>
    <row r="594" ht="39.75" hidden="1" customHeight="1">
      <c r="A594" s="1">
        <v>593.0</v>
      </c>
      <c r="B594" s="2" t="s">
        <v>48</v>
      </c>
      <c r="C594" s="2" t="s">
        <v>58</v>
      </c>
      <c r="D594" s="13"/>
      <c r="E594" s="13"/>
      <c r="F594" s="45"/>
      <c r="G594" s="42"/>
      <c r="H594" s="42"/>
      <c r="I594" s="42"/>
      <c r="J594" s="22"/>
      <c r="K594" s="42"/>
    </row>
    <row r="595" ht="39.75" customHeight="1">
      <c r="A595" s="1">
        <v>594.0</v>
      </c>
      <c r="B595" s="21"/>
      <c r="C595" s="21"/>
      <c r="D595" s="21"/>
      <c r="E595" s="21"/>
      <c r="F595" s="46"/>
      <c r="G595" s="47"/>
      <c r="H595" s="47"/>
      <c r="I595" s="47"/>
      <c r="J595" s="48"/>
      <c r="K595" s="47"/>
      <c r="L595" s="49"/>
      <c r="M595" s="49"/>
      <c r="N595" s="49"/>
    </row>
    <row r="596" ht="39.75" hidden="1" customHeight="1">
      <c r="A596" s="1">
        <v>595.0</v>
      </c>
      <c r="B596" s="2" t="s">
        <v>12</v>
      </c>
      <c r="C596" s="2" t="s">
        <v>58</v>
      </c>
      <c r="D596" s="13"/>
      <c r="E596" s="13"/>
      <c r="F596" s="45"/>
      <c r="G596" s="42"/>
      <c r="H596" s="42"/>
      <c r="I596" s="42"/>
      <c r="J596" s="27" t="s">
        <v>14</v>
      </c>
      <c r="K596" s="42"/>
      <c r="L596" s="15" t="s">
        <v>376</v>
      </c>
    </row>
    <row r="597" ht="39.75" hidden="1" customHeight="1">
      <c r="A597" s="1">
        <v>596.0</v>
      </c>
      <c r="B597" s="2" t="s">
        <v>16</v>
      </c>
      <c r="C597" s="2" t="s">
        <v>58</v>
      </c>
      <c r="D597" s="13"/>
      <c r="E597" s="13"/>
      <c r="F597" s="45"/>
      <c r="G597" s="42"/>
      <c r="H597" s="42"/>
      <c r="I597" s="42"/>
      <c r="J597" s="27" t="s">
        <v>376</v>
      </c>
      <c r="K597" s="43"/>
    </row>
    <row r="598" ht="39.75" customHeight="1">
      <c r="A598" s="1">
        <v>597.0</v>
      </c>
      <c r="B598" s="2" t="s">
        <v>116</v>
      </c>
      <c r="C598" s="2" t="s">
        <v>69</v>
      </c>
      <c r="D598" s="13"/>
      <c r="E598" s="13"/>
      <c r="F598" s="45"/>
      <c r="G598" s="42"/>
      <c r="H598" s="42"/>
      <c r="I598" s="42"/>
      <c r="J598" s="27" t="s">
        <v>77</v>
      </c>
      <c r="K598" s="42"/>
    </row>
    <row r="599" ht="39.75" customHeight="1">
      <c r="A599" s="1">
        <v>598.0</v>
      </c>
      <c r="B599" s="2" t="s">
        <v>17</v>
      </c>
      <c r="C599" s="2" t="s">
        <v>27</v>
      </c>
      <c r="D599" s="13"/>
      <c r="E599" s="13"/>
      <c r="F599" s="44"/>
      <c r="G599" s="42"/>
      <c r="H599" s="42"/>
      <c r="I599" s="42"/>
      <c r="J599" s="22"/>
      <c r="K599" s="42"/>
    </row>
    <row r="600" ht="39.75" customHeight="1">
      <c r="A600" s="1">
        <v>599.0</v>
      </c>
      <c r="B600" s="2" t="s">
        <v>331</v>
      </c>
      <c r="C600" s="2" t="s">
        <v>542</v>
      </c>
      <c r="D600" s="13"/>
      <c r="E600" s="13"/>
      <c r="F600" s="45"/>
      <c r="G600" s="42"/>
      <c r="H600" s="42"/>
      <c r="I600" s="42"/>
      <c r="J600" s="22"/>
      <c r="K600" s="42"/>
    </row>
    <row r="601" ht="39.75" customHeight="1">
      <c r="A601" s="1">
        <v>600.0</v>
      </c>
      <c r="B601" s="2" t="s">
        <v>21</v>
      </c>
      <c r="C601" s="2" t="s">
        <v>63</v>
      </c>
      <c r="D601" s="13"/>
      <c r="E601" s="13"/>
      <c r="F601" s="45"/>
      <c r="G601" s="42"/>
      <c r="H601" s="42"/>
      <c r="I601" s="42"/>
      <c r="J601" s="22"/>
      <c r="K601" s="42"/>
    </row>
    <row r="602" ht="39.75" customHeight="1">
      <c r="A602" s="1">
        <v>601.0</v>
      </c>
      <c r="B602" s="2" t="s">
        <v>22</v>
      </c>
      <c r="C602" s="2" t="s">
        <v>54</v>
      </c>
      <c r="D602" s="13"/>
      <c r="E602" s="13"/>
      <c r="F602" s="44" t="s">
        <v>5310</v>
      </c>
      <c r="G602" s="43">
        <v>1.0</v>
      </c>
      <c r="H602" s="42"/>
      <c r="I602" s="42"/>
      <c r="J602" s="22"/>
      <c r="K602" s="42"/>
    </row>
    <row r="603" ht="39.75" hidden="1" customHeight="1">
      <c r="A603" s="1">
        <v>602.0</v>
      </c>
      <c r="B603" s="2" t="s">
        <v>23</v>
      </c>
      <c r="C603" s="2" t="s">
        <v>58</v>
      </c>
      <c r="D603" s="13"/>
      <c r="E603" s="13"/>
      <c r="F603" s="45"/>
      <c r="G603" s="42"/>
      <c r="H603" s="42"/>
      <c r="I603" s="42"/>
      <c r="J603" s="22"/>
      <c r="K603" s="42"/>
    </row>
    <row r="604" ht="39.75" customHeight="1">
      <c r="A604" s="1">
        <v>603.0</v>
      </c>
      <c r="B604" s="2" t="s">
        <v>24</v>
      </c>
      <c r="C604" s="2"/>
      <c r="D604" s="13"/>
      <c r="E604" s="13"/>
      <c r="F604" s="44" t="s">
        <v>5311</v>
      </c>
      <c r="G604" s="43">
        <v>1.0</v>
      </c>
      <c r="H604" s="42"/>
      <c r="I604" s="42"/>
      <c r="J604" s="22"/>
      <c r="K604" s="42"/>
    </row>
    <row r="605" ht="39.75" hidden="1" customHeight="1">
      <c r="A605" s="1">
        <v>604.0</v>
      </c>
      <c r="B605" s="2" t="s">
        <v>25</v>
      </c>
      <c r="C605" s="2" t="s">
        <v>58</v>
      </c>
      <c r="D605" s="13"/>
      <c r="E605" s="13"/>
      <c r="F605" s="44"/>
      <c r="G605" s="43"/>
      <c r="H605" s="42"/>
      <c r="I605" s="42"/>
      <c r="J605" s="22"/>
      <c r="K605" s="42"/>
    </row>
    <row r="606" ht="39.75" customHeight="1">
      <c r="A606" s="1">
        <v>605.0</v>
      </c>
      <c r="B606" s="2" t="s">
        <v>26</v>
      </c>
      <c r="C606" s="2" t="s">
        <v>39</v>
      </c>
      <c r="D606" s="13"/>
      <c r="E606" s="13"/>
      <c r="F606" s="44" t="s">
        <v>5312</v>
      </c>
      <c r="G606" s="43">
        <v>2.0</v>
      </c>
      <c r="H606" s="42"/>
      <c r="I606" s="43">
        <v>1.0</v>
      </c>
      <c r="J606" s="22"/>
      <c r="K606" s="42"/>
    </row>
    <row r="607" ht="39.75" customHeight="1">
      <c r="A607" s="1">
        <v>606.0</v>
      </c>
      <c r="B607" s="2" t="s">
        <v>29</v>
      </c>
      <c r="C607" s="2" t="s">
        <v>44</v>
      </c>
      <c r="D607" s="13"/>
      <c r="E607" s="13"/>
      <c r="F607" s="52" t="s">
        <v>5313</v>
      </c>
      <c r="G607" s="56">
        <v>1.0</v>
      </c>
      <c r="H607" s="42"/>
      <c r="I607" s="42"/>
      <c r="J607" s="22"/>
      <c r="K607" s="42"/>
    </row>
    <row r="608" ht="39.75" customHeight="1">
      <c r="A608" s="1">
        <v>607.0</v>
      </c>
      <c r="B608" s="2" t="s">
        <v>30</v>
      </c>
      <c r="C608" s="2" t="s">
        <v>3562</v>
      </c>
      <c r="D608" s="13"/>
      <c r="E608" s="13"/>
      <c r="F608" s="45"/>
      <c r="G608" s="42"/>
      <c r="H608" s="42"/>
      <c r="I608" s="42"/>
      <c r="J608" s="22"/>
      <c r="K608" s="42"/>
    </row>
    <row r="609" ht="39.75" customHeight="1">
      <c r="A609" s="1">
        <v>608.0</v>
      </c>
      <c r="B609" s="2" t="s">
        <v>31</v>
      </c>
      <c r="C609" s="13"/>
      <c r="D609" s="53">
        <v>0.20833333333333334</v>
      </c>
      <c r="E609" s="40">
        <v>0.5416666666666666</v>
      </c>
      <c r="F609" s="44" t="s">
        <v>5314</v>
      </c>
      <c r="G609" s="43">
        <v>1.0</v>
      </c>
      <c r="H609" s="42"/>
      <c r="I609" s="42"/>
      <c r="J609" s="22"/>
      <c r="K609" s="42"/>
    </row>
    <row r="610" ht="39.75" customHeight="1">
      <c r="A610" s="1">
        <v>609.0</v>
      </c>
      <c r="B610" s="2" t="s">
        <v>32</v>
      </c>
      <c r="C610" s="2"/>
      <c r="D610" s="13"/>
      <c r="E610" s="13"/>
      <c r="F610" s="44" t="s">
        <v>5303</v>
      </c>
      <c r="G610" s="43">
        <v>1.0</v>
      </c>
      <c r="H610" s="43">
        <v>1.0</v>
      </c>
      <c r="I610" s="42"/>
      <c r="J610" s="22"/>
      <c r="K610" s="42"/>
    </row>
    <row r="611" ht="39.75" customHeight="1">
      <c r="A611" s="1">
        <v>610.0</v>
      </c>
      <c r="B611" s="2" t="s">
        <v>67</v>
      </c>
      <c r="C611" s="2"/>
      <c r="D611" s="13"/>
      <c r="E611" s="13"/>
      <c r="F611" s="44" t="s">
        <v>1285</v>
      </c>
      <c r="G611" s="43">
        <v>1.0</v>
      </c>
      <c r="H611" s="42"/>
      <c r="I611" s="43">
        <v>1.0</v>
      </c>
      <c r="J611" s="22"/>
      <c r="K611" s="42"/>
    </row>
    <row r="612" ht="39.75" customHeight="1">
      <c r="A612" s="1">
        <v>611.0</v>
      </c>
      <c r="B612" s="2" t="s">
        <v>35</v>
      </c>
      <c r="C612" s="2" t="s">
        <v>54</v>
      </c>
      <c r="D612" s="13"/>
      <c r="E612" s="13"/>
      <c r="F612" s="45"/>
      <c r="G612" s="42"/>
      <c r="H612" s="42"/>
      <c r="I612" s="42"/>
      <c r="J612" s="22"/>
      <c r="K612" s="42"/>
    </row>
    <row r="613" ht="39.75" customHeight="1">
      <c r="A613" s="1">
        <v>612.0</v>
      </c>
      <c r="B613" s="2" t="s">
        <v>36</v>
      </c>
      <c r="C613" s="2" t="s">
        <v>69</v>
      </c>
      <c r="D613" s="13"/>
      <c r="E613" s="13"/>
      <c r="F613" s="44" t="s">
        <v>5315</v>
      </c>
      <c r="G613" s="43">
        <v>1.0</v>
      </c>
      <c r="H613" s="42"/>
      <c r="I613" s="43">
        <v>1.0</v>
      </c>
      <c r="J613" s="22"/>
      <c r="K613" s="42"/>
    </row>
    <row r="614" ht="39.75" customHeight="1">
      <c r="A614" s="1">
        <v>613.0</v>
      </c>
      <c r="B614" s="2" t="s">
        <v>38</v>
      </c>
      <c r="C614" s="2" t="s">
        <v>54</v>
      </c>
      <c r="D614" s="13"/>
      <c r="E614" s="13"/>
      <c r="F614" s="44" t="s">
        <v>5316</v>
      </c>
      <c r="G614" s="43">
        <v>1.0</v>
      </c>
      <c r="H614" s="42"/>
      <c r="I614" s="43">
        <v>1.0</v>
      </c>
      <c r="J614" s="22"/>
      <c r="K614" s="42"/>
    </row>
    <row r="615" ht="39.75" hidden="1" customHeight="1">
      <c r="A615" s="1">
        <v>614.0</v>
      </c>
      <c r="B615" s="2" t="s">
        <v>41</v>
      </c>
      <c r="C615" s="2" t="s">
        <v>58</v>
      </c>
      <c r="D615" s="13"/>
      <c r="E615" s="13"/>
      <c r="F615" s="45"/>
      <c r="G615" s="42"/>
      <c r="H615" s="42"/>
      <c r="I615" s="42"/>
      <c r="J615" s="22"/>
      <c r="K615" s="42"/>
    </row>
    <row r="616" ht="39.75" customHeight="1">
      <c r="A616" s="1">
        <v>615.0</v>
      </c>
      <c r="B616" s="2" t="s">
        <v>42</v>
      </c>
      <c r="C616" s="2" t="s">
        <v>69</v>
      </c>
      <c r="D616" s="13"/>
      <c r="E616" s="13"/>
      <c r="F616" s="44" t="s">
        <v>2770</v>
      </c>
      <c r="G616" s="43">
        <v>1.0</v>
      </c>
      <c r="H616" s="42"/>
      <c r="I616" s="43">
        <v>1.0</v>
      </c>
      <c r="J616" s="22"/>
      <c r="K616" s="42"/>
    </row>
    <row r="617" ht="39.75" hidden="1" customHeight="1">
      <c r="A617" s="1">
        <v>616.0</v>
      </c>
      <c r="B617" s="2" t="s">
        <v>43</v>
      </c>
      <c r="C617" s="2" t="s">
        <v>58</v>
      </c>
      <c r="D617" s="13"/>
      <c r="E617" s="13"/>
      <c r="F617" s="45"/>
      <c r="G617" s="42"/>
      <c r="H617" s="42"/>
      <c r="I617" s="42"/>
      <c r="J617" s="22"/>
      <c r="K617" s="42"/>
    </row>
    <row r="618" ht="39.75" customHeight="1">
      <c r="A618" s="1">
        <v>617.0</v>
      </c>
      <c r="B618" s="2" t="s">
        <v>45</v>
      </c>
      <c r="C618" s="2"/>
      <c r="D618" s="13"/>
      <c r="E618" s="13"/>
      <c r="F618" s="44" t="s">
        <v>5317</v>
      </c>
      <c r="G618" s="43">
        <v>1.0</v>
      </c>
      <c r="H618" s="42"/>
      <c r="I618" s="42"/>
      <c r="J618" s="22"/>
      <c r="K618" s="42"/>
    </row>
    <row r="619" ht="39.75" customHeight="1">
      <c r="A619" s="1">
        <v>618.0</v>
      </c>
      <c r="B619" s="2" t="s">
        <v>46</v>
      </c>
      <c r="C619" s="2" t="s">
        <v>39</v>
      </c>
      <c r="D619" s="13"/>
      <c r="E619" s="13"/>
      <c r="F619" s="44" t="s">
        <v>5318</v>
      </c>
      <c r="G619" s="43">
        <v>2.0</v>
      </c>
      <c r="H619" s="42"/>
      <c r="I619" s="42"/>
      <c r="J619" s="22"/>
      <c r="K619" s="42"/>
    </row>
    <row r="620" ht="39.75" customHeight="1">
      <c r="A620" s="1">
        <v>619.0</v>
      </c>
      <c r="B620" s="2" t="s">
        <v>47</v>
      </c>
      <c r="C620" s="2" t="s">
        <v>54</v>
      </c>
      <c r="D620" s="53">
        <v>0.22916666666666666</v>
      </c>
      <c r="E620" s="40">
        <v>0.5416666666666666</v>
      </c>
      <c r="F620" s="44" t="s">
        <v>5314</v>
      </c>
      <c r="G620" s="43">
        <v>1.0</v>
      </c>
      <c r="H620" s="42"/>
      <c r="I620" s="42"/>
      <c r="J620" s="22"/>
      <c r="K620" s="42"/>
    </row>
    <row r="621" ht="39.75" hidden="1" customHeight="1">
      <c r="A621" s="1">
        <v>620.0</v>
      </c>
      <c r="B621" s="2" t="s">
        <v>48</v>
      </c>
      <c r="C621" s="2" t="s">
        <v>58</v>
      </c>
      <c r="D621" s="13"/>
      <c r="E621" s="13"/>
      <c r="F621" s="45"/>
      <c r="G621" s="42"/>
      <c r="H621" s="42"/>
      <c r="I621" s="42"/>
      <c r="J621" s="22"/>
      <c r="K621" s="42"/>
    </row>
    <row r="622" ht="39.75" customHeight="1">
      <c r="A622" s="1">
        <v>621.0</v>
      </c>
      <c r="B622" s="21"/>
      <c r="C622" s="21"/>
      <c r="D622" s="21"/>
      <c r="E622" s="21"/>
      <c r="F622" s="46"/>
      <c r="G622" s="47"/>
      <c r="H622" s="47"/>
      <c r="I622" s="47"/>
      <c r="J622" s="48"/>
      <c r="K622" s="47"/>
      <c r="L622" s="49"/>
      <c r="M622" s="49"/>
      <c r="N622" s="49"/>
    </row>
    <row r="623" ht="39.75" hidden="1" customHeight="1">
      <c r="A623" s="1">
        <v>622.0</v>
      </c>
      <c r="B623" s="2" t="s">
        <v>12</v>
      </c>
      <c r="C623" s="2" t="s">
        <v>58</v>
      </c>
      <c r="D623" s="13"/>
      <c r="E623" s="13"/>
      <c r="F623" s="45"/>
      <c r="G623" s="42"/>
      <c r="H623" s="42"/>
      <c r="I623" s="42"/>
      <c r="J623" s="27" t="s">
        <v>14</v>
      </c>
      <c r="K623" s="42"/>
      <c r="L623" s="15" t="s">
        <v>389</v>
      </c>
    </row>
    <row r="624" ht="39.75" customHeight="1">
      <c r="A624" s="1">
        <v>623.0</v>
      </c>
      <c r="B624" s="2" t="s">
        <v>16</v>
      </c>
      <c r="C624" s="2" t="s">
        <v>69</v>
      </c>
      <c r="D624" s="13"/>
      <c r="E624" s="13"/>
      <c r="F624" s="44" t="s">
        <v>5319</v>
      </c>
      <c r="G624" s="43">
        <v>1.0</v>
      </c>
      <c r="H624" s="42"/>
      <c r="I624" s="42"/>
      <c r="J624" s="27" t="s">
        <v>389</v>
      </c>
      <c r="K624" s="43"/>
    </row>
    <row r="625" ht="39.75" customHeight="1">
      <c r="A625" s="1">
        <v>624.0</v>
      </c>
      <c r="B625" s="2" t="s">
        <v>116</v>
      </c>
      <c r="C625" s="2"/>
      <c r="D625" s="13"/>
      <c r="E625" s="13"/>
      <c r="F625" s="44" t="s">
        <v>1285</v>
      </c>
      <c r="G625" s="43">
        <v>1.0</v>
      </c>
      <c r="H625" s="42"/>
      <c r="I625" s="43">
        <v>1.0</v>
      </c>
      <c r="J625" s="27" t="s">
        <v>95</v>
      </c>
      <c r="K625" s="42"/>
    </row>
    <row r="626" ht="39.75" customHeight="1">
      <c r="A626" s="1">
        <v>625.0</v>
      </c>
      <c r="B626" s="2" t="s">
        <v>17</v>
      </c>
      <c r="C626" s="2" t="s">
        <v>44</v>
      </c>
      <c r="D626" s="13"/>
      <c r="E626" s="13"/>
      <c r="F626" s="44"/>
      <c r="G626" s="42"/>
      <c r="H626" s="42"/>
      <c r="I626" s="42"/>
      <c r="J626" s="22"/>
      <c r="K626" s="42"/>
    </row>
    <row r="627" ht="39.75" customHeight="1">
      <c r="A627" s="1">
        <v>626.0</v>
      </c>
      <c r="B627" s="2" t="s">
        <v>331</v>
      </c>
      <c r="C627" s="2" t="s">
        <v>542</v>
      </c>
      <c r="D627" s="13"/>
      <c r="E627" s="13"/>
      <c r="F627" s="45"/>
      <c r="G627" s="42"/>
      <c r="H627" s="42"/>
      <c r="I627" s="42"/>
      <c r="J627" s="22"/>
      <c r="K627" s="42"/>
    </row>
    <row r="628" ht="39.75" customHeight="1">
      <c r="A628" s="1">
        <v>627.0</v>
      </c>
      <c r="B628" s="2" t="s">
        <v>21</v>
      </c>
      <c r="C628" s="2" t="s">
        <v>63</v>
      </c>
      <c r="D628" s="13"/>
      <c r="E628" s="13"/>
      <c r="F628" s="45"/>
      <c r="G628" s="42"/>
      <c r="H628" s="42"/>
      <c r="I628" s="42"/>
      <c r="J628" s="22"/>
      <c r="K628" s="42"/>
    </row>
    <row r="629" ht="39.75" customHeight="1">
      <c r="A629" s="1">
        <v>628.0</v>
      </c>
      <c r="B629" s="2" t="s">
        <v>22</v>
      </c>
      <c r="C629" s="2" t="s">
        <v>54</v>
      </c>
      <c r="D629" s="13"/>
      <c r="E629" s="13"/>
      <c r="F629" s="45"/>
      <c r="G629" s="42"/>
      <c r="H629" s="42"/>
      <c r="I629" s="42"/>
      <c r="J629" s="22"/>
      <c r="K629" s="42"/>
    </row>
    <row r="630" ht="39.75" customHeight="1">
      <c r="A630" s="1">
        <v>629.0</v>
      </c>
      <c r="B630" s="2" t="s">
        <v>23</v>
      </c>
      <c r="C630" s="2" t="s">
        <v>39</v>
      </c>
      <c r="D630" s="13"/>
      <c r="E630" s="13"/>
      <c r="F630" s="44" t="s">
        <v>5320</v>
      </c>
      <c r="G630" s="43">
        <v>2.0</v>
      </c>
      <c r="H630" s="42"/>
      <c r="I630" s="43">
        <v>2.0</v>
      </c>
      <c r="J630" s="22"/>
      <c r="K630" s="42"/>
    </row>
    <row r="631" ht="39.75" hidden="1" customHeight="1">
      <c r="A631" s="1">
        <v>630.0</v>
      </c>
      <c r="B631" s="2" t="s">
        <v>24</v>
      </c>
      <c r="C631" s="2" t="s">
        <v>58</v>
      </c>
      <c r="D631" s="13"/>
      <c r="E631" s="13"/>
      <c r="F631" s="45"/>
      <c r="G631" s="42"/>
      <c r="H631" s="42"/>
      <c r="I631" s="42"/>
      <c r="J631" s="22"/>
      <c r="K631" s="42"/>
    </row>
    <row r="632" ht="39.75" customHeight="1">
      <c r="A632" s="1">
        <v>631.0</v>
      </c>
      <c r="B632" s="2" t="s">
        <v>25</v>
      </c>
      <c r="C632" s="2"/>
      <c r="D632" s="13"/>
      <c r="E632" s="13"/>
      <c r="F632" s="44" t="s">
        <v>5321</v>
      </c>
      <c r="G632" s="43">
        <v>1.0</v>
      </c>
      <c r="H632" s="42"/>
      <c r="I632" s="42"/>
      <c r="J632" s="22"/>
      <c r="K632" s="42"/>
    </row>
    <row r="633" ht="39.75" customHeight="1">
      <c r="A633" s="1">
        <v>632.0</v>
      </c>
      <c r="B633" s="2" t="s">
        <v>26</v>
      </c>
      <c r="C633" s="2"/>
      <c r="D633" s="13"/>
      <c r="E633" s="13"/>
      <c r="F633" s="44" t="s">
        <v>5322</v>
      </c>
      <c r="G633" s="43">
        <v>1.0</v>
      </c>
      <c r="H633" s="42"/>
      <c r="I633" s="43">
        <v>1.0</v>
      </c>
      <c r="J633" s="22"/>
      <c r="K633" s="42"/>
    </row>
    <row r="634" ht="39.75" hidden="1" customHeight="1">
      <c r="A634" s="1">
        <v>633.0</v>
      </c>
      <c r="B634" s="2" t="s">
        <v>29</v>
      </c>
      <c r="C634" s="2" t="s">
        <v>66</v>
      </c>
      <c r="D634" s="13"/>
      <c r="E634" s="13"/>
      <c r="F634" s="45"/>
      <c r="G634" s="42"/>
      <c r="H634" s="42"/>
      <c r="I634" s="42"/>
      <c r="J634" s="22"/>
      <c r="K634" s="42"/>
    </row>
    <row r="635" ht="39.75" customHeight="1">
      <c r="A635" s="1">
        <v>634.0</v>
      </c>
      <c r="B635" s="2" t="s">
        <v>30</v>
      </c>
      <c r="C635" s="2" t="s">
        <v>3562</v>
      </c>
      <c r="D635" s="13"/>
      <c r="E635" s="13"/>
      <c r="F635" s="45"/>
      <c r="G635" s="42"/>
      <c r="H635" s="42"/>
      <c r="I635" s="42"/>
      <c r="J635" s="22"/>
      <c r="K635" s="42"/>
    </row>
    <row r="636" ht="39.75" customHeight="1">
      <c r="A636" s="1">
        <v>635.0</v>
      </c>
      <c r="B636" s="2" t="s">
        <v>31</v>
      </c>
      <c r="C636" s="2" t="s">
        <v>69</v>
      </c>
      <c r="D636" s="13"/>
      <c r="E636" s="13"/>
      <c r="F636" s="44" t="s">
        <v>5323</v>
      </c>
      <c r="G636" s="43">
        <v>4.0</v>
      </c>
      <c r="H636" s="42"/>
      <c r="I636" s="43">
        <v>4.0</v>
      </c>
      <c r="J636" s="22"/>
      <c r="K636" s="42"/>
    </row>
    <row r="637" ht="39.75" customHeight="1">
      <c r="A637" s="1">
        <v>636.0</v>
      </c>
      <c r="B637" s="2" t="s">
        <v>32</v>
      </c>
      <c r="C637" s="2"/>
      <c r="D637" s="13"/>
      <c r="E637" s="13"/>
      <c r="F637" s="44" t="s">
        <v>5303</v>
      </c>
      <c r="G637" s="43">
        <v>1.0</v>
      </c>
      <c r="H637" s="43">
        <v>1.0</v>
      </c>
      <c r="I637" s="42"/>
      <c r="J637" s="22"/>
      <c r="K637" s="42"/>
    </row>
    <row r="638" ht="39.75" customHeight="1">
      <c r="A638" s="1">
        <v>637.0</v>
      </c>
      <c r="B638" s="2" t="s">
        <v>67</v>
      </c>
      <c r="C638" s="2" t="s">
        <v>69</v>
      </c>
      <c r="D638" s="13"/>
      <c r="E638" s="13"/>
      <c r="F638" s="44" t="s">
        <v>5324</v>
      </c>
      <c r="G638" s="43">
        <v>1.0</v>
      </c>
      <c r="H638" s="42"/>
      <c r="I638" s="42"/>
      <c r="J638" s="22"/>
      <c r="K638" s="42"/>
    </row>
    <row r="639" ht="39.75" customHeight="1">
      <c r="A639" s="1">
        <v>638.0</v>
      </c>
      <c r="B639" s="2" t="s">
        <v>35</v>
      </c>
      <c r="C639" s="2" t="s">
        <v>54</v>
      </c>
      <c r="D639" s="13"/>
      <c r="E639" s="13"/>
      <c r="F639" s="44" t="s">
        <v>5325</v>
      </c>
      <c r="G639" s="43">
        <v>1.0</v>
      </c>
      <c r="H639" s="42"/>
      <c r="I639" s="42"/>
      <c r="J639" s="22"/>
      <c r="K639" s="42"/>
    </row>
    <row r="640" ht="39.75" customHeight="1">
      <c r="A640" s="1">
        <v>639.0</v>
      </c>
      <c r="B640" s="2" t="s">
        <v>36</v>
      </c>
      <c r="C640" s="2"/>
      <c r="D640" s="53">
        <v>0.3611111111111111</v>
      </c>
      <c r="E640" s="13"/>
      <c r="F640" s="44" t="s">
        <v>5326</v>
      </c>
      <c r="G640" s="43">
        <v>1.0</v>
      </c>
      <c r="H640" s="42"/>
      <c r="I640" s="42"/>
      <c r="J640" s="22"/>
      <c r="K640" s="42"/>
    </row>
    <row r="641" ht="39.75" customHeight="1">
      <c r="A641" s="1">
        <v>640.0</v>
      </c>
      <c r="B641" s="2" t="s">
        <v>38</v>
      </c>
      <c r="C641" s="2" t="s">
        <v>54</v>
      </c>
      <c r="D641" s="13"/>
      <c r="E641" s="13"/>
      <c r="F641" s="44" t="s">
        <v>5327</v>
      </c>
      <c r="G641" s="43">
        <v>1.0</v>
      </c>
      <c r="H641" s="42"/>
      <c r="I641" s="42"/>
      <c r="J641" s="22"/>
      <c r="K641" s="42"/>
    </row>
    <row r="642" ht="39.75" hidden="1" customHeight="1">
      <c r="A642" s="1">
        <v>641.0</v>
      </c>
      <c r="B642" s="2" t="s">
        <v>41</v>
      </c>
      <c r="C642" s="2" t="s">
        <v>58</v>
      </c>
      <c r="D642" s="13"/>
      <c r="E642" s="13"/>
      <c r="F642" s="45"/>
      <c r="G642" s="42"/>
      <c r="H642" s="42"/>
      <c r="I642" s="42"/>
      <c r="J642" s="22"/>
      <c r="K642" s="42"/>
    </row>
    <row r="643" ht="39.75" customHeight="1">
      <c r="A643" s="1">
        <v>642.0</v>
      </c>
      <c r="B643" s="2" t="s">
        <v>42</v>
      </c>
      <c r="C643" s="2" t="s">
        <v>54</v>
      </c>
      <c r="D643" s="13"/>
      <c r="E643" s="13"/>
      <c r="F643" s="44" t="s">
        <v>5328</v>
      </c>
      <c r="G643" s="43">
        <v>1.0</v>
      </c>
      <c r="H643" s="42"/>
      <c r="I643" s="42"/>
      <c r="J643" s="22"/>
      <c r="K643" s="42"/>
    </row>
    <row r="644" ht="39.75" hidden="1" customHeight="1">
      <c r="A644" s="1">
        <v>643.0</v>
      </c>
      <c r="B644" s="2" t="s">
        <v>43</v>
      </c>
      <c r="C644" s="2" t="s">
        <v>58</v>
      </c>
      <c r="D644" s="13"/>
      <c r="E644" s="13"/>
      <c r="F644" s="45"/>
      <c r="G644" s="42"/>
      <c r="H644" s="42"/>
      <c r="I644" s="42"/>
      <c r="J644" s="22"/>
      <c r="K644" s="42"/>
    </row>
    <row r="645" ht="39.75" customHeight="1">
      <c r="A645" s="1">
        <v>644.0</v>
      </c>
      <c r="B645" s="2" t="s">
        <v>45</v>
      </c>
      <c r="C645" s="2" t="s">
        <v>27</v>
      </c>
      <c r="D645" s="13"/>
      <c r="E645" s="13"/>
      <c r="F645" s="44" t="s">
        <v>5329</v>
      </c>
      <c r="G645" s="43">
        <v>2.0</v>
      </c>
      <c r="H645" s="42"/>
      <c r="I645" s="43">
        <v>1.0</v>
      </c>
      <c r="J645" s="22"/>
      <c r="K645" s="42"/>
    </row>
    <row r="646" ht="39.75" hidden="1" customHeight="1">
      <c r="A646" s="1">
        <v>645.0</v>
      </c>
      <c r="B646" s="2" t="s">
        <v>46</v>
      </c>
      <c r="C646" s="2" t="s">
        <v>58</v>
      </c>
      <c r="D646" s="13"/>
      <c r="E646" s="13"/>
      <c r="F646" s="45"/>
      <c r="G646" s="42"/>
      <c r="H646" s="42"/>
      <c r="I646" s="42"/>
      <c r="J646" s="22"/>
      <c r="K646" s="42"/>
    </row>
    <row r="647" ht="39.75" customHeight="1">
      <c r="A647" s="1">
        <v>646.0</v>
      </c>
      <c r="B647" s="2" t="s">
        <v>47</v>
      </c>
      <c r="C647" s="2" t="s">
        <v>39</v>
      </c>
      <c r="D647" s="13"/>
      <c r="E647" s="13"/>
      <c r="F647" s="44" t="s">
        <v>5330</v>
      </c>
      <c r="G647" s="43">
        <v>1.0</v>
      </c>
      <c r="H647" s="42"/>
      <c r="I647" s="43"/>
      <c r="J647" s="22"/>
      <c r="K647" s="42"/>
    </row>
    <row r="648" ht="39.75" hidden="1" customHeight="1">
      <c r="A648" s="1">
        <v>647.0</v>
      </c>
      <c r="B648" s="2" t="s">
        <v>48</v>
      </c>
      <c r="C648" s="2" t="s">
        <v>58</v>
      </c>
      <c r="D648" s="13"/>
      <c r="E648" s="13"/>
      <c r="F648" s="45"/>
      <c r="G648" s="42"/>
      <c r="H648" s="42"/>
      <c r="I648" s="42"/>
      <c r="J648" s="22"/>
      <c r="K648" s="42"/>
    </row>
    <row r="649" ht="39.75" customHeight="1">
      <c r="A649" s="1">
        <v>648.0</v>
      </c>
      <c r="B649" s="21"/>
      <c r="C649" s="21"/>
      <c r="D649" s="21"/>
      <c r="E649" s="21"/>
      <c r="F649" s="46"/>
      <c r="G649" s="47"/>
      <c r="H649" s="47"/>
      <c r="I649" s="47"/>
      <c r="J649" s="48"/>
      <c r="K649" s="47"/>
      <c r="L649" s="49"/>
      <c r="M649" s="49"/>
      <c r="N649" s="49"/>
    </row>
    <row r="650" ht="39.75" hidden="1" customHeight="1">
      <c r="A650" s="1">
        <v>649.0</v>
      </c>
      <c r="B650" s="2" t="s">
        <v>12</v>
      </c>
      <c r="C650" s="2" t="s">
        <v>13</v>
      </c>
      <c r="D650" s="13"/>
      <c r="E650" s="13"/>
      <c r="F650" s="45"/>
      <c r="G650" s="42"/>
      <c r="H650" s="42"/>
      <c r="I650" s="42"/>
      <c r="J650" s="27" t="s">
        <v>14</v>
      </c>
      <c r="K650" s="42"/>
      <c r="L650" s="15" t="s">
        <v>406</v>
      </c>
    </row>
    <row r="651" ht="39.75" customHeight="1">
      <c r="A651" s="1">
        <v>650.0</v>
      </c>
      <c r="B651" s="2" t="s">
        <v>16</v>
      </c>
      <c r="C651" s="2" t="s">
        <v>69</v>
      </c>
      <c r="D651" s="13"/>
      <c r="E651" s="13"/>
      <c r="F651" s="45"/>
      <c r="G651" s="42"/>
      <c r="H651" s="42"/>
      <c r="I651" s="42"/>
      <c r="J651" s="27" t="s">
        <v>406</v>
      </c>
      <c r="K651" s="43"/>
    </row>
    <row r="652" ht="39.75" hidden="1" customHeight="1">
      <c r="A652" s="1">
        <v>651.0</v>
      </c>
      <c r="B652" s="2" t="s">
        <v>116</v>
      </c>
      <c r="C652" s="2" t="s">
        <v>13</v>
      </c>
      <c r="D652" s="13"/>
      <c r="E652" s="13"/>
      <c r="F652" s="45"/>
      <c r="G652" s="42"/>
      <c r="H652" s="42"/>
      <c r="I652" s="42"/>
      <c r="J652" s="27" t="s">
        <v>111</v>
      </c>
      <c r="K652" s="42"/>
    </row>
    <row r="653" ht="39.75" customHeight="1">
      <c r="A653" s="1">
        <v>652.0</v>
      </c>
      <c r="B653" s="2" t="s">
        <v>17</v>
      </c>
      <c r="C653" s="2" t="s">
        <v>69</v>
      </c>
      <c r="D653" s="13"/>
      <c r="E653" s="13"/>
      <c r="F653" s="44" t="s">
        <v>5331</v>
      </c>
      <c r="G653" s="43">
        <v>1.0</v>
      </c>
      <c r="H653" s="42"/>
      <c r="I653" s="42"/>
      <c r="J653" s="27" t="s">
        <v>165</v>
      </c>
      <c r="K653" s="42"/>
    </row>
    <row r="654" ht="39.75" hidden="1" customHeight="1">
      <c r="A654" s="1">
        <v>653.0</v>
      </c>
      <c r="B654" s="2" t="s">
        <v>331</v>
      </c>
      <c r="C654" s="2" t="s">
        <v>13</v>
      </c>
      <c r="D654" s="13"/>
      <c r="E654" s="13"/>
      <c r="F654" s="45"/>
      <c r="G654" s="42"/>
      <c r="H654" s="42"/>
      <c r="I654" s="42"/>
      <c r="J654" s="27" t="s">
        <v>2637</v>
      </c>
      <c r="K654" s="42"/>
    </row>
    <row r="655" ht="39.75" hidden="1" customHeight="1">
      <c r="A655" s="1">
        <v>654.0</v>
      </c>
      <c r="B655" s="2" t="s">
        <v>21</v>
      </c>
      <c r="C655" s="2" t="s">
        <v>13</v>
      </c>
      <c r="D655" s="13"/>
      <c r="E655" s="13"/>
      <c r="F655" s="45"/>
      <c r="G655" s="42"/>
      <c r="H655" s="42"/>
      <c r="I655" s="42"/>
      <c r="J655" s="27" t="s">
        <v>2638</v>
      </c>
      <c r="K655" s="42"/>
    </row>
    <row r="656" ht="39.75" hidden="1" customHeight="1">
      <c r="A656" s="1">
        <v>655.0</v>
      </c>
      <c r="B656" s="2" t="s">
        <v>22</v>
      </c>
      <c r="C656" s="2" t="s">
        <v>13</v>
      </c>
      <c r="D656" s="13"/>
      <c r="E656" s="13"/>
      <c r="F656" s="45"/>
      <c r="G656" s="42"/>
      <c r="H656" s="42"/>
      <c r="I656" s="42"/>
      <c r="J656" s="22"/>
      <c r="K656" s="42"/>
    </row>
    <row r="657" ht="39.75" customHeight="1">
      <c r="A657" s="1">
        <v>656.0</v>
      </c>
      <c r="B657" s="2" t="s">
        <v>23</v>
      </c>
      <c r="C657" s="13"/>
      <c r="D657" s="40">
        <v>0.375</v>
      </c>
      <c r="E657" s="13"/>
      <c r="F657" s="44" t="s">
        <v>5332</v>
      </c>
      <c r="G657" s="43">
        <v>1.0</v>
      </c>
      <c r="H657" s="42"/>
      <c r="I657" s="42"/>
      <c r="J657" s="22"/>
      <c r="K657" s="42"/>
    </row>
    <row r="658" ht="39.75" customHeight="1">
      <c r="A658" s="1">
        <v>657.0</v>
      </c>
      <c r="B658" s="2" t="s">
        <v>24</v>
      </c>
      <c r="C658" s="2" t="s">
        <v>63</v>
      </c>
      <c r="D658" s="13"/>
      <c r="E658" s="13"/>
      <c r="F658" s="45"/>
      <c r="G658" s="42"/>
      <c r="H658" s="42"/>
      <c r="I658" s="42"/>
      <c r="J658" s="22"/>
      <c r="K658" s="42"/>
    </row>
    <row r="659" ht="39.75" hidden="1" customHeight="1">
      <c r="A659" s="1">
        <v>658.0</v>
      </c>
      <c r="B659" s="2" t="s">
        <v>25</v>
      </c>
      <c r="C659" s="2" t="s">
        <v>13</v>
      </c>
      <c r="D659" s="13"/>
      <c r="E659" s="13"/>
      <c r="F659" s="45"/>
      <c r="G659" s="42"/>
      <c r="H659" s="42"/>
      <c r="I659" s="42"/>
      <c r="J659" s="22"/>
      <c r="K659" s="42"/>
    </row>
    <row r="660" ht="39.75" hidden="1" customHeight="1">
      <c r="A660" s="1">
        <v>659.0</v>
      </c>
      <c r="B660" s="2" t="s">
        <v>26</v>
      </c>
      <c r="C660" s="2" t="s">
        <v>13</v>
      </c>
      <c r="D660" s="13"/>
      <c r="E660" s="13"/>
      <c r="F660" s="45"/>
      <c r="G660" s="42"/>
      <c r="H660" s="42"/>
      <c r="I660" s="42"/>
      <c r="J660" s="22"/>
      <c r="K660" s="42"/>
    </row>
    <row r="661" ht="39.75" customHeight="1">
      <c r="A661" s="1">
        <v>660.0</v>
      </c>
      <c r="B661" s="2" t="s">
        <v>29</v>
      </c>
      <c r="C661" s="2"/>
      <c r="D661" s="40">
        <v>0.375</v>
      </c>
      <c r="E661" s="13"/>
      <c r="F661" s="44" t="s">
        <v>5333</v>
      </c>
      <c r="G661" s="43">
        <v>1.0</v>
      </c>
      <c r="H661" s="42"/>
      <c r="I661" s="43">
        <v>1.0</v>
      </c>
      <c r="J661" s="22"/>
      <c r="K661" s="42"/>
    </row>
    <row r="662" ht="39.75" hidden="1" customHeight="1">
      <c r="A662" s="1">
        <v>661.0</v>
      </c>
      <c r="B662" s="2" t="s">
        <v>30</v>
      </c>
      <c r="C662" s="2" t="s">
        <v>13</v>
      </c>
      <c r="D662" s="13"/>
      <c r="E662" s="13"/>
      <c r="F662" s="45"/>
      <c r="G662" s="42"/>
      <c r="H662" s="42"/>
      <c r="I662" s="42"/>
      <c r="J662" s="22"/>
      <c r="K662" s="42"/>
    </row>
    <row r="663" ht="39.75" customHeight="1">
      <c r="A663" s="1">
        <v>662.0</v>
      </c>
      <c r="B663" s="2" t="s">
        <v>33</v>
      </c>
      <c r="C663" s="2" t="s">
        <v>272</v>
      </c>
      <c r="D663" s="13"/>
      <c r="E663" s="13"/>
      <c r="F663" s="44" t="s">
        <v>1186</v>
      </c>
      <c r="G663" s="43">
        <v>1.0</v>
      </c>
      <c r="H663" s="42"/>
      <c r="I663" s="43">
        <v>1.0</v>
      </c>
      <c r="J663" s="22"/>
      <c r="K663" s="42"/>
    </row>
    <row r="664" ht="39.75" customHeight="1">
      <c r="A664" s="1">
        <v>663.0</v>
      </c>
      <c r="B664" s="2" t="s">
        <v>32</v>
      </c>
      <c r="C664" s="2"/>
      <c r="D664" s="13"/>
      <c r="E664" s="13"/>
      <c r="F664" s="44" t="s">
        <v>5303</v>
      </c>
      <c r="G664" s="43">
        <v>1.0</v>
      </c>
      <c r="H664" s="43">
        <v>1.0</v>
      </c>
      <c r="I664" s="42"/>
      <c r="J664" s="22"/>
      <c r="K664" s="42"/>
    </row>
    <row r="665" ht="39.75" hidden="1" customHeight="1">
      <c r="A665" s="1">
        <v>664.0</v>
      </c>
      <c r="B665" s="2" t="s">
        <v>67</v>
      </c>
      <c r="C665" s="2" t="s">
        <v>13</v>
      </c>
      <c r="D665" s="13"/>
      <c r="E665" s="13"/>
      <c r="F665" s="45"/>
      <c r="G665" s="42"/>
      <c r="H665" s="42"/>
      <c r="I665" s="42"/>
      <c r="J665" s="22"/>
      <c r="K665" s="42"/>
    </row>
    <row r="666" ht="39.75" hidden="1" customHeight="1">
      <c r="A666" s="1">
        <v>665.0</v>
      </c>
      <c r="B666" s="2" t="s">
        <v>35</v>
      </c>
      <c r="C666" s="2" t="s">
        <v>13</v>
      </c>
      <c r="D666" s="13"/>
      <c r="E666" s="13"/>
      <c r="F666" s="45"/>
      <c r="G666" s="42"/>
      <c r="H666" s="42"/>
      <c r="I666" s="42"/>
      <c r="J666" s="22"/>
      <c r="K666" s="42"/>
    </row>
    <row r="667" ht="39.75" customHeight="1">
      <c r="A667" s="1">
        <v>666.0</v>
      </c>
      <c r="B667" s="2" t="s">
        <v>36</v>
      </c>
      <c r="C667" s="2" t="s">
        <v>27</v>
      </c>
      <c r="D667" s="13"/>
      <c r="E667" s="13"/>
      <c r="F667" s="44" t="s">
        <v>5334</v>
      </c>
      <c r="G667" s="43">
        <v>1.0</v>
      </c>
      <c r="H667" s="42"/>
      <c r="I667" s="42"/>
      <c r="J667" s="22"/>
      <c r="K667" s="42"/>
    </row>
    <row r="668" ht="39.75" customHeight="1">
      <c r="A668" s="1">
        <v>667.0</v>
      </c>
      <c r="B668" s="2" t="s">
        <v>38</v>
      </c>
      <c r="C668" s="2"/>
      <c r="D668" s="40">
        <v>0.375</v>
      </c>
      <c r="E668" s="13"/>
      <c r="F668" s="44" t="s">
        <v>5335</v>
      </c>
      <c r="G668" s="43">
        <v>1.0</v>
      </c>
      <c r="H668" s="42"/>
      <c r="I668" s="42"/>
      <c r="J668" s="22"/>
      <c r="K668" s="42"/>
    </row>
    <row r="669" ht="39.75" hidden="1" customHeight="1">
      <c r="A669" s="1">
        <v>668.0</v>
      </c>
      <c r="B669" s="2" t="s">
        <v>41</v>
      </c>
      <c r="C669" s="2" t="s">
        <v>13</v>
      </c>
      <c r="D669" s="13"/>
      <c r="E669" s="13"/>
      <c r="F669" s="45"/>
      <c r="G669" s="42"/>
      <c r="H669" s="42"/>
      <c r="I669" s="42"/>
      <c r="J669" s="22"/>
      <c r="K669" s="42"/>
    </row>
    <row r="670" ht="39.75" customHeight="1">
      <c r="A670" s="1">
        <v>669.0</v>
      </c>
      <c r="B670" s="2" t="s">
        <v>42</v>
      </c>
      <c r="C670" s="2" t="s">
        <v>69</v>
      </c>
      <c r="D670" s="13"/>
      <c r="E670" s="13"/>
      <c r="F670" s="44" t="s">
        <v>5336</v>
      </c>
      <c r="G670" s="43">
        <v>1.0</v>
      </c>
      <c r="H670" s="42"/>
      <c r="I670" s="43">
        <v>1.0</v>
      </c>
      <c r="J670" s="22"/>
      <c r="K670" s="42"/>
    </row>
    <row r="671" ht="39.75" hidden="1" customHeight="1">
      <c r="A671" s="1">
        <v>670.0</v>
      </c>
      <c r="B671" s="2" t="s">
        <v>43</v>
      </c>
      <c r="C671" s="2" t="s">
        <v>13</v>
      </c>
      <c r="D671" s="13"/>
      <c r="E671" s="13"/>
      <c r="F671" s="45"/>
      <c r="G671" s="42"/>
      <c r="H671" s="42"/>
      <c r="I671" s="42"/>
      <c r="J671" s="22"/>
      <c r="K671" s="42"/>
    </row>
    <row r="672" ht="39.75" customHeight="1">
      <c r="A672" s="1">
        <v>671.0</v>
      </c>
      <c r="B672" s="2" t="s">
        <v>45</v>
      </c>
      <c r="C672" s="2" t="s">
        <v>44</v>
      </c>
      <c r="D672" s="13"/>
      <c r="E672" s="13"/>
      <c r="F672" s="45"/>
      <c r="G672" s="42"/>
      <c r="H672" s="42"/>
      <c r="I672" s="42"/>
      <c r="J672" s="22"/>
      <c r="K672" s="42"/>
    </row>
    <row r="673" ht="39.75" customHeight="1">
      <c r="A673" s="1">
        <v>672.0</v>
      </c>
      <c r="B673" s="2" t="s">
        <v>46</v>
      </c>
      <c r="C673" s="2" t="s">
        <v>39</v>
      </c>
      <c r="D673" s="13"/>
      <c r="E673" s="13"/>
      <c r="F673" s="44" t="s">
        <v>5337</v>
      </c>
      <c r="G673" s="43">
        <v>1.0</v>
      </c>
      <c r="H673" s="42"/>
      <c r="I673" s="43">
        <v>1.0</v>
      </c>
      <c r="J673" s="22"/>
      <c r="K673" s="42"/>
    </row>
    <row r="674" ht="39.75" hidden="1" customHeight="1">
      <c r="A674" s="1">
        <v>673.0</v>
      </c>
      <c r="B674" s="2" t="s">
        <v>47</v>
      </c>
      <c r="C674" s="2" t="s">
        <v>13</v>
      </c>
      <c r="D674" s="13"/>
      <c r="E674" s="13"/>
      <c r="F674" s="45"/>
      <c r="G674" s="42"/>
      <c r="H674" s="42"/>
      <c r="I674" s="42"/>
      <c r="J674" s="22"/>
      <c r="K674" s="42"/>
    </row>
    <row r="675" ht="39.75" customHeight="1">
      <c r="A675" s="1">
        <v>674.0</v>
      </c>
      <c r="B675" s="2" t="s">
        <v>48</v>
      </c>
      <c r="C675" s="2"/>
      <c r="D675" s="40">
        <v>0.375</v>
      </c>
      <c r="E675" s="13"/>
      <c r="F675" s="44" t="s">
        <v>5338</v>
      </c>
      <c r="G675" s="43">
        <v>1.0</v>
      </c>
      <c r="H675" s="42"/>
      <c r="I675" s="42"/>
      <c r="J675" s="22"/>
      <c r="K675" s="42"/>
    </row>
    <row r="676" ht="39.75" customHeight="1">
      <c r="A676" s="1">
        <v>675.0</v>
      </c>
      <c r="B676" s="21"/>
      <c r="C676" s="21"/>
      <c r="D676" s="21"/>
      <c r="E676" s="21"/>
      <c r="F676" s="46"/>
      <c r="G676" s="47"/>
      <c r="H676" s="47"/>
      <c r="I676" s="47"/>
      <c r="J676" s="48"/>
      <c r="K676" s="47"/>
      <c r="L676" s="49"/>
      <c r="M676" s="49"/>
      <c r="N676" s="49"/>
    </row>
    <row r="677" ht="39.75" hidden="1" customHeight="1">
      <c r="A677" s="1">
        <v>676.0</v>
      </c>
      <c r="B677" s="2" t="s">
        <v>12</v>
      </c>
      <c r="C677" s="2" t="s">
        <v>58</v>
      </c>
      <c r="D677" s="13"/>
      <c r="E677" s="13"/>
      <c r="F677" s="45"/>
      <c r="G677" s="42"/>
      <c r="H677" s="42"/>
      <c r="I677" s="42"/>
      <c r="J677" s="27" t="s">
        <v>14</v>
      </c>
      <c r="K677" s="42"/>
      <c r="L677" s="15" t="s">
        <v>423</v>
      </c>
    </row>
    <row r="678" ht="39.75" customHeight="1">
      <c r="A678" s="1">
        <v>677.0</v>
      </c>
      <c r="B678" s="2" t="s">
        <v>16</v>
      </c>
      <c r="C678" s="2" t="s">
        <v>54</v>
      </c>
      <c r="D678" s="13"/>
      <c r="E678" s="13"/>
      <c r="F678" s="45"/>
      <c r="G678" s="42"/>
      <c r="H678" s="42"/>
      <c r="I678" s="42"/>
      <c r="J678" s="27" t="s">
        <v>423</v>
      </c>
      <c r="K678" s="43"/>
    </row>
    <row r="679" ht="39.75" customHeight="1">
      <c r="A679" s="1">
        <v>678.0</v>
      </c>
      <c r="B679" s="2" t="s">
        <v>116</v>
      </c>
      <c r="C679" s="2" t="s">
        <v>39</v>
      </c>
      <c r="D679" s="13"/>
      <c r="E679" s="13"/>
      <c r="F679" s="44" t="s">
        <v>5339</v>
      </c>
      <c r="G679" s="43">
        <v>1.0</v>
      </c>
      <c r="H679" s="42"/>
      <c r="I679" s="42"/>
      <c r="J679" s="27" t="s">
        <v>131</v>
      </c>
      <c r="K679" s="42"/>
    </row>
    <row r="680" ht="39.75" customHeight="1">
      <c r="A680" s="1">
        <v>679.0</v>
      </c>
      <c r="B680" s="2" t="s">
        <v>17</v>
      </c>
      <c r="C680" s="2" t="s">
        <v>64</v>
      </c>
      <c r="D680" s="13"/>
      <c r="E680" s="13"/>
      <c r="F680" s="44" t="s">
        <v>2034</v>
      </c>
      <c r="G680" s="43">
        <v>1.0</v>
      </c>
      <c r="H680" s="42"/>
      <c r="I680" s="43">
        <v>1.0</v>
      </c>
      <c r="J680" s="22"/>
      <c r="K680" s="42"/>
    </row>
    <row r="681" ht="39.75" customHeight="1">
      <c r="A681" s="1">
        <v>680.0</v>
      </c>
      <c r="B681" s="2" t="s">
        <v>331</v>
      </c>
      <c r="C681" s="2" t="s">
        <v>542</v>
      </c>
      <c r="D681" s="13"/>
      <c r="E681" s="13"/>
      <c r="F681" s="44" t="s">
        <v>5340</v>
      </c>
      <c r="G681" s="43">
        <v>1.0</v>
      </c>
      <c r="H681" s="42"/>
      <c r="I681" s="43">
        <v>1.0</v>
      </c>
      <c r="J681" s="22"/>
      <c r="K681" s="42"/>
    </row>
    <row r="682" ht="39.75" customHeight="1">
      <c r="A682" s="1">
        <v>681.0</v>
      </c>
      <c r="B682" s="2" t="s">
        <v>21</v>
      </c>
      <c r="C682" s="2" t="s">
        <v>63</v>
      </c>
      <c r="D682" s="13"/>
      <c r="E682" s="13"/>
      <c r="F682" s="45"/>
      <c r="G682" s="42"/>
      <c r="H682" s="42"/>
      <c r="I682" s="42"/>
      <c r="J682" s="22"/>
      <c r="K682" s="42"/>
    </row>
    <row r="683" ht="39.75" customHeight="1">
      <c r="A683" s="1">
        <v>682.0</v>
      </c>
      <c r="B683" s="2" t="s">
        <v>22</v>
      </c>
      <c r="C683" s="2" t="s">
        <v>54</v>
      </c>
      <c r="D683" s="13"/>
      <c r="E683" s="13"/>
      <c r="F683" s="45"/>
      <c r="G683" s="42"/>
      <c r="H683" s="42"/>
      <c r="I683" s="42"/>
      <c r="J683" s="22"/>
      <c r="K683" s="42"/>
    </row>
    <row r="684" ht="39.75" hidden="1" customHeight="1">
      <c r="A684" s="1">
        <v>683.0</v>
      </c>
      <c r="B684" s="2" t="s">
        <v>23</v>
      </c>
      <c r="C684" s="2" t="s">
        <v>58</v>
      </c>
      <c r="D684" s="13"/>
      <c r="E684" s="13"/>
      <c r="F684" s="45"/>
      <c r="G684" s="42"/>
      <c r="H684" s="42"/>
      <c r="I684" s="42"/>
      <c r="J684" s="22"/>
      <c r="K684" s="42"/>
    </row>
    <row r="685" ht="39.75" customHeight="1">
      <c r="A685" s="1">
        <v>684.0</v>
      </c>
      <c r="B685" s="2" t="s">
        <v>24</v>
      </c>
      <c r="C685" s="2"/>
      <c r="D685" s="13"/>
      <c r="E685" s="13"/>
      <c r="F685" s="44" t="s">
        <v>5341</v>
      </c>
      <c r="G685" s="43">
        <v>1.0</v>
      </c>
      <c r="H685" s="42"/>
      <c r="I685" s="42"/>
      <c r="J685" s="22"/>
      <c r="K685" s="42"/>
    </row>
    <row r="686" ht="39.75" customHeight="1">
      <c r="A686" s="1">
        <v>685.0</v>
      </c>
      <c r="B686" s="2" t="s">
        <v>25</v>
      </c>
      <c r="C686" s="2"/>
      <c r="D686" s="13"/>
      <c r="E686" s="13"/>
      <c r="F686" s="44" t="s">
        <v>5342</v>
      </c>
      <c r="G686" s="43">
        <v>1.0</v>
      </c>
      <c r="H686" s="42"/>
      <c r="I686" s="42"/>
      <c r="J686" s="22"/>
      <c r="K686" s="42"/>
    </row>
    <row r="687" ht="39.75" customHeight="1">
      <c r="A687" s="1">
        <v>686.0</v>
      </c>
      <c r="B687" s="2" t="s">
        <v>26</v>
      </c>
      <c r="C687" s="2" t="s">
        <v>69</v>
      </c>
      <c r="D687" s="13"/>
      <c r="E687" s="13"/>
      <c r="F687" s="44" t="s">
        <v>5343</v>
      </c>
      <c r="G687" s="43">
        <v>2.0</v>
      </c>
      <c r="H687" s="42"/>
      <c r="I687" s="43">
        <v>1.0</v>
      </c>
      <c r="J687" s="22"/>
      <c r="K687" s="42"/>
    </row>
    <row r="688" ht="39.75" hidden="1" customHeight="1">
      <c r="A688" s="1">
        <v>687.0</v>
      </c>
      <c r="B688" s="2" t="s">
        <v>29</v>
      </c>
      <c r="C688" s="2" t="s">
        <v>58</v>
      </c>
      <c r="D688" s="13"/>
      <c r="E688" s="13"/>
      <c r="F688" s="45"/>
      <c r="G688" s="42"/>
      <c r="H688" s="42"/>
      <c r="I688" s="42"/>
      <c r="J688" s="22"/>
      <c r="K688" s="42"/>
    </row>
    <row r="689" ht="39.75" hidden="1" customHeight="1">
      <c r="A689" s="1">
        <v>688.0</v>
      </c>
      <c r="B689" s="2" t="s">
        <v>30</v>
      </c>
      <c r="C689" s="2" t="s">
        <v>58</v>
      </c>
      <c r="D689" s="13"/>
      <c r="E689" s="13"/>
      <c r="F689" s="45"/>
      <c r="G689" s="42"/>
      <c r="H689" s="42"/>
      <c r="I689" s="42"/>
      <c r="J689" s="22"/>
      <c r="K689" s="42"/>
    </row>
    <row r="690" ht="39.75" customHeight="1">
      <c r="A690" s="1">
        <v>689.0</v>
      </c>
      <c r="B690" s="2" t="s">
        <v>31</v>
      </c>
      <c r="C690" s="2" t="s">
        <v>27</v>
      </c>
      <c r="D690" s="13"/>
      <c r="E690" s="13"/>
      <c r="F690" s="44" t="s">
        <v>5344</v>
      </c>
      <c r="G690" s="43">
        <v>1.0</v>
      </c>
      <c r="H690" s="42"/>
      <c r="I690" s="42"/>
      <c r="J690" s="22"/>
      <c r="K690" s="42"/>
    </row>
    <row r="691" ht="39.75" customHeight="1">
      <c r="A691" s="1">
        <v>690.0</v>
      </c>
      <c r="B691" s="2" t="s">
        <v>32</v>
      </c>
      <c r="C691" s="2"/>
      <c r="D691" s="13"/>
      <c r="E691" s="13"/>
      <c r="F691" s="44" t="s">
        <v>5303</v>
      </c>
      <c r="G691" s="43">
        <v>1.0</v>
      </c>
      <c r="H691" s="43">
        <v>1.0</v>
      </c>
      <c r="I691" s="42"/>
      <c r="J691" s="22"/>
      <c r="K691" s="42"/>
    </row>
    <row r="692" ht="39.75" customHeight="1">
      <c r="A692" s="1">
        <v>691.0</v>
      </c>
      <c r="B692" s="2" t="s">
        <v>67</v>
      </c>
      <c r="C692" s="2" t="s">
        <v>39</v>
      </c>
      <c r="D692" s="13"/>
      <c r="E692" s="13"/>
      <c r="F692" s="44" t="s">
        <v>3491</v>
      </c>
      <c r="G692" s="43">
        <v>2.0</v>
      </c>
      <c r="H692" s="42"/>
      <c r="I692" s="43">
        <v>2.0</v>
      </c>
      <c r="J692" s="22"/>
      <c r="K692" s="42"/>
    </row>
    <row r="693" ht="39.75" customHeight="1">
      <c r="A693" s="1">
        <v>692.0</v>
      </c>
      <c r="B693" s="2" t="s">
        <v>35</v>
      </c>
      <c r="C693" s="2" t="s">
        <v>54</v>
      </c>
      <c r="D693" s="13"/>
      <c r="E693" s="13"/>
      <c r="F693" s="44" t="s">
        <v>5345</v>
      </c>
      <c r="G693" s="43">
        <v>1.0</v>
      </c>
      <c r="H693" s="42"/>
      <c r="I693" s="42"/>
      <c r="J693" s="22"/>
      <c r="K693" s="42"/>
    </row>
    <row r="694" ht="39.75" customHeight="1">
      <c r="A694" s="1">
        <v>693.0</v>
      </c>
      <c r="B694" s="2" t="s">
        <v>36</v>
      </c>
      <c r="C694" s="2" t="s">
        <v>44</v>
      </c>
      <c r="D694" s="13"/>
      <c r="E694" s="13"/>
      <c r="F694" s="45"/>
      <c r="G694" s="42"/>
      <c r="H694" s="42"/>
      <c r="I694" s="42"/>
      <c r="J694" s="22"/>
      <c r="K694" s="42"/>
    </row>
    <row r="695" ht="39.75" customHeight="1">
      <c r="A695" s="1">
        <v>694.0</v>
      </c>
      <c r="B695" s="2" t="s">
        <v>38</v>
      </c>
      <c r="C695" s="2" t="s">
        <v>54</v>
      </c>
      <c r="D695" s="13"/>
      <c r="E695" s="13"/>
      <c r="F695" s="45"/>
      <c r="G695" s="42"/>
      <c r="H695" s="42"/>
      <c r="I695" s="42"/>
      <c r="J695" s="22"/>
      <c r="K695" s="42"/>
    </row>
    <row r="696" ht="39.75" hidden="1" customHeight="1">
      <c r="A696" s="1">
        <v>695.0</v>
      </c>
      <c r="B696" s="2" t="s">
        <v>41</v>
      </c>
      <c r="C696" s="2" t="s">
        <v>58</v>
      </c>
      <c r="D696" s="13"/>
      <c r="E696" s="13"/>
      <c r="F696" s="45"/>
      <c r="G696" s="42"/>
      <c r="H696" s="42"/>
      <c r="I696" s="42"/>
      <c r="J696" s="22"/>
      <c r="K696" s="42"/>
    </row>
    <row r="697" ht="39.75" customHeight="1">
      <c r="A697" s="1">
        <v>696.0</v>
      </c>
      <c r="B697" s="2" t="s">
        <v>42</v>
      </c>
      <c r="C697" s="2"/>
      <c r="D697" s="13"/>
      <c r="E697" s="13"/>
      <c r="F697" s="44" t="s">
        <v>5346</v>
      </c>
      <c r="G697" s="43">
        <v>1.0</v>
      </c>
      <c r="H697" s="42"/>
      <c r="I697" s="42"/>
      <c r="J697" s="22"/>
      <c r="K697" s="42"/>
    </row>
    <row r="698" ht="39.75" hidden="1" customHeight="1">
      <c r="A698" s="1">
        <v>697.0</v>
      </c>
      <c r="B698" s="2" t="s">
        <v>43</v>
      </c>
      <c r="C698" s="2" t="s">
        <v>58</v>
      </c>
      <c r="D698" s="13"/>
      <c r="E698" s="13"/>
      <c r="F698" s="45"/>
      <c r="G698" s="42"/>
      <c r="H698" s="42"/>
      <c r="I698" s="42"/>
      <c r="J698" s="22"/>
      <c r="K698" s="42"/>
    </row>
    <row r="699" ht="39.75" customHeight="1">
      <c r="A699" s="1">
        <v>698.0</v>
      </c>
      <c r="B699" s="2" t="s">
        <v>45</v>
      </c>
      <c r="C699" s="2" t="s">
        <v>69</v>
      </c>
      <c r="D699" s="13"/>
      <c r="E699" s="13"/>
      <c r="F699" s="44" t="s">
        <v>5347</v>
      </c>
      <c r="G699" s="43">
        <v>1.0</v>
      </c>
      <c r="H699" s="42"/>
      <c r="I699" s="42"/>
      <c r="J699" s="22"/>
      <c r="K699" s="42"/>
    </row>
    <row r="700" ht="39.75" hidden="1" customHeight="1">
      <c r="A700" s="1">
        <v>699.0</v>
      </c>
      <c r="B700" s="2" t="s">
        <v>46</v>
      </c>
      <c r="C700" s="2" t="s">
        <v>66</v>
      </c>
      <c r="D700" s="13"/>
      <c r="E700" s="13"/>
      <c r="F700" s="45"/>
      <c r="G700" s="42"/>
      <c r="H700" s="42"/>
      <c r="I700" s="42"/>
      <c r="J700" s="22"/>
      <c r="K700" s="42"/>
    </row>
    <row r="701" ht="39.75" customHeight="1">
      <c r="A701" s="1">
        <v>700.0</v>
      </c>
      <c r="B701" s="2" t="s">
        <v>47</v>
      </c>
      <c r="C701" s="2" t="s">
        <v>69</v>
      </c>
      <c r="D701" s="13"/>
      <c r="E701" s="13"/>
      <c r="F701" s="44" t="s">
        <v>5348</v>
      </c>
      <c r="G701" s="43">
        <v>1.0</v>
      </c>
      <c r="H701" s="42"/>
      <c r="I701" s="42"/>
      <c r="J701" s="22"/>
      <c r="K701" s="42"/>
    </row>
    <row r="702" ht="39.75" hidden="1" customHeight="1">
      <c r="A702" s="1">
        <v>701.0</v>
      </c>
      <c r="B702" s="2" t="s">
        <v>48</v>
      </c>
      <c r="C702" s="2" t="s">
        <v>58</v>
      </c>
      <c r="D702" s="13"/>
      <c r="E702" s="13"/>
      <c r="F702" s="45"/>
      <c r="G702" s="42"/>
      <c r="H702" s="42"/>
      <c r="I702" s="42"/>
      <c r="J702" s="22"/>
      <c r="K702" s="42"/>
    </row>
    <row r="703" ht="39.75" customHeight="1">
      <c r="A703" s="1">
        <v>702.0</v>
      </c>
      <c r="B703" s="21"/>
      <c r="C703" s="21"/>
      <c r="D703" s="21"/>
      <c r="E703" s="21"/>
      <c r="F703" s="46"/>
      <c r="G703" s="47"/>
      <c r="H703" s="47"/>
      <c r="I703" s="47"/>
      <c r="J703" s="48"/>
      <c r="K703" s="47"/>
      <c r="L703" s="49"/>
      <c r="M703" s="49"/>
      <c r="N703" s="49"/>
    </row>
    <row r="704" ht="39.75" hidden="1" customHeight="1">
      <c r="A704" s="1">
        <v>703.0</v>
      </c>
      <c r="B704" s="2" t="s">
        <v>12</v>
      </c>
      <c r="C704" s="2" t="s">
        <v>13</v>
      </c>
      <c r="D704" s="13"/>
      <c r="E704" s="13"/>
      <c r="F704" s="45"/>
      <c r="G704" s="42"/>
      <c r="H704" s="42"/>
      <c r="I704" s="42"/>
      <c r="J704" s="27" t="s">
        <v>14</v>
      </c>
      <c r="K704" s="42"/>
      <c r="L704" s="15" t="s">
        <v>438</v>
      </c>
    </row>
    <row r="705" ht="39.75" hidden="1" customHeight="1">
      <c r="A705" s="1">
        <v>704.0</v>
      </c>
      <c r="B705" s="2" t="s">
        <v>16</v>
      </c>
      <c r="C705" s="2" t="s">
        <v>13</v>
      </c>
      <c r="D705" s="13"/>
      <c r="E705" s="13"/>
      <c r="F705" s="45"/>
      <c r="G705" s="42"/>
      <c r="H705" s="42"/>
      <c r="I705" s="42"/>
      <c r="J705" s="27" t="s">
        <v>438</v>
      </c>
      <c r="K705" s="43"/>
    </row>
    <row r="706" ht="39.75" hidden="1" customHeight="1">
      <c r="A706" s="1">
        <v>705.0</v>
      </c>
      <c r="B706" s="2" t="s">
        <v>116</v>
      </c>
      <c r="C706" s="2" t="s">
        <v>13</v>
      </c>
      <c r="D706" s="13"/>
      <c r="E706" s="13"/>
      <c r="F706" s="45"/>
      <c r="G706" s="42"/>
      <c r="H706" s="42"/>
      <c r="I706" s="42"/>
      <c r="J706" s="27" t="s">
        <v>149</v>
      </c>
      <c r="K706" s="42"/>
    </row>
    <row r="707" ht="39.75" hidden="1" customHeight="1">
      <c r="A707" s="1">
        <v>706.0</v>
      </c>
      <c r="B707" s="2" t="s">
        <v>17</v>
      </c>
      <c r="C707" s="2" t="s">
        <v>13</v>
      </c>
      <c r="D707" s="13"/>
      <c r="E707" s="13"/>
      <c r="F707" s="44"/>
      <c r="G707" s="42"/>
      <c r="H707" s="42"/>
      <c r="I707" s="42"/>
      <c r="J707" s="27" t="s">
        <v>165</v>
      </c>
      <c r="K707" s="42"/>
    </row>
    <row r="708" ht="39.75" hidden="1" customHeight="1">
      <c r="A708" s="1">
        <v>707.0</v>
      </c>
      <c r="B708" s="2" t="s">
        <v>331</v>
      </c>
      <c r="C708" s="2" t="s">
        <v>13</v>
      </c>
      <c r="D708" s="13"/>
      <c r="E708" s="13"/>
      <c r="F708" s="45"/>
      <c r="G708" s="42"/>
      <c r="H708" s="42"/>
      <c r="I708" s="42"/>
      <c r="J708" s="27" t="s">
        <v>166</v>
      </c>
      <c r="K708" s="42"/>
    </row>
    <row r="709" ht="39.75" hidden="1" customHeight="1">
      <c r="A709" s="1">
        <v>708.0</v>
      </c>
      <c r="B709" s="2" t="s">
        <v>21</v>
      </c>
      <c r="C709" s="2" t="s">
        <v>13</v>
      </c>
      <c r="D709" s="13"/>
      <c r="E709" s="13"/>
      <c r="F709" s="45"/>
      <c r="G709" s="42"/>
      <c r="H709" s="42"/>
      <c r="I709" s="42"/>
      <c r="J709" s="27" t="s">
        <v>167</v>
      </c>
      <c r="K709" s="42"/>
    </row>
    <row r="710" ht="39.75" hidden="1" customHeight="1">
      <c r="A710" s="1">
        <v>709.0</v>
      </c>
      <c r="B710" s="2" t="s">
        <v>22</v>
      </c>
      <c r="C710" s="2" t="s">
        <v>13</v>
      </c>
      <c r="D710" s="13"/>
      <c r="E710" s="13"/>
      <c r="F710" s="45"/>
      <c r="G710" s="42"/>
      <c r="H710" s="42"/>
      <c r="I710" s="42"/>
      <c r="J710" s="22"/>
      <c r="K710" s="42"/>
    </row>
    <row r="711" ht="39.75" customHeight="1">
      <c r="A711" s="1">
        <v>710.0</v>
      </c>
      <c r="B711" s="2" t="s">
        <v>23</v>
      </c>
      <c r="C711" s="2" t="s">
        <v>39</v>
      </c>
      <c r="D711" s="13"/>
      <c r="E711" s="13"/>
      <c r="F711" s="44" t="s">
        <v>4264</v>
      </c>
      <c r="G711" s="43">
        <v>1.0</v>
      </c>
      <c r="H711" s="42"/>
      <c r="I711" s="43">
        <v>1.0</v>
      </c>
      <c r="J711" s="22"/>
      <c r="K711" s="42"/>
    </row>
    <row r="712" ht="39.75" customHeight="1">
      <c r="A712" s="1">
        <v>711.0</v>
      </c>
      <c r="B712" s="2" t="s">
        <v>24</v>
      </c>
      <c r="C712" s="2" t="s">
        <v>63</v>
      </c>
      <c r="D712" s="13"/>
      <c r="E712" s="13"/>
      <c r="F712" s="45"/>
      <c r="G712" s="42"/>
      <c r="H712" s="42"/>
      <c r="I712" s="42"/>
      <c r="J712" s="22"/>
      <c r="K712" s="42"/>
    </row>
    <row r="713" ht="39.75" hidden="1" customHeight="1">
      <c r="A713" s="1">
        <v>712.0</v>
      </c>
      <c r="B713" s="2" t="s">
        <v>25</v>
      </c>
      <c r="C713" s="2" t="s">
        <v>13</v>
      </c>
      <c r="D713" s="13"/>
      <c r="E713" s="13"/>
      <c r="F713" s="45"/>
      <c r="G713" s="42"/>
      <c r="H713" s="42"/>
      <c r="I713" s="42"/>
      <c r="J713" s="22"/>
      <c r="K713" s="42"/>
    </row>
    <row r="714" ht="39.75" customHeight="1">
      <c r="A714" s="1">
        <v>713.0</v>
      </c>
      <c r="B714" s="2" t="s">
        <v>26</v>
      </c>
      <c r="C714" s="2" t="s">
        <v>27</v>
      </c>
      <c r="D714" s="13"/>
      <c r="E714" s="13"/>
      <c r="F714" s="45"/>
      <c r="G714" s="42"/>
      <c r="H714" s="42"/>
      <c r="I714" s="42"/>
      <c r="J714" s="22"/>
      <c r="K714" s="42"/>
    </row>
    <row r="715" ht="39.75" hidden="1" customHeight="1">
      <c r="A715" s="1">
        <v>714.0</v>
      </c>
      <c r="B715" s="2" t="s">
        <v>29</v>
      </c>
      <c r="C715" s="2" t="s">
        <v>13</v>
      </c>
      <c r="D715" s="13"/>
      <c r="E715" s="13"/>
      <c r="F715" s="45"/>
      <c r="G715" s="42"/>
      <c r="H715" s="42"/>
      <c r="I715" s="42"/>
      <c r="J715" s="22"/>
      <c r="K715" s="42"/>
    </row>
    <row r="716" ht="39.75" hidden="1" customHeight="1">
      <c r="A716" s="1">
        <v>715.0</v>
      </c>
      <c r="B716" s="2" t="s">
        <v>30</v>
      </c>
      <c r="C716" s="2" t="s">
        <v>13</v>
      </c>
      <c r="D716" s="13"/>
      <c r="E716" s="13"/>
      <c r="F716" s="45"/>
      <c r="G716" s="42"/>
      <c r="H716" s="42"/>
      <c r="I716" s="42"/>
      <c r="J716" s="22"/>
      <c r="K716" s="42"/>
    </row>
    <row r="717" ht="39.75" customHeight="1">
      <c r="A717" s="1">
        <v>716.0</v>
      </c>
      <c r="B717" s="2" t="s">
        <v>31</v>
      </c>
      <c r="C717" s="2" t="s">
        <v>44</v>
      </c>
      <c r="D717" s="13"/>
      <c r="E717" s="13"/>
      <c r="F717" s="45"/>
      <c r="G717" s="42"/>
      <c r="H717" s="42"/>
      <c r="I717" s="42"/>
      <c r="J717" s="22"/>
      <c r="K717" s="42"/>
    </row>
    <row r="718" ht="39.75" customHeight="1">
      <c r="A718" s="1">
        <v>717.0</v>
      </c>
      <c r="B718" s="2" t="s">
        <v>33</v>
      </c>
      <c r="C718" s="2" t="s">
        <v>272</v>
      </c>
      <c r="D718" s="13"/>
      <c r="E718" s="13"/>
      <c r="F718" s="44" t="s">
        <v>1186</v>
      </c>
      <c r="G718" s="43">
        <v>1.0</v>
      </c>
      <c r="H718" s="43"/>
      <c r="I718" s="43">
        <v>1.0</v>
      </c>
      <c r="J718" s="22"/>
      <c r="K718" s="42"/>
    </row>
    <row r="719" ht="39.75" customHeight="1">
      <c r="A719" s="1">
        <v>718.0</v>
      </c>
      <c r="B719" s="2" t="s">
        <v>67</v>
      </c>
      <c r="C719" s="2"/>
      <c r="D719" s="40">
        <v>0.375</v>
      </c>
      <c r="E719" s="13"/>
      <c r="F719" s="45"/>
      <c r="G719" s="42"/>
      <c r="H719" s="42"/>
      <c r="I719" s="42"/>
      <c r="J719" s="22"/>
      <c r="K719" s="42"/>
    </row>
    <row r="720" ht="39.75" hidden="1" customHeight="1">
      <c r="A720" s="1">
        <v>719.0</v>
      </c>
      <c r="B720" s="2" t="s">
        <v>35</v>
      </c>
      <c r="C720" s="2" t="s">
        <v>13</v>
      </c>
      <c r="D720" s="13"/>
      <c r="E720" s="13"/>
      <c r="F720" s="45"/>
      <c r="G720" s="42"/>
      <c r="H720" s="42"/>
      <c r="I720" s="42"/>
      <c r="J720" s="22"/>
      <c r="K720" s="42"/>
    </row>
    <row r="721" ht="39.75" hidden="1" customHeight="1">
      <c r="A721" s="1">
        <v>720.0</v>
      </c>
      <c r="B721" s="2" t="s">
        <v>36</v>
      </c>
      <c r="C721" s="2" t="s">
        <v>13</v>
      </c>
      <c r="D721" s="13"/>
      <c r="E721" s="13"/>
      <c r="F721" s="45"/>
      <c r="G721" s="42"/>
      <c r="H721" s="42"/>
      <c r="I721" s="42"/>
      <c r="J721" s="22"/>
      <c r="K721" s="42"/>
    </row>
    <row r="722" ht="39.75" customHeight="1">
      <c r="A722" s="1">
        <v>721.0</v>
      </c>
      <c r="B722" s="2" t="s">
        <v>38</v>
      </c>
      <c r="C722" s="2" t="s">
        <v>49</v>
      </c>
      <c r="D722" s="13"/>
      <c r="E722" s="13"/>
      <c r="F722" s="44" t="s">
        <v>5349</v>
      </c>
      <c r="G722" s="43">
        <v>1.0</v>
      </c>
      <c r="H722" s="43">
        <v>1.0</v>
      </c>
      <c r="I722" s="42"/>
      <c r="J722" s="22"/>
      <c r="K722" s="42"/>
    </row>
    <row r="723" ht="39.75" hidden="1" customHeight="1">
      <c r="A723" s="1">
        <v>722.0</v>
      </c>
      <c r="B723" s="2" t="s">
        <v>41</v>
      </c>
      <c r="C723" s="2" t="s">
        <v>13</v>
      </c>
      <c r="D723" s="13"/>
      <c r="E723" s="13"/>
      <c r="F723" s="45"/>
      <c r="G723" s="42"/>
      <c r="H723" s="42"/>
      <c r="I723" s="42"/>
      <c r="J723" s="22"/>
      <c r="K723" s="42"/>
    </row>
    <row r="724" ht="39.75" hidden="1" customHeight="1">
      <c r="A724" s="1">
        <v>723.0</v>
      </c>
      <c r="B724" s="2" t="s">
        <v>42</v>
      </c>
      <c r="C724" s="2" t="s">
        <v>13</v>
      </c>
      <c r="D724" s="13"/>
      <c r="E724" s="13"/>
      <c r="F724" s="45"/>
      <c r="G724" s="42"/>
      <c r="H724" s="42"/>
      <c r="I724" s="42"/>
      <c r="J724" s="22"/>
      <c r="K724" s="42"/>
    </row>
    <row r="725" ht="39.75" hidden="1" customHeight="1">
      <c r="A725" s="1">
        <v>724.0</v>
      </c>
      <c r="B725" s="2" t="s">
        <v>43</v>
      </c>
      <c r="C725" s="2" t="s">
        <v>13</v>
      </c>
      <c r="D725" s="13"/>
      <c r="E725" s="13"/>
      <c r="F725" s="45"/>
      <c r="G725" s="42"/>
      <c r="H725" s="42"/>
      <c r="I725" s="42"/>
      <c r="J725" s="22"/>
      <c r="K725" s="42"/>
    </row>
    <row r="726" ht="39.75" customHeight="1">
      <c r="A726" s="1">
        <v>725.0</v>
      </c>
      <c r="B726" s="2" t="s">
        <v>45</v>
      </c>
      <c r="C726" s="2"/>
      <c r="D726" s="40">
        <v>0.375</v>
      </c>
      <c r="E726" s="13"/>
      <c r="F726" s="44" t="s">
        <v>5350</v>
      </c>
      <c r="G726" s="43">
        <v>1.0</v>
      </c>
      <c r="H726" s="42"/>
      <c r="I726" s="43">
        <v>1.0</v>
      </c>
      <c r="J726" s="22"/>
      <c r="K726" s="42"/>
    </row>
    <row r="727" ht="39.75" hidden="1" customHeight="1">
      <c r="A727" s="1">
        <v>726.0</v>
      </c>
      <c r="B727" s="2" t="s">
        <v>46</v>
      </c>
      <c r="C727" s="2" t="s">
        <v>13</v>
      </c>
      <c r="D727" s="13"/>
      <c r="E727" s="13"/>
      <c r="F727" s="45"/>
      <c r="G727" s="42"/>
      <c r="H727" s="42"/>
      <c r="I727" s="42"/>
      <c r="J727" s="22"/>
      <c r="K727" s="42"/>
    </row>
    <row r="728" ht="39.75" hidden="1" customHeight="1">
      <c r="A728" s="1">
        <v>727.0</v>
      </c>
      <c r="B728" s="2" t="s">
        <v>47</v>
      </c>
      <c r="C728" s="2" t="s">
        <v>13</v>
      </c>
      <c r="D728" s="13"/>
      <c r="E728" s="13"/>
      <c r="F728" s="45"/>
      <c r="G728" s="42"/>
      <c r="H728" s="42"/>
      <c r="I728" s="42"/>
      <c r="J728" s="22"/>
      <c r="K728" s="42"/>
    </row>
    <row r="729" ht="39.75" hidden="1" customHeight="1">
      <c r="A729" s="1">
        <v>728.0</v>
      </c>
      <c r="B729" s="2" t="s">
        <v>48</v>
      </c>
      <c r="C729" s="2" t="s">
        <v>13</v>
      </c>
      <c r="D729" s="13"/>
      <c r="E729" s="13"/>
      <c r="F729" s="45"/>
      <c r="G729" s="42"/>
      <c r="H729" s="42"/>
      <c r="I729" s="42"/>
      <c r="J729" s="22"/>
      <c r="K729" s="42"/>
    </row>
    <row r="730" ht="39.75" customHeight="1">
      <c r="A730" s="1">
        <v>729.0</v>
      </c>
      <c r="B730" s="21"/>
      <c r="C730" s="21"/>
      <c r="D730" s="21"/>
      <c r="E730" s="21"/>
      <c r="F730" s="46"/>
      <c r="G730" s="47"/>
      <c r="H730" s="47"/>
      <c r="I730" s="47"/>
      <c r="J730" s="48"/>
      <c r="K730" s="47"/>
      <c r="L730" s="49"/>
      <c r="M730" s="49"/>
      <c r="N730" s="49"/>
    </row>
    <row r="731" ht="39.75" customHeight="1">
      <c r="A731" s="1">
        <v>730.0</v>
      </c>
      <c r="B731" s="2" t="s">
        <v>268</v>
      </c>
      <c r="C731" s="2" t="s">
        <v>63</v>
      </c>
      <c r="D731" s="13"/>
      <c r="E731" s="13"/>
      <c r="F731" s="45"/>
      <c r="G731" s="42"/>
      <c r="H731" s="42"/>
      <c r="I731" s="42"/>
      <c r="J731" s="27" t="s">
        <v>14</v>
      </c>
      <c r="K731" s="42"/>
      <c r="L731" s="15" t="s">
        <v>452</v>
      </c>
    </row>
    <row r="732" ht="39.75" hidden="1" customHeight="1">
      <c r="A732" s="1">
        <v>731.0</v>
      </c>
      <c r="B732" s="2" t="s">
        <v>16</v>
      </c>
      <c r="C732" s="2" t="s">
        <v>13</v>
      </c>
      <c r="D732" s="13"/>
      <c r="E732" s="13"/>
      <c r="F732" s="45"/>
      <c r="G732" s="42"/>
      <c r="H732" s="42"/>
      <c r="I732" s="42"/>
      <c r="J732" s="27" t="s">
        <v>452</v>
      </c>
      <c r="K732" s="43"/>
    </row>
    <row r="733" ht="39.75" hidden="1" customHeight="1">
      <c r="A733" s="1">
        <v>732.0</v>
      </c>
      <c r="B733" s="2" t="s">
        <v>116</v>
      </c>
      <c r="C733" s="2" t="s">
        <v>13</v>
      </c>
      <c r="D733" s="13"/>
      <c r="E733" s="13"/>
      <c r="F733" s="45"/>
      <c r="G733" s="42"/>
      <c r="H733" s="42"/>
      <c r="I733" s="42"/>
      <c r="J733" s="27" t="s">
        <v>19</v>
      </c>
      <c r="K733" s="42"/>
    </row>
    <row r="734" ht="39.75" customHeight="1">
      <c r="A734" s="1">
        <v>733.0</v>
      </c>
      <c r="B734" s="2" t="s">
        <v>20</v>
      </c>
      <c r="C734" s="2" t="s">
        <v>271</v>
      </c>
      <c r="D734" s="13"/>
      <c r="E734" s="13"/>
      <c r="F734" s="44" t="s">
        <v>3521</v>
      </c>
      <c r="G734" s="43">
        <v>1.0</v>
      </c>
      <c r="H734" s="42"/>
      <c r="I734" s="43">
        <v>1.0</v>
      </c>
      <c r="J734" s="27" t="s">
        <v>165</v>
      </c>
      <c r="K734" s="42"/>
    </row>
    <row r="735" ht="39.75" hidden="1" customHeight="1">
      <c r="A735" s="1">
        <v>734.0</v>
      </c>
      <c r="B735" s="2" t="s">
        <v>331</v>
      </c>
      <c r="C735" s="2" t="s">
        <v>13</v>
      </c>
      <c r="D735" s="13"/>
      <c r="E735" s="13"/>
      <c r="F735" s="45"/>
      <c r="G735" s="42"/>
      <c r="H735" s="42"/>
      <c r="I735" s="42"/>
      <c r="J735" s="27" t="s">
        <v>2637</v>
      </c>
      <c r="K735" s="42"/>
    </row>
    <row r="736" ht="39.75" hidden="1" customHeight="1">
      <c r="A736" s="1">
        <v>735.0</v>
      </c>
      <c r="B736" s="2" t="s">
        <v>21</v>
      </c>
      <c r="C736" s="2" t="s">
        <v>13</v>
      </c>
      <c r="D736" s="13"/>
      <c r="E736" s="13"/>
      <c r="F736" s="45"/>
      <c r="G736" s="42"/>
      <c r="H736" s="42"/>
      <c r="I736" s="42"/>
      <c r="J736" s="27" t="s">
        <v>2638</v>
      </c>
      <c r="K736" s="42"/>
    </row>
    <row r="737" ht="39.75" customHeight="1">
      <c r="A737" s="1">
        <v>736.0</v>
      </c>
      <c r="B737" s="2" t="s">
        <v>22</v>
      </c>
      <c r="C737" s="2" t="s">
        <v>27</v>
      </c>
      <c r="D737" s="13"/>
      <c r="E737" s="13"/>
      <c r="F737" s="44" t="s">
        <v>5351</v>
      </c>
      <c r="G737" s="43">
        <v>1.0</v>
      </c>
      <c r="H737" s="42"/>
      <c r="I737" s="42"/>
      <c r="J737" s="22"/>
      <c r="K737" s="42"/>
    </row>
    <row r="738" ht="39.75" hidden="1" customHeight="1">
      <c r="A738" s="1">
        <v>737.0</v>
      </c>
      <c r="B738" s="2" t="s">
        <v>23</v>
      </c>
      <c r="C738" s="2" t="s">
        <v>13</v>
      </c>
      <c r="D738" s="13"/>
      <c r="E738" s="13"/>
      <c r="F738" s="45"/>
      <c r="G738" s="42"/>
      <c r="H738" s="42"/>
      <c r="I738" s="42"/>
      <c r="J738" s="22"/>
      <c r="K738" s="42"/>
    </row>
    <row r="739" ht="39.75" hidden="1" customHeight="1">
      <c r="A739" s="1">
        <v>738.0</v>
      </c>
      <c r="B739" s="2" t="s">
        <v>24</v>
      </c>
      <c r="C739" s="2" t="s">
        <v>13</v>
      </c>
      <c r="D739" s="13"/>
      <c r="E739" s="13"/>
      <c r="F739" s="45"/>
      <c r="G739" s="42"/>
      <c r="H739" s="42"/>
      <c r="I739" s="42"/>
      <c r="J739" s="22"/>
      <c r="K739" s="42"/>
    </row>
    <row r="740" ht="39.75" customHeight="1">
      <c r="A740" s="1">
        <v>739.0</v>
      </c>
      <c r="B740" s="2" t="s">
        <v>25</v>
      </c>
      <c r="C740" s="2" t="s">
        <v>39</v>
      </c>
      <c r="D740" s="13"/>
      <c r="E740" s="13"/>
      <c r="F740" s="44" t="s">
        <v>5352</v>
      </c>
      <c r="G740" s="43">
        <v>1.0</v>
      </c>
      <c r="H740" s="42"/>
      <c r="I740" s="42"/>
      <c r="J740" s="22"/>
      <c r="K740" s="42"/>
    </row>
    <row r="741" ht="39.75" customHeight="1">
      <c r="A741" s="1">
        <v>740.0</v>
      </c>
      <c r="B741" s="2" t="s">
        <v>26</v>
      </c>
      <c r="C741" s="2" t="s">
        <v>44</v>
      </c>
      <c r="D741" s="13"/>
      <c r="E741" s="13"/>
      <c r="F741" s="45"/>
      <c r="G741" s="42"/>
      <c r="H741" s="42"/>
      <c r="I741" s="42"/>
      <c r="J741" s="22"/>
      <c r="K741" s="42"/>
    </row>
    <row r="742" ht="39.75" hidden="1" customHeight="1">
      <c r="A742" s="1">
        <v>741.0</v>
      </c>
      <c r="B742" s="2" t="s">
        <v>29</v>
      </c>
      <c r="C742" s="2" t="s">
        <v>13</v>
      </c>
      <c r="D742" s="13"/>
      <c r="E742" s="13"/>
      <c r="F742" s="45"/>
      <c r="G742" s="42"/>
      <c r="H742" s="42"/>
      <c r="I742" s="42"/>
      <c r="J742" s="22"/>
      <c r="K742" s="42"/>
    </row>
    <row r="743" ht="39.75" hidden="1" customHeight="1">
      <c r="A743" s="1">
        <v>742.0</v>
      </c>
      <c r="B743" s="2" t="s">
        <v>30</v>
      </c>
      <c r="C743" s="2" t="s">
        <v>13</v>
      </c>
      <c r="D743" s="13"/>
      <c r="E743" s="13"/>
      <c r="F743" s="45"/>
      <c r="G743" s="42"/>
      <c r="H743" s="42"/>
      <c r="I743" s="42"/>
      <c r="J743" s="22"/>
      <c r="K743" s="42"/>
    </row>
    <row r="744" ht="39.75" hidden="1" customHeight="1">
      <c r="A744" s="1">
        <v>743.0</v>
      </c>
      <c r="B744" s="2" t="s">
        <v>31</v>
      </c>
      <c r="C744" s="2" t="s">
        <v>13</v>
      </c>
      <c r="D744" s="13"/>
      <c r="E744" s="13"/>
      <c r="F744" s="45"/>
      <c r="G744" s="42"/>
      <c r="H744" s="42"/>
      <c r="I744" s="42"/>
      <c r="J744" s="22"/>
      <c r="K744" s="42"/>
    </row>
    <row r="745" ht="39.75" hidden="1" customHeight="1">
      <c r="A745" s="1">
        <v>744.0</v>
      </c>
      <c r="B745" s="2" t="s">
        <v>32</v>
      </c>
      <c r="C745" s="2" t="s">
        <v>13</v>
      </c>
      <c r="D745" s="13"/>
      <c r="E745" s="13"/>
      <c r="F745" s="45"/>
      <c r="G745" s="42"/>
      <c r="H745" s="42"/>
      <c r="I745" s="42"/>
      <c r="J745" s="22"/>
      <c r="K745" s="42"/>
    </row>
    <row r="746" ht="39.75" hidden="1" customHeight="1">
      <c r="A746" s="1">
        <v>745.0</v>
      </c>
      <c r="B746" s="2" t="s">
        <v>67</v>
      </c>
      <c r="C746" s="2" t="s">
        <v>13</v>
      </c>
      <c r="D746" s="13"/>
      <c r="E746" s="13"/>
      <c r="F746" s="45"/>
      <c r="G746" s="42"/>
      <c r="H746" s="42"/>
      <c r="I746" s="42"/>
      <c r="J746" s="22"/>
      <c r="K746" s="42"/>
    </row>
    <row r="747" ht="39.75" customHeight="1">
      <c r="A747" s="1">
        <v>746.0</v>
      </c>
      <c r="B747" s="2" t="s">
        <v>35</v>
      </c>
      <c r="C747" s="2" t="s">
        <v>49</v>
      </c>
      <c r="D747" s="13"/>
      <c r="E747" s="51">
        <v>0.8958333333333334</v>
      </c>
      <c r="F747" s="44" t="s">
        <v>5353</v>
      </c>
      <c r="G747" s="43">
        <v>1.0</v>
      </c>
      <c r="H747" s="43">
        <v>1.0</v>
      </c>
      <c r="I747" s="42"/>
      <c r="J747" s="22"/>
      <c r="K747" s="42"/>
    </row>
    <row r="748" ht="39.75" customHeight="1">
      <c r="A748" s="1">
        <v>747.0</v>
      </c>
      <c r="B748" s="2" t="s">
        <v>36</v>
      </c>
      <c r="C748" s="2"/>
      <c r="D748" s="40">
        <v>0.375</v>
      </c>
      <c r="E748" s="13"/>
      <c r="F748" s="159" t="s">
        <v>3972</v>
      </c>
      <c r="G748" s="43">
        <v>1.0</v>
      </c>
      <c r="H748" s="42"/>
      <c r="I748" s="43">
        <v>1.0</v>
      </c>
      <c r="J748" s="22"/>
      <c r="K748" s="42"/>
    </row>
    <row r="749" ht="39.75" hidden="1" customHeight="1">
      <c r="A749" s="1">
        <v>748.0</v>
      </c>
      <c r="B749" s="2" t="s">
        <v>38</v>
      </c>
      <c r="C749" s="2" t="s">
        <v>13</v>
      </c>
      <c r="D749" s="13"/>
      <c r="E749" s="13"/>
      <c r="F749" s="45"/>
      <c r="G749" s="42"/>
      <c r="H749" s="42"/>
      <c r="I749" s="42"/>
      <c r="J749" s="22"/>
      <c r="K749" s="42"/>
    </row>
    <row r="750" ht="39.75" hidden="1" customHeight="1">
      <c r="A750" s="1">
        <v>749.0</v>
      </c>
      <c r="B750" s="2" t="s">
        <v>41</v>
      </c>
      <c r="C750" s="2" t="s">
        <v>13</v>
      </c>
      <c r="D750" s="13"/>
      <c r="E750" s="13"/>
      <c r="F750" s="45"/>
      <c r="G750" s="42"/>
      <c r="H750" s="42"/>
      <c r="I750" s="42"/>
      <c r="J750" s="22"/>
      <c r="K750" s="42"/>
    </row>
    <row r="751" ht="39.75" hidden="1" customHeight="1">
      <c r="A751" s="1">
        <v>750.0</v>
      </c>
      <c r="B751" s="2" t="s">
        <v>42</v>
      </c>
      <c r="C751" s="2" t="s">
        <v>13</v>
      </c>
      <c r="D751" s="13"/>
      <c r="E751" s="13"/>
      <c r="F751" s="45"/>
      <c r="G751" s="42"/>
      <c r="H751" s="42"/>
      <c r="I751" s="42"/>
      <c r="J751" s="22"/>
      <c r="K751" s="42"/>
    </row>
    <row r="752" ht="39.75" customHeight="1">
      <c r="A752" s="1">
        <v>751.0</v>
      </c>
      <c r="B752" s="2" t="s">
        <v>267</v>
      </c>
      <c r="C752" s="2" t="s">
        <v>272</v>
      </c>
      <c r="D752" s="13"/>
      <c r="E752" s="13"/>
      <c r="F752" s="44" t="s">
        <v>1186</v>
      </c>
      <c r="G752" s="43">
        <v>1.0</v>
      </c>
      <c r="H752" s="42"/>
      <c r="I752" s="43">
        <v>1.0</v>
      </c>
      <c r="J752" s="22"/>
      <c r="K752" s="42"/>
    </row>
    <row r="753" ht="39.75" hidden="1" customHeight="1">
      <c r="A753" s="1">
        <v>752.0</v>
      </c>
      <c r="B753" s="2" t="s">
        <v>45</v>
      </c>
      <c r="C753" s="2" t="s">
        <v>13</v>
      </c>
      <c r="D753" s="13"/>
      <c r="E753" s="13"/>
      <c r="F753" s="45"/>
      <c r="G753" s="42"/>
      <c r="H753" s="42"/>
      <c r="I753" s="42"/>
      <c r="J753" s="22"/>
      <c r="K753" s="42"/>
    </row>
    <row r="754" ht="39.75" customHeight="1">
      <c r="A754" s="1">
        <v>753.0</v>
      </c>
      <c r="B754" s="2" t="s">
        <v>46</v>
      </c>
      <c r="C754" s="2"/>
      <c r="D754" s="40">
        <v>0.375</v>
      </c>
      <c r="E754" s="13"/>
      <c r="F754" s="44" t="s">
        <v>5354</v>
      </c>
      <c r="G754" s="43">
        <v>1.0</v>
      </c>
      <c r="H754" s="42"/>
      <c r="I754" s="42"/>
      <c r="J754" s="22"/>
      <c r="K754" s="42"/>
    </row>
    <row r="755" ht="39.75" hidden="1" customHeight="1">
      <c r="A755" s="1">
        <v>754.0</v>
      </c>
      <c r="B755" s="2" t="s">
        <v>47</v>
      </c>
      <c r="C755" s="2" t="s">
        <v>13</v>
      </c>
      <c r="D755" s="13"/>
      <c r="E755" s="13"/>
      <c r="F755" s="45"/>
      <c r="G755" s="42"/>
      <c r="H755" s="42"/>
      <c r="I755" s="42"/>
      <c r="J755" s="22"/>
      <c r="K755" s="42"/>
    </row>
    <row r="756" ht="39.75" hidden="1" customHeight="1">
      <c r="A756" s="1">
        <v>755.0</v>
      </c>
      <c r="B756" s="2" t="s">
        <v>48</v>
      </c>
      <c r="C756" s="2" t="s">
        <v>13</v>
      </c>
      <c r="D756" s="13"/>
      <c r="E756" s="13"/>
      <c r="F756" s="45"/>
      <c r="G756" s="42"/>
      <c r="H756" s="42"/>
      <c r="I756" s="42"/>
      <c r="J756" s="22"/>
      <c r="K756" s="42"/>
    </row>
    <row r="757" ht="39.75" customHeight="1">
      <c r="A757" s="1">
        <v>756.0</v>
      </c>
      <c r="B757" s="21"/>
      <c r="C757" s="21"/>
      <c r="D757" s="21"/>
      <c r="E757" s="21"/>
      <c r="F757" s="46"/>
      <c r="G757" s="47"/>
      <c r="H757" s="47"/>
      <c r="I757" s="47"/>
      <c r="J757" s="48"/>
      <c r="K757" s="47"/>
      <c r="L757" s="49"/>
      <c r="M757" s="49"/>
      <c r="N757" s="49"/>
    </row>
    <row r="758" ht="39.75" customHeight="1">
      <c r="A758" s="1">
        <v>757.0</v>
      </c>
      <c r="B758" s="2" t="s">
        <v>12</v>
      </c>
      <c r="C758" s="2" t="s">
        <v>62</v>
      </c>
      <c r="D758" s="13"/>
      <c r="E758" s="13"/>
      <c r="F758" s="44" t="s">
        <v>1543</v>
      </c>
      <c r="G758" s="43">
        <v>1.0</v>
      </c>
      <c r="H758" s="42"/>
      <c r="I758" s="43">
        <v>1.0</v>
      </c>
      <c r="J758" s="27" t="s">
        <v>14</v>
      </c>
      <c r="K758" s="42"/>
      <c r="L758" s="15" t="s">
        <v>460</v>
      </c>
    </row>
    <row r="759" ht="39.75" customHeight="1">
      <c r="A759" s="1">
        <v>758.0</v>
      </c>
      <c r="B759" s="2" t="s">
        <v>16</v>
      </c>
      <c r="C759" s="2" t="s">
        <v>69</v>
      </c>
      <c r="D759" s="13"/>
      <c r="E759" s="13"/>
      <c r="F759" s="44" t="s">
        <v>5355</v>
      </c>
      <c r="G759" s="43">
        <v>1.0</v>
      </c>
      <c r="H759" s="42"/>
      <c r="I759" s="42"/>
      <c r="J759" s="27" t="s">
        <v>460</v>
      </c>
      <c r="K759" s="43"/>
    </row>
    <row r="760" ht="39.75" customHeight="1">
      <c r="A760" s="1">
        <v>759.0</v>
      </c>
      <c r="B760" s="2" t="s">
        <v>116</v>
      </c>
      <c r="C760" s="2" t="s">
        <v>54</v>
      </c>
      <c r="D760" s="13"/>
      <c r="E760" s="13"/>
      <c r="F760" s="44" t="s">
        <v>5356</v>
      </c>
      <c r="G760" s="43">
        <v>1.0</v>
      </c>
      <c r="H760" s="42"/>
      <c r="I760" s="42"/>
      <c r="J760" s="27" t="s">
        <v>56</v>
      </c>
      <c r="K760" s="42"/>
    </row>
    <row r="761" ht="39.75" hidden="1" customHeight="1">
      <c r="A761" s="1">
        <v>760.0</v>
      </c>
      <c r="B761" s="2" t="s">
        <v>17</v>
      </c>
      <c r="C761" s="2" t="s">
        <v>58</v>
      </c>
      <c r="D761" s="13"/>
      <c r="E761" s="13"/>
      <c r="F761" s="44"/>
      <c r="G761" s="42"/>
      <c r="H761" s="42"/>
      <c r="I761" s="42"/>
      <c r="J761" s="22"/>
      <c r="K761" s="42"/>
    </row>
    <row r="762" ht="39.75" customHeight="1">
      <c r="A762" s="1">
        <v>761.0</v>
      </c>
      <c r="B762" s="2" t="s">
        <v>331</v>
      </c>
      <c r="C762" s="2" t="s">
        <v>542</v>
      </c>
      <c r="D762" s="53">
        <v>0.3194444444444444</v>
      </c>
      <c r="E762" s="40">
        <v>0.625</v>
      </c>
      <c r="F762" s="44" t="s">
        <v>5357</v>
      </c>
      <c r="G762" s="43">
        <v>1.0</v>
      </c>
      <c r="H762" s="42"/>
      <c r="I762" s="42"/>
      <c r="J762" s="22"/>
      <c r="K762" s="42"/>
    </row>
    <row r="763" ht="39.75" customHeight="1">
      <c r="A763" s="1">
        <v>762.0</v>
      </c>
      <c r="B763" s="2" t="s">
        <v>21</v>
      </c>
      <c r="C763" s="2"/>
      <c r="D763" s="13"/>
      <c r="E763" s="13"/>
      <c r="F763" s="44" t="s">
        <v>5358</v>
      </c>
      <c r="G763" s="43">
        <v>1.0</v>
      </c>
      <c r="H763" s="42"/>
      <c r="I763" s="42"/>
      <c r="J763" s="22"/>
      <c r="K763" s="42"/>
    </row>
    <row r="764" ht="39.75" customHeight="1">
      <c r="A764" s="1">
        <v>763.0</v>
      </c>
      <c r="B764" s="2" t="s">
        <v>22</v>
      </c>
      <c r="C764" s="2" t="s">
        <v>44</v>
      </c>
      <c r="D764" s="13"/>
      <c r="E764" s="13"/>
      <c r="F764" s="45"/>
      <c r="G764" s="42"/>
      <c r="H764" s="42"/>
      <c r="I764" s="42"/>
      <c r="J764" s="22"/>
      <c r="K764" s="42"/>
    </row>
    <row r="765" ht="39.75" customHeight="1">
      <c r="A765" s="1">
        <v>764.0</v>
      </c>
      <c r="B765" s="2" t="s">
        <v>23</v>
      </c>
      <c r="C765" s="2" t="s">
        <v>69</v>
      </c>
      <c r="D765" s="13"/>
      <c r="E765" s="13"/>
      <c r="F765" s="44" t="s">
        <v>5359</v>
      </c>
      <c r="G765" s="43">
        <v>1.0</v>
      </c>
      <c r="H765" s="42"/>
      <c r="I765" s="42"/>
      <c r="J765" s="22"/>
      <c r="K765" s="42"/>
    </row>
    <row r="766" ht="39.75" customHeight="1">
      <c r="A766" s="1">
        <v>765.0</v>
      </c>
      <c r="B766" s="2" t="s">
        <v>24</v>
      </c>
      <c r="C766" s="2" t="s">
        <v>63</v>
      </c>
      <c r="D766" s="13"/>
      <c r="E766" s="13"/>
      <c r="F766" s="45"/>
      <c r="G766" s="42"/>
      <c r="H766" s="42"/>
      <c r="I766" s="42"/>
      <c r="J766" s="22"/>
      <c r="K766" s="42"/>
    </row>
    <row r="767" ht="39.75" customHeight="1">
      <c r="A767" s="1">
        <v>766.0</v>
      </c>
      <c r="B767" s="2" t="s">
        <v>25</v>
      </c>
      <c r="C767" s="2" t="s">
        <v>54</v>
      </c>
      <c r="D767" s="13"/>
      <c r="E767" s="13"/>
      <c r="F767" s="44" t="s">
        <v>5360</v>
      </c>
      <c r="G767" s="43">
        <v>1.0</v>
      </c>
      <c r="H767" s="42"/>
      <c r="I767" s="42"/>
      <c r="J767" s="22"/>
      <c r="K767" s="42"/>
    </row>
    <row r="768" ht="39.75" hidden="1" customHeight="1">
      <c r="A768" s="1">
        <v>767.0</v>
      </c>
      <c r="B768" s="2" t="s">
        <v>26</v>
      </c>
      <c r="C768" s="2" t="s">
        <v>66</v>
      </c>
      <c r="D768" s="13"/>
      <c r="E768" s="13"/>
      <c r="F768" s="45"/>
      <c r="G768" s="42"/>
      <c r="H768" s="42"/>
      <c r="I768" s="42"/>
      <c r="J768" s="22"/>
      <c r="K768" s="42"/>
    </row>
    <row r="769" ht="39.75" hidden="1" customHeight="1">
      <c r="A769" s="1">
        <v>768.0</v>
      </c>
      <c r="B769" s="2" t="s">
        <v>29</v>
      </c>
      <c r="C769" s="2" t="s">
        <v>58</v>
      </c>
      <c r="D769" s="13"/>
      <c r="E769" s="13"/>
      <c r="F769" s="45"/>
      <c r="G769" s="42"/>
      <c r="H769" s="42"/>
      <c r="I769" s="42"/>
      <c r="J769" s="22"/>
      <c r="K769" s="42"/>
    </row>
    <row r="770" ht="39.75" hidden="1" customHeight="1">
      <c r="A770" s="1">
        <v>769.0</v>
      </c>
      <c r="B770" s="2" t="s">
        <v>30</v>
      </c>
      <c r="C770" s="2" t="s">
        <v>58</v>
      </c>
      <c r="D770" s="13"/>
      <c r="E770" s="13"/>
      <c r="F770" s="45"/>
      <c r="G770" s="42"/>
      <c r="H770" s="42"/>
      <c r="I770" s="42"/>
      <c r="J770" s="22"/>
      <c r="K770" s="42"/>
    </row>
    <row r="771" ht="39.75" customHeight="1">
      <c r="A771" s="1">
        <v>770.0</v>
      </c>
      <c r="B771" s="2" t="s">
        <v>31</v>
      </c>
      <c r="C771" s="13"/>
      <c r="D771" s="13"/>
      <c r="E771" s="13"/>
      <c r="F771" s="44" t="s">
        <v>5361</v>
      </c>
      <c r="G771" s="43">
        <v>1.0</v>
      </c>
      <c r="H771" s="42"/>
      <c r="I771" s="43">
        <v>1.0</v>
      </c>
      <c r="J771" s="22"/>
      <c r="K771" s="42"/>
    </row>
    <row r="772" ht="39.75" hidden="1" customHeight="1">
      <c r="A772" s="1">
        <v>771.0</v>
      </c>
      <c r="B772" s="2" t="s">
        <v>32</v>
      </c>
      <c r="C772" s="2" t="s">
        <v>66</v>
      </c>
      <c r="D772" s="13"/>
      <c r="E772" s="13"/>
      <c r="F772" s="45"/>
      <c r="G772" s="42"/>
      <c r="H772" s="42"/>
      <c r="I772" s="42"/>
      <c r="J772" s="22"/>
      <c r="K772" s="42"/>
    </row>
    <row r="773" ht="39.75" customHeight="1">
      <c r="A773" s="1">
        <v>772.0</v>
      </c>
      <c r="B773" s="2" t="s">
        <v>67</v>
      </c>
      <c r="C773" s="2"/>
      <c r="D773" s="13"/>
      <c r="E773" s="13"/>
      <c r="F773" s="44" t="s">
        <v>2941</v>
      </c>
      <c r="G773" s="43">
        <v>1.0</v>
      </c>
      <c r="H773" s="42"/>
      <c r="I773" s="43">
        <v>1.0</v>
      </c>
      <c r="J773" s="22"/>
      <c r="K773" s="42"/>
    </row>
    <row r="774" ht="39.75" customHeight="1">
      <c r="A774" s="1">
        <v>773.0</v>
      </c>
      <c r="B774" s="2" t="s">
        <v>35</v>
      </c>
      <c r="C774" s="2"/>
      <c r="D774" s="53">
        <v>0.20833333333333334</v>
      </c>
      <c r="E774" s="40">
        <v>0.625</v>
      </c>
      <c r="F774" s="44" t="s">
        <v>5353</v>
      </c>
      <c r="G774" s="43">
        <v>1.0</v>
      </c>
      <c r="H774" s="43">
        <v>1.0</v>
      </c>
      <c r="I774" s="43"/>
      <c r="J774" s="22"/>
      <c r="K774" s="42"/>
    </row>
    <row r="775" ht="39.75" customHeight="1">
      <c r="A775" s="1">
        <v>774.0</v>
      </c>
      <c r="B775" s="2" t="s">
        <v>36</v>
      </c>
      <c r="C775" s="2" t="s">
        <v>54</v>
      </c>
      <c r="D775" s="13"/>
      <c r="E775" s="13"/>
      <c r="F775" s="44" t="s">
        <v>5362</v>
      </c>
      <c r="G775" s="43">
        <v>1.0</v>
      </c>
      <c r="H775" s="42"/>
      <c r="I775" s="42"/>
      <c r="J775" s="22"/>
      <c r="K775" s="42"/>
    </row>
    <row r="776" ht="39.75" customHeight="1">
      <c r="A776" s="1">
        <v>775.0</v>
      </c>
      <c r="B776" s="2" t="s">
        <v>38</v>
      </c>
      <c r="C776" s="2" t="s">
        <v>69</v>
      </c>
      <c r="D776" s="13"/>
      <c r="E776" s="13"/>
      <c r="F776" s="45"/>
      <c r="G776" s="42"/>
      <c r="H776" s="42"/>
      <c r="I776" s="42"/>
      <c r="J776" s="22"/>
      <c r="K776" s="42"/>
    </row>
    <row r="777" ht="39.75" hidden="1" customHeight="1">
      <c r="A777" s="1">
        <v>776.0</v>
      </c>
      <c r="B777" s="2" t="s">
        <v>41</v>
      </c>
      <c r="C777" s="2" t="s">
        <v>58</v>
      </c>
      <c r="D777" s="13"/>
      <c r="E777" s="13"/>
      <c r="F777" s="45"/>
      <c r="G777" s="42"/>
      <c r="H777" s="42"/>
      <c r="I777" s="42"/>
      <c r="J777" s="22"/>
      <c r="K777" s="42"/>
    </row>
    <row r="778" ht="39.75" customHeight="1">
      <c r="A778" s="1">
        <v>777.0</v>
      </c>
      <c r="B778" s="2" t="s">
        <v>42</v>
      </c>
      <c r="C778" s="2" t="s">
        <v>39</v>
      </c>
      <c r="D778" s="13"/>
      <c r="E778" s="51">
        <v>0.75</v>
      </c>
      <c r="F778" s="44" t="s">
        <v>5363</v>
      </c>
      <c r="G778" s="43">
        <v>1.0</v>
      </c>
      <c r="H778" s="42"/>
      <c r="I778" s="42"/>
      <c r="J778" s="22"/>
      <c r="K778" s="42"/>
    </row>
    <row r="779" ht="39.75" customHeight="1">
      <c r="A779" s="1">
        <v>778.0</v>
      </c>
      <c r="B779" s="2" t="s">
        <v>43</v>
      </c>
      <c r="C779" s="2" t="s">
        <v>27</v>
      </c>
      <c r="D779" s="13"/>
      <c r="E779" s="13"/>
      <c r="F779" s="44" t="s">
        <v>5364</v>
      </c>
      <c r="G779" s="43">
        <v>1.0</v>
      </c>
      <c r="H779" s="42"/>
      <c r="I779" s="42"/>
      <c r="J779" s="22"/>
      <c r="K779" s="42"/>
    </row>
    <row r="780" ht="39.75" customHeight="1">
      <c r="A780" s="1">
        <v>779.0</v>
      </c>
      <c r="B780" s="2" t="s">
        <v>267</v>
      </c>
      <c r="C780" s="2" t="s">
        <v>54</v>
      </c>
      <c r="D780" s="13"/>
      <c r="E780" s="13"/>
      <c r="F780" s="44" t="s">
        <v>5365</v>
      </c>
      <c r="G780" s="43">
        <v>1.0</v>
      </c>
      <c r="H780" s="42"/>
      <c r="I780" s="43">
        <v>1.0</v>
      </c>
      <c r="J780" s="22"/>
      <c r="K780" s="42"/>
    </row>
    <row r="781" ht="39.75" customHeight="1">
      <c r="A781" s="1">
        <v>780.0</v>
      </c>
      <c r="B781" s="2" t="s">
        <v>46</v>
      </c>
      <c r="C781" s="2"/>
      <c r="D781" s="13"/>
      <c r="E781" s="13"/>
      <c r="F781" s="44" t="s">
        <v>5366</v>
      </c>
      <c r="G781" s="43">
        <v>1.0</v>
      </c>
      <c r="H781" s="42"/>
      <c r="I781" s="43"/>
      <c r="J781" s="22"/>
      <c r="K781" s="42"/>
    </row>
    <row r="782" ht="39.75" customHeight="1">
      <c r="A782" s="1">
        <v>781.0</v>
      </c>
      <c r="B782" s="2" t="s">
        <v>47</v>
      </c>
      <c r="C782" s="2" t="s">
        <v>39</v>
      </c>
      <c r="D782" s="13"/>
      <c r="E782" s="13"/>
      <c r="F782" s="44" t="s">
        <v>5367</v>
      </c>
      <c r="G782" s="43">
        <v>1.0</v>
      </c>
      <c r="H782" s="42"/>
      <c r="I782" s="43">
        <v>1.0</v>
      </c>
      <c r="J782" s="22"/>
      <c r="K782" s="42"/>
    </row>
    <row r="783" ht="39.75" hidden="1" customHeight="1">
      <c r="A783" s="1">
        <v>782.0</v>
      </c>
      <c r="B783" s="2" t="s">
        <v>48</v>
      </c>
      <c r="C783" s="2" t="s">
        <v>58</v>
      </c>
      <c r="D783" s="13"/>
      <c r="E783" s="13"/>
      <c r="F783" s="45"/>
      <c r="G783" s="42"/>
      <c r="H783" s="42"/>
      <c r="I783" s="42"/>
      <c r="J783" s="22"/>
      <c r="K783" s="42"/>
    </row>
    <row r="784" ht="39.75" customHeight="1">
      <c r="A784" s="1">
        <v>783.0</v>
      </c>
      <c r="B784" s="21"/>
      <c r="C784" s="21"/>
      <c r="D784" s="21"/>
      <c r="E784" s="21"/>
      <c r="F784" s="46"/>
      <c r="G784" s="47"/>
      <c r="H784" s="47"/>
      <c r="I784" s="47"/>
      <c r="J784" s="48"/>
      <c r="K784" s="47"/>
      <c r="L784" s="49"/>
      <c r="M784" s="49"/>
      <c r="N784" s="49"/>
    </row>
    <row r="785" ht="39.75" customHeight="1">
      <c r="A785" s="1">
        <v>784.0</v>
      </c>
      <c r="B785" s="2" t="s">
        <v>12</v>
      </c>
      <c r="C785" s="2" t="s">
        <v>62</v>
      </c>
      <c r="D785" s="13"/>
      <c r="E785" s="13"/>
      <c r="F785" s="44" t="s">
        <v>1543</v>
      </c>
      <c r="G785" s="43">
        <v>1.0</v>
      </c>
      <c r="H785" s="42"/>
      <c r="I785" s="43">
        <v>1.0</v>
      </c>
      <c r="J785" s="27" t="s">
        <v>14</v>
      </c>
      <c r="K785" s="42"/>
      <c r="L785" s="15" t="s">
        <v>467</v>
      </c>
    </row>
    <row r="786" ht="39.75" hidden="1" customHeight="1">
      <c r="A786" s="1">
        <v>785.0</v>
      </c>
      <c r="B786" s="2" t="s">
        <v>16</v>
      </c>
      <c r="C786" s="2" t="s">
        <v>66</v>
      </c>
      <c r="D786" s="13"/>
      <c r="E786" s="13"/>
      <c r="F786" s="45"/>
      <c r="G786" s="42"/>
      <c r="H786" s="42"/>
      <c r="I786" s="42"/>
      <c r="J786" s="27" t="s">
        <v>467</v>
      </c>
      <c r="K786" s="43"/>
    </row>
    <row r="787" ht="39.75" customHeight="1">
      <c r="A787" s="1">
        <v>786.0</v>
      </c>
      <c r="B787" s="2" t="s">
        <v>116</v>
      </c>
      <c r="C787" s="2" t="s">
        <v>54</v>
      </c>
      <c r="D787" s="13"/>
      <c r="E787" s="13"/>
      <c r="F787" s="44" t="s">
        <v>5368</v>
      </c>
      <c r="G787" s="43">
        <v>1.0</v>
      </c>
      <c r="H787" s="42"/>
      <c r="I787" s="43">
        <v>1.0</v>
      </c>
      <c r="J787" s="27" t="s">
        <v>77</v>
      </c>
      <c r="K787" s="42"/>
    </row>
    <row r="788" ht="39.75" hidden="1" customHeight="1">
      <c r="A788" s="1">
        <v>787.0</v>
      </c>
      <c r="B788" s="2" t="s">
        <v>17</v>
      </c>
      <c r="C788" s="2" t="s">
        <v>66</v>
      </c>
      <c r="D788" s="13"/>
      <c r="E788" s="13"/>
      <c r="F788" s="44"/>
      <c r="G788" s="42"/>
      <c r="H788" s="42"/>
      <c r="I788" s="42"/>
      <c r="J788" s="22"/>
      <c r="K788" s="42"/>
    </row>
    <row r="789" ht="39.75" customHeight="1">
      <c r="A789" s="1">
        <v>788.0</v>
      </c>
      <c r="B789" s="2" t="s">
        <v>331</v>
      </c>
      <c r="C789" s="2" t="s">
        <v>542</v>
      </c>
      <c r="D789" s="13"/>
      <c r="E789" s="13"/>
      <c r="F789" s="45"/>
      <c r="G789" s="42"/>
      <c r="H789" s="42"/>
      <c r="I789" s="42"/>
      <c r="J789" s="22"/>
      <c r="K789" s="42"/>
    </row>
    <row r="790" ht="39.75" customHeight="1">
      <c r="A790" s="1">
        <v>789.0</v>
      </c>
      <c r="B790" s="2" t="s">
        <v>21</v>
      </c>
      <c r="C790" s="2"/>
      <c r="D790" s="13"/>
      <c r="E790" s="13"/>
      <c r="F790" s="44" t="s">
        <v>5369</v>
      </c>
      <c r="G790" s="43">
        <v>1.0</v>
      </c>
      <c r="H790" s="42"/>
      <c r="I790" s="43"/>
      <c r="J790" s="22"/>
      <c r="K790" s="42"/>
    </row>
    <row r="791" ht="39.75" customHeight="1">
      <c r="A791" s="1">
        <v>790.0</v>
      </c>
      <c r="B791" s="2" t="s">
        <v>22</v>
      </c>
      <c r="C791" s="2" t="s">
        <v>39</v>
      </c>
      <c r="D791" s="13"/>
      <c r="E791" s="13"/>
      <c r="F791" s="44" t="s">
        <v>5370</v>
      </c>
      <c r="G791" s="43">
        <v>1.0</v>
      </c>
      <c r="H791" s="42"/>
      <c r="I791" s="42"/>
      <c r="J791" s="22"/>
      <c r="K791" s="42"/>
    </row>
    <row r="792" ht="39.75" customHeight="1">
      <c r="A792" s="1">
        <v>791.0</v>
      </c>
      <c r="B792" s="2" t="s">
        <v>23</v>
      </c>
      <c r="C792" s="13"/>
      <c r="D792" s="13"/>
      <c r="E792" s="13"/>
      <c r="F792" s="44" t="s">
        <v>5371</v>
      </c>
      <c r="G792" s="43">
        <v>1.0</v>
      </c>
      <c r="H792" s="42"/>
      <c r="I792" s="42"/>
      <c r="J792" s="22"/>
      <c r="K792" s="42"/>
    </row>
    <row r="793" ht="39.75" customHeight="1">
      <c r="A793" s="1">
        <v>792.0</v>
      </c>
      <c r="B793" s="2" t="s">
        <v>24</v>
      </c>
      <c r="C793" s="2" t="s">
        <v>63</v>
      </c>
      <c r="D793" s="13"/>
      <c r="E793" s="13"/>
      <c r="F793" s="45"/>
      <c r="G793" s="42"/>
      <c r="H793" s="42"/>
      <c r="I793" s="42"/>
      <c r="J793" s="22"/>
      <c r="K793" s="42"/>
    </row>
    <row r="794" ht="39.75" customHeight="1">
      <c r="A794" s="1">
        <v>793.0</v>
      </c>
      <c r="B794" s="2" t="s">
        <v>25</v>
      </c>
      <c r="C794" s="2" t="s">
        <v>54</v>
      </c>
      <c r="D794" s="13"/>
      <c r="E794" s="13"/>
      <c r="F794" s="44" t="s">
        <v>5321</v>
      </c>
      <c r="G794" s="43">
        <v>1.0</v>
      </c>
      <c r="H794" s="42"/>
      <c r="I794" s="42"/>
      <c r="J794" s="22"/>
      <c r="K794" s="42"/>
    </row>
    <row r="795" ht="39.75" customHeight="1">
      <c r="A795" s="1">
        <v>794.0</v>
      </c>
      <c r="B795" s="2" t="s">
        <v>26</v>
      </c>
      <c r="C795" s="2" t="s">
        <v>69</v>
      </c>
      <c r="D795" s="13"/>
      <c r="E795" s="13"/>
      <c r="F795" s="44" t="s">
        <v>5372</v>
      </c>
      <c r="G795" s="43">
        <v>1.0</v>
      </c>
      <c r="H795" s="42"/>
      <c r="I795" s="42"/>
      <c r="J795" s="22"/>
      <c r="K795" s="42"/>
    </row>
    <row r="796" ht="39.75" hidden="1" customHeight="1">
      <c r="A796" s="1">
        <v>795.0</v>
      </c>
      <c r="B796" s="2" t="s">
        <v>29</v>
      </c>
      <c r="C796" s="2" t="s">
        <v>58</v>
      </c>
      <c r="D796" s="13"/>
      <c r="E796" s="13"/>
      <c r="F796" s="45"/>
      <c r="G796" s="42"/>
      <c r="H796" s="42"/>
      <c r="I796" s="42"/>
      <c r="J796" s="22"/>
      <c r="K796" s="42"/>
    </row>
    <row r="797" ht="39.75" hidden="1" customHeight="1">
      <c r="A797" s="1">
        <v>796.0</v>
      </c>
      <c r="B797" s="2" t="s">
        <v>30</v>
      </c>
      <c r="C797" s="2" t="s">
        <v>58</v>
      </c>
      <c r="D797" s="13"/>
      <c r="E797" s="13"/>
      <c r="F797" s="45"/>
      <c r="G797" s="42"/>
      <c r="H797" s="42"/>
      <c r="I797" s="42"/>
      <c r="J797" s="22"/>
      <c r="K797" s="42"/>
    </row>
    <row r="798" ht="39.75" hidden="1" customHeight="1">
      <c r="A798" s="1">
        <v>797.0</v>
      </c>
      <c r="B798" s="2" t="s">
        <v>31</v>
      </c>
      <c r="C798" s="2" t="s">
        <v>58</v>
      </c>
      <c r="D798" s="13"/>
      <c r="E798" s="13"/>
      <c r="F798" s="45"/>
      <c r="G798" s="42"/>
      <c r="H798" s="42"/>
      <c r="I798" s="42"/>
      <c r="J798" s="22"/>
      <c r="K798" s="42"/>
    </row>
    <row r="799" ht="39.75" customHeight="1">
      <c r="A799" s="1">
        <v>798.0</v>
      </c>
      <c r="B799" s="2" t="s">
        <v>32</v>
      </c>
      <c r="C799" s="2" t="s">
        <v>69</v>
      </c>
      <c r="D799" s="13"/>
      <c r="E799" s="40">
        <v>0.8333333333333334</v>
      </c>
      <c r="F799" s="44" t="s">
        <v>5373</v>
      </c>
      <c r="G799" s="43">
        <v>2.0</v>
      </c>
      <c r="H799" s="42"/>
      <c r="I799" s="43">
        <v>1.0</v>
      </c>
      <c r="J799" s="22"/>
      <c r="K799" s="42"/>
    </row>
    <row r="800" ht="39.75" customHeight="1">
      <c r="A800" s="1">
        <v>799.0</v>
      </c>
      <c r="B800" s="2" t="s">
        <v>67</v>
      </c>
      <c r="C800" s="2"/>
      <c r="D800" s="13"/>
      <c r="E800" s="13"/>
      <c r="F800" s="44" t="s">
        <v>5374</v>
      </c>
      <c r="G800" s="43">
        <v>1.0</v>
      </c>
      <c r="H800" s="42"/>
      <c r="I800" s="42"/>
      <c r="J800" s="22"/>
      <c r="K800" s="42"/>
    </row>
    <row r="801" ht="39.75" customHeight="1">
      <c r="A801" s="1">
        <v>800.0</v>
      </c>
      <c r="B801" s="2" t="s">
        <v>35</v>
      </c>
      <c r="C801" s="2" t="s">
        <v>69</v>
      </c>
      <c r="D801" s="13"/>
      <c r="E801" s="13"/>
      <c r="F801" s="44" t="s">
        <v>5375</v>
      </c>
      <c r="G801" s="43">
        <v>1.0</v>
      </c>
      <c r="H801" s="42"/>
      <c r="I801" s="43">
        <v>1.0</v>
      </c>
      <c r="J801" s="22"/>
      <c r="K801" s="42"/>
    </row>
    <row r="802" ht="39.75" customHeight="1">
      <c r="A802" s="1">
        <v>801.0</v>
      </c>
      <c r="B802" s="2" t="s">
        <v>36</v>
      </c>
      <c r="C802" s="2" t="s">
        <v>54</v>
      </c>
      <c r="D802" s="13"/>
      <c r="E802" s="13"/>
      <c r="F802" s="44" t="s">
        <v>5376</v>
      </c>
      <c r="G802" s="43">
        <v>1.0</v>
      </c>
      <c r="H802" s="42"/>
      <c r="I802" s="42"/>
      <c r="J802" s="22"/>
      <c r="K802" s="42"/>
    </row>
    <row r="803" ht="39.75" customHeight="1">
      <c r="A803" s="1">
        <v>802.0</v>
      </c>
      <c r="B803" s="2" t="s">
        <v>38</v>
      </c>
      <c r="C803" s="2" t="s">
        <v>39</v>
      </c>
      <c r="D803" s="13"/>
      <c r="E803" s="13"/>
      <c r="F803" s="44" t="s">
        <v>5377</v>
      </c>
      <c r="G803" s="43">
        <v>1.0</v>
      </c>
      <c r="H803" s="42"/>
      <c r="I803" s="42"/>
      <c r="J803" s="22"/>
      <c r="K803" s="42"/>
    </row>
    <row r="804" ht="39.75" hidden="1" customHeight="1">
      <c r="A804" s="1">
        <v>803.0</v>
      </c>
      <c r="B804" s="2" t="s">
        <v>41</v>
      </c>
      <c r="C804" s="2" t="s">
        <v>58</v>
      </c>
      <c r="D804" s="13"/>
      <c r="E804" s="13"/>
      <c r="F804" s="45"/>
      <c r="G804" s="42"/>
      <c r="H804" s="42"/>
      <c r="I804" s="42"/>
      <c r="J804" s="22"/>
      <c r="K804" s="42"/>
    </row>
    <row r="805" ht="39.75" customHeight="1">
      <c r="A805" s="1">
        <v>804.0</v>
      </c>
      <c r="B805" s="2" t="s">
        <v>42</v>
      </c>
      <c r="C805" s="2"/>
      <c r="D805" s="13"/>
      <c r="E805" s="13"/>
      <c r="F805" s="44" t="s">
        <v>5378</v>
      </c>
      <c r="G805" s="43">
        <v>1.0</v>
      </c>
      <c r="H805" s="42"/>
      <c r="I805" s="43">
        <v>1.0</v>
      </c>
      <c r="J805" s="22"/>
      <c r="K805" s="42"/>
    </row>
    <row r="806" ht="39.75" customHeight="1">
      <c r="A806" s="1">
        <v>805.0</v>
      </c>
      <c r="B806" s="2" t="s">
        <v>43</v>
      </c>
      <c r="C806" s="2" t="s">
        <v>44</v>
      </c>
      <c r="D806" s="13"/>
      <c r="E806" s="13"/>
      <c r="F806" s="45"/>
      <c r="G806" s="42"/>
      <c r="H806" s="42"/>
      <c r="I806" s="42"/>
      <c r="J806" s="22"/>
      <c r="K806" s="42"/>
    </row>
    <row r="807" ht="39.75" customHeight="1">
      <c r="A807" s="1">
        <v>806.0</v>
      </c>
      <c r="B807" s="2" t="s">
        <v>267</v>
      </c>
      <c r="C807" s="2" t="s">
        <v>54</v>
      </c>
      <c r="D807" s="13"/>
      <c r="E807" s="13"/>
      <c r="F807" s="44"/>
      <c r="G807" s="43">
        <v>1.0</v>
      </c>
      <c r="H807" s="42"/>
      <c r="I807" s="42"/>
      <c r="J807" s="22"/>
      <c r="K807" s="42"/>
    </row>
    <row r="808" ht="39.75" customHeight="1">
      <c r="A808" s="1">
        <v>807.0</v>
      </c>
      <c r="B808" s="2" t="s">
        <v>46</v>
      </c>
      <c r="C808" s="2" t="s">
        <v>27</v>
      </c>
      <c r="D808" s="59">
        <v>0.6958333333333333</v>
      </c>
      <c r="E808" s="13"/>
      <c r="F808" s="44" t="s">
        <v>5379</v>
      </c>
      <c r="G808" s="43">
        <v>1.0</v>
      </c>
      <c r="H808" s="42"/>
      <c r="I808" s="43">
        <v>1.0</v>
      </c>
      <c r="J808" s="22"/>
      <c r="K808" s="42"/>
    </row>
    <row r="809" ht="39.75" customHeight="1">
      <c r="A809" s="1">
        <v>808.0</v>
      </c>
      <c r="B809" s="2" t="s">
        <v>47</v>
      </c>
      <c r="C809" s="2"/>
      <c r="D809" s="13"/>
      <c r="E809" s="13"/>
      <c r="F809" s="44" t="s">
        <v>2941</v>
      </c>
      <c r="G809" s="43">
        <v>1.0</v>
      </c>
      <c r="H809" s="42"/>
      <c r="I809" s="43">
        <v>1.0</v>
      </c>
      <c r="J809" s="22"/>
      <c r="K809" s="42"/>
    </row>
    <row r="810" ht="39.75" hidden="1" customHeight="1">
      <c r="A810" s="1">
        <v>809.0</v>
      </c>
      <c r="B810" s="2" t="s">
        <v>48</v>
      </c>
      <c r="C810" s="2" t="s">
        <v>58</v>
      </c>
      <c r="D810" s="13"/>
      <c r="E810" s="13"/>
      <c r="F810" s="45"/>
      <c r="G810" s="42"/>
      <c r="H810" s="42"/>
      <c r="I810" s="42"/>
      <c r="J810" s="22"/>
      <c r="K810" s="42"/>
    </row>
    <row r="811" ht="39.75" customHeight="1">
      <c r="A811" s="1">
        <v>810.0</v>
      </c>
      <c r="B811" s="21"/>
      <c r="C811" s="21"/>
      <c r="D811" s="21"/>
      <c r="E811" s="21"/>
      <c r="F811" s="46"/>
      <c r="G811" s="47"/>
      <c r="H811" s="47"/>
      <c r="I811" s="47"/>
      <c r="J811" s="48"/>
      <c r="K811" s="47"/>
      <c r="L811" s="49"/>
      <c r="M811" s="49"/>
      <c r="N811" s="49"/>
    </row>
    <row r="812" ht="39.75" customHeight="1">
      <c r="A812" s="1">
        <v>811.0</v>
      </c>
      <c r="B812" s="2" t="s">
        <v>12</v>
      </c>
      <c r="C812" s="2" t="s">
        <v>62</v>
      </c>
      <c r="D812" s="13"/>
      <c r="E812" s="13"/>
      <c r="F812" s="44" t="s">
        <v>1543</v>
      </c>
      <c r="G812" s="43">
        <v>1.0</v>
      </c>
      <c r="H812" s="42"/>
      <c r="I812" s="43">
        <v>1.0</v>
      </c>
      <c r="J812" s="27" t="s">
        <v>14</v>
      </c>
      <c r="K812" s="42"/>
      <c r="L812" s="15" t="s">
        <v>477</v>
      </c>
    </row>
    <row r="813" ht="39.75" customHeight="1">
      <c r="A813" s="1">
        <v>812.0</v>
      </c>
      <c r="B813" s="2" t="s">
        <v>16</v>
      </c>
      <c r="C813" s="2" t="s">
        <v>39</v>
      </c>
      <c r="D813" s="13"/>
      <c r="E813" s="13"/>
      <c r="F813" s="44" t="s">
        <v>535</v>
      </c>
      <c r="G813" s="43">
        <v>1.0</v>
      </c>
      <c r="H813" s="42"/>
      <c r="I813" s="43">
        <v>1.0</v>
      </c>
      <c r="J813" s="27" t="s">
        <v>477</v>
      </c>
      <c r="K813" s="43"/>
    </row>
    <row r="814" ht="39.75" customHeight="1">
      <c r="A814" s="1">
        <v>813.0</v>
      </c>
      <c r="B814" s="2" t="s">
        <v>116</v>
      </c>
      <c r="C814" s="2" t="s">
        <v>54</v>
      </c>
      <c r="D814" s="13"/>
      <c r="E814" s="13"/>
      <c r="F814" s="45"/>
      <c r="G814" s="42"/>
      <c r="H814" s="42"/>
      <c r="I814" s="42"/>
      <c r="J814" s="27" t="s">
        <v>95</v>
      </c>
      <c r="K814" s="42"/>
    </row>
    <row r="815" ht="39.75" customHeight="1">
      <c r="A815" s="1">
        <v>814.0</v>
      </c>
      <c r="B815" s="2" t="s">
        <v>17</v>
      </c>
      <c r="C815" s="2" t="s">
        <v>64</v>
      </c>
      <c r="D815" s="13"/>
      <c r="E815" s="13"/>
      <c r="F815" s="44" t="s">
        <v>2034</v>
      </c>
      <c r="G815" s="43">
        <v>1.0</v>
      </c>
      <c r="H815" s="42"/>
      <c r="I815" s="43">
        <v>1.0</v>
      </c>
      <c r="J815" s="22"/>
      <c r="K815" s="42"/>
    </row>
    <row r="816" ht="39.75" customHeight="1">
      <c r="A816" s="1">
        <v>815.0</v>
      </c>
      <c r="B816" s="2" t="s">
        <v>331</v>
      </c>
      <c r="C816" s="2" t="s">
        <v>542</v>
      </c>
      <c r="D816" s="13"/>
      <c r="E816" s="13"/>
      <c r="F816" s="44" t="s">
        <v>5380</v>
      </c>
      <c r="G816" s="43">
        <v>1.0</v>
      </c>
      <c r="H816" s="42"/>
      <c r="I816" s="43">
        <v>1.0</v>
      </c>
      <c r="J816" s="22"/>
      <c r="K816" s="42"/>
    </row>
    <row r="817" ht="39.75" customHeight="1">
      <c r="A817" s="1">
        <v>816.0</v>
      </c>
      <c r="B817" s="2" t="s">
        <v>21</v>
      </c>
      <c r="C817" s="2"/>
      <c r="D817" s="13"/>
      <c r="E817" s="13"/>
      <c r="F817" s="45"/>
      <c r="G817" s="42"/>
      <c r="H817" s="42"/>
      <c r="I817" s="42"/>
      <c r="J817" s="22"/>
      <c r="K817" s="42"/>
    </row>
    <row r="818" ht="39.75" customHeight="1">
      <c r="A818" s="1">
        <v>817.0</v>
      </c>
      <c r="B818" s="2" t="s">
        <v>22</v>
      </c>
      <c r="C818" s="2" t="s">
        <v>69</v>
      </c>
      <c r="D818" s="13"/>
      <c r="E818" s="13"/>
      <c r="F818" s="44" t="s">
        <v>5381</v>
      </c>
      <c r="G818" s="43">
        <v>1.0</v>
      </c>
      <c r="H818" s="42"/>
      <c r="I818" s="43">
        <v>1.0</v>
      </c>
      <c r="J818" s="22"/>
      <c r="K818" s="42"/>
    </row>
    <row r="819" ht="39.75" hidden="1" customHeight="1">
      <c r="A819" s="1">
        <v>818.0</v>
      </c>
      <c r="B819" s="2" t="s">
        <v>23</v>
      </c>
      <c r="C819" s="2" t="s">
        <v>66</v>
      </c>
      <c r="D819" s="13"/>
      <c r="E819" s="13"/>
      <c r="F819" s="45"/>
      <c r="G819" s="42"/>
      <c r="H819" s="42"/>
      <c r="I819" s="42"/>
      <c r="J819" s="22"/>
      <c r="K819" s="42"/>
    </row>
    <row r="820" ht="39.75" customHeight="1">
      <c r="A820" s="1">
        <v>819.0</v>
      </c>
      <c r="B820" s="2" t="s">
        <v>24</v>
      </c>
      <c r="C820" s="2" t="s">
        <v>63</v>
      </c>
      <c r="D820" s="13"/>
      <c r="E820" s="13"/>
      <c r="F820" s="45"/>
      <c r="G820" s="42"/>
      <c r="H820" s="42"/>
      <c r="I820" s="42"/>
      <c r="J820" s="22"/>
      <c r="K820" s="42"/>
    </row>
    <row r="821" ht="39.75" customHeight="1">
      <c r="A821" s="1">
        <v>820.0</v>
      </c>
      <c r="B821" s="2" t="s">
        <v>25</v>
      </c>
      <c r="C821" s="2" t="s">
        <v>54</v>
      </c>
      <c r="D821" s="13"/>
      <c r="E821" s="13"/>
      <c r="F821" s="44" t="s">
        <v>5382</v>
      </c>
      <c r="G821" s="43">
        <v>1.0</v>
      </c>
      <c r="H821" s="42"/>
      <c r="I821" s="42"/>
      <c r="J821" s="22"/>
      <c r="K821" s="42"/>
    </row>
    <row r="822" ht="39.75" customHeight="1">
      <c r="A822" s="1">
        <v>821.0</v>
      </c>
      <c r="B822" s="2" t="s">
        <v>26</v>
      </c>
      <c r="C822" s="2"/>
      <c r="D822" s="13"/>
      <c r="E822" s="13"/>
      <c r="F822" s="44" t="s">
        <v>5383</v>
      </c>
      <c r="G822" s="43">
        <v>1.0</v>
      </c>
      <c r="H822" s="42"/>
      <c r="I822" s="43">
        <v>1.0</v>
      </c>
      <c r="J822" s="22"/>
      <c r="K822" s="42"/>
    </row>
    <row r="823" ht="39.75" hidden="1" customHeight="1">
      <c r="A823" s="1">
        <v>822.0</v>
      </c>
      <c r="B823" s="2" t="s">
        <v>29</v>
      </c>
      <c r="C823" s="2" t="s">
        <v>58</v>
      </c>
      <c r="D823" s="13"/>
      <c r="E823" s="13"/>
      <c r="F823" s="45"/>
      <c r="G823" s="42"/>
      <c r="H823" s="42"/>
      <c r="I823" s="42"/>
      <c r="J823" s="22"/>
      <c r="K823" s="42"/>
    </row>
    <row r="824" ht="39.75" hidden="1" customHeight="1">
      <c r="A824" s="1">
        <v>823.0</v>
      </c>
      <c r="B824" s="2" t="s">
        <v>30</v>
      </c>
      <c r="C824" s="2" t="s">
        <v>58</v>
      </c>
      <c r="D824" s="13"/>
      <c r="E824" s="13"/>
      <c r="F824" s="45"/>
      <c r="G824" s="42"/>
      <c r="H824" s="42"/>
      <c r="I824" s="42"/>
      <c r="J824" s="22"/>
      <c r="K824" s="42"/>
    </row>
    <row r="825" ht="39.75" hidden="1" customHeight="1">
      <c r="A825" s="1">
        <v>824.0</v>
      </c>
      <c r="B825" s="2" t="s">
        <v>31</v>
      </c>
      <c r="C825" s="2" t="s">
        <v>58</v>
      </c>
      <c r="D825" s="13"/>
      <c r="E825" s="13"/>
      <c r="F825" s="45"/>
      <c r="G825" s="42"/>
      <c r="H825" s="42"/>
      <c r="I825" s="42"/>
      <c r="J825" s="22"/>
      <c r="K825" s="42"/>
    </row>
    <row r="826" ht="39.75" customHeight="1">
      <c r="A826" s="1">
        <v>825.0</v>
      </c>
      <c r="B826" s="2" t="s">
        <v>32</v>
      </c>
      <c r="C826" s="2" t="s">
        <v>69</v>
      </c>
      <c r="D826" s="13"/>
      <c r="E826" s="13"/>
      <c r="F826" s="44" t="s">
        <v>5384</v>
      </c>
      <c r="G826" s="43">
        <v>1.0</v>
      </c>
      <c r="H826" s="42"/>
      <c r="I826" s="42"/>
      <c r="J826" s="22"/>
      <c r="K826" s="42"/>
    </row>
    <row r="827" ht="39.75" customHeight="1">
      <c r="A827" s="1">
        <v>826.0</v>
      </c>
      <c r="B827" s="2" t="s">
        <v>67</v>
      </c>
      <c r="C827" s="2" t="s">
        <v>39</v>
      </c>
      <c r="D827" s="13"/>
      <c r="E827" s="13"/>
      <c r="F827" s="44" t="s">
        <v>5385</v>
      </c>
      <c r="G827" s="43">
        <v>1.0</v>
      </c>
      <c r="H827" s="42"/>
      <c r="I827" s="42"/>
      <c r="J827" s="22"/>
      <c r="K827" s="42"/>
    </row>
    <row r="828" ht="39.75" customHeight="1">
      <c r="A828" s="1">
        <v>827.0</v>
      </c>
      <c r="B828" s="2" t="s">
        <v>35</v>
      </c>
      <c r="C828" s="2"/>
      <c r="D828" s="13"/>
      <c r="E828" s="13"/>
      <c r="F828" s="44" t="s">
        <v>5386</v>
      </c>
      <c r="G828" s="43">
        <v>1.0</v>
      </c>
      <c r="H828" s="42"/>
      <c r="I828" s="42"/>
      <c r="J828" s="22"/>
      <c r="K828" s="42"/>
    </row>
    <row r="829" ht="39.75" customHeight="1">
      <c r="A829" s="1">
        <v>828.0</v>
      </c>
      <c r="B829" s="2" t="s">
        <v>36</v>
      </c>
      <c r="C829" s="2" t="s">
        <v>54</v>
      </c>
      <c r="D829" s="13"/>
      <c r="E829" s="13"/>
      <c r="F829" s="44"/>
      <c r="G829" s="43"/>
      <c r="H829" s="43"/>
      <c r="I829" s="42"/>
      <c r="J829" s="22"/>
      <c r="K829" s="42"/>
    </row>
    <row r="830" ht="39.75" customHeight="1">
      <c r="A830" s="1">
        <v>829.0</v>
      </c>
      <c r="B830" s="2" t="s">
        <v>38</v>
      </c>
      <c r="C830" s="2" t="s">
        <v>27</v>
      </c>
      <c r="D830" s="13"/>
      <c r="E830" s="13"/>
      <c r="F830" s="44" t="s">
        <v>5387</v>
      </c>
      <c r="G830" s="43">
        <v>1.0</v>
      </c>
      <c r="H830" s="42"/>
      <c r="I830" s="42"/>
      <c r="J830" s="22"/>
      <c r="K830" s="42"/>
    </row>
    <row r="831" ht="39.75" hidden="1" customHeight="1">
      <c r="A831" s="1">
        <v>830.0</v>
      </c>
      <c r="B831" s="2" t="s">
        <v>41</v>
      </c>
      <c r="C831" s="2" t="s">
        <v>58</v>
      </c>
      <c r="D831" s="13"/>
      <c r="E831" s="13"/>
      <c r="F831" s="45"/>
      <c r="G831" s="42"/>
      <c r="H831" s="42"/>
      <c r="I831" s="42"/>
      <c r="J831" s="22"/>
      <c r="K831" s="42"/>
    </row>
    <row r="832" ht="39.75" hidden="1" customHeight="1">
      <c r="A832" s="1">
        <v>831.0</v>
      </c>
      <c r="B832" s="2" t="s">
        <v>42</v>
      </c>
      <c r="C832" s="2" t="s">
        <v>58</v>
      </c>
      <c r="D832" s="13"/>
      <c r="E832" s="13"/>
      <c r="F832" s="45"/>
      <c r="G832" s="42"/>
      <c r="H832" s="42"/>
      <c r="I832" s="42"/>
      <c r="J832" s="22"/>
      <c r="K832" s="42"/>
    </row>
    <row r="833" ht="39.75" customHeight="1">
      <c r="A833" s="1">
        <v>832.0</v>
      </c>
      <c r="B833" s="2" t="s">
        <v>43</v>
      </c>
      <c r="C833" s="2"/>
      <c r="D833" s="13"/>
      <c r="E833" s="13"/>
      <c r="F833" s="44" t="s">
        <v>5388</v>
      </c>
      <c r="G833" s="43">
        <v>1.0</v>
      </c>
      <c r="H833" s="42"/>
      <c r="I833" s="42"/>
      <c r="J833" s="22"/>
      <c r="K833" s="42"/>
    </row>
    <row r="834" ht="39.75" customHeight="1">
      <c r="A834" s="1">
        <v>833.0</v>
      </c>
      <c r="B834" s="2" t="s">
        <v>267</v>
      </c>
      <c r="C834" s="2" t="s">
        <v>54</v>
      </c>
      <c r="D834" s="13"/>
      <c r="E834" s="13"/>
      <c r="F834" s="44" t="s">
        <v>5389</v>
      </c>
      <c r="G834" s="43">
        <v>1.0</v>
      </c>
      <c r="H834" s="42"/>
      <c r="I834" s="42"/>
      <c r="J834" s="22"/>
      <c r="K834" s="42"/>
    </row>
    <row r="835" ht="39.75" customHeight="1">
      <c r="A835" s="1">
        <v>834.0</v>
      </c>
      <c r="B835" s="2" t="s">
        <v>46</v>
      </c>
      <c r="C835" s="2" t="s">
        <v>44</v>
      </c>
      <c r="D835" s="13"/>
      <c r="E835" s="13"/>
      <c r="F835" s="52"/>
      <c r="G835" s="42"/>
      <c r="H835" s="42"/>
      <c r="I835" s="42"/>
      <c r="J835" s="22"/>
      <c r="K835" s="42"/>
    </row>
    <row r="836" ht="39.75" customHeight="1">
      <c r="A836" s="1">
        <v>835.0</v>
      </c>
      <c r="B836" s="2" t="s">
        <v>47</v>
      </c>
      <c r="C836" s="2" t="s">
        <v>69</v>
      </c>
      <c r="D836" s="13"/>
      <c r="E836" s="13"/>
      <c r="F836" s="44" t="s">
        <v>5390</v>
      </c>
      <c r="G836" s="43">
        <v>1.0</v>
      </c>
      <c r="H836" s="42"/>
      <c r="I836" s="42"/>
      <c r="J836" s="22"/>
      <c r="K836" s="42"/>
    </row>
    <row r="837" ht="39.75" hidden="1" customHeight="1">
      <c r="A837" s="1">
        <v>836.0</v>
      </c>
      <c r="B837" s="2" t="s">
        <v>48</v>
      </c>
      <c r="C837" s="2" t="s">
        <v>58</v>
      </c>
      <c r="D837" s="13"/>
      <c r="E837" s="13"/>
      <c r="F837" s="45"/>
      <c r="G837" s="42"/>
      <c r="H837" s="42"/>
      <c r="I837" s="42"/>
      <c r="J837" s="22"/>
      <c r="K837" s="42"/>
    </row>
    <row r="838" ht="39.75" customHeight="1">
      <c r="A838" s="1">
        <v>837.0</v>
      </c>
      <c r="B838" s="21"/>
      <c r="C838" s="21"/>
      <c r="D838" s="21"/>
      <c r="E838" s="21"/>
      <c r="F838" s="46"/>
      <c r="G838" s="47"/>
      <c r="H838" s="47"/>
      <c r="I838" s="47"/>
      <c r="J838" s="48"/>
      <c r="K838" s="47"/>
      <c r="L838" s="49"/>
      <c r="M838" s="49"/>
      <c r="N838" s="49"/>
    </row>
    <row r="839" ht="39.75" hidden="1" customHeight="1">
      <c r="A839" s="1"/>
      <c r="B839" s="169" t="s">
        <v>12</v>
      </c>
      <c r="C839" s="21"/>
      <c r="D839" s="21"/>
      <c r="E839" s="21"/>
      <c r="F839" s="46"/>
      <c r="G839" s="62">
        <f>SUMIF(B3:B837,"*이동현*",G3:G837)</f>
        <v>14</v>
      </c>
      <c r="H839" s="47"/>
      <c r="I839" s="47"/>
      <c r="J839" s="48"/>
      <c r="K839" s="47"/>
      <c r="L839" s="49"/>
      <c r="M839" s="49"/>
      <c r="N839" s="49"/>
    </row>
    <row r="840" ht="39.75" hidden="1" customHeight="1">
      <c r="A840" s="1"/>
      <c r="B840" s="169" t="s">
        <v>16</v>
      </c>
      <c r="C840" s="21"/>
      <c r="D840" s="21"/>
      <c r="E840" s="21"/>
      <c r="F840" s="46"/>
      <c r="G840" s="62">
        <f>SUMIF(B4:B837,"*반일훈*",G4:G837)</f>
        <v>17</v>
      </c>
      <c r="H840" s="47"/>
      <c r="I840" s="47"/>
      <c r="J840" s="48"/>
      <c r="K840" s="47"/>
      <c r="L840" s="49"/>
      <c r="M840" s="49"/>
      <c r="N840" s="49"/>
    </row>
    <row r="841" ht="39.75" hidden="1" customHeight="1">
      <c r="A841" s="1"/>
      <c r="B841" s="169" t="s">
        <v>116</v>
      </c>
      <c r="C841" s="21"/>
      <c r="D841" s="21"/>
      <c r="E841" s="21"/>
      <c r="F841" s="46"/>
      <c r="G841" s="62">
        <f>SUMIF(B5:B837,"*김재식*",G5:G837)</f>
        <v>17</v>
      </c>
      <c r="H841" s="47"/>
      <c r="I841" s="47"/>
      <c r="J841" s="48"/>
      <c r="K841" s="47"/>
      <c r="L841" s="49"/>
      <c r="M841" s="49"/>
      <c r="N841" s="49"/>
    </row>
    <row r="842" ht="39.75" hidden="1" customHeight="1">
      <c r="A842" s="1"/>
      <c r="B842" s="169" t="s">
        <v>17</v>
      </c>
      <c r="C842" s="21"/>
      <c r="D842" s="21"/>
      <c r="E842" s="21"/>
      <c r="F842" s="46"/>
      <c r="G842" s="62">
        <f>SUMIF(B5:B837,"*신동환*",G5:G837)</f>
        <v>17</v>
      </c>
      <c r="H842" s="47"/>
      <c r="I842" s="47"/>
      <c r="J842" s="48"/>
      <c r="K842" s="47"/>
      <c r="L842" s="49"/>
      <c r="M842" s="49"/>
      <c r="N842" s="49"/>
    </row>
    <row r="843" ht="39.75" hidden="1" customHeight="1">
      <c r="A843" s="1"/>
      <c r="B843" s="169" t="s">
        <v>331</v>
      </c>
      <c r="C843" s="21"/>
      <c r="D843" s="21"/>
      <c r="E843" s="21"/>
      <c r="F843" s="46"/>
      <c r="G843" s="62">
        <f>SUMIF(B5:B837,"*장후원*",G5:G837)</f>
        <v>13</v>
      </c>
      <c r="H843" s="47"/>
      <c r="I843" s="47"/>
      <c r="J843" s="48"/>
      <c r="K843" s="47"/>
      <c r="L843" s="49"/>
      <c r="M843" s="49"/>
      <c r="N843" s="49"/>
    </row>
    <row r="844" ht="39.75" hidden="1" customHeight="1">
      <c r="A844" s="1"/>
      <c r="B844" s="169" t="s">
        <v>21</v>
      </c>
      <c r="C844" s="21"/>
      <c r="D844" s="21"/>
      <c r="E844" s="21"/>
      <c r="F844" s="46"/>
      <c r="G844" s="62">
        <f>SUMIF(B5:B837,"*구본준*",G5:G837)</f>
        <v>11</v>
      </c>
      <c r="H844" s="47"/>
      <c r="I844" s="47"/>
      <c r="J844" s="48"/>
      <c r="K844" s="47"/>
      <c r="L844" s="49"/>
      <c r="M844" s="49"/>
      <c r="N844" s="49"/>
    </row>
    <row r="845" ht="39.75" hidden="1" customHeight="1">
      <c r="A845" s="1"/>
      <c r="B845" s="169" t="s">
        <v>22</v>
      </c>
      <c r="C845" s="21"/>
      <c r="D845" s="21"/>
      <c r="E845" s="21"/>
      <c r="F845" s="46"/>
      <c r="G845" s="62">
        <f>SUMIF(B5:B837,"*이학진*",G5:G837)</f>
        <v>15</v>
      </c>
      <c r="H845" s="47"/>
      <c r="I845" s="47"/>
      <c r="J845" s="48"/>
      <c r="K845" s="47"/>
      <c r="L845" s="49"/>
      <c r="M845" s="49"/>
      <c r="N845" s="49"/>
    </row>
    <row r="846" ht="39.75" hidden="1" customHeight="1">
      <c r="A846" s="1"/>
      <c r="B846" s="169" t="s">
        <v>23</v>
      </c>
      <c r="C846" s="21"/>
      <c r="D846" s="21"/>
      <c r="E846" s="21"/>
      <c r="F846" s="46"/>
      <c r="G846" s="62">
        <f>SUMIF(B5:B837,"*황현우*",G5:G837)</f>
        <v>21</v>
      </c>
      <c r="H846" s="47"/>
      <c r="I846" s="47"/>
      <c r="J846" s="48"/>
      <c r="K846" s="47"/>
      <c r="L846" s="49"/>
      <c r="M846" s="49"/>
      <c r="N846" s="49"/>
    </row>
    <row r="847" ht="39.75" hidden="1" customHeight="1">
      <c r="A847" s="1"/>
      <c r="B847" s="169" t="s">
        <v>24</v>
      </c>
      <c r="C847" s="21"/>
      <c r="D847" s="21"/>
      <c r="E847" s="21"/>
      <c r="F847" s="46"/>
      <c r="G847" s="62">
        <f>SUMIF(B5:B837,"*김미란*",G5:G837)</f>
        <v>6</v>
      </c>
      <c r="H847" s="47"/>
      <c r="I847" s="47"/>
      <c r="J847" s="48"/>
      <c r="K847" s="47"/>
      <c r="L847" s="49"/>
      <c r="M847" s="49"/>
      <c r="N847" s="49"/>
    </row>
    <row r="848" ht="39.75" hidden="1" customHeight="1">
      <c r="A848" s="1"/>
      <c r="B848" s="169" t="s">
        <v>25</v>
      </c>
      <c r="C848" s="21"/>
      <c r="D848" s="21"/>
      <c r="E848" s="21"/>
      <c r="F848" s="46"/>
      <c r="G848" s="62">
        <f>SUMIF(B5:B837,"*유규열*",G5:G837)</f>
        <v>15</v>
      </c>
      <c r="H848" s="47"/>
      <c r="I848" s="47"/>
      <c r="J848" s="48"/>
      <c r="K848" s="47"/>
      <c r="L848" s="49"/>
      <c r="M848" s="49"/>
      <c r="N848" s="49"/>
    </row>
    <row r="849" ht="39.75" hidden="1" customHeight="1">
      <c r="A849" s="1"/>
      <c r="B849" s="169" t="s">
        <v>26</v>
      </c>
      <c r="C849" s="21"/>
      <c r="D849" s="21"/>
      <c r="E849" s="21"/>
      <c r="F849" s="46"/>
      <c r="G849" s="62">
        <f>SUMIF(B5:B837,"*김준택*",G5:G837)</f>
        <v>20</v>
      </c>
      <c r="H849" s="47"/>
      <c r="I849" s="47"/>
      <c r="J849" s="48"/>
      <c r="K849" s="47"/>
      <c r="L849" s="49"/>
      <c r="M849" s="49"/>
      <c r="N849" s="49"/>
    </row>
    <row r="850" ht="39.75" hidden="1" customHeight="1">
      <c r="A850" s="1"/>
      <c r="B850" s="169" t="s">
        <v>29</v>
      </c>
      <c r="C850" s="21"/>
      <c r="D850" s="21"/>
      <c r="E850" s="21"/>
      <c r="F850" s="46"/>
      <c r="G850" s="62">
        <f>SUMIF(B5:B837,"*방극철*",G5:G837)</f>
        <v>21</v>
      </c>
      <c r="H850" s="47"/>
      <c r="I850" s="47"/>
      <c r="J850" s="48"/>
      <c r="K850" s="47"/>
      <c r="L850" s="49"/>
      <c r="M850" s="49"/>
      <c r="N850" s="49"/>
    </row>
    <row r="851" ht="39.75" hidden="1" customHeight="1">
      <c r="A851" s="1"/>
      <c r="B851" s="169" t="s">
        <v>30</v>
      </c>
      <c r="C851" s="21"/>
      <c r="D851" s="21"/>
      <c r="E851" s="21"/>
      <c r="F851" s="46"/>
      <c r="G851" s="62">
        <f>SUMIF(B5:B837,"*홍승재*",G5:G837)</f>
        <v>15</v>
      </c>
      <c r="H851" s="47"/>
      <c r="I851" s="47"/>
      <c r="J851" s="48"/>
      <c r="K851" s="47"/>
      <c r="L851" s="49"/>
      <c r="M851" s="49"/>
      <c r="N851" s="49"/>
    </row>
    <row r="852" ht="39.75" hidden="1" customHeight="1">
      <c r="A852" s="1"/>
      <c r="B852" s="169" t="s">
        <v>31</v>
      </c>
      <c r="C852" s="21"/>
      <c r="D852" s="21"/>
      <c r="E852" s="21"/>
      <c r="F852" s="46"/>
      <c r="G852" s="62">
        <f>SUMIF(B5:B837,"*이   경*",G5:G837)</f>
        <v>25</v>
      </c>
      <c r="H852" s="47"/>
      <c r="I852" s="47"/>
      <c r="J852" s="48"/>
      <c r="K852" s="47"/>
      <c r="L852" s="49"/>
      <c r="M852" s="49"/>
      <c r="N852" s="49"/>
    </row>
    <row r="853" ht="39.75" hidden="1" customHeight="1">
      <c r="A853" s="1"/>
      <c r="B853" s="169" t="s">
        <v>32</v>
      </c>
      <c r="C853" s="21"/>
      <c r="D853" s="21"/>
      <c r="E853" s="21"/>
      <c r="F853" s="46"/>
      <c r="G853" s="62">
        <f>SUMIF(B5:B837,"*정상원*",G5:G837)</f>
        <v>25</v>
      </c>
      <c r="H853" s="47"/>
      <c r="I853" s="47"/>
      <c r="J853" s="48"/>
      <c r="K853" s="47"/>
      <c r="L853" s="49"/>
      <c r="M853" s="49"/>
      <c r="N853" s="49"/>
    </row>
    <row r="854" ht="39.75" hidden="1" customHeight="1">
      <c r="A854" s="1"/>
      <c r="B854" s="169" t="s">
        <v>67</v>
      </c>
      <c r="C854" s="21"/>
      <c r="D854" s="21"/>
      <c r="E854" s="21"/>
      <c r="F854" s="46"/>
      <c r="G854" s="62">
        <f>SUMIF(B5:B837,"*이주원*",G5:G837)</f>
        <v>22</v>
      </c>
      <c r="H854" s="47"/>
      <c r="I854" s="47"/>
      <c r="J854" s="48"/>
      <c r="K854" s="47"/>
      <c r="L854" s="49"/>
      <c r="M854" s="49"/>
      <c r="N854" s="49"/>
    </row>
    <row r="855" ht="39.75" hidden="1" customHeight="1">
      <c r="A855" s="1"/>
      <c r="B855" s="169" t="s">
        <v>35</v>
      </c>
      <c r="C855" s="21"/>
      <c r="D855" s="21"/>
      <c r="E855" s="21"/>
      <c r="F855" s="46"/>
      <c r="G855" s="62">
        <f>SUMIF(B5:B837,"*최무룡*",G5:G837)</f>
        <v>16</v>
      </c>
      <c r="H855" s="47"/>
      <c r="I855" s="47"/>
      <c r="J855" s="48"/>
      <c r="K855" s="47"/>
      <c r="L855" s="49"/>
      <c r="M855" s="49"/>
      <c r="N855" s="49"/>
    </row>
    <row r="856" ht="39.75" hidden="1" customHeight="1">
      <c r="A856" s="1"/>
      <c r="B856" s="169" t="s">
        <v>36</v>
      </c>
      <c r="C856" s="21"/>
      <c r="D856" s="21"/>
      <c r="E856" s="21"/>
      <c r="F856" s="46"/>
      <c r="G856" s="62">
        <f>SUMIF(B5:B837,"*정철원*",G5:G837)</f>
        <v>21</v>
      </c>
      <c r="H856" s="47"/>
      <c r="I856" s="47"/>
      <c r="J856" s="48"/>
      <c r="K856" s="47"/>
      <c r="L856" s="49"/>
      <c r="M856" s="49"/>
      <c r="N856" s="49"/>
    </row>
    <row r="857" ht="39.75" hidden="1" customHeight="1">
      <c r="A857" s="1"/>
      <c r="B857" s="169" t="s">
        <v>38</v>
      </c>
      <c r="C857" s="21"/>
      <c r="D857" s="21"/>
      <c r="E857" s="21"/>
      <c r="F857" s="46"/>
      <c r="G857" s="62">
        <f>SUMIF(B5:B837,"*김진광*",G5:G837)</f>
        <v>17</v>
      </c>
      <c r="H857" s="47"/>
      <c r="I857" s="47"/>
      <c r="J857" s="48"/>
      <c r="K857" s="47"/>
      <c r="L857" s="49"/>
      <c r="M857" s="49"/>
      <c r="N857" s="49"/>
    </row>
    <row r="858" ht="39.75" hidden="1" customHeight="1">
      <c r="A858" s="1"/>
      <c r="B858" s="169" t="s">
        <v>41</v>
      </c>
      <c r="C858" s="21"/>
      <c r="D858" s="21"/>
      <c r="E858" s="21"/>
      <c r="F858" s="46"/>
      <c r="G858" s="62">
        <f>SUMIF(B5:B837,"*조용희*",G5:G837)</f>
        <v>0</v>
      </c>
      <c r="H858" s="47"/>
      <c r="I858" s="47"/>
      <c r="J858" s="48"/>
      <c r="K858" s="47"/>
      <c r="L858" s="49"/>
      <c r="M858" s="49"/>
      <c r="N858" s="49"/>
    </row>
    <row r="859" ht="39.75" hidden="1" customHeight="1">
      <c r="A859" s="1"/>
      <c r="B859" s="169" t="s">
        <v>42</v>
      </c>
      <c r="C859" s="21"/>
      <c r="D859" s="21"/>
      <c r="E859" s="21"/>
      <c r="F859" s="46"/>
      <c r="G859" s="62">
        <f>SUMIF(B5:B837,"*이완근*",G5:G837)</f>
        <v>24</v>
      </c>
      <c r="H859" s="47"/>
      <c r="I859" s="47"/>
      <c r="J859" s="48"/>
      <c r="K859" s="47"/>
      <c r="L859" s="49"/>
      <c r="M859" s="49"/>
      <c r="N859" s="49"/>
    </row>
    <row r="860" ht="39.75" hidden="1" customHeight="1">
      <c r="A860" s="1"/>
      <c r="B860" s="169" t="s">
        <v>43</v>
      </c>
      <c r="C860" s="21"/>
      <c r="D860" s="21"/>
      <c r="E860" s="21"/>
      <c r="F860" s="46"/>
      <c r="G860" s="62">
        <f>SUMIF(B5:B837,"*박대권*",G5:G837)</f>
        <v>17</v>
      </c>
      <c r="H860" s="47"/>
      <c r="I860" s="47"/>
      <c r="J860" s="48"/>
      <c r="K860" s="47"/>
      <c r="L860" s="49"/>
      <c r="M860" s="49"/>
      <c r="N860" s="49"/>
    </row>
    <row r="861" ht="39.75" hidden="1" customHeight="1">
      <c r="A861" s="1"/>
      <c r="B861" s="169" t="s">
        <v>45</v>
      </c>
      <c r="C861" s="21"/>
      <c r="D861" s="21"/>
      <c r="E861" s="21"/>
      <c r="F861" s="46"/>
      <c r="G861" s="62">
        <f>SUMIF(B5:B837,"*김대호*",G5:G837)</f>
        <v>15</v>
      </c>
      <c r="H861" s="47"/>
      <c r="I861" s="47"/>
      <c r="J861" s="48"/>
      <c r="K861" s="47"/>
      <c r="L861" s="49"/>
      <c r="M861" s="49"/>
      <c r="N861" s="49"/>
    </row>
    <row r="862" ht="39.75" hidden="1" customHeight="1">
      <c r="A862" s="1"/>
      <c r="B862" s="169" t="s">
        <v>46</v>
      </c>
      <c r="C862" s="21"/>
      <c r="D862" s="21"/>
      <c r="E862" s="21"/>
      <c r="F862" s="46"/>
      <c r="G862" s="62">
        <f>SUMIF(B5:B837,"*이현일*",G5:G837)</f>
        <v>23</v>
      </c>
      <c r="H862" s="47"/>
      <c r="I862" s="47"/>
      <c r="J862" s="48"/>
      <c r="K862" s="47"/>
      <c r="L862" s="49"/>
      <c r="M862" s="49"/>
      <c r="N862" s="49"/>
    </row>
    <row r="863" ht="39.75" hidden="1" customHeight="1">
      <c r="A863" s="1"/>
      <c r="B863" s="169" t="s">
        <v>47</v>
      </c>
      <c r="C863" s="21"/>
      <c r="D863" s="21"/>
      <c r="E863" s="21"/>
      <c r="F863" s="46"/>
      <c r="G863" s="62">
        <f>SUMIF(B5:B837,"*유연경*",G5:G837)</f>
        <v>15</v>
      </c>
      <c r="H863" s="47"/>
      <c r="I863" s="47"/>
      <c r="J863" s="48"/>
      <c r="K863" s="47"/>
      <c r="L863" s="49"/>
      <c r="M863" s="49"/>
      <c r="N863" s="49"/>
    </row>
    <row r="864" ht="39.75" hidden="1" customHeight="1">
      <c r="A864" s="1"/>
      <c r="B864" s="169" t="s">
        <v>48</v>
      </c>
      <c r="C864" s="21"/>
      <c r="D864" s="21"/>
      <c r="E864" s="21"/>
      <c r="F864" s="46"/>
      <c r="G864" s="62">
        <f>SUMIF(B5:B837,"*정재우*",G5:G837)</f>
        <v>15</v>
      </c>
      <c r="H864" s="47"/>
      <c r="I864" s="47"/>
      <c r="J864" s="48"/>
      <c r="K864" s="47"/>
      <c r="L864" s="49"/>
      <c r="M864" s="49"/>
      <c r="N864" s="49"/>
    </row>
  </sheetData>
  <mergeCells count="31">
    <mergeCell ref="L2:N27"/>
    <mergeCell ref="L29:N54"/>
    <mergeCell ref="L56:N81"/>
    <mergeCell ref="L83:N108"/>
    <mergeCell ref="L110:N135"/>
    <mergeCell ref="L137:N162"/>
    <mergeCell ref="L164:N189"/>
    <mergeCell ref="L191:N216"/>
    <mergeCell ref="L218:N243"/>
    <mergeCell ref="L245:N270"/>
    <mergeCell ref="L272:N297"/>
    <mergeCell ref="L299:N324"/>
    <mergeCell ref="L326:N351"/>
    <mergeCell ref="L353:N378"/>
    <mergeCell ref="L380:N405"/>
    <mergeCell ref="L407:N432"/>
    <mergeCell ref="L434:N459"/>
    <mergeCell ref="L461:N486"/>
    <mergeCell ref="L488:N513"/>
    <mergeCell ref="L515:N540"/>
    <mergeCell ref="L542:N567"/>
    <mergeCell ref="L758:N783"/>
    <mergeCell ref="L785:N810"/>
    <mergeCell ref="L812:N837"/>
    <mergeCell ref="L569:N594"/>
    <mergeCell ref="L596:N621"/>
    <mergeCell ref="L623:N648"/>
    <mergeCell ref="L650:N675"/>
    <mergeCell ref="L677:N702"/>
    <mergeCell ref="L704:N729"/>
    <mergeCell ref="L731:N756"/>
  </mergeCells>
  <conditionalFormatting sqref="B2:I864">
    <cfRule type="expression" dxfId="6" priority="1">
      <formula>$C2="휴가"</formula>
    </cfRule>
  </conditionalFormatting>
  <conditionalFormatting sqref="B2:I864">
    <cfRule type="expression" dxfId="6" priority="2">
      <formula>$C2="휴무"</formula>
    </cfRule>
  </conditionalFormatting>
  <conditionalFormatting sqref="B2:I864">
    <cfRule type="expression" dxfId="6" priority="3">
      <formula>$C2="제크"</formula>
    </cfRule>
  </conditionalFormatting>
  <conditionalFormatting sqref="B2:I864">
    <cfRule type="expression" dxfId="7" priority="4">
      <formula>$C2="야퇴"</formula>
    </cfRule>
  </conditionalFormatting>
  <conditionalFormatting sqref="B2:I864">
    <cfRule type="expression" dxfId="8" priority="5">
      <formula>$C2="대통령실"</formula>
    </cfRule>
  </conditionalFormatting>
  <conditionalFormatting sqref="B2:I864">
    <cfRule type="expression" dxfId="8" priority="6">
      <formula>$C2="헌법재판소"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2">
    <tablePart r:id="rId4"/>
    <tablePart r:id="rId5"/>
  </tableParts>
</worksheet>
</file>